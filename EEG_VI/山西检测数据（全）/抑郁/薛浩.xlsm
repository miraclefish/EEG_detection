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<sst xmlns="http://schemas.openxmlformats.org/spreadsheetml/2006/main" count="701" uniqueCount="570">
  <si>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</si>
  <si>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</si>
  <si>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</si>
  <si>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</si>
  <si>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</si>
  <si>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</si>
  <si>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</si>
  <si>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</si>
  <si>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</si>
  <si>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</si>
  <si>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</si>
  <si>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</si>
  <si>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</si>
  <si>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</si>
  <si>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</si>
  <si>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</si>
  <si>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</si>
  <si>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</si>
  <si>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</si>
  <si>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</si>
  <si>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</si>
  <si>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</si>
  <si>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</si>
  <si>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</si>
  <si>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</si>
  <si>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</si>
  <si>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</si>
  <si>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</si>
  <si>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</si>
  <si>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</si>
  <si>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</si>
  <si>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</si>
  <si>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</si>
  <si>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</si>
  <si>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</si>
  <si>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</si>
  <si>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</si>
  <si>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</si>
  <si>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</si>
  <si>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</si>
  <si>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</si>
  <si>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</si>
  <si>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</si>
  <si>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</si>
  <si>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</si>
  <si>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</si>
  <si>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</si>
  <si>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</si>
  <si>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</si>
  <si>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</si>
  <si>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</si>
  <si>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</si>
  <si>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</si>
  <si>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</si>
  <si>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</si>
  <si>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</si>
  <si>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</si>
  <si>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</si>
  <si>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</si>
  <si>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</si>
  <si>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</si>
  <si>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</si>
  <si>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</si>
  <si>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</si>
  <si>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</si>
  <si>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</si>
  <si>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</si>
  <si>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</si>
  <si>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</si>
  <si>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</si>
  <si>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</si>
  <si>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</si>
  <si>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</si>
  <si>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</si>
  <si>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</si>
  <si>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</si>
  <si>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</si>
  <si>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</si>
  <si>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</si>
  <si>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</si>
  <si>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</si>
  <si>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</si>
  <si>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</si>
  <si>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</si>
  <si>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</si>
  <si>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</si>
  <si>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</si>
  <si>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</si>
  <si>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</si>
  <si>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</si>
  <si>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</si>
  <si>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</si>
  <si>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</si>
  <si>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</si>
  <si>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</si>
  <si>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</si>
  <si>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</si>
  <si>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</si>
  <si>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</si>
  <si>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</si>
  <si>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</si>
  <si>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</si>
  <si>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</si>
  <si>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</si>
  <si>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</si>
  <si>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</si>
  <si>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</si>
  <si>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</si>
  <si>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</si>
  <si>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</si>
  <si>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</si>
  <si>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</si>
  <si>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</si>
  <si>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</si>
  <si>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</si>
  <si>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</si>
  <si>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</si>
  <si>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</si>
  <si>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</si>
  <si>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</si>
  <si>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</si>
  <si>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</si>
  <si>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</si>
  <si>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</si>
  <si>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</si>
  <si>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</si>
  <si>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</si>
  <si>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</si>
  <si>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</si>
  <si>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</si>
  <si>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</si>
  <si>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</si>
  <si>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</si>
  <si>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</si>
  <si>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</si>
  <si>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</si>
  <si>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</si>
  <si>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</si>
  <si>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</si>
  <si>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</si>
  <si>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</si>
  <si>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</si>
  <si>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</si>
  <si>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</si>
  <si>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</si>
  <si>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</si>
  <si>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</si>
  <si>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</si>
  <si>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</si>
  <si>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</si>
  <si>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</si>
  <si>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</si>
  <si>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</si>
  <si>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</si>
  <si>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</si>
  <si>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</si>
  <si>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</si>
  <si>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</si>
  <si>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</si>
  <si>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</si>
  <si>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</si>
  <si>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</si>
  <si>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</si>
  <si>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</si>
  <si>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</si>
  <si>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</si>
  <si>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</si>
  <si>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</si>
  <si>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</si>
  <si>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</si>
  <si>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</si>
  <si>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</si>
  <si>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</si>
  <si>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</si>
  <si>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</si>
  <si>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</si>
  <si>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</si>
  <si>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</si>
  <si>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</si>
  <si>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</si>
  <si>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</si>
  <si>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</si>
  <si>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</si>
  <si>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</si>
  <si>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</si>
  <si>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</si>
  <si>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</si>
  <si>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</si>
  <si>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</si>
  <si>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</si>
  <si>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</si>
  <si>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</si>
  <si>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</si>
  <si>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</si>
  <si>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</si>
  <si>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</si>
  <si>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</si>
  <si>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</si>
  <si>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</si>
  <si>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</si>
  <si>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</si>
  <si>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</si>
  <si>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</si>
  <si>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</si>
  <si>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</si>
  <si>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</si>
  <si>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</si>
  <si>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</si>
  <si>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</si>
  <si>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</si>
  <si>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</si>
  <si>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</si>
  <si>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</si>
  <si>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</si>
  <si>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</si>
  <si>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</si>
  <si>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</si>
  <si>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</si>
  <si>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</si>
  <si>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</si>
  <si>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</si>
  <si>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</si>
  <si>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</si>
  <si>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</si>
  <si>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</si>
  <si>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</si>
  <si>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</si>
  <si>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</si>
  <si>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</si>
  <si>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</si>
  <si>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</si>
  <si>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</si>
  <si>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</si>
  <si>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</si>
  <si>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</si>
  <si>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</si>
  <si>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</si>
  <si>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</si>
  <si>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</si>
  <si>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</si>
  <si>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</si>
  <si>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</si>
  <si>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</si>
  <si>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</si>
  <si>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</si>
  <si>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</si>
  <si>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</si>
  <si>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</si>
  <si>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</si>
  <si>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</si>
  <si>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</si>
  <si>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</si>
  <si>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</si>
  <si>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</si>
  <si>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</si>
  <si>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</si>
  <si>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</si>
  <si>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</si>
  <si>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</si>
  <si>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</si>
  <si>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</si>
  <si>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</si>
  <si>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</si>
  <si>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</si>
  <si>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</si>
  <si>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</si>
  <si>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</si>
  <si>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</si>
  <si>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</si>
  <si>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</si>
  <si>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</si>
  <si>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</si>
  <si>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</si>
  <si>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</si>
  <si>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</si>
  <si>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</si>
  <si>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</si>
  <si>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</si>
  <si>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</si>
  <si>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</si>
  <si>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</si>
  <si>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</si>
  <si>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</si>
  <si>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</si>
  <si>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</si>
  <si>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</si>
  <si>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</si>
  <si>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</si>
  <si>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</si>
  <si>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</si>
  <si>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</si>
  <si>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</si>
  <si>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</si>
  <si>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</si>
  <si>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</si>
  <si>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</si>
  <si>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</si>
  <si>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</si>
  <si>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</si>
  <si>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</si>
  <si>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</si>
  <si>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</si>
  <si>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</si>
  <si>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</si>
  <si>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</si>
  <si>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</si>
  <si>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</si>
  <si>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</si>
  <si>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</si>
  <si>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</si>
  <si>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</si>
  <si>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</si>
  <si>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</si>
  <si>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</si>
  <si>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</si>
  <si>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</si>
  <si>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</si>
  <si>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</si>
  <si>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</si>
  <si>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</si>
  <si>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</si>
  <si>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</si>
  <si>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</si>
  <si>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</si>
  <si>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</si>
  <si>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</si>
  <si>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</si>
  <si>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</si>
  <si>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</si>
  <si>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</si>
  <si>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</si>
  <si>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</si>
  <si>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</si>
  <si>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</si>
  <si>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</si>
  <si>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</si>
  <si>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</si>
  <si>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</si>
  <si>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</si>
  <si>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</si>
  <si>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</si>
  <si>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</si>
  <si>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</si>
  <si>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</si>
  <si>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</si>
  <si>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</si>
  <si>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</si>
  <si>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</si>
  <si>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</si>
  <si>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</si>
  <si>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</si>
  <si>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</si>
  <si>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</si>
  <si>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</si>
  <si>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</si>
  <si>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</si>
  <si>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</si>
  <si>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</si>
  <si>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</si>
  <si>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</si>
  <si>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</si>
  <si>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</si>
  <si>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</si>
  <si>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</si>
  <si>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</si>
  <si>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</si>
  <si>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</si>
  <si>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</si>
  <si>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</si>
  <si>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</si>
  <si>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</si>
  <si>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</si>
  <si>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</si>
  <si>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</si>
  <si>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</si>
  <si>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</si>
  <si>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</si>
  <si>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</si>
  <si>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</si>
  <si>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</si>
  <si>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</si>
  <si>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</si>
  <si>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</si>
  <si>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</si>
  <si>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</si>
  <si>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</si>
  <si>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</si>
  <si>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</si>
  <si>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</si>
  <si>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</si>
  <si>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</si>
  <si>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</si>
  <si>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</si>
  <si>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</si>
  <si>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</si>
  <si>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</si>
  <si>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</si>
  <si>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</si>
  <si>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</si>
  <si>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</si>
  <si>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</si>
  <si>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</si>
  <si>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</si>
  <si>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</si>
  <si>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</si>
  <si>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</si>
  <si>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</si>
  <si>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</si>
  <si>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</si>
  <si>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[0.399501]</t>
  </si>
  <si>
    <t>1 [0.813283]</t>
  </si>
  <si>
    <t>1 [1.219247]</t>
  </si>
  <si>
    <t>1 [1.623146]</t>
  </si>
  <si>
    <t>1 [2.030200]</t>
  </si>
  <si>
    <t>1 [2.435041]</t>
  </si>
  <si>
    <t>1 [2.843980]</t>
  </si>
  <si>
    <t>1 [3.249720]</t>
  </si>
  <si>
    <t>1 [3.650876]</t>
  </si>
  <si>
    <t>1 [4.061619]</t>
  </si>
  <si>
    <t>1 [4.468574]</t>
  </si>
  <si>
    <t>1 [4.870423]</t>
  </si>
  <si>
    <t>1 [5.282408]</t>
  </si>
  <si>
    <t>1 [5.682360]</t>
  </si>
  <si>
    <t>1 [6.093178]</t>
  </si>
  <si>
    <t>1 [6.502045]</t>
  </si>
  <si>
    <t>1 [6.904978]</t>
  </si>
  <si>
    <t>1 [7.313416]</t>
  </si>
  <si>
    <t>1 [7.716903]</t>
  </si>
  <si>
    <t>1 [8.125770]</t>
  </si>
  <si>
    <t>1 [8.529597]</t>
  </si>
  <si>
    <t>1 [8.937529]</t>
  </si>
  <si>
    <t>1 [9.340434]</t>
  </si>
  <si>
    <t>1 [9.749554]</t>
  </si>
  <si>
    <t>1 [10.155289]</t>
  </si>
  <si>
    <t>1 [10.564288]</t>
  </si>
  <si>
    <t>1 [10.963766]</t>
  </si>
  <si>
    <t>1 [11.372026]</t>
  </si>
  <si>
    <t>1 [11.781007]</t>
  </si>
  <si>
    <t>1 [12.183905]</t>
  </si>
  <si>
    <t>1 [12.591783]</t>
  </si>
  <si>
    <t>1 [13.003653]</t>
  </si>
  <si>
    <t>1 [13.403633]</t>
  </si>
  <si>
    <t>1 [13.809619]</t>
  </si>
  <si>
    <t>1 [14.220386]</t>
  </si>
  <si>
    <t>1 [14.627311]</t>
  </si>
  <si>
    <t>1 [15.030023]</t>
  </si>
  <si>
    <t>1 [15.432416]</t>
  </si>
  <si>
    <t>1 [15.841367]</t>
  </si>
  <si>
    <t>1 [16.248960]</t>
  </si>
  <si>
    <t>1 [16.657906]</t>
  </si>
  <si>
    <t>1 [17.062792]</t>
  </si>
  <si>
    <t>1 [17.467021]</t>
  </si>
  <si>
    <t>1 [17.874882]</t>
  </si>
  <si>
    <t>1 [18.281650]</t>
  </si>
  <si>
    <t>1 [18.682725]</t>
  </si>
  <si>
    <t>1 [19.093348]</t>
  </si>
  <si>
    <t>1 [19.499442]</t>
  </si>
  <si>
    <t>1 [19.901190]</t>
  </si>
  <si>
    <t>1 [20.311113]</t>
  </si>
  <si>
    <t>1 [20.719145]</t>
  </si>
  <si>
    <t>1 [21.122971]</t>
  </si>
  <si>
    <t>1 [21.530933]</t>
  </si>
  <si>
    <t>1 [21.934062]</t>
  </si>
  <si>
    <t>1 [22.337903]</t>
  </si>
  <si>
    <t>1 [22.750836]</t>
  </si>
  <si>
    <t>1 [23.155057]</t>
  </si>
  <si>
    <t>1 [23.559440]</t>
  </si>
  <si>
    <t>1 [23.963076]</t>
  </si>
  <si>
    <t>1 [24.369879]</t>
  </si>
  <si>
    <t>1 [24.782382]</t>
  </si>
  <si>
    <t>1 [25.186131]</t>
  </si>
  <si>
    <t>1 [25.589100]</t>
  </si>
  <si>
    <t>1 [25.995935]</t>
  </si>
  <si>
    <t>1 [26.406855]</t>
  </si>
  <si>
    <t>1 [26.808522]</t>
  </si>
  <si>
    <t>1 [27.216962]</t>
  </si>
  <si>
    <t>1 [27.619618]</t>
  </si>
  <si>
    <t>1 [28.029476]</t>
  </si>
  <si>
    <t>1 [28.435457]</t>
  </si>
  <si>
    <t>1 [28.844619]</t>
  </si>
  <si>
    <t>1 [29.251167]</t>
  </si>
  <si>
    <t>1 [29.659273]</t>
  </si>
  <si>
    <t>2 [30.251876]</t>
  </si>
  <si>
    <t>2 [30.627525]</t>
  </si>
  <si>
    <t>2 [31.000187]</t>
  </si>
  <si>
    <t>2 [31.374878]</t>
  </si>
  <si>
    <t>2 [31.749802]</t>
  </si>
  <si>
    <t>2 [32.137500]</t>
  </si>
  <si>
    <t>2 [32.546575]</t>
  </si>
  <si>
    <t>2 [32.953351]</t>
  </si>
  <si>
    <t>2 [33.362211]</t>
  </si>
  <si>
    <t>2 [33.764246]</t>
  </si>
  <si>
    <t>2 [34.171076]</t>
  </si>
  <si>
    <t>2 [34.575134]</t>
  </si>
  <si>
    <t>2 [34.986931]</t>
  </si>
  <si>
    <t>2 [35.390010]</t>
  </si>
  <si>
    <t>2 [35.794730]</t>
  </si>
  <si>
    <t>2 [36.200036]</t>
  </si>
  <si>
    <t>2 [36.607707]</t>
  </si>
  <si>
    <t>2 [37.017579]</t>
  </si>
  <si>
    <t>2 [37.419496]</t>
  </si>
  <si>
    <t>2 [37.827242]</t>
  </si>
  <si>
    <t>2 [38.231213]</t>
  </si>
  <si>
    <t>2 [38.639238]</t>
  </si>
  <si>
    <t>2 [39.049020]</t>
  </si>
  <si>
    <t>2 [39.454295]</t>
  </si>
  <si>
    <t>2 [39.860850]</t>
  </si>
  <si>
    <t>2 [40.263731]</t>
  </si>
  <si>
    <t>2 [40.671915]</t>
  </si>
  <si>
    <t>2 [41.074803]</t>
  </si>
  <si>
    <t>2 [41.485494]</t>
  </si>
  <si>
    <t>2 [41.891390]</t>
  </si>
  <si>
    <t>2 [42.294508]</t>
  </si>
  <si>
    <t>2 [42.698273]</t>
  </si>
  <si>
    <t>2 [43.107301]</t>
  </si>
  <si>
    <t>2 [43.516317]</t>
  </si>
  <si>
    <t>2 [43.920055]</t>
  </si>
  <si>
    <t>2 [44.324935]</t>
  </si>
  <si>
    <t>2 [44.731898]</t>
  </si>
  <si>
    <t>2 [45.136043]</t>
  </si>
  <si>
    <t>2 [45.547661]</t>
  </si>
  <si>
    <t>2 [45.951583]</t>
  </si>
  <si>
    <t>2 [46.360471]</t>
  </si>
  <si>
    <t>2 [46.762389]</t>
  </si>
  <si>
    <t>2 [47.170445]</t>
  </si>
  <si>
    <t>2 [47.573040]</t>
  </si>
  <si>
    <t>2 [47.984333]</t>
  </si>
  <si>
    <t>2 [48.390037]</t>
  </si>
  <si>
    <t>2 [48.795015]</t>
  </si>
  <si>
    <t>2 [49.201285]</t>
  </si>
  <si>
    <t>2 [49.606846]</t>
  </si>
  <si>
    <t>2 [50.014759]</t>
  </si>
  <si>
    <t>2 [50.418675]</t>
  </si>
  <si>
    <t>2 [50.827551]</t>
  </si>
  <si>
    <t>2 [51.234517]</t>
  </si>
  <si>
    <t>2 [51.637421]</t>
  </si>
  <si>
    <t>2 [52.041279]</t>
  </si>
  <si>
    <t>2 [52.448405]</t>
  </si>
  <si>
    <t>2 [52.856207]</t>
  </si>
  <si>
    <t>2 [53.266257]</t>
  </si>
  <si>
    <t>2 [53.668975]</t>
  </si>
  <si>
    <t>2 [54.074018]</t>
  </si>
  <si>
    <t>2 [54.483928]</t>
  </si>
  <si>
    <t>2 [54.890734]</t>
  </si>
  <si>
    <t>2 [55.292341]</t>
  </si>
  <si>
    <t>2 [55.699776]</t>
  </si>
  <si>
    <t>2 [56.107534]</t>
  </si>
  <si>
    <t>2 [56.512606]</t>
  </si>
  <si>
    <t>2 [56.921270]</t>
  </si>
  <si>
    <t>2 [57.326362]</t>
  </si>
  <si>
    <t>2 [57.730863]</t>
  </si>
  <si>
    <t>2 [58.137987]</t>
  </si>
  <si>
    <t>2 [58.545339]</t>
  </si>
  <si>
    <t>2 [58.947951]</t>
  </si>
  <si>
    <t>2 [59.358708]</t>
  </si>
  <si>
    <t>2 [59.762698]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</si>
  <si>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</si>
  <si>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</si>
  <si>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</si>
  <si>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</si>
  <si>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</si>
  <si>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</si>
  <si>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</si>
  <si>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</si>
  <si>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</si>
  <si>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</si>
  <si>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</si>
  <si>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</si>
  <si>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</si>
  <si>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薛浩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</si>
</sst>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34.341900000000003</c:v>
                </c:pt>
                <c:pt idx="1">
                  <c:v>25.342400000000001</c:v>
                </c:pt>
                <c:pt idx="2">
                  <c:v>23.811199999999999</c:v>
                </c:pt>
                <c:pt idx="3">
                  <c:v>29.0062</c:v>
                </c:pt>
                <c:pt idx="4">
                  <c:v>60.419199999999996</c:v>
                </c:pt>
                <c:pt idx="5">
                  <c:v>79.739199999999997</c:v>
                </c:pt>
                <c:pt idx="6">
                  <c:v>15.9495</c:v>
                </c:pt>
                <c:pt idx="7">
                  <c:v>71.023700000000005</c:v>
                </c:pt>
                <c:pt idx="8">
                  <c:v>16.6889</c:v>
                </c:pt>
                <c:pt idx="9">
                  <c:v>42.597200000000001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0.49569810925447205</c:v>
                </c:pt>
                <c:pt idx="1">
                  <c:v>0.2455267341836796</c:v>
                </c:pt>
                <c:pt idx="2">
                  <c:v>0.25877515656184835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5211</c:v>
                </c:pt>
                <c:pt idx="7">
                  <c:v>0</c:v>
                </c:pt>
                <c:pt idx="8">
                  <c:v>7532</c:v>
                </c:pt>
                <c:pt idx="9">
                  <c:v>0</c:v>
                </c:pt>
                <c:pt idx="10">
                  <c:v>0</c:v>
                </c:pt>
                <c:pt idx="11">
                  <c:v>14192</c:v>
                </c:pt>
                <c:pt idx="12">
                  <c:v>0</c:v>
                </c:pt>
                <c:pt idx="13">
                  <c:v>28988</c:v>
                </c:pt>
                <c:pt idx="14">
                  <c:v>0</c:v>
                </c:pt>
                <c:pt idx="15">
                  <c:v>0</c:v>
                </c:pt>
                <c:pt idx="16">
                  <c:v>51054</c:v>
                </c:pt>
                <c:pt idx="17">
                  <c:v>0</c:v>
                </c:pt>
                <c:pt idx="18">
                  <c:v>0</c:v>
                </c:pt>
                <c:pt idx="19">
                  <c:v>61707</c:v>
                </c:pt>
                <c:pt idx="20">
                  <c:v>0</c:v>
                </c:pt>
                <c:pt idx="21">
                  <c:v>76854</c:v>
                </c:pt>
                <c:pt idx="22">
                  <c:v>0</c:v>
                </c:pt>
                <c:pt idx="23">
                  <c:v>0</c:v>
                </c:pt>
                <c:pt idx="24">
                  <c:v>71589</c:v>
                </c:pt>
                <c:pt idx="25">
                  <c:v>0</c:v>
                </c:pt>
                <c:pt idx="26">
                  <c:v>73264</c:v>
                </c:pt>
                <c:pt idx="27">
                  <c:v>0</c:v>
                </c:pt>
                <c:pt idx="28">
                  <c:v>0</c:v>
                </c:pt>
                <c:pt idx="29">
                  <c:v>70250</c:v>
                </c:pt>
                <c:pt idx="30">
                  <c:v>0</c:v>
                </c:pt>
                <c:pt idx="31">
                  <c:v>75644</c:v>
                </c:pt>
                <c:pt idx="32">
                  <c:v>0</c:v>
                </c:pt>
                <c:pt idx="33">
                  <c:v>0</c:v>
                </c:pt>
                <c:pt idx="34">
                  <c:v>81246</c:v>
                </c:pt>
                <c:pt idx="35">
                  <c:v>0</c:v>
                </c:pt>
                <c:pt idx="36">
                  <c:v>0</c:v>
                </c:pt>
                <c:pt idx="37">
                  <c:v>92825</c:v>
                </c:pt>
                <c:pt idx="38">
                  <c:v>0</c:v>
                </c:pt>
                <c:pt idx="39">
                  <c:v>91203</c:v>
                </c:pt>
                <c:pt idx="40">
                  <c:v>0</c:v>
                </c:pt>
                <c:pt idx="41">
                  <c:v>0</c:v>
                </c:pt>
                <c:pt idx="42">
                  <c:v>99302</c:v>
                </c:pt>
                <c:pt idx="43">
                  <c:v>0</c:v>
                </c:pt>
                <c:pt idx="44">
                  <c:v>115157</c:v>
                </c:pt>
                <c:pt idx="45">
                  <c:v>0</c:v>
                </c:pt>
                <c:pt idx="46">
                  <c:v>0</c:v>
                </c:pt>
                <c:pt idx="47">
                  <c:v>133935</c:v>
                </c:pt>
                <c:pt idx="48">
                  <c:v>0</c:v>
                </c:pt>
                <c:pt idx="49">
                  <c:v>143590</c:v>
                </c:pt>
                <c:pt idx="50">
                  <c:v>0</c:v>
                </c:pt>
                <c:pt idx="51">
                  <c:v>0</c:v>
                </c:pt>
                <c:pt idx="52">
                  <c:v>138366</c:v>
                </c:pt>
                <c:pt idx="53">
                  <c:v>0</c:v>
                </c:pt>
                <c:pt idx="54">
                  <c:v>0</c:v>
                </c:pt>
                <c:pt idx="55">
                  <c:v>167171</c:v>
                </c:pt>
                <c:pt idx="56">
                  <c:v>0</c:v>
                </c:pt>
                <c:pt idx="57">
                  <c:v>177545</c:v>
                </c:pt>
                <c:pt idx="58">
                  <c:v>0</c:v>
                </c:pt>
                <c:pt idx="59">
                  <c:v>0</c:v>
                </c:pt>
                <c:pt idx="60">
                  <c:v>173969</c:v>
                </c:pt>
                <c:pt idx="61">
                  <c:v>0</c:v>
                </c:pt>
                <c:pt idx="62">
                  <c:v>177207</c:v>
                </c:pt>
                <c:pt idx="63">
                  <c:v>0</c:v>
                </c:pt>
                <c:pt idx="64">
                  <c:v>0</c:v>
                </c:pt>
                <c:pt idx="65">
                  <c:v>177935</c:v>
                </c:pt>
                <c:pt idx="66">
                  <c:v>0</c:v>
                </c:pt>
                <c:pt idx="67">
                  <c:v>156553</c:v>
                </c:pt>
                <c:pt idx="68">
                  <c:v>0</c:v>
                </c:pt>
                <c:pt idx="69">
                  <c:v>0</c:v>
                </c:pt>
                <c:pt idx="70">
                  <c:v>163032</c:v>
                </c:pt>
                <c:pt idx="71">
                  <c:v>0</c:v>
                </c:pt>
                <c:pt idx="72">
                  <c:v>0</c:v>
                </c:pt>
                <c:pt idx="73">
                  <c:v>153620</c:v>
                </c:pt>
                <c:pt idx="74">
                  <c:v>0</c:v>
                </c:pt>
                <c:pt idx="75">
                  <c:v>140441</c:v>
                </c:pt>
                <c:pt idx="76">
                  <c:v>0</c:v>
                </c:pt>
                <c:pt idx="77">
                  <c:v>0</c:v>
                </c:pt>
                <c:pt idx="78">
                  <c:v>130531</c:v>
                </c:pt>
                <c:pt idx="79">
                  <c:v>0</c:v>
                </c:pt>
                <c:pt idx="80">
                  <c:v>132210</c:v>
                </c:pt>
                <c:pt idx="81">
                  <c:v>0</c:v>
                </c:pt>
                <c:pt idx="82">
                  <c:v>0</c:v>
                </c:pt>
                <c:pt idx="83">
                  <c:v>121443</c:v>
                </c:pt>
                <c:pt idx="84">
                  <c:v>0</c:v>
                </c:pt>
                <c:pt idx="85">
                  <c:v>0</c:v>
                </c:pt>
                <c:pt idx="86">
                  <c:v>110756</c:v>
                </c:pt>
                <c:pt idx="87">
                  <c:v>0</c:v>
                </c:pt>
                <c:pt idx="88">
                  <c:v>111508</c:v>
                </c:pt>
                <c:pt idx="89">
                  <c:v>0</c:v>
                </c:pt>
                <c:pt idx="90">
                  <c:v>0</c:v>
                </c:pt>
                <c:pt idx="91">
                  <c:v>103109</c:v>
                </c:pt>
                <c:pt idx="92">
                  <c:v>0</c:v>
                </c:pt>
                <c:pt idx="93">
                  <c:v>103489</c:v>
                </c:pt>
                <c:pt idx="94">
                  <c:v>0</c:v>
                </c:pt>
                <c:pt idx="95">
                  <c:v>0</c:v>
                </c:pt>
                <c:pt idx="96">
                  <c:v>88973</c:v>
                </c:pt>
                <c:pt idx="97">
                  <c:v>0</c:v>
                </c:pt>
                <c:pt idx="98">
                  <c:v>75719</c:v>
                </c:pt>
                <c:pt idx="99">
                  <c:v>0</c:v>
                </c:pt>
                <c:pt idx="100">
                  <c:v>0</c:v>
                </c:pt>
                <c:pt idx="101">
                  <c:v>73565</c:v>
                </c:pt>
                <c:pt idx="102">
                  <c:v>0</c:v>
                </c:pt>
                <c:pt idx="103">
                  <c:v>0</c:v>
                </c:pt>
                <c:pt idx="104">
                  <c:v>58528</c:v>
                </c:pt>
                <c:pt idx="105">
                  <c:v>0</c:v>
                </c:pt>
                <c:pt idx="106">
                  <c:v>48470</c:v>
                </c:pt>
                <c:pt idx="107">
                  <c:v>0</c:v>
                </c:pt>
                <c:pt idx="108">
                  <c:v>0</c:v>
                </c:pt>
                <c:pt idx="109">
                  <c:v>51151</c:v>
                </c:pt>
                <c:pt idx="110">
                  <c:v>0</c:v>
                </c:pt>
                <c:pt idx="111">
                  <c:v>46648</c:v>
                </c:pt>
                <c:pt idx="112">
                  <c:v>0</c:v>
                </c:pt>
                <c:pt idx="113">
                  <c:v>0</c:v>
                </c:pt>
                <c:pt idx="114">
                  <c:v>36940</c:v>
                </c:pt>
                <c:pt idx="115">
                  <c:v>0</c:v>
                </c:pt>
                <c:pt idx="116">
                  <c:v>36370</c:v>
                </c:pt>
                <c:pt idx="117">
                  <c:v>0</c:v>
                </c:pt>
                <c:pt idx="118">
                  <c:v>0</c:v>
                </c:pt>
                <c:pt idx="119">
                  <c:v>31397</c:v>
                </c:pt>
                <c:pt idx="120">
                  <c:v>0</c:v>
                </c:pt>
                <c:pt idx="121">
                  <c:v>0</c:v>
                </c:pt>
                <c:pt idx="122">
                  <c:v>28666</c:v>
                </c:pt>
                <c:pt idx="123">
                  <c:v>0</c:v>
                </c:pt>
                <c:pt idx="124">
                  <c:v>23737</c:v>
                </c:pt>
                <c:pt idx="125">
                  <c:v>0</c:v>
                </c:pt>
                <c:pt idx="126">
                  <c:v>0</c:v>
                </c:pt>
                <c:pt idx="127">
                  <c:v>23270</c:v>
                </c:pt>
                <c:pt idx="128">
                  <c:v>0</c:v>
                </c:pt>
                <c:pt idx="129">
                  <c:v>20860</c:v>
                </c:pt>
                <c:pt idx="130">
                  <c:v>0</c:v>
                </c:pt>
                <c:pt idx="131">
                  <c:v>0</c:v>
                </c:pt>
                <c:pt idx="132">
                  <c:v>19101</c:v>
                </c:pt>
                <c:pt idx="133">
                  <c:v>0</c:v>
                </c:pt>
                <c:pt idx="134">
                  <c:v>16859</c:v>
                </c:pt>
                <c:pt idx="135">
                  <c:v>0</c:v>
                </c:pt>
                <c:pt idx="136">
                  <c:v>0</c:v>
                </c:pt>
                <c:pt idx="137">
                  <c:v>13962</c:v>
                </c:pt>
                <c:pt idx="138">
                  <c:v>0</c:v>
                </c:pt>
                <c:pt idx="139">
                  <c:v>0</c:v>
                </c:pt>
                <c:pt idx="140">
                  <c:v>10844</c:v>
                </c:pt>
                <c:pt idx="141">
                  <c:v>0</c:v>
                </c:pt>
                <c:pt idx="142">
                  <c:v>8911</c:v>
                </c:pt>
                <c:pt idx="143">
                  <c:v>0</c:v>
                </c:pt>
                <c:pt idx="144">
                  <c:v>0</c:v>
                </c:pt>
                <c:pt idx="145">
                  <c:v>7441</c:v>
                </c:pt>
                <c:pt idx="146">
                  <c:v>0</c:v>
                </c:pt>
                <c:pt idx="147">
                  <c:v>6032</c:v>
                </c:pt>
                <c:pt idx="148">
                  <c:v>0</c:v>
                </c:pt>
                <c:pt idx="149">
                  <c:v>0</c:v>
                </c:pt>
                <c:pt idx="150">
                  <c:v>5526</c:v>
                </c:pt>
                <c:pt idx="151">
                  <c:v>0</c:v>
                </c:pt>
                <c:pt idx="152">
                  <c:v>6227</c:v>
                </c:pt>
                <c:pt idx="153">
                  <c:v>0</c:v>
                </c:pt>
                <c:pt idx="154">
                  <c:v>0</c:v>
                </c:pt>
                <c:pt idx="155">
                  <c:v>6944</c:v>
                </c:pt>
                <c:pt idx="156">
                  <c:v>0</c:v>
                </c:pt>
                <c:pt idx="157">
                  <c:v>0</c:v>
                </c:pt>
                <c:pt idx="158">
                  <c:v>9517</c:v>
                </c:pt>
                <c:pt idx="159">
                  <c:v>0</c:v>
                </c:pt>
                <c:pt idx="160">
                  <c:v>8337</c:v>
                </c:pt>
                <c:pt idx="161">
                  <c:v>0</c:v>
                </c:pt>
                <c:pt idx="162">
                  <c:v>0</c:v>
                </c:pt>
                <c:pt idx="163">
                  <c:v>6197</c:v>
                </c:pt>
                <c:pt idx="164">
                  <c:v>0</c:v>
                </c:pt>
                <c:pt idx="165">
                  <c:v>5045</c:v>
                </c:pt>
                <c:pt idx="166">
                  <c:v>0</c:v>
                </c:pt>
                <c:pt idx="167">
                  <c:v>0</c:v>
                </c:pt>
                <c:pt idx="168">
                  <c:v>2831</c:v>
                </c:pt>
                <c:pt idx="169">
                  <c:v>0</c:v>
                </c:pt>
                <c:pt idx="170">
                  <c:v>0</c:v>
                </c:pt>
                <c:pt idx="171">
                  <c:v>1360</c:v>
                </c:pt>
                <c:pt idx="172">
                  <c:v>0</c:v>
                </c:pt>
                <c:pt idx="173">
                  <c:v>708</c:v>
                </c:pt>
                <c:pt idx="174">
                  <c:v>0</c:v>
                </c:pt>
                <c:pt idx="175">
                  <c:v>0</c:v>
                </c:pt>
                <c:pt idx="176">
                  <c:v>386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2.1335899999999999</c:v>
                </c:pt>
                <c:pt idx="1">
                  <c:v>2.2002099999999998</c:v>
                </c:pt>
                <c:pt idx="2">
                  <c:v>2.2634000000000003</c:v>
                </c:pt>
                <c:pt idx="3">
                  <c:v>2.3230999999999997</c:v>
                </c:pt>
                <c:pt idx="4">
                  <c:v>2.37914</c:v>
                </c:pt>
                <c:pt idx="5">
                  <c:v>2.4330400000000001</c:v>
                </c:pt>
                <c:pt idx="6">
                  <c:v>2.48447</c:v>
                </c:pt>
                <c:pt idx="7">
                  <c:v>2.5342099999999999</c:v>
                </c:pt>
                <c:pt idx="8">
                  <c:v>2.58168</c:v>
                </c:pt>
                <c:pt idx="9">
                  <c:v>2.6266099999999999</c:v>
                </c:pt>
                <c:pt idx="10">
                  <c:v>2.6699800000000002</c:v>
                </c:pt>
                <c:pt idx="11">
                  <c:v>2.7117200000000001</c:v>
                </c:pt>
                <c:pt idx="12">
                  <c:v>2.7518700000000003</c:v>
                </c:pt>
                <c:pt idx="13">
                  <c:v>2.7904900000000001</c:v>
                </c:pt>
                <c:pt idx="14">
                  <c:v>2.8279999999999998</c:v>
                </c:pt>
                <c:pt idx="15">
                  <c:v>2.8635000000000002</c:v>
                </c:pt>
                <c:pt idx="16">
                  <c:v>2.8931400000000003</c:v>
                </c:pt>
                <c:pt idx="17">
                  <c:v>2.91248</c:v>
                </c:pt>
                <c:pt idx="18">
                  <c:v>2.9266100000000002</c:v>
                </c:pt>
                <c:pt idx="19">
                  <c:v>2.9403299999999999</c:v>
                </c:pt>
                <c:pt idx="20">
                  <c:v>2.9507400000000001</c:v>
                </c:pt>
                <c:pt idx="21">
                  <c:v>2.9597199999999999</c:v>
                </c:pt>
                <c:pt idx="22">
                  <c:v>2.9681999999999995</c:v>
                </c:pt>
                <c:pt idx="23">
                  <c:v>2.9754100000000001</c:v>
                </c:pt>
                <c:pt idx="24">
                  <c:v>2.9805700000000002</c:v>
                </c:pt>
                <c:pt idx="25">
                  <c:v>2.9848599999999998</c:v>
                </c:pt>
                <c:pt idx="26">
                  <c:v>2.9862799999999998</c:v>
                </c:pt>
                <c:pt idx="27">
                  <c:v>2.9847000000000001</c:v>
                </c:pt>
                <c:pt idx="28">
                  <c:v>2.9787000000000003</c:v>
                </c:pt>
                <c:pt idx="29">
                  <c:v>2.9711100000000004</c:v>
                </c:pt>
                <c:pt idx="30">
                  <c:v>2.96041</c:v>
                </c:pt>
                <c:pt idx="31">
                  <c:v>2.9470299999999998</c:v>
                </c:pt>
                <c:pt idx="32">
                  <c:v>2.93221</c:v>
                </c:pt>
                <c:pt idx="33">
                  <c:v>2.91629</c:v>
                </c:pt>
                <c:pt idx="34">
                  <c:v>2.8992200000000001</c:v>
                </c:pt>
                <c:pt idx="35">
                  <c:v>2.8805900000000002</c:v>
                </c:pt>
                <c:pt idx="36">
                  <c:v>2.8607800000000001</c:v>
                </c:pt>
                <c:pt idx="37">
                  <c:v>2.84</c:v>
                </c:pt>
                <c:pt idx="38">
                  <c:v>2.8156999999999996</c:v>
                </c:pt>
                <c:pt idx="39">
                  <c:v>2.7877299999999998</c:v>
                </c:pt>
                <c:pt idx="40">
                  <c:v>2.7572700000000001</c:v>
                </c:pt>
                <c:pt idx="41">
                  <c:v>2.7269500000000004</c:v>
                </c:pt>
                <c:pt idx="42">
                  <c:v>2.6977699999999998</c:v>
                </c:pt>
                <c:pt idx="43">
                  <c:v>2.6698499999999998</c:v>
                </c:pt>
                <c:pt idx="44">
                  <c:v>2.6415499999999996</c:v>
                </c:pt>
                <c:pt idx="45">
                  <c:v>2.6155299999999997</c:v>
                </c:pt>
                <c:pt idx="46">
                  <c:v>2.59015</c:v>
                </c:pt>
                <c:pt idx="47">
                  <c:v>2.5649600000000001</c:v>
                </c:pt>
                <c:pt idx="48">
                  <c:v>2.53952</c:v>
                </c:pt>
                <c:pt idx="49">
                  <c:v>2.5140000000000002</c:v>
                </c:pt>
                <c:pt idx="50">
                  <c:v>2.4910700000000001</c:v>
                </c:pt>
                <c:pt idx="51">
                  <c:v>2.4690300000000001</c:v>
                </c:pt>
                <c:pt idx="52">
                  <c:v>2.4510800000000001</c:v>
                </c:pt>
                <c:pt idx="53">
                  <c:v>2.4414899999999999</c:v>
                </c:pt>
                <c:pt idx="54">
                  <c:v>2.4346899999999998</c:v>
                </c:pt>
                <c:pt idx="55">
                  <c:v>2.43032</c:v>
                </c:pt>
                <c:pt idx="56">
                  <c:v>2.4315899999999999</c:v>
                </c:pt>
                <c:pt idx="57">
                  <c:v>2.42754</c:v>
                </c:pt>
                <c:pt idx="58">
                  <c:v>2.4295400000000003</c:v>
                </c:pt>
                <c:pt idx="59">
                  <c:v>2.4335899999999997</c:v>
                </c:pt>
                <c:pt idx="60">
                  <c:v>2.4413199999999997</c:v>
                </c:pt>
                <c:pt idx="61">
                  <c:v>2.4569000000000001</c:v>
                </c:pt>
                <c:pt idx="62">
                  <c:v>2.4602499999999998</c:v>
                </c:pt>
                <c:pt idx="63">
                  <c:v>2.47322</c:v>
                </c:pt>
                <c:pt idx="64">
                  <c:v>2.48766</c:v>
                </c:pt>
                <c:pt idx="65">
                  <c:v>2.50922</c:v>
                </c:pt>
                <c:pt idx="66">
                  <c:v>2.52142</c:v>
                </c:pt>
                <c:pt idx="67">
                  <c:v>2.5476900000000002</c:v>
                </c:pt>
                <c:pt idx="68">
                  <c:v>2.5695099999999997</c:v>
                </c:pt>
                <c:pt idx="69">
                  <c:v>2.5920399999999999</c:v>
                </c:pt>
                <c:pt idx="70">
                  <c:v>2.61511</c:v>
                </c:pt>
                <c:pt idx="71">
                  <c:v>2.63801</c:v>
                </c:pt>
                <c:pt idx="72">
                  <c:v>2.6557599999999999</c:v>
                </c:pt>
                <c:pt idx="73">
                  <c:v>2.6834200000000004</c:v>
                </c:pt>
                <c:pt idx="74">
                  <c:v>2.7056799999999996</c:v>
                </c:pt>
                <c:pt idx="75">
                  <c:v>2.7263999999999999</c:v>
                </c:pt>
                <c:pt idx="76">
                  <c:v>2.7465099999999998</c:v>
                </c:pt>
                <c:pt idx="77">
                  <c:v>2.7652999999999999</c:v>
                </c:pt>
                <c:pt idx="78">
                  <c:v>2.7837200000000002</c:v>
                </c:pt>
                <c:pt idx="79">
                  <c:v>2.8019600000000002</c:v>
                </c:pt>
                <c:pt idx="80">
                  <c:v>2.8193400000000004</c:v>
                </c:pt>
                <c:pt idx="81">
                  <c:v>2.83521</c:v>
                </c:pt>
                <c:pt idx="82">
                  <c:v>2.8470800000000001</c:v>
                </c:pt>
                <c:pt idx="83">
                  <c:v>2.8574600000000001</c:v>
                </c:pt>
                <c:pt idx="84">
                  <c:v>2.8683900000000002</c:v>
                </c:pt>
                <c:pt idx="85">
                  <c:v>2.8786699999999996</c:v>
                </c:pt>
                <c:pt idx="86">
                  <c:v>2.8890900000000004</c:v>
                </c:pt>
                <c:pt idx="87">
                  <c:v>2.8995300000000004</c:v>
                </c:pt>
                <c:pt idx="88">
                  <c:v>2.9104799999999997</c:v>
                </c:pt>
                <c:pt idx="89">
                  <c:v>2.9224499999999995</c:v>
                </c:pt>
                <c:pt idx="90">
                  <c:v>2.9348200000000002</c:v>
                </c:pt>
                <c:pt idx="91">
                  <c:v>2.9455499999999999</c:v>
                </c:pt>
                <c:pt idx="92">
                  <c:v>2.9543699999999999</c:v>
                </c:pt>
                <c:pt idx="93">
                  <c:v>2.9612600000000002</c:v>
                </c:pt>
                <c:pt idx="94">
                  <c:v>2.9651000000000001</c:v>
                </c:pt>
                <c:pt idx="95">
                  <c:v>2.96469</c:v>
                </c:pt>
                <c:pt idx="96">
                  <c:v>2.9608800000000004</c:v>
                </c:pt>
                <c:pt idx="97">
                  <c:v>2.9537400000000003</c:v>
                </c:pt>
                <c:pt idx="98">
                  <c:v>2.9465500000000002</c:v>
                </c:pt>
                <c:pt idx="99">
                  <c:v>2.93811</c:v>
                </c:pt>
                <c:pt idx="100">
                  <c:v>2.9231600000000002</c:v>
                </c:pt>
                <c:pt idx="101">
                  <c:v>2.9078200000000001</c:v>
                </c:pt>
                <c:pt idx="102">
                  <c:v>2.8917799999999998</c:v>
                </c:pt>
                <c:pt idx="103">
                  <c:v>2.87486</c:v>
                </c:pt>
                <c:pt idx="104">
                  <c:v>2.8588999999999998</c:v>
                </c:pt>
                <c:pt idx="105">
                  <c:v>2.8436899999999996</c:v>
                </c:pt>
                <c:pt idx="106">
                  <c:v>2.8307799999999999</c:v>
                </c:pt>
                <c:pt idx="107">
                  <c:v>2.8176399999999999</c:v>
                </c:pt>
                <c:pt idx="108">
                  <c:v>2.80518</c:v>
                </c:pt>
                <c:pt idx="109">
                  <c:v>2.7898299999999998</c:v>
                </c:pt>
                <c:pt idx="110">
                  <c:v>2.7726600000000001</c:v>
                </c:pt>
                <c:pt idx="111">
                  <c:v>2.7539799999999999</c:v>
                </c:pt>
                <c:pt idx="112">
                  <c:v>2.73353</c:v>
                </c:pt>
                <c:pt idx="113">
                  <c:v>2.7099000000000002</c:v>
                </c:pt>
                <c:pt idx="114">
                  <c:v>2.6846900000000002</c:v>
                </c:pt>
                <c:pt idx="115">
                  <c:v>2.6585100000000002</c:v>
                </c:pt>
                <c:pt idx="116">
                  <c:v>2.63334</c:v>
                </c:pt>
                <c:pt idx="117">
                  <c:v>2.6060100000000004</c:v>
                </c:pt>
                <c:pt idx="118">
                  <c:v>2.5804899999999997</c:v>
                </c:pt>
                <c:pt idx="119">
                  <c:v>2.5611699999999997</c:v>
                </c:pt>
                <c:pt idx="120">
                  <c:v>2.5453799999999998</c:v>
                </c:pt>
                <c:pt idx="121">
                  <c:v>2.5335800000000002</c:v>
                </c:pt>
                <c:pt idx="122">
                  <c:v>2.5242800000000001</c:v>
                </c:pt>
                <c:pt idx="123">
                  <c:v>2.5160999999999998</c:v>
                </c:pt>
                <c:pt idx="124">
                  <c:v>2.5119399999999996</c:v>
                </c:pt>
                <c:pt idx="125">
                  <c:v>2.5118</c:v>
                </c:pt>
                <c:pt idx="126">
                  <c:v>2.5110000000000001</c:v>
                </c:pt>
                <c:pt idx="127">
                  <c:v>2.5099500000000003</c:v>
                </c:pt>
                <c:pt idx="128">
                  <c:v>2.5073299999999996</c:v>
                </c:pt>
                <c:pt idx="129">
                  <c:v>2.5020500000000001</c:v>
                </c:pt>
                <c:pt idx="130">
                  <c:v>2.4951400000000001</c:v>
                </c:pt>
                <c:pt idx="131">
                  <c:v>2.4860600000000002</c:v>
                </c:pt>
                <c:pt idx="132">
                  <c:v>2.4776699999999998</c:v>
                </c:pt>
                <c:pt idx="133">
                  <c:v>2.4676200000000001</c:v>
                </c:pt>
                <c:pt idx="134">
                  <c:v>2.4559600000000001</c:v>
                </c:pt>
                <c:pt idx="135">
                  <c:v>2.4442699999999999</c:v>
                </c:pt>
                <c:pt idx="136">
                  <c:v>2.43241</c:v>
                </c:pt>
                <c:pt idx="137">
                  <c:v>2.4203199999999998</c:v>
                </c:pt>
                <c:pt idx="138">
                  <c:v>2.41221</c:v>
                </c:pt>
                <c:pt idx="139">
                  <c:v>2.4047800000000001</c:v>
                </c:pt>
                <c:pt idx="140">
                  <c:v>2.39676</c:v>
                </c:pt>
                <c:pt idx="141">
                  <c:v>2.3917199999999998</c:v>
                </c:pt>
                <c:pt idx="142">
                  <c:v>2.4020199999999998</c:v>
                </c:pt>
                <c:pt idx="143">
                  <c:v>2.4198300000000001</c:v>
                </c:pt>
                <c:pt idx="144">
                  <c:v>2.4249100000000001</c:v>
                </c:pt>
                <c:pt idx="145">
                  <c:v>2.43058</c:v>
                </c:pt>
                <c:pt idx="146">
                  <c:v>2.4186000000000001</c:v>
                </c:pt>
                <c:pt idx="147">
                  <c:v>2.3929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57.410399999999996</c:v>
                </c:pt>
                <c:pt idx="1">
                  <c:v>56.966300000000004</c:v>
                </c:pt>
                <c:pt idx="2">
                  <c:v>56.535599999999995</c:v>
                </c:pt>
                <c:pt idx="3">
                  <c:v>56.100499999999997</c:v>
                </c:pt>
                <c:pt idx="4">
                  <c:v>55.6554</c:v>
                </c:pt>
                <c:pt idx="5">
                  <c:v>55.116699999999994</c:v>
                </c:pt>
                <c:pt idx="6">
                  <c:v>54.555699999999995</c:v>
                </c:pt>
                <c:pt idx="7">
                  <c:v>53.899600000000007</c:v>
                </c:pt>
                <c:pt idx="8">
                  <c:v>53.327300000000001</c:v>
                </c:pt>
                <c:pt idx="9">
                  <c:v>52.822899999999997</c:v>
                </c:pt>
                <c:pt idx="10">
                  <c:v>52.376500000000007</c:v>
                </c:pt>
                <c:pt idx="11">
                  <c:v>51.975000000000001</c:v>
                </c:pt>
                <c:pt idx="12">
                  <c:v>51.613799999999998</c:v>
                </c:pt>
                <c:pt idx="13">
                  <c:v>51.198600000000006</c:v>
                </c:pt>
                <c:pt idx="14">
                  <c:v>50.716000000000008</c:v>
                </c:pt>
                <c:pt idx="15">
                  <c:v>50.2196</c:v>
                </c:pt>
                <c:pt idx="16">
                  <c:v>49.710300000000004</c:v>
                </c:pt>
                <c:pt idx="17">
                  <c:v>49.191600000000001</c:v>
                </c:pt>
                <c:pt idx="18">
                  <c:v>48.732399999999998</c:v>
                </c:pt>
                <c:pt idx="19">
                  <c:v>48.314099999999996</c:v>
                </c:pt>
                <c:pt idx="20">
                  <c:v>47.960900000000002</c:v>
                </c:pt>
                <c:pt idx="21">
                  <c:v>47.613299999999995</c:v>
                </c:pt>
                <c:pt idx="22">
                  <c:v>47.249000000000002</c:v>
                </c:pt>
                <c:pt idx="23">
                  <c:v>46.851100000000002</c:v>
                </c:pt>
                <c:pt idx="24">
                  <c:v>46.432099999999998</c:v>
                </c:pt>
                <c:pt idx="25">
                  <c:v>46.042699999999996</c:v>
                </c:pt>
                <c:pt idx="26">
                  <c:v>45.683</c:v>
                </c:pt>
                <c:pt idx="27">
                  <c:v>45.383299999999998</c:v>
                </c:pt>
                <c:pt idx="28">
                  <c:v>45.118900000000004</c:v>
                </c:pt>
                <c:pt idx="29">
                  <c:v>44.828099999999999</c:v>
                </c:pt>
                <c:pt idx="30">
                  <c:v>44.565899999999999</c:v>
                </c:pt>
                <c:pt idx="31">
                  <c:v>44.301200000000001</c:v>
                </c:pt>
                <c:pt idx="32">
                  <c:v>44.128799999999998</c:v>
                </c:pt>
                <c:pt idx="33">
                  <c:v>43.993500000000004</c:v>
                </c:pt>
                <c:pt idx="34">
                  <c:v>43.8812</c:v>
                </c:pt>
                <c:pt idx="35">
                  <c:v>43.817999999999998</c:v>
                </c:pt>
                <c:pt idx="36">
                  <c:v>43.7789</c:v>
                </c:pt>
                <c:pt idx="37">
                  <c:v>43.788400000000003</c:v>
                </c:pt>
                <c:pt idx="38">
                  <c:v>43.877699999999997</c:v>
                </c:pt>
                <c:pt idx="39">
                  <c:v>44.034300000000002</c:v>
                </c:pt>
                <c:pt idx="40">
                  <c:v>44.269399999999997</c:v>
                </c:pt>
                <c:pt idx="41">
                  <c:v>44.520199999999996</c:v>
                </c:pt>
                <c:pt idx="42">
                  <c:v>44.660800000000002</c:v>
                </c:pt>
                <c:pt idx="43">
                  <c:v>44.771300000000004</c:v>
                </c:pt>
                <c:pt idx="44">
                  <c:v>44.846699999999998</c:v>
                </c:pt>
                <c:pt idx="45">
                  <c:v>44.9041</c:v>
                </c:pt>
                <c:pt idx="46">
                  <c:v>44.993100000000005</c:v>
                </c:pt>
                <c:pt idx="47">
                  <c:v>45.174700000000001</c:v>
                </c:pt>
                <c:pt idx="48">
                  <c:v>45.456899999999997</c:v>
                </c:pt>
                <c:pt idx="49">
                  <c:v>45.840199999999996</c:v>
                </c:pt>
                <c:pt idx="50">
                  <c:v>46.250999999999998</c:v>
                </c:pt>
                <c:pt idx="51">
                  <c:v>46.747599999999998</c:v>
                </c:pt>
                <c:pt idx="52">
                  <c:v>47.166400000000003</c:v>
                </c:pt>
                <c:pt idx="53">
                  <c:v>47.434100000000001</c:v>
                </c:pt>
                <c:pt idx="54">
                  <c:v>47.701700000000002</c:v>
                </c:pt>
                <c:pt idx="55">
                  <c:v>47.953899999999997</c:v>
                </c:pt>
                <c:pt idx="56">
                  <c:v>48.219899999999996</c:v>
                </c:pt>
                <c:pt idx="57">
                  <c:v>48.367199999999997</c:v>
                </c:pt>
                <c:pt idx="58">
                  <c:v>48.468499999999999</c:v>
                </c:pt>
                <c:pt idx="59">
                  <c:v>48.5441</c:v>
                </c:pt>
                <c:pt idx="60">
                  <c:v>48.529299999999999</c:v>
                </c:pt>
                <c:pt idx="61">
                  <c:v>48.485700000000001</c:v>
                </c:pt>
                <c:pt idx="62">
                  <c:v>48.486899999999999</c:v>
                </c:pt>
                <c:pt idx="63">
                  <c:v>48.332099999999997</c:v>
                </c:pt>
                <c:pt idx="64">
                  <c:v>48.146699999999996</c:v>
                </c:pt>
                <c:pt idx="65">
                  <c:v>47.8414</c:v>
                </c:pt>
                <c:pt idx="66">
                  <c:v>47.685200000000002</c:v>
                </c:pt>
                <c:pt idx="67">
                  <c:v>47.423000000000002</c:v>
                </c:pt>
                <c:pt idx="68">
                  <c:v>47.274300000000004</c:v>
                </c:pt>
                <c:pt idx="69">
                  <c:v>47.178599999999996</c:v>
                </c:pt>
                <c:pt idx="70">
                  <c:v>47.0184</c:v>
                </c:pt>
                <c:pt idx="71">
                  <c:v>46.827999999999996</c:v>
                </c:pt>
                <c:pt idx="72">
                  <c:v>46.770099999999999</c:v>
                </c:pt>
                <c:pt idx="73">
                  <c:v>46.3063</c:v>
                </c:pt>
                <c:pt idx="74">
                  <c:v>45.987499999999997</c:v>
                </c:pt>
                <c:pt idx="75">
                  <c:v>45.650800000000004</c:v>
                </c:pt>
                <c:pt idx="76">
                  <c:v>45.227800000000002</c:v>
                </c:pt>
                <c:pt idx="77">
                  <c:v>44.7742</c:v>
                </c:pt>
                <c:pt idx="78">
                  <c:v>44.222999999999999</c:v>
                </c:pt>
                <c:pt idx="79">
                  <c:v>43.614100000000001</c:v>
                </c:pt>
                <c:pt idx="80">
                  <c:v>43.001400000000004</c:v>
                </c:pt>
                <c:pt idx="81">
                  <c:v>42.444600000000001</c:v>
                </c:pt>
                <c:pt idx="82">
                  <c:v>41.948299999999996</c:v>
                </c:pt>
                <c:pt idx="83">
                  <c:v>41.4664</c:v>
                </c:pt>
                <c:pt idx="84">
                  <c:v>40.916999999999994</c:v>
                </c:pt>
                <c:pt idx="85">
                  <c:v>40.325499999999998</c:v>
                </c:pt>
                <c:pt idx="86">
                  <c:v>39.705500000000001</c:v>
                </c:pt>
                <c:pt idx="87">
                  <c:v>39.106900000000003</c:v>
                </c:pt>
                <c:pt idx="88">
                  <c:v>38.511800000000001</c:v>
                </c:pt>
                <c:pt idx="89">
                  <c:v>37.931699999999999</c:v>
                </c:pt>
                <c:pt idx="90">
                  <c:v>37.360599999999998</c:v>
                </c:pt>
                <c:pt idx="91">
                  <c:v>36.900300000000001</c:v>
                </c:pt>
                <c:pt idx="92">
                  <c:v>36.520899999999997</c:v>
                </c:pt>
                <c:pt idx="93">
                  <c:v>36.195699999999995</c:v>
                </c:pt>
                <c:pt idx="94">
                  <c:v>35.896999999999998</c:v>
                </c:pt>
                <c:pt idx="95">
                  <c:v>35.643700000000003</c:v>
                </c:pt>
                <c:pt idx="96">
                  <c:v>35.276499999999999</c:v>
                </c:pt>
                <c:pt idx="97">
                  <c:v>34.851500000000001</c:v>
                </c:pt>
                <c:pt idx="98">
                  <c:v>34.438400000000001</c:v>
                </c:pt>
                <c:pt idx="99">
                  <c:v>34.134700000000002</c:v>
                </c:pt>
                <c:pt idx="100">
                  <c:v>33.874900000000004</c:v>
                </c:pt>
                <c:pt idx="101">
                  <c:v>33.689099999999996</c:v>
                </c:pt>
                <c:pt idx="102">
                  <c:v>33.5321</c:v>
                </c:pt>
                <c:pt idx="103">
                  <c:v>33.526000000000003</c:v>
                </c:pt>
                <c:pt idx="104">
                  <c:v>33.681100000000001</c:v>
                </c:pt>
                <c:pt idx="105">
                  <c:v>33.825800000000001</c:v>
                </c:pt>
                <c:pt idx="106">
                  <c:v>33.926099999999998</c:v>
                </c:pt>
                <c:pt idx="107">
                  <c:v>34.075000000000003</c:v>
                </c:pt>
                <c:pt idx="108">
                  <c:v>34.1785</c:v>
                </c:pt>
                <c:pt idx="109">
                  <c:v>34.361399999999996</c:v>
                </c:pt>
                <c:pt idx="110">
                  <c:v>34.601999999999997</c:v>
                </c:pt>
                <c:pt idx="111">
                  <c:v>34.909600000000005</c:v>
                </c:pt>
                <c:pt idx="112">
                  <c:v>35.238599999999998</c:v>
                </c:pt>
                <c:pt idx="113">
                  <c:v>35.557600000000001</c:v>
                </c:pt>
                <c:pt idx="114">
                  <c:v>35.876100000000001</c:v>
                </c:pt>
                <c:pt idx="115">
                  <c:v>36.2179</c:v>
                </c:pt>
                <c:pt idx="116">
                  <c:v>36.5274</c:v>
                </c:pt>
                <c:pt idx="117">
                  <c:v>36.817100000000003</c:v>
                </c:pt>
                <c:pt idx="118">
                  <c:v>36.9741</c:v>
                </c:pt>
                <c:pt idx="119">
                  <c:v>36.8123</c:v>
                </c:pt>
                <c:pt idx="120">
                  <c:v>36.573</c:v>
                </c:pt>
                <c:pt idx="121">
                  <c:v>36.313099999999999</c:v>
                </c:pt>
                <c:pt idx="122">
                  <c:v>36.018999999999998</c:v>
                </c:pt>
                <c:pt idx="123">
                  <c:v>36.048900000000003</c:v>
                </c:pt>
                <c:pt idx="124">
                  <c:v>36.1646</c:v>
                </c:pt>
                <c:pt idx="125">
                  <c:v>36.140599999999999</c:v>
                </c:pt>
                <c:pt idx="126">
                  <c:v>36.084899999999998</c:v>
                </c:pt>
                <c:pt idx="127">
                  <c:v>36.031999999999996</c:v>
                </c:pt>
                <c:pt idx="128">
                  <c:v>35.908499999999997</c:v>
                </c:pt>
                <c:pt idx="129">
                  <c:v>35.682900000000004</c:v>
                </c:pt>
                <c:pt idx="130">
                  <c:v>35.474899999999998</c:v>
                </c:pt>
                <c:pt idx="131">
                  <c:v>35.302499999999995</c:v>
                </c:pt>
                <c:pt idx="132">
                  <c:v>34.965000000000003</c:v>
                </c:pt>
                <c:pt idx="133">
                  <c:v>34.670999999999999</c:v>
                </c:pt>
                <c:pt idx="134">
                  <c:v>34.3384</c:v>
                </c:pt>
                <c:pt idx="135">
                  <c:v>33.927</c:v>
                </c:pt>
                <c:pt idx="136">
                  <c:v>33.385399999999997</c:v>
                </c:pt>
                <c:pt idx="137">
                  <c:v>32.784300000000002</c:v>
                </c:pt>
                <c:pt idx="138">
                  <c:v>32.198599999999999</c:v>
                </c:pt>
                <c:pt idx="139">
                  <c:v>31.574999999999996</c:v>
                </c:pt>
                <c:pt idx="140">
                  <c:v>30.898999999999997</c:v>
                </c:pt>
                <c:pt idx="141">
                  <c:v>29.848500000000001</c:v>
                </c:pt>
                <c:pt idx="142">
                  <c:v>28.347499999999997</c:v>
                </c:pt>
                <c:pt idx="143">
                  <c:v>26.857300000000002</c:v>
                </c:pt>
                <c:pt idx="144">
                  <c:v>26.2118</c:v>
                </c:pt>
                <c:pt idx="145">
                  <c:v>25.173000000000002</c:v>
                </c:pt>
                <c:pt idx="146">
                  <c:v>24.6921</c:v>
                </c:pt>
                <c:pt idx="147">
                  <c:v>25.569500000000001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2.1335899999999999</c:v>
                </c:pt>
                <c:pt idx="1">
                  <c:v>2.2002099999999998</c:v>
                </c:pt>
                <c:pt idx="2">
                  <c:v>2.2634000000000003</c:v>
                </c:pt>
                <c:pt idx="3">
                  <c:v>2.3230999999999997</c:v>
                </c:pt>
                <c:pt idx="4">
                  <c:v>2.37914</c:v>
                </c:pt>
                <c:pt idx="5">
                  <c:v>2.4330400000000001</c:v>
                </c:pt>
                <c:pt idx="6">
                  <c:v>2.48447</c:v>
                </c:pt>
                <c:pt idx="7">
                  <c:v>2.5342099999999999</c:v>
                </c:pt>
                <c:pt idx="8">
                  <c:v>2.58168</c:v>
                </c:pt>
                <c:pt idx="9">
                  <c:v>2.6266099999999999</c:v>
                </c:pt>
                <c:pt idx="10">
                  <c:v>2.6699800000000002</c:v>
                </c:pt>
                <c:pt idx="11">
                  <c:v>2.7117200000000001</c:v>
                </c:pt>
                <c:pt idx="12">
                  <c:v>2.7518700000000003</c:v>
                </c:pt>
                <c:pt idx="13">
                  <c:v>2.7904900000000001</c:v>
                </c:pt>
                <c:pt idx="14">
                  <c:v>2.8279999999999998</c:v>
                </c:pt>
                <c:pt idx="15">
                  <c:v>2.8635000000000002</c:v>
                </c:pt>
                <c:pt idx="16">
                  <c:v>2.8931400000000003</c:v>
                </c:pt>
                <c:pt idx="17">
                  <c:v>2.91248</c:v>
                </c:pt>
                <c:pt idx="18">
                  <c:v>2.9266100000000002</c:v>
                </c:pt>
                <c:pt idx="19">
                  <c:v>2.9403299999999999</c:v>
                </c:pt>
                <c:pt idx="20">
                  <c:v>2.9507400000000001</c:v>
                </c:pt>
                <c:pt idx="21">
                  <c:v>2.9597199999999999</c:v>
                </c:pt>
                <c:pt idx="22">
                  <c:v>2.9681999999999995</c:v>
                </c:pt>
                <c:pt idx="23">
                  <c:v>2.9754100000000001</c:v>
                </c:pt>
                <c:pt idx="24">
                  <c:v>2.9805700000000002</c:v>
                </c:pt>
                <c:pt idx="25">
                  <c:v>2.9848599999999998</c:v>
                </c:pt>
                <c:pt idx="26">
                  <c:v>2.9862799999999998</c:v>
                </c:pt>
                <c:pt idx="27">
                  <c:v>2.9847000000000001</c:v>
                </c:pt>
                <c:pt idx="28">
                  <c:v>2.9787000000000003</c:v>
                </c:pt>
                <c:pt idx="29">
                  <c:v>2.9711100000000004</c:v>
                </c:pt>
                <c:pt idx="30">
                  <c:v>2.96041</c:v>
                </c:pt>
                <c:pt idx="31">
                  <c:v>2.9470299999999998</c:v>
                </c:pt>
                <c:pt idx="32">
                  <c:v>2.93221</c:v>
                </c:pt>
                <c:pt idx="33">
                  <c:v>2.91629</c:v>
                </c:pt>
                <c:pt idx="34">
                  <c:v>2.8992200000000001</c:v>
                </c:pt>
                <c:pt idx="35">
                  <c:v>2.8805900000000002</c:v>
                </c:pt>
                <c:pt idx="36">
                  <c:v>2.8607800000000001</c:v>
                </c:pt>
                <c:pt idx="37">
                  <c:v>2.84</c:v>
                </c:pt>
                <c:pt idx="38">
                  <c:v>2.8156999999999996</c:v>
                </c:pt>
                <c:pt idx="39">
                  <c:v>2.7877299999999998</c:v>
                </c:pt>
                <c:pt idx="40">
                  <c:v>2.7572700000000001</c:v>
                </c:pt>
                <c:pt idx="41">
                  <c:v>2.7269500000000004</c:v>
                </c:pt>
                <c:pt idx="42">
                  <c:v>2.6977699999999998</c:v>
                </c:pt>
                <c:pt idx="43">
                  <c:v>2.6698499999999998</c:v>
                </c:pt>
                <c:pt idx="44">
                  <c:v>2.6415499999999996</c:v>
                </c:pt>
                <c:pt idx="45">
                  <c:v>2.6155299999999997</c:v>
                </c:pt>
                <c:pt idx="46">
                  <c:v>2.59015</c:v>
                </c:pt>
                <c:pt idx="47">
                  <c:v>2.5649600000000001</c:v>
                </c:pt>
                <c:pt idx="48">
                  <c:v>2.53952</c:v>
                </c:pt>
                <c:pt idx="49">
                  <c:v>2.5140000000000002</c:v>
                </c:pt>
                <c:pt idx="50">
                  <c:v>2.4910700000000001</c:v>
                </c:pt>
                <c:pt idx="51">
                  <c:v>2.4690300000000001</c:v>
                </c:pt>
                <c:pt idx="52">
                  <c:v>2.4510800000000001</c:v>
                </c:pt>
                <c:pt idx="53">
                  <c:v>2.4414899999999999</c:v>
                </c:pt>
                <c:pt idx="54">
                  <c:v>2.4346899999999998</c:v>
                </c:pt>
                <c:pt idx="55">
                  <c:v>2.43032</c:v>
                </c:pt>
                <c:pt idx="56">
                  <c:v>2.4315899999999999</c:v>
                </c:pt>
                <c:pt idx="57">
                  <c:v>2.42754</c:v>
                </c:pt>
                <c:pt idx="58">
                  <c:v>2.4295400000000003</c:v>
                </c:pt>
                <c:pt idx="59">
                  <c:v>2.4335899999999997</c:v>
                </c:pt>
                <c:pt idx="60">
                  <c:v>2.4413199999999997</c:v>
                </c:pt>
                <c:pt idx="61">
                  <c:v>2.4569000000000001</c:v>
                </c:pt>
                <c:pt idx="62">
                  <c:v>2.4602499999999998</c:v>
                </c:pt>
                <c:pt idx="63">
                  <c:v>2.47322</c:v>
                </c:pt>
                <c:pt idx="64">
                  <c:v>2.48766</c:v>
                </c:pt>
                <c:pt idx="65">
                  <c:v>2.50922</c:v>
                </c:pt>
                <c:pt idx="66">
                  <c:v>2.52142</c:v>
                </c:pt>
                <c:pt idx="67">
                  <c:v>2.5476900000000002</c:v>
                </c:pt>
                <c:pt idx="68">
                  <c:v>2.5695099999999997</c:v>
                </c:pt>
                <c:pt idx="69">
                  <c:v>2.5920399999999999</c:v>
                </c:pt>
                <c:pt idx="70">
                  <c:v>2.61511</c:v>
                </c:pt>
                <c:pt idx="71">
                  <c:v>2.63801</c:v>
                </c:pt>
                <c:pt idx="72">
                  <c:v>2.6557599999999999</c:v>
                </c:pt>
                <c:pt idx="73">
                  <c:v>2.6834200000000004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57.410399999999996</c:v>
                </c:pt>
                <c:pt idx="1">
                  <c:v>56.966300000000004</c:v>
                </c:pt>
                <c:pt idx="2">
                  <c:v>56.535599999999995</c:v>
                </c:pt>
                <c:pt idx="3">
                  <c:v>56.100499999999997</c:v>
                </c:pt>
                <c:pt idx="4">
                  <c:v>55.6554</c:v>
                </c:pt>
                <c:pt idx="5">
                  <c:v>55.116699999999994</c:v>
                </c:pt>
                <c:pt idx="6">
                  <c:v>54.555699999999995</c:v>
                </c:pt>
                <c:pt idx="7">
                  <c:v>53.899600000000007</c:v>
                </c:pt>
                <c:pt idx="8">
                  <c:v>53.327300000000001</c:v>
                </c:pt>
                <c:pt idx="9">
                  <c:v>52.822899999999997</c:v>
                </c:pt>
                <c:pt idx="10">
                  <c:v>52.376500000000007</c:v>
                </c:pt>
                <c:pt idx="11">
                  <c:v>51.975000000000001</c:v>
                </c:pt>
                <c:pt idx="12">
                  <c:v>51.613799999999998</c:v>
                </c:pt>
                <c:pt idx="13">
                  <c:v>51.198600000000006</c:v>
                </c:pt>
                <c:pt idx="14">
                  <c:v>50.716000000000008</c:v>
                </c:pt>
                <c:pt idx="15">
                  <c:v>50.2196</c:v>
                </c:pt>
                <c:pt idx="16">
                  <c:v>49.710300000000004</c:v>
                </c:pt>
                <c:pt idx="17">
                  <c:v>49.191600000000001</c:v>
                </c:pt>
                <c:pt idx="18">
                  <c:v>48.732399999999998</c:v>
                </c:pt>
                <c:pt idx="19">
                  <c:v>48.314099999999996</c:v>
                </c:pt>
                <c:pt idx="20">
                  <c:v>47.960900000000002</c:v>
                </c:pt>
                <c:pt idx="21">
                  <c:v>47.613299999999995</c:v>
                </c:pt>
                <c:pt idx="22">
                  <c:v>47.249000000000002</c:v>
                </c:pt>
                <c:pt idx="23">
                  <c:v>46.851100000000002</c:v>
                </c:pt>
                <c:pt idx="24">
                  <c:v>46.432099999999998</c:v>
                </c:pt>
                <c:pt idx="25">
                  <c:v>46.042699999999996</c:v>
                </c:pt>
                <c:pt idx="26">
                  <c:v>45.683</c:v>
                </c:pt>
                <c:pt idx="27">
                  <c:v>45.383299999999998</c:v>
                </c:pt>
                <c:pt idx="28">
                  <c:v>45.118900000000004</c:v>
                </c:pt>
                <c:pt idx="29">
                  <c:v>44.828099999999999</c:v>
                </c:pt>
                <c:pt idx="30">
                  <c:v>44.565899999999999</c:v>
                </c:pt>
                <c:pt idx="31">
                  <c:v>44.301200000000001</c:v>
                </c:pt>
                <c:pt idx="32">
                  <c:v>44.128799999999998</c:v>
                </c:pt>
                <c:pt idx="33">
                  <c:v>43.993500000000004</c:v>
                </c:pt>
                <c:pt idx="34">
                  <c:v>43.8812</c:v>
                </c:pt>
                <c:pt idx="35">
                  <c:v>43.817999999999998</c:v>
                </c:pt>
                <c:pt idx="36">
                  <c:v>43.7789</c:v>
                </c:pt>
                <c:pt idx="37">
                  <c:v>43.788400000000003</c:v>
                </c:pt>
                <c:pt idx="38">
                  <c:v>43.877699999999997</c:v>
                </c:pt>
                <c:pt idx="39">
                  <c:v>44.034300000000002</c:v>
                </c:pt>
                <c:pt idx="40">
                  <c:v>44.269399999999997</c:v>
                </c:pt>
                <c:pt idx="41">
                  <c:v>44.520199999999996</c:v>
                </c:pt>
                <c:pt idx="42">
                  <c:v>44.660800000000002</c:v>
                </c:pt>
                <c:pt idx="43">
                  <c:v>44.771300000000004</c:v>
                </c:pt>
                <c:pt idx="44">
                  <c:v>44.846699999999998</c:v>
                </c:pt>
                <c:pt idx="45">
                  <c:v>44.9041</c:v>
                </c:pt>
                <c:pt idx="46">
                  <c:v>44.993100000000005</c:v>
                </c:pt>
                <c:pt idx="47">
                  <c:v>45.174700000000001</c:v>
                </c:pt>
                <c:pt idx="48">
                  <c:v>45.456899999999997</c:v>
                </c:pt>
                <c:pt idx="49">
                  <c:v>45.840199999999996</c:v>
                </c:pt>
                <c:pt idx="50">
                  <c:v>46.250999999999998</c:v>
                </c:pt>
                <c:pt idx="51">
                  <c:v>46.747599999999998</c:v>
                </c:pt>
                <c:pt idx="52">
                  <c:v>47.166400000000003</c:v>
                </c:pt>
                <c:pt idx="53">
                  <c:v>47.434100000000001</c:v>
                </c:pt>
                <c:pt idx="54">
                  <c:v>47.701700000000002</c:v>
                </c:pt>
                <c:pt idx="55">
                  <c:v>47.953899999999997</c:v>
                </c:pt>
                <c:pt idx="56">
                  <c:v>48.219899999999996</c:v>
                </c:pt>
                <c:pt idx="57">
                  <c:v>48.367199999999997</c:v>
                </c:pt>
                <c:pt idx="58">
                  <c:v>48.468499999999999</c:v>
                </c:pt>
                <c:pt idx="59">
                  <c:v>48.5441</c:v>
                </c:pt>
                <c:pt idx="60">
                  <c:v>48.529299999999999</c:v>
                </c:pt>
                <c:pt idx="61">
                  <c:v>48.485700000000001</c:v>
                </c:pt>
                <c:pt idx="62">
                  <c:v>48.486899999999999</c:v>
                </c:pt>
                <c:pt idx="63">
                  <c:v>48.332099999999997</c:v>
                </c:pt>
                <c:pt idx="64">
                  <c:v>48.146699999999996</c:v>
                </c:pt>
                <c:pt idx="65">
                  <c:v>47.8414</c:v>
                </c:pt>
                <c:pt idx="66">
                  <c:v>47.685200000000002</c:v>
                </c:pt>
                <c:pt idx="67">
                  <c:v>47.423000000000002</c:v>
                </c:pt>
                <c:pt idx="68">
                  <c:v>47.274300000000004</c:v>
                </c:pt>
                <c:pt idx="69">
                  <c:v>47.178599999999996</c:v>
                </c:pt>
                <c:pt idx="70">
                  <c:v>47.0184</c:v>
                </c:pt>
                <c:pt idx="71">
                  <c:v>46.827999999999996</c:v>
                </c:pt>
                <c:pt idx="72">
                  <c:v>46.770099999999999</c:v>
                </c:pt>
                <c:pt idx="73">
                  <c:v>46.3063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2.6834200000000004</c:v>
                </c:pt>
                <c:pt idx="1">
                  <c:v>2.7056799999999996</c:v>
                </c:pt>
                <c:pt idx="2">
                  <c:v>2.7263999999999999</c:v>
                </c:pt>
                <c:pt idx="3">
                  <c:v>2.7465099999999998</c:v>
                </c:pt>
                <c:pt idx="4">
                  <c:v>2.7652999999999999</c:v>
                </c:pt>
                <c:pt idx="5">
                  <c:v>2.7837200000000002</c:v>
                </c:pt>
                <c:pt idx="6">
                  <c:v>2.8019600000000002</c:v>
                </c:pt>
                <c:pt idx="7">
                  <c:v>2.8193400000000004</c:v>
                </c:pt>
                <c:pt idx="8">
                  <c:v>2.83521</c:v>
                </c:pt>
                <c:pt idx="9">
                  <c:v>2.8470800000000001</c:v>
                </c:pt>
                <c:pt idx="10">
                  <c:v>2.8574600000000001</c:v>
                </c:pt>
                <c:pt idx="11">
                  <c:v>2.8683900000000002</c:v>
                </c:pt>
                <c:pt idx="12">
                  <c:v>2.8786699999999996</c:v>
                </c:pt>
                <c:pt idx="13">
                  <c:v>2.8890900000000004</c:v>
                </c:pt>
                <c:pt idx="14">
                  <c:v>2.8995300000000004</c:v>
                </c:pt>
                <c:pt idx="15">
                  <c:v>2.9104799999999997</c:v>
                </c:pt>
                <c:pt idx="16">
                  <c:v>2.9224499999999995</c:v>
                </c:pt>
                <c:pt idx="17">
                  <c:v>2.9348200000000002</c:v>
                </c:pt>
                <c:pt idx="18">
                  <c:v>2.9455499999999999</c:v>
                </c:pt>
                <c:pt idx="19">
                  <c:v>2.9543699999999999</c:v>
                </c:pt>
                <c:pt idx="20">
                  <c:v>2.9612600000000002</c:v>
                </c:pt>
                <c:pt idx="21">
                  <c:v>2.9651000000000001</c:v>
                </c:pt>
                <c:pt idx="22">
                  <c:v>2.96469</c:v>
                </c:pt>
                <c:pt idx="23">
                  <c:v>2.9608800000000004</c:v>
                </c:pt>
                <c:pt idx="24">
                  <c:v>2.9537400000000003</c:v>
                </c:pt>
                <c:pt idx="25">
                  <c:v>2.9465500000000002</c:v>
                </c:pt>
                <c:pt idx="26">
                  <c:v>2.93811</c:v>
                </c:pt>
                <c:pt idx="27">
                  <c:v>2.9231600000000002</c:v>
                </c:pt>
                <c:pt idx="28">
                  <c:v>2.9078200000000001</c:v>
                </c:pt>
                <c:pt idx="29">
                  <c:v>2.8917799999999998</c:v>
                </c:pt>
                <c:pt idx="30">
                  <c:v>2.87486</c:v>
                </c:pt>
                <c:pt idx="31">
                  <c:v>2.8588999999999998</c:v>
                </c:pt>
                <c:pt idx="32">
                  <c:v>2.8436899999999996</c:v>
                </c:pt>
                <c:pt idx="33">
                  <c:v>2.8307799999999999</c:v>
                </c:pt>
                <c:pt idx="34">
                  <c:v>2.8176399999999999</c:v>
                </c:pt>
                <c:pt idx="35">
                  <c:v>2.80518</c:v>
                </c:pt>
                <c:pt idx="36">
                  <c:v>2.7898299999999998</c:v>
                </c:pt>
                <c:pt idx="37">
                  <c:v>2.7726600000000001</c:v>
                </c:pt>
                <c:pt idx="38">
                  <c:v>2.7539799999999999</c:v>
                </c:pt>
                <c:pt idx="39">
                  <c:v>2.73353</c:v>
                </c:pt>
                <c:pt idx="40">
                  <c:v>2.7099000000000002</c:v>
                </c:pt>
                <c:pt idx="41">
                  <c:v>2.6846900000000002</c:v>
                </c:pt>
                <c:pt idx="42">
                  <c:v>2.6585100000000002</c:v>
                </c:pt>
                <c:pt idx="43">
                  <c:v>2.63334</c:v>
                </c:pt>
                <c:pt idx="44">
                  <c:v>2.6060100000000004</c:v>
                </c:pt>
                <c:pt idx="45">
                  <c:v>2.5804899999999997</c:v>
                </c:pt>
                <c:pt idx="46">
                  <c:v>2.5611699999999997</c:v>
                </c:pt>
                <c:pt idx="47">
                  <c:v>2.5453799999999998</c:v>
                </c:pt>
                <c:pt idx="48">
                  <c:v>2.5335800000000002</c:v>
                </c:pt>
                <c:pt idx="49">
                  <c:v>2.5242800000000001</c:v>
                </c:pt>
                <c:pt idx="50">
                  <c:v>2.5160999999999998</c:v>
                </c:pt>
                <c:pt idx="51">
                  <c:v>2.5119399999999996</c:v>
                </c:pt>
                <c:pt idx="52">
                  <c:v>2.5118</c:v>
                </c:pt>
                <c:pt idx="53">
                  <c:v>2.5110000000000001</c:v>
                </c:pt>
                <c:pt idx="54">
                  <c:v>2.5099500000000003</c:v>
                </c:pt>
                <c:pt idx="55">
                  <c:v>2.5073299999999996</c:v>
                </c:pt>
                <c:pt idx="56">
                  <c:v>2.5020500000000001</c:v>
                </c:pt>
                <c:pt idx="57">
                  <c:v>2.4951400000000001</c:v>
                </c:pt>
                <c:pt idx="58">
                  <c:v>2.4860600000000002</c:v>
                </c:pt>
                <c:pt idx="59">
                  <c:v>2.4776699999999998</c:v>
                </c:pt>
                <c:pt idx="60">
                  <c:v>2.4676200000000001</c:v>
                </c:pt>
                <c:pt idx="61">
                  <c:v>2.4559600000000001</c:v>
                </c:pt>
                <c:pt idx="62">
                  <c:v>2.4442699999999999</c:v>
                </c:pt>
                <c:pt idx="63">
                  <c:v>2.43241</c:v>
                </c:pt>
                <c:pt idx="64">
                  <c:v>2.4203199999999998</c:v>
                </c:pt>
                <c:pt idx="65">
                  <c:v>2.41221</c:v>
                </c:pt>
                <c:pt idx="66">
                  <c:v>2.4047800000000001</c:v>
                </c:pt>
                <c:pt idx="67">
                  <c:v>2.39676</c:v>
                </c:pt>
                <c:pt idx="68">
                  <c:v>2.3917199999999998</c:v>
                </c:pt>
                <c:pt idx="69">
                  <c:v>2.4020199999999998</c:v>
                </c:pt>
                <c:pt idx="70">
                  <c:v>2.4198300000000001</c:v>
                </c:pt>
                <c:pt idx="71">
                  <c:v>2.4249100000000001</c:v>
                </c:pt>
                <c:pt idx="72">
                  <c:v>2.43058</c:v>
                </c:pt>
                <c:pt idx="73">
                  <c:v>2.4186000000000001</c:v>
                </c:pt>
                <c:pt idx="74">
                  <c:v>2.3929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46.3063</c:v>
                </c:pt>
                <c:pt idx="1">
                  <c:v>45.987499999999997</c:v>
                </c:pt>
                <c:pt idx="2">
                  <c:v>45.650800000000004</c:v>
                </c:pt>
                <c:pt idx="3">
                  <c:v>45.227800000000002</c:v>
                </c:pt>
                <c:pt idx="4">
                  <c:v>44.7742</c:v>
                </c:pt>
                <c:pt idx="5">
                  <c:v>44.222999999999999</c:v>
                </c:pt>
                <c:pt idx="6">
                  <c:v>43.614100000000001</c:v>
                </c:pt>
                <c:pt idx="7">
                  <c:v>43.001400000000004</c:v>
                </c:pt>
                <c:pt idx="8">
                  <c:v>42.444600000000001</c:v>
                </c:pt>
                <c:pt idx="9">
                  <c:v>41.948299999999996</c:v>
                </c:pt>
                <c:pt idx="10">
                  <c:v>41.4664</c:v>
                </c:pt>
                <c:pt idx="11">
                  <c:v>40.916999999999994</c:v>
                </c:pt>
                <c:pt idx="12">
                  <c:v>40.325499999999998</c:v>
                </c:pt>
                <c:pt idx="13">
                  <c:v>39.705500000000001</c:v>
                </c:pt>
                <c:pt idx="14">
                  <c:v>39.106900000000003</c:v>
                </c:pt>
                <c:pt idx="15">
                  <c:v>38.511800000000001</c:v>
                </c:pt>
                <c:pt idx="16">
                  <c:v>37.931699999999999</c:v>
                </c:pt>
                <c:pt idx="17">
                  <c:v>37.360599999999998</c:v>
                </c:pt>
                <c:pt idx="18">
                  <c:v>36.900300000000001</c:v>
                </c:pt>
                <c:pt idx="19">
                  <c:v>36.520899999999997</c:v>
                </c:pt>
                <c:pt idx="20">
                  <c:v>36.195699999999995</c:v>
                </c:pt>
                <c:pt idx="21">
                  <c:v>35.896999999999998</c:v>
                </c:pt>
                <c:pt idx="22">
                  <c:v>35.643700000000003</c:v>
                </c:pt>
                <c:pt idx="23">
                  <c:v>35.276499999999999</c:v>
                </c:pt>
                <c:pt idx="24">
                  <c:v>34.851500000000001</c:v>
                </c:pt>
                <c:pt idx="25">
                  <c:v>34.438400000000001</c:v>
                </c:pt>
                <c:pt idx="26">
                  <c:v>34.134700000000002</c:v>
                </c:pt>
                <c:pt idx="27">
                  <c:v>33.874900000000004</c:v>
                </c:pt>
                <c:pt idx="28">
                  <c:v>33.689099999999996</c:v>
                </c:pt>
                <c:pt idx="29">
                  <c:v>33.5321</c:v>
                </c:pt>
                <c:pt idx="30">
                  <c:v>33.526000000000003</c:v>
                </c:pt>
                <c:pt idx="31">
                  <c:v>33.681100000000001</c:v>
                </c:pt>
                <c:pt idx="32">
                  <c:v>33.825800000000001</c:v>
                </c:pt>
                <c:pt idx="33">
                  <c:v>33.926099999999998</c:v>
                </c:pt>
                <c:pt idx="34">
                  <c:v>34.075000000000003</c:v>
                </c:pt>
                <c:pt idx="35">
                  <c:v>34.1785</c:v>
                </c:pt>
                <c:pt idx="36">
                  <c:v>34.361399999999996</c:v>
                </c:pt>
                <c:pt idx="37">
                  <c:v>34.601999999999997</c:v>
                </c:pt>
                <c:pt idx="38">
                  <c:v>34.909600000000005</c:v>
                </c:pt>
                <c:pt idx="39">
                  <c:v>35.238599999999998</c:v>
                </c:pt>
                <c:pt idx="40">
                  <c:v>35.557600000000001</c:v>
                </c:pt>
                <c:pt idx="41">
                  <c:v>35.876100000000001</c:v>
                </c:pt>
                <c:pt idx="42">
                  <c:v>36.2179</c:v>
                </c:pt>
                <c:pt idx="43">
                  <c:v>36.5274</c:v>
                </c:pt>
                <c:pt idx="44">
                  <c:v>36.817100000000003</c:v>
                </c:pt>
                <c:pt idx="45">
                  <c:v>36.9741</c:v>
                </c:pt>
                <c:pt idx="46">
                  <c:v>36.8123</c:v>
                </c:pt>
                <c:pt idx="47">
                  <c:v>36.573</c:v>
                </c:pt>
                <c:pt idx="48">
                  <c:v>36.313099999999999</c:v>
                </c:pt>
                <c:pt idx="49">
                  <c:v>36.018999999999998</c:v>
                </c:pt>
                <c:pt idx="50">
                  <c:v>36.048900000000003</c:v>
                </c:pt>
                <c:pt idx="51">
                  <c:v>36.1646</c:v>
                </c:pt>
                <c:pt idx="52">
                  <c:v>36.140599999999999</c:v>
                </c:pt>
                <c:pt idx="53">
                  <c:v>36.084899999999998</c:v>
                </c:pt>
                <c:pt idx="54">
                  <c:v>36.031999999999996</c:v>
                </c:pt>
                <c:pt idx="55">
                  <c:v>35.908499999999997</c:v>
                </c:pt>
                <c:pt idx="56">
                  <c:v>35.682900000000004</c:v>
                </c:pt>
                <c:pt idx="57">
                  <c:v>35.474899999999998</c:v>
                </c:pt>
                <c:pt idx="58">
                  <c:v>35.302499999999995</c:v>
                </c:pt>
                <c:pt idx="59">
                  <c:v>34.965000000000003</c:v>
                </c:pt>
                <c:pt idx="60">
                  <c:v>34.670999999999999</c:v>
                </c:pt>
                <c:pt idx="61">
                  <c:v>34.3384</c:v>
                </c:pt>
                <c:pt idx="62">
                  <c:v>33.927</c:v>
                </c:pt>
                <c:pt idx="63">
                  <c:v>33.385399999999997</c:v>
                </c:pt>
                <c:pt idx="64">
                  <c:v>32.784300000000002</c:v>
                </c:pt>
                <c:pt idx="65">
                  <c:v>32.198599999999999</c:v>
                </c:pt>
                <c:pt idx="66">
                  <c:v>31.574999999999996</c:v>
                </c:pt>
                <c:pt idx="67">
                  <c:v>30.898999999999997</c:v>
                </c:pt>
                <c:pt idx="68">
                  <c:v>29.848500000000001</c:v>
                </c:pt>
                <c:pt idx="69">
                  <c:v>28.347499999999997</c:v>
                </c:pt>
                <c:pt idx="70">
                  <c:v>26.857300000000002</c:v>
                </c:pt>
                <c:pt idx="71">
                  <c:v>26.2118</c:v>
                </c:pt>
                <c:pt idx="72">
                  <c:v>25.173000000000002</c:v>
                </c:pt>
                <c:pt idx="73">
                  <c:v>24.6921</c:v>
                </c:pt>
                <c:pt idx="74">
                  <c:v>25.569500000000001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2.6653627027027027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48.004951351351338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2.6887490540540537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35.776308108108111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2.6887490540540537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35.776308108108111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0.16516155190752269</c:v>
                </c:pt>
                <c:pt idx="1">
                  <c:v>0.35094641865311127</c:v>
                </c:pt>
                <c:pt idx="2">
                  <c:v>0.48389202943936616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0.399501</c:v>
                </c:pt>
                <c:pt idx="2">
                  <c:v>0.81328299999999998</c:v>
                </c:pt>
                <c:pt idx="3">
                  <c:v>1.2192499999999999</c:v>
                </c:pt>
                <c:pt idx="4">
                  <c:v>1.6231500000000001</c:v>
                </c:pt>
                <c:pt idx="5">
                  <c:v>2.0301999999999998</c:v>
                </c:pt>
                <c:pt idx="6">
                  <c:v>2.4350399999999999</c:v>
                </c:pt>
                <c:pt idx="7">
                  <c:v>2.8439800000000002</c:v>
                </c:pt>
                <c:pt idx="8">
                  <c:v>3.2497199999999999</c:v>
                </c:pt>
                <c:pt idx="9">
                  <c:v>3.6508799999999999</c:v>
                </c:pt>
                <c:pt idx="10">
                  <c:v>4.0616199999999996</c:v>
                </c:pt>
                <c:pt idx="11">
                  <c:v>4.4685699999999997</c:v>
                </c:pt>
                <c:pt idx="12">
                  <c:v>4.8704200000000002</c:v>
                </c:pt>
                <c:pt idx="13">
                  <c:v>5.2824099999999996</c:v>
                </c:pt>
                <c:pt idx="14">
                  <c:v>5.6823600000000001</c:v>
                </c:pt>
                <c:pt idx="15">
                  <c:v>6.0931800000000003</c:v>
                </c:pt>
                <c:pt idx="16">
                  <c:v>6.5020499999999997</c:v>
                </c:pt>
                <c:pt idx="17">
                  <c:v>6.9049800000000001</c:v>
                </c:pt>
                <c:pt idx="18">
                  <c:v>7.3134199999999998</c:v>
                </c:pt>
                <c:pt idx="19">
                  <c:v>7.7168999999999999</c:v>
                </c:pt>
                <c:pt idx="20">
                  <c:v>8.1257699999999993</c:v>
                </c:pt>
                <c:pt idx="21">
                  <c:v>8.5296000000000003</c:v>
                </c:pt>
                <c:pt idx="22">
                  <c:v>8.9375300000000006</c:v>
                </c:pt>
                <c:pt idx="23">
                  <c:v>9.3404299999999996</c:v>
                </c:pt>
                <c:pt idx="24">
                  <c:v>9.7495499999999993</c:v>
                </c:pt>
                <c:pt idx="25">
                  <c:v>10.1553</c:v>
                </c:pt>
                <c:pt idx="26">
                  <c:v>10.564299999999999</c:v>
                </c:pt>
                <c:pt idx="27">
                  <c:v>10.963800000000001</c:v>
                </c:pt>
                <c:pt idx="28">
                  <c:v>11.372</c:v>
                </c:pt>
                <c:pt idx="29">
                  <c:v>11.781000000000001</c:v>
                </c:pt>
                <c:pt idx="30">
                  <c:v>12.1839</c:v>
                </c:pt>
                <c:pt idx="31">
                  <c:v>12.591799999999999</c:v>
                </c:pt>
                <c:pt idx="32">
                  <c:v>13.0037</c:v>
                </c:pt>
                <c:pt idx="33">
                  <c:v>13.403600000000001</c:v>
                </c:pt>
                <c:pt idx="34">
                  <c:v>13.8096</c:v>
                </c:pt>
                <c:pt idx="35">
                  <c:v>14.2204</c:v>
                </c:pt>
                <c:pt idx="36">
                  <c:v>14.6273</c:v>
                </c:pt>
                <c:pt idx="37">
                  <c:v>15.03</c:v>
                </c:pt>
                <c:pt idx="38">
                  <c:v>15.432399999999999</c:v>
                </c:pt>
                <c:pt idx="39">
                  <c:v>15.8414</c:v>
                </c:pt>
                <c:pt idx="40">
                  <c:v>16.248999999999999</c:v>
                </c:pt>
                <c:pt idx="41">
                  <c:v>16.657900000000001</c:v>
                </c:pt>
                <c:pt idx="42">
                  <c:v>17.062799999999999</c:v>
                </c:pt>
                <c:pt idx="43">
                  <c:v>17.466999999999999</c:v>
                </c:pt>
                <c:pt idx="44">
                  <c:v>17.8749</c:v>
                </c:pt>
                <c:pt idx="45">
                  <c:v>18.281600000000001</c:v>
                </c:pt>
                <c:pt idx="46">
                  <c:v>18.682700000000001</c:v>
                </c:pt>
                <c:pt idx="47">
                  <c:v>19.093299999999999</c:v>
                </c:pt>
                <c:pt idx="48">
                  <c:v>19.499400000000001</c:v>
                </c:pt>
                <c:pt idx="49">
                  <c:v>19.901199999999999</c:v>
                </c:pt>
                <c:pt idx="50">
                  <c:v>20.3111</c:v>
                </c:pt>
                <c:pt idx="51">
                  <c:v>20.719100000000001</c:v>
                </c:pt>
                <c:pt idx="52">
                  <c:v>21.123000000000001</c:v>
                </c:pt>
                <c:pt idx="53">
                  <c:v>21.530899999999999</c:v>
                </c:pt>
                <c:pt idx="54">
                  <c:v>21.934100000000001</c:v>
                </c:pt>
                <c:pt idx="55">
                  <c:v>22.337900000000001</c:v>
                </c:pt>
                <c:pt idx="56">
                  <c:v>22.750800000000002</c:v>
                </c:pt>
                <c:pt idx="57">
                  <c:v>23.155100000000001</c:v>
                </c:pt>
                <c:pt idx="58">
                  <c:v>23.5594</c:v>
                </c:pt>
                <c:pt idx="59">
                  <c:v>23.963100000000001</c:v>
                </c:pt>
                <c:pt idx="60">
                  <c:v>24.369900000000001</c:v>
                </c:pt>
                <c:pt idx="61">
                  <c:v>24.782399999999999</c:v>
                </c:pt>
                <c:pt idx="62">
                  <c:v>25.1861</c:v>
                </c:pt>
                <c:pt idx="63">
                  <c:v>25.589099999999998</c:v>
                </c:pt>
                <c:pt idx="64">
                  <c:v>25.995899999999999</c:v>
                </c:pt>
                <c:pt idx="65">
                  <c:v>26.4069</c:v>
                </c:pt>
                <c:pt idx="66">
                  <c:v>26.808499999999999</c:v>
                </c:pt>
                <c:pt idx="67">
                  <c:v>27.216999999999999</c:v>
                </c:pt>
                <c:pt idx="68">
                  <c:v>27.619599999999998</c:v>
                </c:pt>
                <c:pt idx="69">
                  <c:v>28.029499999999999</c:v>
                </c:pt>
                <c:pt idx="70">
                  <c:v>28.435500000000001</c:v>
                </c:pt>
                <c:pt idx="71">
                  <c:v>28.8446</c:v>
                </c:pt>
                <c:pt idx="72">
                  <c:v>29.251200000000001</c:v>
                </c:pt>
                <c:pt idx="73">
                  <c:v>29.659300000000002</c:v>
                </c:pt>
                <c:pt idx="74">
                  <c:v>30.251899999999999</c:v>
                </c:pt>
                <c:pt idx="75">
                  <c:v>30.627500000000001</c:v>
                </c:pt>
                <c:pt idx="76">
                  <c:v>31.0002</c:v>
                </c:pt>
                <c:pt idx="77">
                  <c:v>31.3749</c:v>
                </c:pt>
                <c:pt idx="78">
                  <c:v>31.7498</c:v>
                </c:pt>
                <c:pt idx="79">
                  <c:v>32.137500000000003</c:v>
                </c:pt>
                <c:pt idx="80">
                  <c:v>32.546599999999998</c:v>
                </c:pt>
                <c:pt idx="81">
                  <c:v>32.953400000000002</c:v>
                </c:pt>
                <c:pt idx="82">
                  <c:v>33.362200000000001</c:v>
                </c:pt>
                <c:pt idx="83">
                  <c:v>33.764200000000002</c:v>
                </c:pt>
                <c:pt idx="84">
                  <c:v>34.171100000000003</c:v>
                </c:pt>
                <c:pt idx="85">
                  <c:v>34.575099999999999</c:v>
                </c:pt>
                <c:pt idx="86">
                  <c:v>34.986899999999999</c:v>
                </c:pt>
                <c:pt idx="87">
                  <c:v>35.39</c:v>
                </c:pt>
                <c:pt idx="88">
                  <c:v>35.794699999999999</c:v>
                </c:pt>
                <c:pt idx="89">
                  <c:v>36.200000000000003</c:v>
                </c:pt>
                <c:pt idx="90">
                  <c:v>36.607700000000001</c:v>
                </c:pt>
                <c:pt idx="91">
                  <c:v>37.017600000000002</c:v>
                </c:pt>
                <c:pt idx="92">
                  <c:v>37.419499999999999</c:v>
                </c:pt>
                <c:pt idx="93">
                  <c:v>37.827199999999998</c:v>
                </c:pt>
                <c:pt idx="94">
                  <c:v>38.231200000000001</c:v>
                </c:pt>
                <c:pt idx="95">
                  <c:v>38.639200000000002</c:v>
                </c:pt>
                <c:pt idx="96">
                  <c:v>39.048999999999999</c:v>
                </c:pt>
                <c:pt idx="97">
                  <c:v>39.454300000000003</c:v>
                </c:pt>
                <c:pt idx="98">
                  <c:v>39.860799999999998</c:v>
                </c:pt>
                <c:pt idx="99">
                  <c:v>40.2637</c:v>
                </c:pt>
                <c:pt idx="100">
                  <c:v>40.671900000000001</c:v>
                </c:pt>
                <c:pt idx="101">
                  <c:v>41.074800000000003</c:v>
                </c:pt>
                <c:pt idx="102">
                  <c:v>41.485500000000002</c:v>
                </c:pt>
                <c:pt idx="103">
                  <c:v>41.891399999999997</c:v>
                </c:pt>
                <c:pt idx="104">
                  <c:v>42.294499999999999</c:v>
                </c:pt>
                <c:pt idx="105">
                  <c:v>42.698300000000003</c:v>
                </c:pt>
                <c:pt idx="106">
                  <c:v>43.107300000000002</c:v>
                </c:pt>
                <c:pt idx="107">
                  <c:v>43.516300000000001</c:v>
                </c:pt>
                <c:pt idx="108">
                  <c:v>43.920099999999998</c:v>
                </c:pt>
                <c:pt idx="109">
                  <c:v>44.3249</c:v>
                </c:pt>
                <c:pt idx="110">
                  <c:v>44.731900000000003</c:v>
                </c:pt>
                <c:pt idx="111">
                  <c:v>45.136000000000003</c:v>
                </c:pt>
                <c:pt idx="112">
                  <c:v>45.547699999999999</c:v>
                </c:pt>
                <c:pt idx="113">
                  <c:v>45.951599999999999</c:v>
                </c:pt>
                <c:pt idx="114">
                  <c:v>46.360500000000002</c:v>
                </c:pt>
                <c:pt idx="115">
                  <c:v>46.7624</c:v>
                </c:pt>
                <c:pt idx="116">
                  <c:v>47.170400000000001</c:v>
                </c:pt>
                <c:pt idx="117">
                  <c:v>47.573</c:v>
                </c:pt>
                <c:pt idx="118">
                  <c:v>47.984299999999998</c:v>
                </c:pt>
                <c:pt idx="119">
                  <c:v>48.39</c:v>
                </c:pt>
                <c:pt idx="120">
                  <c:v>48.795000000000002</c:v>
                </c:pt>
                <c:pt idx="121">
                  <c:v>49.201300000000003</c:v>
                </c:pt>
                <c:pt idx="122">
                  <c:v>49.6068</c:v>
                </c:pt>
                <c:pt idx="123">
                  <c:v>50.014800000000001</c:v>
                </c:pt>
                <c:pt idx="124">
                  <c:v>50.418700000000001</c:v>
                </c:pt>
                <c:pt idx="125">
                  <c:v>50.827599999999997</c:v>
                </c:pt>
                <c:pt idx="126">
                  <c:v>51.234499999999997</c:v>
                </c:pt>
                <c:pt idx="127">
                  <c:v>51.6374</c:v>
                </c:pt>
                <c:pt idx="128">
                  <c:v>52.0413</c:v>
                </c:pt>
                <c:pt idx="129">
                  <c:v>52.448399999999999</c:v>
                </c:pt>
                <c:pt idx="130">
                  <c:v>52.856200000000001</c:v>
                </c:pt>
                <c:pt idx="131">
                  <c:v>53.266300000000001</c:v>
                </c:pt>
                <c:pt idx="132">
                  <c:v>53.668999999999997</c:v>
                </c:pt>
                <c:pt idx="133">
                  <c:v>54.073999999999998</c:v>
                </c:pt>
                <c:pt idx="134">
                  <c:v>54.483899999999998</c:v>
                </c:pt>
                <c:pt idx="135">
                  <c:v>54.890700000000002</c:v>
                </c:pt>
                <c:pt idx="136">
                  <c:v>55.292299999999997</c:v>
                </c:pt>
                <c:pt idx="137">
                  <c:v>55.699800000000003</c:v>
                </c:pt>
                <c:pt idx="138">
                  <c:v>56.107500000000002</c:v>
                </c:pt>
                <c:pt idx="139">
                  <c:v>56.512599999999999</c:v>
                </c:pt>
                <c:pt idx="140">
                  <c:v>56.921300000000002</c:v>
                </c:pt>
                <c:pt idx="141">
                  <c:v>57.3264</c:v>
                </c:pt>
                <c:pt idx="142">
                  <c:v>57.730899999999998</c:v>
                </c:pt>
                <c:pt idx="143">
                  <c:v>58.137999999999998</c:v>
                </c:pt>
                <c:pt idx="144">
                  <c:v>58.545299999999997</c:v>
                </c:pt>
                <c:pt idx="145">
                  <c:v>58.948</c:v>
                </c:pt>
                <c:pt idx="146">
                  <c:v>59.358699999999999</c:v>
                </c:pt>
                <c:pt idx="147">
                  <c:v>59.762700000000002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2.1335899999999999</c:v>
                </c:pt>
                <c:pt idx="1">
                  <c:v>2.2002099999999998</c:v>
                </c:pt>
                <c:pt idx="2">
                  <c:v>2.2634000000000003</c:v>
                </c:pt>
                <c:pt idx="3">
                  <c:v>2.3230999999999997</c:v>
                </c:pt>
                <c:pt idx="4">
                  <c:v>2.37914</c:v>
                </c:pt>
                <c:pt idx="5">
                  <c:v>2.4330400000000001</c:v>
                </c:pt>
                <c:pt idx="6">
                  <c:v>2.48447</c:v>
                </c:pt>
                <c:pt idx="7">
                  <c:v>2.5342099999999999</c:v>
                </c:pt>
                <c:pt idx="8">
                  <c:v>2.58168</c:v>
                </c:pt>
                <c:pt idx="9">
                  <c:v>2.6266099999999999</c:v>
                </c:pt>
                <c:pt idx="10">
                  <c:v>2.6699800000000002</c:v>
                </c:pt>
                <c:pt idx="11">
                  <c:v>2.7117200000000001</c:v>
                </c:pt>
                <c:pt idx="12">
                  <c:v>2.7518700000000003</c:v>
                </c:pt>
                <c:pt idx="13">
                  <c:v>2.7904900000000001</c:v>
                </c:pt>
                <c:pt idx="14">
                  <c:v>2.8279999999999998</c:v>
                </c:pt>
                <c:pt idx="15">
                  <c:v>2.8635000000000002</c:v>
                </c:pt>
                <c:pt idx="16">
                  <c:v>2.8931400000000003</c:v>
                </c:pt>
                <c:pt idx="17">
                  <c:v>2.91248</c:v>
                </c:pt>
                <c:pt idx="18">
                  <c:v>2.9266100000000002</c:v>
                </c:pt>
                <c:pt idx="19">
                  <c:v>2.9403299999999999</c:v>
                </c:pt>
                <c:pt idx="20">
                  <c:v>2.9507400000000001</c:v>
                </c:pt>
                <c:pt idx="21">
                  <c:v>2.9597199999999999</c:v>
                </c:pt>
                <c:pt idx="22">
                  <c:v>2.9681999999999995</c:v>
                </c:pt>
                <c:pt idx="23">
                  <c:v>2.9754100000000001</c:v>
                </c:pt>
                <c:pt idx="24">
                  <c:v>2.9805700000000002</c:v>
                </c:pt>
                <c:pt idx="25">
                  <c:v>2.9848599999999998</c:v>
                </c:pt>
                <c:pt idx="26">
                  <c:v>2.9862799999999998</c:v>
                </c:pt>
                <c:pt idx="27">
                  <c:v>2.9847000000000001</c:v>
                </c:pt>
                <c:pt idx="28">
                  <c:v>2.9787000000000003</c:v>
                </c:pt>
                <c:pt idx="29">
                  <c:v>2.9711100000000004</c:v>
                </c:pt>
                <c:pt idx="30">
                  <c:v>2.96041</c:v>
                </c:pt>
                <c:pt idx="31">
                  <c:v>2.9470299999999998</c:v>
                </c:pt>
                <c:pt idx="32">
                  <c:v>2.93221</c:v>
                </c:pt>
                <c:pt idx="33">
                  <c:v>2.91629</c:v>
                </c:pt>
                <c:pt idx="34">
                  <c:v>2.8992200000000001</c:v>
                </c:pt>
                <c:pt idx="35">
                  <c:v>2.8805900000000002</c:v>
                </c:pt>
                <c:pt idx="36">
                  <c:v>2.8607800000000001</c:v>
                </c:pt>
                <c:pt idx="37">
                  <c:v>2.84</c:v>
                </c:pt>
                <c:pt idx="38">
                  <c:v>2.8156999999999996</c:v>
                </c:pt>
                <c:pt idx="39">
                  <c:v>2.7877299999999998</c:v>
                </c:pt>
                <c:pt idx="40">
                  <c:v>2.7572700000000001</c:v>
                </c:pt>
                <c:pt idx="41">
                  <c:v>2.7269500000000004</c:v>
                </c:pt>
                <c:pt idx="42">
                  <c:v>2.6977699999999998</c:v>
                </c:pt>
                <c:pt idx="43">
                  <c:v>2.6698499999999998</c:v>
                </c:pt>
                <c:pt idx="44">
                  <c:v>2.6415499999999996</c:v>
                </c:pt>
                <c:pt idx="45">
                  <c:v>2.6155299999999997</c:v>
                </c:pt>
                <c:pt idx="46">
                  <c:v>2.59015</c:v>
                </c:pt>
                <c:pt idx="47">
                  <c:v>2.5649600000000001</c:v>
                </c:pt>
                <c:pt idx="48">
                  <c:v>2.53952</c:v>
                </c:pt>
                <c:pt idx="49">
                  <c:v>2.5140000000000002</c:v>
                </c:pt>
                <c:pt idx="50">
                  <c:v>2.4910700000000001</c:v>
                </c:pt>
                <c:pt idx="51">
                  <c:v>2.4690300000000001</c:v>
                </c:pt>
                <c:pt idx="52">
                  <c:v>2.4510800000000001</c:v>
                </c:pt>
                <c:pt idx="53">
                  <c:v>2.4414899999999999</c:v>
                </c:pt>
                <c:pt idx="54">
                  <c:v>2.4346899999999998</c:v>
                </c:pt>
                <c:pt idx="55">
                  <c:v>2.43032</c:v>
                </c:pt>
                <c:pt idx="56">
                  <c:v>2.4315899999999999</c:v>
                </c:pt>
                <c:pt idx="57">
                  <c:v>2.42754</c:v>
                </c:pt>
                <c:pt idx="58">
                  <c:v>2.4295400000000003</c:v>
                </c:pt>
                <c:pt idx="59">
                  <c:v>2.4335899999999997</c:v>
                </c:pt>
                <c:pt idx="60">
                  <c:v>2.4413199999999997</c:v>
                </c:pt>
                <c:pt idx="61">
                  <c:v>2.4569000000000001</c:v>
                </c:pt>
                <c:pt idx="62">
                  <c:v>2.4602499999999998</c:v>
                </c:pt>
                <c:pt idx="63">
                  <c:v>2.47322</c:v>
                </c:pt>
                <c:pt idx="64">
                  <c:v>2.48766</c:v>
                </c:pt>
                <c:pt idx="65">
                  <c:v>2.50922</c:v>
                </c:pt>
                <c:pt idx="66">
                  <c:v>2.52142</c:v>
                </c:pt>
                <c:pt idx="67">
                  <c:v>2.5476900000000002</c:v>
                </c:pt>
                <c:pt idx="68">
                  <c:v>2.5695099999999997</c:v>
                </c:pt>
                <c:pt idx="69">
                  <c:v>2.5920399999999999</c:v>
                </c:pt>
                <c:pt idx="70">
                  <c:v>2.61511</c:v>
                </c:pt>
                <c:pt idx="71">
                  <c:v>2.63801</c:v>
                </c:pt>
                <c:pt idx="72">
                  <c:v>2.6557599999999999</c:v>
                </c:pt>
                <c:pt idx="73">
                  <c:v>2.6834200000000004</c:v>
                </c:pt>
                <c:pt idx="74">
                  <c:v>2.7056799999999996</c:v>
                </c:pt>
                <c:pt idx="75">
                  <c:v>2.7263999999999999</c:v>
                </c:pt>
                <c:pt idx="76">
                  <c:v>2.7465099999999998</c:v>
                </c:pt>
                <c:pt idx="77">
                  <c:v>2.7652999999999999</c:v>
                </c:pt>
                <c:pt idx="78">
                  <c:v>2.7837200000000002</c:v>
                </c:pt>
                <c:pt idx="79">
                  <c:v>2.8019600000000002</c:v>
                </c:pt>
                <c:pt idx="80">
                  <c:v>2.8193400000000004</c:v>
                </c:pt>
                <c:pt idx="81">
                  <c:v>2.83521</c:v>
                </c:pt>
                <c:pt idx="82">
                  <c:v>2.8470800000000001</c:v>
                </c:pt>
                <c:pt idx="83">
                  <c:v>2.8574600000000001</c:v>
                </c:pt>
                <c:pt idx="84">
                  <c:v>2.8683900000000002</c:v>
                </c:pt>
                <c:pt idx="85">
                  <c:v>2.8786699999999996</c:v>
                </c:pt>
                <c:pt idx="86">
                  <c:v>2.8890900000000004</c:v>
                </c:pt>
                <c:pt idx="87">
                  <c:v>2.8995300000000004</c:v>
                </c:pt>
                <c:pt idx="88">
                  <c:v>2.9104799999999997</c:v>
                </c:pt>
                <c:pt idx="89">
                  <c:v>2.9224499999999995</c:v>
                </c:pt>
                <c:pt idx="90">
                  <c:v>2.9348200000000002</c:v>
                </c:pt>
                <c:pt idx="91">
                  <c:v>2.9455499999999999</c:v>
                </c:pt>
                <c:pt idx="92">
                  <c:v>2.9543699999999999</c:v>
                </c:pt>
                <c:pt idx="93">
                  <c:v>2.9612600000000002</c:v>
                </c:pt>
                <c:pt idx="94">
                  <c:v>2.9651000000000001</c:v>
                </c:pt>
                <c:pt idx="95">
                  <c:v>2.96469</c:v>
                </c:pt>
                <c:pt idx="96">
                  <c:v>2.9608800000000004</c:v>
                </c:pt>
                <c:pt idx="97">
                  <c:v>2.9537400000000003</c:v>
                </c:pt>
                <c:pt idx="98">
                  <c:v>2.9465500000000002</c:v>
                </c:pt>
                <c:pt idx="99">
                  <c:v>2.93811</c:v>
                </c:pt>
                <c:pt idx="100">
                  <c:v>2.9231600000000002</c:v>
                </c:pt>
                <c:pt idx="101">
                  <c:v>2.9078200000000001</c:v>
                </c:pt>
                <c:pt idx="102">
                  <c:v>2.8917799999999998</c:v>
                </c:pt>
                <c:pt idx="103">
                  <c:v>2.87486</c:v>
                </c:pt>
                <c:pt idx="104">
                  <c:v>2.8588999999999998</c:v>
                </c:pt>
                <c:pt idx="105">
                  <c:v>2.8436899999999996</c:v>
                </c:pt>
                <c:pt idx="106">
                  <c:v>2.8307799999999999</c:v>
                </c:pt>
                <c:pt idx="107">
                  <c:v>2.8176399999999999</c:v>
                </c:pt>
                <c:pt idx="108">
                  <c:v>2.80518</c:v>
                </c:pt>
                <c:pt idx="109">
                  <c:v>2.7898299999999998</c:v>
                </c:pt>
                <c:pt idx="110">
                  <c:v>2.7726600000000001</c:v>
                </c:pt>
                <c:pt idx="111">
                  <c:v>2.7539799999999999</c:v>
                </c:pt>
                <c:pt idx="112">
                  <c:v>2.73353</c:v>
                </c:pt>
                <c:pt idx="113">
                  <c:v>2.7099000000000002</c:v>
                </c:pt>
                <c:pt idx="114">
                  <c:v>2.6846900000000002</c:v>
                </c:pt>
                <c:pt idx="115">
                  <c:v>2.6585100000000002</c:v>
                </c:pt>
                <c:pt idx="116">
                  <c:v>2.63334</c:v>
                </c:pt>
                <c:pt idx="117">
                  <c:v>2.6060100000000004</c:v>
                </c:pt>
                <c:pt idx="118">
                  <c:v>2.5804899999999997</c:v>
                </c:pt>
                <c:pt idx="119">
                  <c:v>2.5611699999999997</c:v>
                </c:pt>
                <c:pt idx="120">
                  <c:v>2.5453799999999998</c:v>
                </c:pt>
                <c:pt idx="121">
                  <c:v>2.5335800000000002</c:v>
                </c:pt>
                <c:pt idx="122">
                  <c:v>2.5242800000000001</c:v>
                </c:pt>
                <c:pt idx="123">
                  <c:v>2.5160999999999998</c:v>
                </c:pt>
                <c:pt idx="124">
                  <c:v>2.5119399999999996</c:v>
                </c:pt>
                <c:pt idx="125">
                  <c:v>2.5118</c:v>
                </c:pt>
                <c:pt idx="126">
                  <c:v>2.5110000000000001</c:v>
                </c:pt>
                <c:pt idx="127">
                  <c:v>2.5099500000000003</c:v>
                </c:pt>
                <c:pt idx="128">
                  <c:v>2.5073299999999996</c:v>
                </c:pt>
                <c:pt idx="129">
                  <c:v>2.5020500000000001</c:v>
                </c:pt>
                <c:pt idx="130">
                  <c:v>2.4951400000000001</c:v>
                </c:pt>
                <c:pt idx="131">
                  <c:v>2.4860600000000002</c:v>
                </c:pt>
                <c:pt idx="132">
                  <c:v>2.4776699999999998</c:v>
                </c:pt>
                <c:pt idx="133">
                  <c:v>2.4676200000000001</c:v>
                </c:pt>
                <c:pt idx="134">
                  <c:v>2.4559600000000001</c:v>
                </c:pt>
                <c:pt idx="135">
                  <c:v>2.4442699999999999</c:v>
                </c:pt>
                <c:pt idx="136">
                  <c:v>2.43241</c:v>
                </c:pt>
                <c:pt idx="137">
                  <c:v>2.4203199999999998</c:v>
                </c:pt>
                <c:pt idx="138">
                  <c:v>2.41221</c:v>
                </c:pt>
                <c:pt idx="139">
                  <c:v>2.4047800000000001</c:v>
                </c:pt>
                <c:pt idx="140">
                  <c:v>2.39676</c:v>
                </c:pt>
                <c:pt idx="141">
                  <c:v>2.3917199999999998</c:v>
                </c:pt>
                <c:pt idx="142">
                  <c:v>2.4020199999999998</c:v>
                </c:pt>
                <c:pt idx="143">
                  <c:v>2.4198300000000001</c:v>
                </c:pt>
                <c:pt idx="144">
                  <c:v>2.4249100000000001</c:v>
                </c:pt>
                <c:pt idx="145">
                  <c:v>2.43058</c:v>
                </c:pt>
                <c:pt idx="146">
                  <c:v>2.4186000000000001</c:v>
                </c:pt>
                <c:pt idx="147">
                  <c:v>2.3929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0.399501</c:v>
                </c:pt>
                <c:pt idx="2">
                  <c:v>0.81328299999999998</c:v>
                </c:pt>
                <c:pt idx="3">
                  <c:v>1.2192499999999999</c:v>
                </c:pt>
                <c:pt idx="4">
                  <c:v>1.6231500000000001</c:v>
                </c:pt>
                <c:pt idx="5">
                  <c:v>2.0301999999999998</c:v>
                </c:pt>
                <c:pt idx="6">
                  <c:v>2.4350399999999999</c:v>
                </c:pt>
                <c:pt idx="7">
                  <c:v>2.8439800000000002</c:v>
                </c:pt>
                <c:pt idx="8">
                  <c:v>3.2497199999999999</c:v>
                </c:pt>
                <c:pt idx="9">
                  <c:v>3.6508799999999999</c:v>
                </c:pt>
                <c:pt idx="10">
                  <c:v>4.0616199999999996</c:v>
                </c:pt>
                <c:pt idx="11">
                  <c:v>4.4685699999999997</c:v>
                </c:pt>
                <c:pt idx="12">
                  <c:v>4.8704200000000002</c:v>
                </c:pt>
                <c:pt idx="13">
                  <c:v>5.2824099999999996</c:v>
                </c:pt>
                <c:pt idx="14">
                  <c:v>5.6823600000000001</c:v>
                </c:pt>
                <c:pt idx="15">
                  <c:v>6.0931800000000003</c:v>
                </c:pt>
                <c:pt idx="16">
                  <c:v>6.5020499999999997</c:v>
                </c:pt>
                <c:pt idx="17">
                  <c:v>6.9049800000000001</c:v>
                </c:pt>
                <c:pt idx="18">
                  <c:v>7.3134199999999998</c:v>
                </c:pt>
                <c:pt idx="19">
                  <c:v>7.7168999999999999</c:v>
                </c:pt>
                <c:pt idx="20">
                  <c:v>8.1257699999999993</c:v>
                </c:pt>
                <c:pt idx="21">
                  <c:v>8.5296000000000003</c:v>
                </c:pt>
                <c:pt idx="22">
                  <c:v>8.9375300000000006</c:v>
                </c:pt>
                <c:pt idx="23">
                  <c:v>9.3404299999999996</c:v>
                </c:pt>
                <c:pt idx="24">
                  <c:v>9.7495499999999993</c:v>
                </c:pt>
                <c:pt idx="25">
                  <c:v>10.1553</c:v>
                </c:pt>
                <c:pt idx="26">
                  <c:v>10.564299999999999</c:v>
                </c:pt>
                <c:pt idx="27">
                  <c:v>10.963800000000001</c:v>
                </c:pt>
                <c:pt idx="28">
                  <c:v>11.372</c:v>
                </c:pt>
                <c:pt idx="29">
                  <c:v>11.781000000000001</c:v>
                </c:pt>
                <c:pt idx="30">
                  <c:v>12.1839</c:v>
                </c:pt>
                <c:pt idx="31">
                  <c:v>12.591799999999999</c:v>
                </c:pt>
                <c:pt idx="32">
                  <c:v>13.0037</c:v>
                </c:pt>
                <c:pt idx="33">
                  <c:v>13.403600000000001</c:v>
                </c:pt>
                <c:pt idx="34">
                  <c:v>13.8096</c:v>
                </c:pt>
                <c:pt idx="35">
                  <c:v>14.2204</c:v>
                </c:pt>
                <c:pt idx="36">
                  <c:v>14.6273</c:v>
                </c:pt>
                <c:pt idx="37">
                  <c:v>15.03</c:v>
                </c:pt>
                <c:pt idx="38">
                  <c:v>15.432399999999999</c:v>
                </c:pt>
                <c:pt idx="39">
                  <c:v>15.8414</c:v>
                </c:pt>
                <c:pt idx="40">
                  <c:v>16.248999999999999</c:v>
                </c:pt>
                <c:pt idx="41">
                  <c:v>16.657900000000001</c:v>
                </c:pt>
                <c:pt idx="42">
                  <c:v>17.062799999999999</c:v>
                </c:pt>
                <c:pt idx="43">
                  <c:v>17.466999999999999</c:v>
                </c:pt>
                <c:pt idx="44">
                  <c:v>17.8749</c:v>
                </c:pt>
                <c:pt idx="45">
                  <c:v>18.281600000000001</c:v>
                </c:pt>
                <c:pt idx="46">
                  <c:v>18.682700000000001</c:v>
                </c:pt>
                <c:pt idx="47">
                  <c:v>19.093299999999999</c:v>
                </c:pt>
                <c:pt idx="48">
                  <c:v>19.499400000000001</c:v>
                </c:pt>
                <c:pt idx="49">
                  <c:v>19.901199999999999</c:v>
                </c:pt>
                <c:pt idx="50">
                  <c:v>20.3111</c:v>
                </c:pt>
                <c:pt idx="51">
                  <c:v>20.719100000000001</c:v>
                </c:pt>
                <c:pt idx="52">
                  <c:v>21.123000000000001</c:v>
                </c:pt>
                <c:pt idx="53">
                  <c:v>21.530899999999999</c:v>
                </c:pt>
                <c:pt idx="54">
                  <c:v>21.934100000000001</c:v>
                </c:pt>
                <c:pt idx="55">
                  <c:v>22.337900000000001</c:v>
                </c:pt>
                <c:pt idx="56">
                  <c:v>22.750800000000002</c:v>
                </c:pt>
                <c:pt idx="57">
                  <c:v>23.155100000000001</c:v>
                </c:pt>
                <c:pt idx="58">
                  <c:v>23.5594</c:v>
                </c:pt>
                <c:pt idx="59">
                  <c:v>23.963100000000001</c:v>
                </c:pt>
                <c:pt idx="60">
                  <c:v>24.369900000000001</c:v>
                </c:pt>
                <c:pt idx="61">
                  <c:v>24.782399999999999</c:v>
                </c:pt>
                <c:pt idx="62">
                  <c:v>25.1861</c:v>
                </c:pt>
                <c:pt idx="63">
                  <c:v>25.589099999999998</c:v>
                </c:pt>
                <c:pt idx="64">
                  <c:v>25.995899999999999</c:v>
                </c:pt>
                <c:pt idx="65">
                  <c:v>26.4069</c:v>
                </c:pt>
                <c:pt idx="66">
                  <c:v>26.808499999999999</c:v>
                </c:pt>
                <c:pt idx="67">
                  <c:v>27.216999999999999</c:v>
                </c:pt>
                <c:pt idx="68">
                  <c:v>27.619599999999998</c:v>
                </c:pt>
                <c:pt idx="69">
                  <c:v>28.029499999999999</c:v>
                </c:pt>
                <c:pt idx="70">
                  <c:v>28.435500000000001</c:v>
                </c:pt>
                <c:pt idx="71">
                  <c:v>28.8446</c:v>
                </c:pt>
                <c:pt idx="72">
                  <c:v>29.251200000000001</c:v>
                </c:pt>
                <c:pt idx="73">
                  <c:v>29.659300000000002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2.1335899999999999</c:v>
                </c:pt>
                <c:pt idx="1">
                  <c:v>2.2002099999999998</c:v>
                </c:pt>
                <c:pt idx="2">
                  <c:v>2.2634000000000003</c:v>
                </c:pt>
                <c:pt idx="3">
                  <c:v>2.3230999999999997</c:v>
                </c:pt>
                <c:pt idx="4">
                  <c:v>2.37914</c:v>
                </c:pt>
                <c:pt idx="5">
                  <c:v>2.4330400000000001</c:v>
                </c:pt>
                <c:pt idx="6">
                  <c:v>2.48447</c:v>
                </c:pt>
                <c:pt idx="7">
                  <c:v>2.5342099999999999</c:v>
                </c:pt>
                <c:pt idx="8">
                  <c:v>2.58168</c:v>
                </c:pt>
                <c:pt idx="9">
                  <c:v>2.6266099999999999</c:v>
                </c:pt>
                <c:pt idx="10">
                  <c:v>2.6699800000000002</c:v>
                </c:pt>
                <c:pt idx="11">
                  <c:v>2.7117200000000001</c:v>
                </c:pt>
                <c:pt idx="12">
                  <c:v>2.7518700000000003</c:v>
                </c:pt>
                <c:pt idx="13">
                  <c:v>2.7904900000000001</c:v>
                </c:pt>
                <c:pt idx="14">
                  <c:v>2.8279999999999998</c:v>
                </c:pt>
                <c:pt idx="15">
                  <c:v>2.8635000000000002</c:v>
                </c:pt>
                <c:pt idx="16">
                  <c:v>2.8931400000000003</c:v>
                </c:pt>
                <c:pt idx="17">
                  <c:v>2.91248</c:v>
                </c:pt>
                <c:pt idx="18">
                  <c:v>2.9266100000000002</c:v>
                </c:pt>
                <c:pt idx="19">
                  <c:v>2.9403299999999999</c:v>
                </c:pt>
                <c:pt idx="20">
                  <c:v>2.9507400000000001</c:v>
                </c:pt>
                <c:pt idx="21">
                  <c:v>2.9597199999999999</c:v>
                </c:pt>
                <c:pt idx="22">
                  <c:v>2.9681999999999995</c:v>
                </c:pt>
                <c:pt idx="23">
                  <c:v>2.9754100000000001</c:v>
                </c:pt>
                <c:pt idx="24">
                  <c:v>2.9805700000000002</c:v>
                </c:pt>
                <c:pt idx="25">
                  <c:v>2.9848599999999998</c:v>
                </c:pt>
                <c:pt idx="26">
                  <c:v>2.9862799999999998</c:v>
                </c:pt>
                <c:pt idx="27">
                  <c:v>2.9847000000000001</c:v>
                </c:pt>
                <c:pt idx="28">
                  <c:v>2.9787000000000003</c:v>
                </c:pt>
                <c:pt idx="29">
                  <c:v>2.9711100000000004</c:v>
                </c:pt>
                <c:pt idx="30">
                  <c:v>2.96041</c:v>
                </c:pt>
                <c:pt idx="31">
                  <c:v>2.9470299999999998</c:v>
                </c:pt>
                <c:pt idx="32">
                  <c:v>2.93221</c:v>
                </c:pt>
                <c:pt idx="33">
                  <c:v>2.91629</c:v>
                </c:pt>
                <c:pt idx="34">
                  <c:v>2.8992200000000001</c:v>
                </c:pt>
                <c:pt idx="35">
                  <c:v>2.8805900000000002</c:v>
                </c:pt>
                <c:pt idx="36">
                  <c:v>2.8607800000000001</c:v>
                </c:pt>
                <c:pt idx="37">
                  <c:v>2.84</c:v>
                </c:pt>
                <c:pt idx="38">
                  <c:v>2.8156999999999996</c:v>
                </c:pt>
                <c:pt idx="39">
                  <c:v>2.7877299999999998</c:v>
                </c:pt>
                <c:pt idx="40">
                  <c:v>2.7572700000000001</c:v>
                </c:pt>
                <c:pt idx="41">
                  <c:v>2.7269500000000004</c:v>
                </c:pt>
                <c:pt idx="42">
                  <c:v>2.6977699999999998</c:v>
                </c:pt>
                <c:pt idx="43">
                  <c:v>2.6698499999999998</c:v>
                </c:pt>
                <c:pt idx="44">
                  <c:v>2.6415499999999996</c:v>
                </c:pt>
                <c:pt idx="45">
                  <c:v>2.6155299999999997</c:v>
                </c:pt>
                <c:pt idx="46">
                  <c:v>2.59015</c:v>
                </c:pt>
                <c:pt idx="47">
                  <c:v>2.5649600000000001</c:v>
                </c:pt>
                <c:pt idx="48">
                  <c:v>2.53952</c:v>
                </c:pt>
                <c:pt idx="49">
                  <c:v>2.5140000000000002</c:v>
                </c:pt>
                <c:pt idx="50">
                  <c:v>2.4910700000000001</c:v>
                </c:pt>
                <c:pt idx="51">
                  <c:v>2.4690300000000001</c:v>
                </c:pt>
                <c:pt idx="52">
                  <c:v>2.4510800000000001</c:v>
                </c:pt>
                <c:pt idx="53">
                  <c:v>2.4414899999999999</c:v>
                </c:pt>
                <c:pt idx="54">
                  <c:v>2.4346899999999998</c:v>
                </c:pt>
                <c:pt idx="55">
                  <c:v>2.43032</c:v>
                </c:pt>
                <c:pt idx="56">
                  <c:v>2.4315899999999999</c:v>
                </c:pt>
                <c:pt idx="57">
                  <c:v>2.42754</c:v>
                </c:pt>
                <c:pt idx="58">
                  <c:v>2.4295400000000003</c:v>
                </c:pt>
                <c:pt idx="59">
                  <c:v>2.4335899999999997</c:v>
                </c:pt>
                <c:pt idx="60">
                  <c:v>2.4413199999999997</c:v>
                </c:pt>
                <c:pt idx="61">
                  <c:v>2.4569000000000001</c:v>
                </c:pt>
                <c:pt idx="62">
                  <c:v>2.4602499999999998</c:v>
                </c:pt>
                <c:pt idx="63">
                  <c:v>2.47322</c:v>
                </c:pt>
                <c:pt idx="64">
                  <c:v>2.48766</c:v>
                </c:pt>
                <c:pt idx="65">
                  <c:v>2.50922</c:v>
                </c:pt>
                <c:pt idx="66">
                  <c:v>2.52142</c:v>
                </c:pt>
                <c:pt idx="67">
                  <c:v>2.5476900000000002</c:v>
                </c:pt>
                <c:pt idx="68">
                  <c:v>2.5695099999999997</c:v>
                </c:pt>
                <c:pt idx="69">
                  <c:v>2.5920399999999999</c:v>
                </c:pt>
                <c:pt idx="70">
                  <c:v>2.61511</c:v>
                </c:pt>
                <c:pt idx="71">
                  <c:v>2.63801</c:v>
                </c:pt>
                <c:pt idx="72">
                  <c:v>2.6557599999999999</c:v>
                </c:pt>
                <c:pt idx="73">
                  <c:v>2.6834200000000004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29.659300000000002</c:v>
                </c:pt>
                <c:pt idx="1">
                  <c:v>30.251899999999999</c:v>
                </c:pt>
                <c:pt idx="2">
                  <c:v>30.627500000000001</c:v>
                </c:pt>
                <c:pt idx="3">
                  <c:v>31.0002</c:v>
                </c:pt>
                <c:pt idx="4">
                  <c:v>31.3749</c:v>
                </c:pt>
                <c:pt idx="5">
                  <c:v>31.7498</c:v>
                </c:pt>
                <c:pt idx="6">
                  <c:v>32.137500000000003</c:v>
                </c:pt>
                <c:pt idx="7">
                  <c:v>32.546599999999998</c:v>
                </c:pt>
                <c:pt idx="8">
                  <c:v>32.953400000000002</c:v>
                </c:pt>
                <c:pt idx="9">
                  <c:v>33.362200000000001</c:v>
                </c:pt>
                <c:pt idx="10">
                  <c:v>33.764200000000002</c:v>
                </c:pt>
                <c:pt idx="11">
                  <c:v>34.171100000000003</c:v>
                </c:pt>
                <c:pt idx="12">
                  <c:v>34.575099999999999</c:v>
                </c:pt>
                <c:pt idx="13">
                  <c:v>34.986899999999999</c:v>
                </c:pt>
                <c:pt idx="14">
                  <c:v>35.39</c:v>
                </c:pt>
                <c:pt idx="15">
                  <c:v>35.794699999999999</c:v>
                </c:pt>
                <c:pt idx="16">
                  <c:v>36.200000000000003</c:v>
                </c:pt>
                <c:pt idx="17">
                  <c:v>36.607700000000001</c:v>
                </c:pt>
                <c:pt idx="18">
                  <c:v>37.017600000000002</c:v>
                </c:pt>
                <c:pt idx="19">
                  <c:v>37.419499999999999</c:v>
                </c:pt>
                <c:pt idx="20">
                  <c:v>37.827199999999998</c:v>
                </c:pt>
                <c:pt idx="21">
                  <c:v>38.231200000000001</c:v>
                </c:pt>
                <c:pt idx="22">
                  <c:v>38.639200000000002</c:v>
                </c:pt>
                <c:pt idx="23">
                  <c:v>39.048999999999999</c:v>
                </c:pt>
                <c:pt idx="24">
                  <c:v>39.454300000000003</c:v>
                </c:pt>
                <c:pt idx="25">
                  <c:v>39.860799999999998</c:v>
                </c:pt>
                <c:pt idx="26">
                  <c:v>40.2637</c:v>
                </c:pt>
                <c:pt idx="27">
                  <c:v>40.671900000000001</c:v>
                </c:pt>
                <c:pt idx="28">
                  <c:v>41.074800000000003</c:v>
                </c:pt>
                <c:pt idx="29">
                  <c:v>41.485500000000002</c:v>
                </c:pt>
                <c:pt idx="30">
                  <c:v>41.891399999999997</c:v>
                </c:pt>
                <c:pt idx="31">
                  <c:v>42.294499999999999</c:v>
                </c:pt>
                <c:pt idx="32">
                  <c:v>42.698300000000003</c:v>
                </c:pt>
                <c:pt idx="33">
                  <c:v>43.107300000000002</c:v>
                </c:pt>
                <c:pt idx="34">
                  <c:v>43.516300000000001</c:v>
                </c:pt>
                <c:pt idx="35">
                  <c:v>43.920099999999998</c:v>
                </c:pt>
                <c:pt idx="36">
                  <c:v>44.3249</c:v>
                </c:pt>
                <c:pt idx="37">
                  <c:v>44.731900000000003</c:v>
                </c:pt>
                <c:pt idx="38">
                  <c:v>45.136000000000003</c:v>
                </c:pt>
                <c:pt idx="39">
                  <c:v>45.547699999999999</c:v>
                </c:pt>
                <c:pt idx="40">
                  <c:v>45.951599999999999</c:v>
                </c:pt>
                <c:pt idx="41">
                  <c:v>46.360500000000002</c:v>
                </c:pt>
                <c:pt idx="42">
                  <c:v>46.7624</c:v>
                </c:pt>
                <c:pt idx="43">
                  <c:v>47.170400000000001</c:v>
                </c:pt>
                <c:pt idx="44">
                  <c:v>47.573</c:v>
                </c:pt>
                <c:pt idx="45">
                  <c:v>47.984299999999998</c:v>
                </c:pt>
                <c:pt idx="46">
                  <c:v>48.39</c:v>
                </c:pt>
                <c:pt idx="47">
                  <c:v>48.795000000000002</c:v>
                </c:pt>
                <c:pt idx="48">
                  <c:v>49.201300000000003</c:v>
                </c:pt>
                <c:pt idx="49">
                  <c:v>49.6068</c:v>
                </c:pt>
                <c:pt idx="50">
                  <c:v>50.014800000000001</c:v>
                </c:pt>
                <c:pt idx="51">
                  <c:v>50.418700000000001</c:v>
                </c:pt>
                <c:pt idx="52">
                  <c:v>50.827599999999997</c:v>
                </c:pt>
                <c:pt idx="53">
                  <c:v>51.234499999999997</c:v>
                </c:pt>
                <c:pt idx="54">
                  <c:v>51.6374</c:v>
                </c:pt>
                <c:pt idx="55">
                  <c:v>52.0413</c:v>
                </c:pt>
                <c:pt idx="56">
                  <c:v>52.448399999999999</c:v>
                </c:pt>
                <c:pt idx="57">
                  <c:v>52.856200000000001</c:v>
                </c:pt>
                <c:pt idx="58">
                  <c:v>53.266300000000001</c:v>
                </c:pt>
                <c:pt idx="59">
                  <c:v>53.668999999999997</c:v>
                </c:pt>
                <c:pt idx="60">
                  <c:v>54.073999999999998</c:v>
                </c:pt>
                <c:pt idx="61">
                  <c:v>54.483899999999998</c:v>
                </c:pt>
                <c:pt idx="62">
                  <c:v>54.890700000000002</c:v>
                </c:pt>
                <c:pt idx="63">
                  <c:v>55.292299999999997</c:v>
                </c:pt>
                <c:pt idx="64">
                  <c:v>55.699800000000003</c:v>
                </c:pt>
                <c:pt idx="65">
                  <c:v>56.107500000000002</c:v>
                </c:pt>
                <c:pt idx="66">
                  <c:v>56.512599999999999</c:v>
                </c:pt>
                <c:pt idx="67">
                  <c:v>56.921300000000002</c:v>
                </c:pt>
                <c:pt idx="68">
                  <c:v>57.3264</c:v>
                </c:pt>
                <c:pt idx="69">
                  <c:v>57.730899999999998</c:v>
                </c:pt>
                <c:pt idx="70">
                  <c:v>58.137999999999998</c:v>
                </c:pt>
                <c:pt idx="71">
                  <c:v>58.545299999999997</c:v>
                </c:pt>
                <c:pt idx="72">
                  <c:v>58.948</c:v>
                </c:pt>
                <c:pt idx="73">
                  <c:v>59.358699999999999</c:v>
                </c:pt>
                <c:pt idx="74">
                  <c:v>59.762700000000002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2.6834200000000004</c:v>
                </c:pt>
                <c:pt idx="1">
                  <c:v>2.7056799999999996</c:v>
                </c:pt>
                <c:pt idx="2">
                  <c:v>2.7263999999999999</c:v>
                </c:pt>
                <c:pt idx="3">
                  <c:v>2.7465099999999998</c:v>
                </c:pt>
                <c:pt idx="4">
                  <c:v>2.7652999999999999</c:v>
                </c:pt>
                <c:pt idx="5">
                  <c:v>2.7837200000000002</c:v>
                </c:pt>
                <c:pt idx="6">
                  <c:v>2.8019600000000002</c:v>
                </c:pt>
                <c:pt idx="7">
                  <c:v>2.8193400000000004</c:v>
                </c:pt>
                <c:pt idx="8">
                  <c:v>2.83521</c:v>
                </c:pt>
                <c:pt idx="9">
                  <c:v>2.8470800000000001</c:v>
                </c:pt>
                <c:pt idx="10">
                  <c:v>2.8574600000000001</c:v>
                </c:pt>
                <c:pt idx="11">
                  <c:v>2.8683900000000002</c:v>
                </c:pt>
                <c:pt idx="12">
                  <c:v>2.8786699999999996</c:v>
                </c:pt>
                <c:pt idx="13">
                  <c:v>2.8890900000000004</c:v>
                </c:pt>
                <c:pt idx="14">
                  <c:v>2.8995300000000004</c:v>
                </c:pt>
                <c:pt idx="15">
                  <c:v>2.9104799999999997</c:v>
                </c:pt>
                <c:pt idx="16">
                  <c:v>2.9224499999999995</c:v>
                </c:pt>
                <c:pt idx="17">
                  <c:v>2.9348200000000002</c:v>
                </c:pt>
                <c:pt idx="18">
                  <c:v>2.9455499999999999</c:v>
                </c:pt>
                <c:pt idx="19">
                  <c:v>2.9543699999999999</c:v>
                </c:pt>
                <c:pt idx="20">
                  <c:v>2.9612600000000002</c:v>
                </c:pt>
                <c:pt idx="21">
                  <c:v>2.9651000000000001</c:v>
                </c:pt>
                <c:pt idx="22">
                  <c:v>2.96469</c:v>
                </c:pt>
                <c:pt idx="23">
                  <c:v>2.9608800000000004</c:v>
                </c:pt>
                <c:pt idx="24">
                  <c:v>2.9537400000000003</c:v>
                </c:pt>
                <c:pt idx="25">
                  <c:v>2.9465500000000002</c:v>
                </c:pt>
                <c:pt idx="26">
                  <c:v>2.93811</c:v>
                </c:pt>
                <c:pt idx="27">
                  <c:v>2.9231600000000002</c:v>
                </c:pt>
                <c:pt idx="28">
                  <c:v>2.9078200000000001</c:v>
                </c:pt>
                <c:pt idx="29">
                  <c:v>2.8917799999999998</c:v>
                </c:pt>
                <c:pt idx="30">
                  <c:v>2.87486</c:v>
                </c:pt>
                <c:pt idx="31">
                  <c:v>2.8588999999999998</c:v>
                </c:pt>
                <c:pt idx="32">
                  <c:v>2.8436899999999996</c:v>
                </c:pt>
                <c:pt idx="33">
                  <c:v>2.8307799999999999</c:v>
                </c:pt>
                <c:pt idx="34">
                  <c:v>2.8176399999999999</c:v>
                </c:pt>
                <c:pt idx="35">
                  <c:v>2.80518</c:v>
                </c:pt>
                <c:pt idx="36">
                  <c:v>2.7898299999999998</c:v>
                </c:pt>
                <c:pt idx="37">
                  <c:v>2.7726600000000001</c:v>
                </c:pt>
                <c:pt idx="38">
                  <c:v>2.7539799999999999</c:v>
                </c:pt>
                <c:pt idx="39">
                  <c:v>2.73353</c:v>
                </c:pt>
                <c:pt idx="40">
                  <c:v>2.7099000000000002</c:v>
                </c:pt>
                <c:pt idx="41">
                  <c:v>2.6846900000000002</c:v>
                </c:pt>
                <c:pt idx="42">
                  <c:v>2.6585100000000002</c:v>
                </c:pt>
                <c:pt idx="43">
                  <c:v>2.63334</c:v>
                </c:pt>
                <c:pt idx="44">
                  <c:v>2.6060100000000004</c:v>
                </c:pt>
                <c:pt idx="45">
                  <c:v>2.5804899999999997</c:v>
                </c:pt>
                <c:pt idx="46">
                  <c:v>2.5611699999999997</c:v>
                </c:pt>
                <c:pt idx="47">
                  <c:v>2.5453799999999998</c:v>
                </c:pt>
                <c:pt idx="48">
                  <c:v>2.5335800000000002</c:v>
                </c:pt>
                <c:pt idx="49">
                  <c:v>2.5242800000000001</c:v>
                </c:pt>
                <c:pt idx="50">
                  <c:v>2.5160999999999998</c:v>
                </c:pt>
                <c:pt idx="51">
                  <c:v>2.5119399999999996</c:v>
                </c:pt>
                <c:pt idx="52">
                  <c:v>2.5118</c:v>
                </c:pt>
                <c:pt idx="53">
                  <c:v>2.5110000000000001</c:v>
                </c:pt>
                <c:pt idx="54">
                  <c:v>2.5099500000000003</c:v>
                </c:pt>
                <c:pt idx="55">
                  <c:v>2.5073299999999996</c:v>
                </c:pt>
                <c:pt idx="56">
                  <c:v>2.5020500000000001</c:v>
                </c:pt>
                <c:pt idx="57">
                  <c:v>2.4951400000000001</c:v>
                </c:pt>
                <c:pt idx="58">
                  <c:v>2.4860600000000002</c:v>
                </c:pt>
                <c:pt idx="59">
                  <c:v>2.4776699999999998</c:v>
                </c:pt>
                <c:pt idx="60">
                  <c:v>2.4676200000000001</c:v>
                </c:pt>
                <c:pt idx="61">
                  <c:v>2.4559600000000001</c:v>
                </c:pt>
                <c:pt idx="62">
                  <c:v>2.4442699999999999</c:v>
                </c:pt>
                <c:pt idx="63">
                  <c:v>2.43241</c:v>
                </c:pt>
                <c:pt idx="64">
                  <c:v>2.4203199999999998</c:v>
                </c:pt>
                <c:pt idx="65">
                  <c:v>2.41221</c:v>
                </c:pt>
                <c:pt idx="66">
                  <c:v>2.4047800000000001</c:v>
                </c:pt>
                <c:pt idx="67">
                  <c:v>2.39676</c:v>
                </c:pt>
                <c:pt idx="68">
                  <c:v>2.3917199999999998</c:v>
                </c:pt>
                <c:pt idx="69">
                  <c:v>2.4020199999999998</c:v>
                </c:pt>
                <c:pt idx="70">
                  <c:v>2.4198300000000001</c:v>
                </c:pt>
                <c:pt idx="71">
                  <c:v>2.4249100000000001</c:v>
                </c:pt>
                <c:pt idx="72">
                  <c:v>2.43058</c:v>
                </c:pt>
                <c:pt idx="73">
                  <c:v>2.4186000000000001</c:v>
                </c:pt>
                <c:pt idx="74">
                  <c:v>2.3929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14.940675000000001</c:v>
                </c:pt>
                <c:pt idx="1">
                  <c:v>44.822025000000004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2.6653627027027027</c:v>
                </c:pt>
                <c:pt idx="1">
                  <c:v>2.6887490540540537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0.399501</c:v>
                </c:pt>
                <c:pt idx="2">
                  <c:v>0.81328299999999998</c:v>
                </c:pt>
                <c:pt idx="3">
                  <c:v>1.2192499999999999</c:v>
                </c:pt>
                <c:pt idx="4">
                  <c:v>1.6231500000000001</c:v>
                </c:pt>
                <c:pt idx="5">
                  <c:v>2.0301999999999998</c:v>
                </c:pt>
                <c:pt idx="6">
                  <c:v>2.4350399999999999</c:v>
                </c:pt>
                <c:pt idx="7">
                  <c:v>2.8439800000000002</c:v>
                </c:pt>
                <c:pt idx="8">
                  <c:v>3.2497199999999999</c:v>
                </c:pt>
                <c:pt idx="9">
                  <c:v>3.6508799999999999</c:v>
                </c:pt>
                <c:pt idx="10">
                  <c:v>4.0616199999999996</c:v>
                </c:pt>
                <c:pt idx="11">
                  <c:v>4.4685699999999997</c:v>
                </c:pt>
                <c:pt idx="12">
                  <c:v>4.8704200000000002</c:v>
                </c:pt>
                <c:pt idx="13">
                  <c:v>5.2824099999999996</c:v>
                </c:pt>
                <c:pt idx="14">
                  <c:v>5.6823600000000001</c:v>
                </c:pt>
                <c:pt idx="15">
                  <c:v>6.0931800000000003</c:v>
                </c:pt>
                <c:pt idx="16">
                  <c:v>6.5020499999999997</c:v>
                </c:pt>
                <c:pt idx="17">
                  <c:v>6.9049800000000001</c:v>
                </c:pt>
                <c:pt idx="18">
                  <c:v>7.3134199999999998</c:v>
                </c:pt>
                <c:pt idx="19">
                  <c:v>7.7168999999999999</c:v>
                </c:pt>
                <c:pt idx="20">
                  <c:v>8.1257699999999993</c:v>
                </c:pt>
                <c:pt idx="21">
                  <c:v>8.5296000000000003</c:v>
                </c:pt>
                <c:pt idx="22">
                  <c:v>8.9375300000000006</c:v>
                </c:pt>
                <c:pt idx="23">
                  <c:v>9.3404299999999996</c:v>
                </c:pt>
                <c:pt idx="24">
                  <c:v>9.7495499999999993</c:v>
                </c:pt>
                <c:pt idx="25">
                  <c:v>10.1553</c:v>
                </c:pt>
                <c:pt idx="26">
                  <c:v>10.564299999999999</c:v>
                </c:pt>
                <c:pt idx="27">
                  <c:v>10.963800000000001</c:v>
                </c:pt>
                <c:pt idx="28">
                  <c:v>11.372</c:v>
                </c:pt>
                <c:pt idx="29">
                  <c:v>11.781000000000001</c:v>
                </c:pt>
                <c:pt idx="30">
                  <c:v>12.1839</c:v>
                </c:pt>
                <c:pt idx="31">
                  <c:v>12.591799999999999</c:v>
                </c:pt>
                <c:pt idx="32">
                  <c:v>13.0037</c:v>
                </c:pt>
                <c:pt idx="33">
                  <c:v>13.403600000000001</c:v>
                </c:pt>
                <c:pt idx="34">
                  <c:v>13.8096</c:v>
                </c:pt>
                <c:pt idx="35">
                  <c:v>14.2204</c:v>
                </c:pt>
                <c:pt idx="36">
                  <c:v>14.6273</c:v>
                </c:pt>
                <c:pt idx="37">
                  <c:v>15.03</c:v>
                </c:pt>
                <c:pt idx="38">
                  <c:v>15.432399999999999</c:v>
                </c:pt>
                <c:pt idx="39">
                  <c:v>15.8414</c:v>
                </c:pt>
                <c:pt idx="40">
                  <c:v>16.248999999999999</c:v>
                </c:pt>
                <c:pt idx="41">
                  <c:v>16.657900000000001</c:v>
                </c:pt>
                <c:pt idx="42">
                  <c:v>17.062799999999999</c:v>
                </c:pt>
                <c:pt idx="43">
                  <c:v>17.466999999999999</c:v>
                </c:pt>
                <c:pt idx="44">
                  <c:v>17.8749</c:v>
                </c:pt>
                <c:pt idx="45">
                  <c:v>18.281600000000001</c:v>
                </c:pt>
                <c:pt idx="46">
                  <c:v>18.682700000000001</c:v>
                </c:pt>
                <c:pt idx="47">
                  <c:v>19.093299999999999</c:v>
                </c:pt>
                <c:pt idx="48">
                  <c:v>19.499400000000001</c:v>
                </c:pt>
                <c:pt idx="49">
                  <c:v>19.901199999999999</c:v>
                </c:pt>
                <c:pt idx="50">
                  <c:v>20.3111</c:v>
                </c:pt>
                <c:pt idx="51">
                  <c:v>20.719100000000001</c:v>
                </c:pt>
                <c:pt idx="52">
                  <c:v>21.123000000000001</c:v>
                </c:pt>
                <c:pt idx="53">
                  <c:v>21.530899999999999</c:v>
                </c:pt>
                <c:pt idx="54">
                  <c:v>21.934100000000001</c:v>
                </c:pt>
                <c:pt idx="55">
                  <c:v>22.337900000000001</c:v>
                </c:pt>
                <c:pt idx="56">
                  <c:v>22.750800000000002</c:v>
                </c:pt>
                <c:pt idx="57">
                  <c:v>23.155100000000001</c:v>
                </c:pt>
                <c:pt idx="58">
                  <c:v>23.5594</c:v>
                </c:pt>
                <c:pt idx="59">
                  <c:v>23.963100000000001</c:v>
                </c:pt>
                <c:pt idx="60">
                  <c:v>24.369900000000001</c:v>
                </c:pt>
                <c:pt idx="61">
                  <c:v>24.782399999999999</c:v>
                </c:pt>
                <c:pt idx="62">
                  <c:v>25.1861</c:v>
                </c:pt>
                <c:pt idx="63">
                  <c:v>25.589099999999998</c:v>
                </c:pt>
                <c:pt idx="64">
                  <c:v>25.995899999999999</c:v>
                </c:pt>
                <c:pt idx="65">
                  <c:v>26.4069</c:v>
                </c:pt>
                <c:pt idx="66">
                  <c:v>26.808499999999999</c:v>
                </c:pt>
                <c:pt idx="67">
                  <c:v>27.216999999999999</c:v>
                </c:pt>
                <c:pt idx="68">
                  <c:v>27.619599999999998</c:v>
                </c:pt>
                <c:pt idx="69">
                  <c:v>28.029499999999999</c:v>
                </c:pt>
                <c:pt idx="70">
                  <c:v>28.435500000000001</c:v>
                </c:pt>
                <c:pt idx="71">
                  <c:v>28.8446</c:v>
                </c:pt>
                <c:pt idx="72">
                  <c:v>29.251200000000001</c:v>
                </c:pt>
                <c:pt idx="73">
                  <c:v>29.659300000000002</c:v>
                </c:pt>
                <c:pt idx="74">
                  <c:v>30.251899999999999</c:v>
                </c:pt>
                <c:pt idx="75">
                  <c:v>30.627500000000001</c:v>
                </c:pt>
                <c:pt idx="76">
                  <c:v>31.0002</c:v>
                </c:pt>
                <c:pt idx="77">
                  <c:v>31.3749</c:v>
                </c:pt>
                <c:pt idx="78">
                  <c:v>31.7498</c:v>
                </c:pt>
                <c:pt idx="79">
                  <c:v>32.137500000000003</c:v>
                </c:pt>
                <c:pt idx="80">
                  <c:v>32.546599999999998</c:v>
                </c:pt>
                <c:pt idx="81">
                  <c:v>32.953400000000002</c:v>
                </c:pt>
                <c:pt idx="82">
                  <c:v>33.362200000000001</c:v>
                </c:pt>
                <c:pt idx="83">
                  <c:v>33.764200000000002</c:v>
                </c:pt>
                <c:pt idx="84">
                  <c:v>34.171100000000003</c:v>
                </c:pt>
                <c:pt idx="85">
                  <c:v>34.575099999999999</c:v>
                </c:pt>
                <c:pt idx="86">
                  <c:v>34.986899999999999</c:v>
                </c:pt>
                <c:pt idx="87">
                  <c:v>35.39</c:v>
                </c:pt>
                <c:pt idx="88">
                  <c:v>35.794699999999999</c:v>
                </c:pt>
                <c:pt idx="89">
                  <c:v>36.200000000000003</c:v>
                </c:pt>
                <c:pt idx="90">
                  <c:v>36.607700000000001</c:v>
                </c:pt>
                <c:pt idx="91">
                  <c:v>37.017600000000002</c:v>
                </c:pt>
                <c:pt idx="92">
                  <c:v>37.419499999999999</c:v>
                </c:pt>
                <c:pt idx="93">
                  <c:v>37.827199999999998</c:v>
                </c:pt>
                <c:pt idx="94">
                  <c:v>38.231200000000001</c:v>
                </c:pt>
                <c:pt idx="95">
                  <c:v>38.639200000000002</c:v>
                </c:pt>
                <c:pt idx="96">
                  <c:v>39.048999999999999</c:v>
                </c:pt>
                <c:pt idx="97">
                  <c:v>39.454300000000003</c:v>
                </c:pt>
                <c:pt idx="98">
                  <c:v>39.860799999999998</c:v>
                </c:pt>
                <c:pt idx="99">
                  <c:v>40.2637</c:v>
                </c:pt>
                <c:pt idx="100">
                  <c:v>40.671900000000001</c:v>
                </c:pt>
                <c:pt idx="101">
                  <c:v>41.074800000000003</c:v>
                </c:pt>
                <c:pt idx="102">
                  <c:v>41.485500000000002</c:v>
                </c:pt>
                <c:pt idx="103">
                  <c:v>41.891399999999997</c:v>
                </c:pt>
                <c:pt idx="104">
                  <c:v>42.294499999999999</c:v>
                </c:pt>
                <c:pt idx="105">
                  <c:v>42.698300000000003</c:v>
                </c:pt>
                <c:pt idx="106">
                  <c:v>43.107300000000002</c:v>
                </c:pt>
                <c:pt idx="107">
                  <c:v>43.516300000000001</c:v>
                </c:pt>
                <c:pt idx="108">
                  <c:v>43.920099999999998</c:v>
                </c:pt>
                <c:pt idx="109">
                  <c:v>44.3249</c:v>
                </c:pt>
                <c:pt idx="110">
                  <c:v>44.731900000000003</c:v>
                </c:pt>
                <c:pt idx="111">
                  <c:v>45.136000000000003</c:v>
                </c:pt>
                <c:pt idx="112">
                  <c:v>45.547699999999999</c:v>
                </c:pt>
                <c:pt idx="113">
                  <c:v>45.951599999999999</c:v>
                </c:pt>
                <c:pt idx="114">
                  <c:v>46.360500000000002</c:v>
                </c:pt>
                <c:pt idx="115">
                  <c:v>46.7624</c:v>
                </c:pt>
                <c:pt idx="116">
                  <c:v>47.170400000000001</c:v>
                </c:pt>
                <c:pt idx="117">
                  <c:v>47.573</c:v>
                </c:pt>
                <c:pt idx="118">
                  <c:v>47.984299999999998</c:v>
                </c:pt>
                <c:pt idx="119">
                  <c:v>48.39</c:v>
                </c:pt>
                <c:pt idx="120">
                  <c:v>48.795000000000002</c:v>
                </c:pt>
                <c:pt idx="121">
                  <c:v>49.201300000000003</c:v>
                </c:pt>
                <c:pt idx="122">
                  <c:v>49.6068</c:v>
                </c:pt>
                <c:pt idx="123">
                  <c:v>50.014800000000001</c:v>
                </c:pt>
                <c:pt idx="124">
                  <c:v>50.418700000000001</c:v>
                </c:pt>
                <c:pt idx="125">
                  <c:v>50.827599999999997</c:v>
                </c:pt>
                <c:pt idx="126">
                  <c:v>51.234499999999997</c:v>
                </c:pt>
                <c:pt idx="127">
                  <c:v>51.6374</c:v>
                </c:pt>
                <c:pt idx="128">
                  <c:v>52.0413</c:v>
                </c:pt>
                <c:pt idx="129">
                  <c:v>52.448399999999999</c:v>
                </c:pt>
                <c:pt idx="130">
                  <c:v>52.856200000000001</c:v>
                </c:pt>
                <c:pt idx="131">
                  <c:v>53.266300000000001</c:v>
                </c:pt>
                <c:pt idx="132">
                  <c:v>53.668999999999997</c:v>
                </c:pt>
                <c:pt idx="133">
                  <c:v>54.073999999999998</c:v>
                </c:pt>
                <c:pt idx="134">
                  <c:v>54.483899999999998</c:v>
                </c:pt>
                <c:pt idx="135">
                  <c:v>54.890700000000002</c:v>
                </c:pt>
                <c:pt idx="136">
                  <c:v>55.292299999999997</c:v>
                </c:pt>
                <c:pt idx="137">
                  <c:v>55.699800000000003</c:v>
                </c:pt>
                <c:pt idx="138">
                  <c:v>56.107500000000002</c:v>
                </c:pt>
                <c:pt idx="139">
                  <c:v>56.512599999999999</c:v>
                </c:pt>
                <c:pt idx="140">
                  <c:v>56.921300000000002</c:v>
                </c:pt>
                <c:pt idx="141">
                  <c:v>57.3264</c:v>
                </c:pt>
                <c:pt idx="142">
                  <c:v>57.730899999999998</c:v>
                </c:pt>
                <c:pt idx="143">
                  <c:v>58.137999999999998</c:v>
                </c:pt>
                <c:pt idx="144">
                  <c:v>58.545299999999997</c:v>
                </c:pt>
                <c:pt idx="145">
                  <c:v>58.948</c:v>
                </c:pt>
                <c:pt idx="146">
                  <c:v>59.358699999999999</c:v>
                </c:pt>
                <c:pt idx="147">
                  <c:v>59.762700000000002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57.410399999999996</c:v>
                </c:pt>
                <c:pt idx="1">
                  <c:v>56.966300000000004</c:v>
                </c:pt>
                <c:pt idx="2">
                  <c:v>56.535599999999995</c:v>
                </c:pt>
                <c:pt idx="3">
                  <c:v>56.100499999999997</c:v>
                </c:pt>
                <c:pt idx="4">
                  <c:v>55.6554</c:v>
                </c:pt>
                <c:pt idx="5">
                  <c:v>55.116699999999994</c:v>
                </c:pt>
                <c:pt idx="6">
                  <c:v>54.555699999999995</c:v>
                </c:pt>
                <c:pt idx="7">
                  <c:v>53.899600000000007</c:v>
                </c:pt>
                <c:pt idx="8">
                  <c:v>53.327300000000001</c:v>
                </c:pt>
                <c:pt idx="9">
                  <c:v>52.822899999999997</c:v>
                </c:pt>
                <c:pt idx="10">
                  <c:v>52.376500000000007</c:v>
                </c:pt>
                <c:pt idx="11">
                  <c:v>51.975000000000001</c:v>
                </c:pt>
                <c:pt idx="12">
                  <c:v>51.613799999999998</c:v>
                </c:pt>
                <c:pt idx="13">
                  <c:v>51.198600000000006</c:v>
                </c:pt>
                <c:pt idx="14">
                  <c:v>50.716000000000008</c:v>
                </c:pt>
                <c:pt idx="15">
                  <c:v>50.2196</c:v>
                </c:pt>
                <c:pt idx="16">
                  <c:v>49.710300000000004</c:v>
                </c:pt>
                <c:pt idx="17">
                  <c:v>49.191600000000001</c:v>
                </c:pt>
                <c:pt idx="18">
                  <c:v>48.732399999999998</c:v>
                </c:pt>
                <c:pt idx="19">
                  <c:v>48.314099999999996</c:v>
                </c:pt>
                <c:pt idx="20">
                  <c:v>47.960900000000002</c:v>
                </c:pt>
                <c:pt idx="21">
                  <c:v>47.613299999999995</c:v>
                </c:pt>
                <c:pt idx="22">
                  <c:v>47.249000000000002</c:v>
                </c:pt>
                <c:pt idx="23">
                  <c:v>46.851100000000002</c:v>
                </c:pt>
                <c:pt idx="24">
                  <c:v>46.432099999999998</c:v>
                </c:pt>
                <c:pt idx="25">
                  <c:v>46.042699999999996</c:v>
                </c:pt>
                <c:pt idx="26">
                  <c:v>45.683</c:v>
                </c:pt>
                <c:pt idx="27">
                  <c:v>45.383299999999998</c:v>
                </c:pt>
                <c:pt idx="28">
                  <c:v>45.118900000000004</c:v>
                </c:pt>
                <c:pt idx="29">
                  <c:v>44.828099999999999</c:v>
                </c:pt>
                <c:pt idx="30">
                  <c:v>44.565899999999999</c:v>
                </c:pt>
                <c:pt idx="31">
                  <c:v>44.301200000000001</c:v>
                </c:pt>
                <c:pt idx="32">
                  <c:v>44.128799999999998</c:v>
                </c:pt>
                <c:pt idx="33">
                  <c:v>43.993500000000004</c:v>
                </c:pt>
                <c:pt idx="34">
                  <c:v>43.8812</c:v>
                </c:pt>
                <c:pt idx="35">
                  <c:v>43.817999999999998</c:v>
                </c:pt>
                <c:pt idx="36">
                  <c:v>43.7789</c:v>
                </c:pt>
                <c:pt idx="37">
                  <c:v>43.788400000000003</c:v>
                </c:pt>
                <c:pt idx="38">
                  <c:v>43.877699999999997</c:v>
                </c:pt>
                <c:pt idx="39">
                  <c:v>44.034300000000002</c:v>
                </c:pt>
                <c:pt idx="40">
                  <c:v>44.269399999999997</c:v>
                </c:pt>
                <c:pt idx="41">
                  <c:v>44.520199999999996</c:v>
                </c:pt>
                <c:pt idx="42">
                  <c:v>44.660800000000002</c:v>
                </c:pt>
                <c:pt idx="43">
                  <c:v>44.771300000000004</c:v>
                </c:pt>
                <c:pt idx="44">
                  <c:v>44.846699999999998</c:v>
                </c:pt>
                <c:pt idx="45">
                  <c:v>44.9041</c:v>
                </c:pt>
                <c:pt idx="46">
                  <c:v>44.993100000000005</c:v>
                </c:pt>
                <c:pt idx="47">
                  <c:v>45.174700000000001</c:v>
                </c:pt>
                <c:pt idx="48">
                  <c:v>45.456899999999997</c:v>
                </c:pt>
                <c:pt idx="49">
                  <c:v>45.840199999999996</c:v>
                </c:pt>
                <c:pt idx="50">
                  <c:v>46.250999999999998</c:v>
                </c:pt>
                <c:pt idx="51">
                  <c:v>46.747599999999998</c:v>
                </c:pt>
                <c:pt idx="52">
                  <c:v>47.166400000000003</c:v>
                </c:pt>
                <c:pt idx="53">
                  <c:v>47.434100000000001</c:v>
                </c:pt>
                <c:pt idx="54">
                  <c:v>47.701700000000002</c:v>
                </c:pt>
                <c:pt idx="55">
                  <c:v>47.953899999999997</c:v>
                </c:pt>
                <c:pt idx="56">
                  <c:v>48.219899999999996</c:v>
                </c:pt>
                <c:pt idx="57">
                  <c:v>48.367199999999997</c:v>
                </c:pt>
                <c:pt idx="58">
                  <c:v>48.468499999999999</c:v>
                </c:pt>
                <c:pt idx="59">
                  <c:v>48.5441</c:v>
                </c:pt>
                <c:pt idx="60">
                  <c:v>48.529299999999999</c:v>
                </c:pt>
                <c:pt idx="61">
                  <c:v>48.485700000000001</c:v>
                </c:pt>
                <c:pt idx="62">
                  <c:v>48.486899999999999</c:v>
                </c:pt>
                <c:pt idx="63">
                  <c:v>48.332099999999997</c:v>
                </c:pt>
                <c:pt idx="64">
                  <c:v>48.146699999999996</c:v>
                </c:pt>
                <c:pt idx="65">
                  <c:v>47.8414</c:v>
                </c:pt>
                <c:pt idx="66">
                  <c:v>47.685200000000002</c:v>
                </c:pt>
                <c:pt idx="67">
                  <c:v>47.423000000000002</c:v>
                </c:pt>
                <c:pt idx="68">
                  <c:v>47.274300000000004</c:v>
                </c:pt>
                <c:pt idx="69">
                  <c:v>47.178599999999996</c:v>
                </c:pt>
                <c:pt idx="70">
                  <c:v>47.0184</c:v>
                </c:pt>
                <c:pt idx="71">
                  <c:v>46.827999999999996</c:v>
                </c:pt>
                <c:pt idx="72">
                  <c:v>46.770099999999999</c:v>
                </c:pt>
                <c:pt idx="73">
                  <c:v>46.3063</c:v>
                </c:pt>
                <c:pt idx="74">
                  <c:v>45.987499999999997</c:v>
                </c:pt>
                <c:pt idx="75">
                  <c:v>45.650800000000004</c:v>
                </c:pt>
                <c:pt idx="76">
                  <c:v>45.227800000000002</c:v>
                </c:pt>
                <c:pt idx="77">
                  <c:v>44.7742</c:v>
                </c:pt>
                <c:pt idx="78">
                  <c:v>44.222999999999999</c:v>
                </c:pt>
                <c:pt idx="79">
                  <c:v>43.614100000000001</c:v>
                </c:pt>
                <c:pt idx="80">
                  <c:v>43.001400000000004</c:v>
                </c:pt>
                <c:pt idx="81">
                  <c:v>42.444600000000001</c:v>
                </c:pt>
                <c:pt idx="82">
                  <c:v>41.948299999999996</c:v>
                </c:pt>
                <c:pt idx="83">
                  <c:v>41.4664</c:v>
                </c:pt>
                <c:pt idx="84">
                  <c:v>40.916999999999994</c:v>
                </c:pt>
                <c:pt idx="85">
                  <c:v>40.325499999999998</c:v>
                </c:pt>
                <c:pt idx="86">
                  <c:v>39.705500000000001</c:v>
                </c:pt>
                <c:pt idx="87">
                  <c:v>39.106900000000003</c:v>
                </c:pt>
                <c:pt idx="88">
                  <c:v>38.511800000000001</c:v>
                </c:pt>
                <c:pt idx="89">
                  <c:v>37.931699999999999</c:v>
                </c:pt>
                <c:pt idx="90">
                  <c:v>37.360599999999998</c:v>
                </c:pt>
                <c:pt idx="91">
                  <c:v>36.900300000000001</c:v>
                </c:pt>
                <c:pt idx="92">
                  <c:v>36.520899999999997</c:v>
                </c:pt>
                <c:pt idx="93">
                  <c:v>36.195699999999995</c:v>
                </c:pt>
                <c:pt idx="94">
                  <c:v>35.896999999999998</c:v>
                </c:pt>
                <c:pt idx="95">
                  <c:v>35.643700000000003</c:v>
                </c:pt>
                <c:pt idx="96">
                  <c:v>35.276499999999999</c:v>
                </c:pt>
                <c:pt idx="97">
                  <c:v>34.851500000000001</c:v>
                </c:pt>
                <c:pt idx="98">
                  <c:v>34.438400000000001</c:v>
                </c:pt>
                <c:pt idx="99">
                  <c:v>34.134700000000002</c:v>
                </c:pt>
                <c:pt idx="100">
                  <c:v>33.874900000000004</c:v>
                </c:pt>
                <c:pt idx="101">
                  <c:v>33.689099999999996</c:v>
                </c:pt>
                <c:pt idx="102">
                  <c:v>33.5321</c:v>
                </c:pt>
                <c:pt idx="103">
                  <c:v>33.526000000000003</c:v>
                </c:pt>
                <c:pt idx="104">
                  <c:v>33.681100000000001</c:v>
                </c:pt>
                <c:pt idx="105">
                  <c:v>33.825800000000001</c:v>
                </c:pt>
                <c:pt idx="106">
                  <c:v>33.926099999999998</c:v>
                </c:pt>
                <c:pt idx="107">
                  <c:v>34.075000000000003</c:v>
                </c:pt>
                <c:pt idx="108">
                  <c:v>34.1785</c:v>
                </c:pt>
                <c:pt idx="109">
                  <c:v>34.361399999999996</c:v>
                </c:pt>
                <c:pt idx="110">
                  <c:v>34.601999999999997</c:v>
                </c:pt>
                <c:pt idx="111">
                  <c:v>34.909600000000005</c:v>
                </c:pt>
                <c:pt idx="112">
                  <c:v>35.238599999999998</c:v>
                </c:pt>
                <c:pt idx="113">
                  <c:v>35.557600000000001</c:v>
                </c:pt>
                <c:pt idx="114">
                  <c:v>35.876100000000001</c:v>
                </c:pt>
                <c:pt idx="115">
                  <c:v>36.2179</c:v>
                </c:pt>
                <c:pt idx="116">
                  <c:v>36.5274</c:v>
                </c:pt>
                <c:pt idx="117">
                  <c:v>36.817100000000003</c:v>
                </c:pt>
                <c:pt idx="118">
                  <c:v>36.9741</c:v>
                </c:pt>
                <c:pt idx="119">
                  <c:v>36.8123</c:v>
                </c:pt>
                <c:pt idx="120">
                  <c:v>36.573</c:v>
                </c:pt>
                <c:pt idx="121">
                  <c:v>36.313099999999999</c:v>
                </c:pt>
                <c:pt idx="122">
                  <c:v>36.018999999999998</c:v>
                </c:pt>
                <c:pt idx="123">
                  <c:v>36.048900000000003</c:v>
                </c:pt>
                <c:pt idx="124">
                  <c:v>36.1646</c:v>
                </c:pt>
                <c:pt idx="125">
                  <c:v>36.140599999999999</c:v>
                </c:pt>
                <c:pt idx="126">
                  <c:v>36.084899999999998</c:v>
                </c:pt>
                <c:pt idx="127">
                  <c:v>36.031999999999996</c:v>
                </c:pt>
                <c:pt idx="128">
                  <c:v>35.908499999999997</c:v>
                </c:pt>
                <c:pt idx="129">
                  <c:v>35.682900000000004</c:v>
                </c:pt>
                <c:pt idx="130">
                  <c:v>35.474899999999998</c:v>
                </c:pt>
                <c:pt idx="131">
                  <c:v>35.302499999999995</c:v>
                </c:pt>
                <c:pt idx="132">
                  <c:v>34.965000000000003</c:v>
                </c:pt>
                <c:pt idx="133">
                  <c:v>34.670999999999999</c:v>
                </c:pt>
                <c:pt idx="134">
                  <c:v>34.3384</c:v>
                </c:pt>
                <c:pt idx="135">
                  <c:v>33.927</c:v>
                </c:pt>
                <c:pt idx="136">
                  <c:v>33.385399999999997</c:v>
                </c:pt>
                <c:pt idx="137">
                  <c:v>32.784300000000002</c:v>
                </c:pt>
                <c:pt idx="138">
                  <c:v>32.198599999999999</c:v>
                </c:pt>
                <c:pt idx="139">
                  <c:v>31.574999999999996</c:v>
                </c:pt>
                <c:pt idx="140">
                  <c:v>30.898999999999997</c:v>
                </c:pt>
                <c:pt idx="141">
                  <c:v>29.848500000000001</c:v>
                </c:pt>
                <c:pt idx="142">
                  <c:v>28.347499999999997</c:v>
                </c:pt>
                <c:pt idx="143">
                  <c:v>26.857300000000002</c:v>
                </c:pt>
                <c:pt idx="144">
                  <c:v>26.2118</c:v>
                </c:pt>
                <c:pt idx="145">
                  <c:v>25.173000000000002</c:v>
                </c:pt>
                <c:pt idx="146">
                  <c:v>24.6921</c:v>
                </c:pt>
                <c:pt idx="147">
                  <c:v>25.569500000000001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0.399501</c:v>
                </c:pt>
                <c:pt idx="2">
                  <c:v>0.81328299999999998</c:v>
                </c:pt>
                <c:pt idx="3">
                  <c:v>1.2192499999999999</c:v>
                </c:pt>
                <c:pt idx="4">
                  <c:v>1.6231500000000001</c:v>
                </c:pt>
                <c:pt idx="5">
                  <c:v>2.0301999999999998</c:v>
                </c:pt>
                <c:pt idx="6">
                  <c:v>2.4350399999999999</c:v>
                </c:pt>
                <c:pt idx="7">
                  <c:v>2.8439800000000002</c:v>
                </c:pt>
                <c:pt idx="8">
                  <c:v>3.2497199999999999</c:v>
                </c:pt>
                <c:pt idx="9">
                  <c:v>3.6508799999999999</c:v>
                </c:pt>
                <c:pt idx="10">
                  <c:v>4.0616199999999996</c:v>
                </c:pt>
                <c:pt idx="11">
                  <c:v>4.4685699999999997</c:v>
                </c:pt>
                <c:pt idx="12">
                  <c:v>4.8704200000000002</c:v>
                </c:pt>
                <c:pt idx="13">
                  <c:v>5.2824099999999996</c:v>
                </c:pt>
                <c:pt idx="14">
                  <c:v>5.6823600000000001</c:v>
                </c:pt>
                <c:pt idx="15">
                  <c:v>6.0931800000000003</c:v>
                </c:pt>
                <c:pt idx="16">
                  <c:v>6.5020499999999997</c:v>
                </c:pt>
                <c:pt idx="17">
                  <c:v>6.9049800000000001</c:v>
                </c:pt>
                <c:pt idx="18">
                  <c:v>7.3134199999999998</c:v>
                </c:pt>
                <c:pt idx="19">
                  <c:v>7.7168999999999999</c:v>
                </c:pt>
                <c:pt idx="20">
                  <c:v>8.1257699999999993</c:v>
                </c:pt>
                <c:pt idx="21">
                  <c:v>8.5296000000000003</c:v>
                </c:pt>
                <c:pt idx="22">
                  <c:v>8.9375300000000006</c:v>
                </c:pt>
                <c:pt idx="23">
                  <c:v>9.3404299999999996</c:v>
                </c:pt>
                <c:pt idx="24">
                  <c:v>9.7495499999999993</c:v>
                </c:pt>
                <c:pt idx="25">
                  <c:v>10.1553</c:v>
                </c:pt>
                <c:pt idx="26">
                  <c:v>10.564299999999999</c:v>
                </c:pt>
                <c:pt idx="27">
                  <c:v>10.963800000000001</c:v>
                </c:pt>
                <c:pt idx="28">
                  <c:v>11.372</c:v>
                </c:pt>
                <c:pt idx="29">
                  <c:v>11.781000000000001</c:v>
                </c:pt>
                <c:pt idx="30">
                  <c:v>12.1839</c:v>
                </c:pt>
                <c:pt idx="31">
                  <c:v>12.591799999999999</c:v>
                </c:pt>
                <c:pt idx="32">
                  <c:v>13.0037</c:v>
                </c:pt>
                <c:pt idx="33">
                  <c:v>13.403600000000001</c:v>
                </c:pt>
                <c:pt idx="34">
                  <c:v>13.8096</c:v>
                </c:pt>
                <c:pt idx="35">
                  <c:v>14.2204</c:v>
                </c:pt>
                <c:pt idx="36">
                  <c:v>14.6273</c:v>
                </c:pt>
                <c:pt idx="37">
                  <c:v>15.03</c:v>
                </c:pt>
                <c:pt idx="38">
                  <c:v>15.432399999999999</c:v>
                </c:pt>
                <c:pt idx="39">
                  <c:v>15.8414</c:v>
                </c:pt>
                <c:pt idx="40">
                  <c:v>16.248999999999999</c:v>
                </c:pt>
                <c:pt idx="41">
                  <c:v>16.657900000000001</c:v>
                </c:pt>
                <c:pt idx="42">
                  <c:v>17.062799999999999</c:v>
                </c:pt>
                <c:pt idx="43">
                  <c:v>17.466999999999999</c:v>
                </c:pt>
                <c:pt idx="44">
                  <c:v>17.8749</c:v>
                </c:pt>
                <c:pt idx="45">
                  <c:v>18.281600000000001</c:v>
                </c:pt>
                <c:pt idx="46">
                  <c:v>18.682700000000001</c:v>
                </c:pt>
                <c:pt idx="47">
                  <c:v>19.093299999999999</c:v>
                </c:pt>
                <c:pt idx="48">
                  <c:v>19.499400000000001</c:v>
                </c:pt>
                <c:pt idx="49">
                  <c:v>19.901199999999999</c:v>
                </c:pt>
                <c:pt idx="50">
                  <c:v>20.3111</c:v>
                </c:pt>
                <c:pt idx="51">
                  <c:v>20.719100000000001</c:v>
                </c:pt>
                <c:pt idx="52">
                  <c:v>21.123000000000001</c:v>
                </c:pt>
                <c:pt idx="53">
                  <c:v>21.530899999999999</c:v>
                </c:pt>
                <c:pt idx="54">
                  <c:v>21.934100000000001</c:v>
                </c:pt>
                <c:pt idx="55">
                  <c:v>22.337900000000001</c:v>
                </c:pt>
                <c:pt idx="56">
                  <c:v>22.750800000000002</c:v>
                </c:pt>
                <c:pt idx="57">
                  <c:v>23.155100000000001</c:v>
                </c:pt>
                <c:pt idx="58">
                  <c:v>23.5594</c:v>
                </c:pt>
                <c:pt idx="59">
                  <c:v>23.963100000000001</c:v>
                </c:pt>
                <c:pt idx="60">
                  <c:v>24.369900000000001</c:v>
                </c:pt>
                <c:pt idx="61">
                  <c:v>24.782399999999999</c:v>
                </c:pt>
                <c:pt idx="62">
                  <c:v>25.1861</c:v>
                </c:pt>
                <c:pt idx="63">
                  <c:v>25.589099999999998</c:v>
                </c:pt>
                <c:pt idx="64">
                  <c:v>25.995899999999999</c:v>
                </c:pt>
                <c:pt idx="65">
                  <c:v>26.4069</c:v>
                </c:pt>
                <c:pt idx="66">
                  <c:v>26.808499999999999</c:v>
                </c:pt>
                <c:pt idx="67">
                  <c:v>27.216999999999999</c:v>
                </c:pt>
                <c:pt idx="68">
                  <c:v>27.619599999999998</c:v>
                </c:pt>
                <c:pt idx="69">
                  <c:v>28.029499999999999</c:v>
                </c:pt>
                <c:pt idx="70">
                  <c:v>28.435500000000001</c:v>
                </c:pt>
                <c:pt idx="71">
                  <c:v>28.8446</c:v>
                </c:pt>
                <c:pt idx="72">
                  <c:v>29.251200000000001</c:v>
                </c:pt>
                <c:pt idx="73">
                  <c:v>29.659300000000002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57.410399999999996</c:v>
                </c:pt>
                <c:pt idx="1">
                  <c:v>56.966300000000004</c:v>
                </c:pt>
                <c:pt idx="2">
                  <c:v>56.535599999999995</c:v>
                </c:pt>
                <c:pt idx="3">
                  <c:v>56.100499999999997</c:v>
                </c:pt>
                <c:pt idx="4">
                  <c:v>55.6554</c:v>
                </c:pt>
                <c:pt idx="5">
                  <c:v>55.116699999999994</c:v>
                </c:pt>
                <c:pt idx="6">
                  <c:v>54.555699999999995</c:v>
                </c:pt>
                <c:pt idx="7">
                  <c:v>53.899600000000007</c:v>
                </c:pt>
                <c:pt idx="8">
                  <c:v>53.327300000000001</c:v>
                </c:pt>
                <c:pt idx="9">
                  <c:v>52.822899999999997</c:v>
                </c:pt>
                <c:pt idx="10">
                  <c:v>52.376500000000007</c:v>
                </c:pt>
                <c:pt idx="11">
                  <c:v>51.975000000000001</c:v>
                </c:pt>
                <c:pt idx="12">
                  <c:v>51.613799999999998</c:v>
                </c:pt>
                <c:pt idx="13">
                  <c:v>51.198600000000006</c:v>
                </c:pt>
                <c:pt idx="14">
                  <c:v>50.716000000000008</c:v>
                </c:pt>
                <c:pt idx="15">
                  <c:v>50.2196</c:v>
                </c:pt>
                <c:pt idx="16">
                  <c:v>49.710300000000004</c:v>
                </c:pt>
                <c:pt idx="17">
                  <c:v>49.191600000000001</c:v>
                </c:pt>
                <c:pt idx="18">
                  <c:v>48.732399999999998</c:v>
                </c:pt>
                <c:pt idx="19">
                  <c:v>48.314099999999996</c:v>
                </c:pt>
                <c:pt idx="20">
                  <c:v>47.960900000000002</c:v>
                </c:pt>
                <c:pt idx="21">
                  <c:v>47.613299999999995</c:v>
                </c:pt>
                <c:pt idx="22">
                  <c:v>47.249000000000002</c:v>
                </c:pt>
                <c:pt idx="23">
                  <c:v>46.851100000000002</c:v>
                </c:pt>
                <c:pt idx="24">
                  <c:v>46.432099999999998</c:v>
                </c:pt>
                <c:pt idx="25">
                  <c:v>46.042699999999996</c:v>
                </c:pt>
                <c:pt idx="26">
                  <c:v>45.683</c:v>
                </c:pt>
                <c:pt idx="27">
                  <c:v>45.383299999999998</c:v>
                </c:pt>
                <c:pt idx="28">
                  <c:v>45.118900000000004</c:v>
                </c:pt>
                <c:pt idx="29">
                  <c:v>44.828099999999999</c:v>
                </c:pt>
                <c:pt idx="30">
                  <c:v>44.565899999999999</c:v>
                </c:pt>
                <c:pt idx="31">
                  <c:v>44.301200000000001</c:v>
                </c:pt>
                <c:pt idx="32">
                  <c:v>44.128799999999998</c:v>
                </c:pt>
                <c:pt idx="33">
                  <c:v>43.993500000000004</c:v>
                </c:pt>
                <c:pt idx="34">
                  <c:v>43.8812</c:v>
                </c:pt>
                <c:pt idx="35">
                  <c:v>43.817999999999998</c:v>
                </c:pt>
                <c:pt idx="36">
                  <c:v>43.7789</c:v>
                </c:pt>
                <c:pt idx="37">
                  <c:v>43.788400000000003</c:v>
                </c:pt>
                <c:pt idx="38">
                  <c:v>43.877699999999997</c:v>
                </c:pt>
                <c:pt idx="39">
                  <c:v>44.034300000000002</c:v>
                </c:pt>
                <c:pt idx="40">
                  <c:v>44.269399999999997</c:v>
                </c:pt>
                <c:pt idx="41">
                  <c:v>44.520199999999996</c:v>
                </c:pt>
                <c:pt idx="42">
                  <c:v>44.660800000000002</c:v>
                </c:pt>
                <c:pt idx="43">
                  <c:v>44.771300000000004</c:v>
                </c:pt>
                <c:pt idx="44">
                  <c:v>44.846699999999998</c:v>
                </c:pt>
                <c:pt idx="45">
                  <c:v>44.9041</c:v>
                </c:pt>
                <c:pt idx="46">
                  <c:v>44.993100000000005</c:v>
                </c:pt>
                <c:pt idx="47">
                  <c:v>45.174700000000001</c:v>
                </c:pt>
                <c:pt idx="48">
                  <c:v>45.456899999999997</c:v>
                </c:pt>
                <c:pt idx="49">
                  <c:v>45.840199999999996</c:v>
                </c:pt>
                <c:pt idx="50">
                  <c:v>46.250999999999998</c:v>
                </c:pt>
                <c:pt idx="51">
                  <c:v>46.747599999999998</c:v>
                </c:pt>
                <c:pt idx="52">
                  <c:v>47.166400000000003</c:v>
                </c:pt>
                <c:pt idx="53">
                  <c:v>47.434100000000001</c:v>
                </c:pt>
                <c:pt idx="54">
                  <c:v>47.701700000000002</c:v>
                </c:pt>
                <c:pt idx="55">
                  <c:v>47.953899999999997</c:v>
                </c:pt>
                <c:pt idx="56">
                  <c:v>48.219899999999996</c:v>
                </c:pt>
                <c:pt idx="57">
                  <c:v>48.367199999999997</c:v>
                </c:pt>
                <c:pt idx="58">
                  <c:v>48.468499999999999</c:v>
                </c:pt>
                <c:pt idx="59">
                  <c:v>48.5441</c:v>
                </c:pt>
                <c:pt idx="60">
                  <c:v>48.529299999999999</c:v>
                </c:pt>
                <c:pt idx="61">
                  <c:v>48.485700000000001</c:v>
                </c:pt>
                <c:pt idx="62">
                  <c:v>48.486899999999999</c:v>
                </c:pt>
                <c:pt idx="63">
                  <c:v>48.332099999999997</c:v>
                </c:pt>
                <c:pt idx="64">
                  <c:v>48.146699999999996</c:v>
                </c:pt>
                <c:pt idx="65">
                  <c:v>47.8414</c:v>
                </c:pt>
                <c:pt idx="66">
                  <c:v>47.685200000000002</c:v>
                </c:pt>
                <c:pt idx="67">
                  <c:v>47.423000000000002</c:v>
                </c:pt>
                <c:pt idx="68">
                  <c:v>47.274300000000004</c:v>
                </c:pt>
                <c:pt idx="69">
                  <c:v>47.178599999999996</c:v>
                </c:pt>
                <c:pt idx="70">
                  <c:v>47.0184</c:v>
                </c:pt>
                <c:pt idx="71">
                  <c:v>46.827999999999996</c:v>
                </c:pt>
                <c:pt idx="72">
                  <c:v>46.770099999999999</c:v>
                </c:pt>
                <c:pt idx="73">
                  <c:v>46.3063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29.659300000000002</c:v>
                </c:pt>
                <c:pt idx="1">
                  <c:v>30.251899999999999</c:v>
                </c:pt>
                <c:pt idx="2">
                  <c:v>30.627500000000001</c:v>
                </c:pt>
                <c:pt idx="3">
                  <c:v>31.0002</c:v>
                </c:pt>
                <c:pt idx="4">
                  <c:v>31.3749</c:v>
                </c:pt>
                <c:pt idx="5">
                  <c:v>31.7498</c:v>
                </c:pt>
                <c:pt idx="6">
                  <c:v>32.137500000000003</c:v>
                </c:pt>
                <c:pt idx="7">
                  <c:v>32.546599999999998</c:v>
                </c:pt>
                <c:pt idx="8">
                  <c:v>32.953400000000002</c:v>
                </c:pt>
                <c:pt idx="9">
                  <c:v>33.362200000000001</c:v>
                </c:pt>
                <c:pt idx="10">
                  <c:v>33.764200000000002</c:v>
                </c:pt>
                <c:pt idx="11">
                  <c:v>34.171100000000003</c:v>
                </c:pt>
                <c:pt idx="12">
                  <c:v>34.575099999999999</c:v>
                </c:pt>
                <c:pt idx="13">
                  <c:v>34.986899999999999</c:v>
                </c:pt>
                <c:pt idx="14">
                  <c:v>35.39</c:v>
                </c:pt>
                <c:pt idx="15">
                  <c:v>35.794699999999999</c:v>
                </c:pt>
                <c:pt idx="16">
                  <c:v>36.200000000000003</c:v>
                </c:pt>
                <c:pt idx="17">
                  <c:v>36.607700000000001</c:v>
                </c:pt>
                <c:pt idx="18">
                  <c:v>37.017600000000002</c:v>
                </c:pt>
                <c:pt idx="19">
                  <c:v>37.419499999999999</c:v>
                </c:pt>
                <c:pt idx="20">
                  <c:v>37.827199999999998</c:v>
                </c:pt>
                <c:pt idx="21">
                  <c:v>38.231200000000001</c:v>
                </c:pt>
                <c:pt idx="22">
                  <c:v>38.639200000000002</c:v>
                </c:pt>
                <c:pt idx="23">
                  <c:v>39.048999999999999</c:v>
                </c:pt>
                <c:pt idx="24">
                  <c:v>39.454300000000003</c:v>
                </c:pt>
                <c:pt idx="25">
                  <c:v>39.860799999999998</c:v>
                </c:pt>
                <c:pt idx="26">
                  <c:v>40.2637</c:v>
                </c:pt>
                <c:pt idx="27">
                  <c:v>40.671900000000001</c:v>
                </c:pt>
                <c:pt idx="28">
                  <c:v>41.074800000000003</c:v>
                </c:pt>
                <c:pt idx="29">
                  <c:v>41.485500000000002</c:v>
                </c:pt>
                <c:pt idx="30">
                  <c:v>41.891399999999997</c:v>
                </c:pt>
                <c:pt idx="31">
                  <c:v>42.294499999999999</c:v>
                </c:pt>
                <c:pt idx="32">
                  <c:v>42.698300000000003</c:v>
                </c:pt>
                <c:pt idx="33">
                  <c:v>43.107300000000002</c:v>
                </c:pt>
                <c:pt idx="34">
                  <c:v>43.516300000000001</c:v>
                </c:pt>
                <c:pt idx="35">
                  <c:v>43.920099999999998</c:v>
                </c:pt>
                <c:pt idx="36">
                  <c:v>44.3249</c:v>
                </c:pt>
                <c:pt idx="37">
                  <c:v>44.731900000000003</c:v>
                </c:pt>
                <c:pt idx="38">
                  <c:v>45.136000000000003</c:v>
                </c:pt>
                <c:pt idx="39">
                  <c:v>45.547699999999999</c:v>
                </c:pt>
                <c:pt idx="40">
                  <c:v>45.951599999999999</c:v>
                </c:pt>
                <c:pt idx="41">
                  <c:v>46.360500000000002</c:v>
                </c:pt>
                <c:pt idx="42">
                  <c:v>46.7624</c:v>
                </c:pt>
                <c:pt idx="43">
                  <c:v>47.170400000000001</c:v>
                </c:pt>
                <c:pt idx="44">
                  <c:v>47.573</c:v>
                </c:pt>
                <c:pt idx="45">
                  <c:v>47.984299999999998</c:v>
                </c:pt>
                <c:pt idx="46">
                  <c:v>48.39</c:v>
                </c:pt>
                <c:pt idx="47">
                  <c:v>48.795000000000002</c:v>
                </c:pt>
                <c:pt idx="48">
                  <c:v>49.201300000000003</c:v>
                </c:pt>
                <c:pt idx="49">
                  <c:v>49.6068</c:v>
                </c:pt>
                <c:pt idx="50">
                  <c:v>50.014800000000001</c:v>
                </c:pt>
                <c:pt idx="51">
                  <c:v>50.418700000000001</c:v>
                </c:pt>
                <c:pt idx="52">
                  <c:v>50.827599999999997</c:v>
                </c:pt>
                <c:pt idx="53">
                  <c:v>51.234499999999997</c:v>
                </c:pt>
                <c:pt idx="54">
                  <c:v>51.6374</c:v>
                </c:pt>
                <c:pt idx="55">
                  <c:v>52.0413</c:v>
                </c:pt>
                <c:pt idx="56">
                  <c:v>52.448399999999999</c:v>
                </c:pt>
                <c:pt idx="57">
                  <c:v>52.856200000000001</c:v>
                </c:pt>
                <c:pt idx="58">
                  <c:v>53.266300000000001</c:v>
                </c:pt>
                <c:pt idx="59">
                  <c:v>53.668999999999997</c:v>
                </c:pt>
                <c:pt idx="60">
                  <c:v>54.073999999999998</c:v>
                </c:pt>
                <c:pt idx="61">
                  <c:v>54.483899999999998</c:v>
                </c:pt>
                <c:pt idx="62">
                  <c:v>54.890700000000002</c:v>
                </c:pt>
                <c:pt idx="63">
                  <c:v>55.292299999999997</c:v>
                </c:pt>
                <c:pt idx="64">
                  <c:v>55.699800000000003</c:v>
                </c:pt>
                <c:pt idx="65">
                  <c:v>56.107500000000002</c:v>
                </c:pt>
                <c:pt idx="66">
                  <c:v>56.512599999999999</c:v>
                </c:pt>
                <c:pt idx="67">
                  <c:v>56.921300000000002</c:v>
                </c:pt>
                <c:pt idx="68">
                  <c:v>57.3264</c:v>
                </c:pt>
                <c:pt idx="69">
                  <c:v>57.730899999999998</c:v>
                </c:pt>
                <c:pt idx="70">
                  <c:v>58.137999999999998</c:v>
                </c:pt>
                <c:pt idx="71">
                  <c:v>58.545299999999997</c:v>
                </c:pt>
                <c:pt idx="72">
                  <c:v>58.948</c:v>
                </c:pt>
                <c:pt idx="73">
                  <c:v>59.358699999999999</c:v>
                </c:pt>
                <c:pt idx="74">
                  <c:v>59.762700000000002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46.3063</c:v>
                </c:pt>
                <c:pt idx="1">
                  <c:v>45.987499999999997</c:v>
                </c:pt>
                <c:pt idx="2">
                  <c:v>45.650800000000004</c:v>
                </c:pt>
                <c:pt idx="3">
                  <c:v>45.227800000000002</c:v>
                </c:pt>
                <c:pt idx="4">
                  <c:v>44.7742</c:v>
                </c:pt>
                <c:pt idx="5">
                  <c:v>44.222999999999999</c:v>
                </c:pt>
                <c:pt idx="6">
                  <c:v>43.614100000000001</c:v>
                </c:pt>
                <c:pt idx="7">
                  <c:v>43.001400000000004</c:v>
                </c:pt>
                <c:pt idx="8">
                  <c:v>42.444600000000001</c:v>
                </c:pt>
                <c:pt idx="9">
                  <c:v>41.948299999999996</c:v>
                </c:pt>
                <c:pt idx="10">
                  <c:v>41.4664</c:v>
                </c:pt>
                <c:pt idx="11">
                  <c:v>40.916999999999994</c:v>
                </c:pt>
                <c:pt idx="12">
                  <c:v>40.325499999999998</c:v>
                </c:pt>
                <c:pt idx="13">
                  <c:v>39.705500000000001</c:v>
                </c:pt>
                <c:pt idx="14">
                  <c:v>39.106900000000003</c:v>
                </c:pt>
                <c:pt idx="15">
                  <c:v>38.511800000000001</c:v>
                </c:pt>
                <c:pt idx="16">
                  <c:v>37.931699999999999</c:v>
                </c:pt>
                <c:pt idx="17">
                  <c:v>37.360599999999998</c:v>
                </c:pt>
                <c:pt idx="18">
                  <c:v>36.900300000000001</c:v>
                </c:pt>
                <c:pt idx="19">
                  <c:v>36.520899999999997</c:v>
                </c:pt>
                <c:pt idx="20">
                  <c:v>36.195699999999995</c:v>
                </c:pt>
                <c:pt idx="21">
                  <c:v>35.896999999999998</c:v>
                </c:pt>
                <c:pt idx="22">
                  <c:v>35.643700000000003</c:v>
                </c:pt>
                <c:pt idx="23">
                  <c:v>35.276499999999999</c:v>
                </c:pt>
                <c:pt idx="24">
                  <c:v>34.851500000000001</c:v>
                </c:pt>
                <c:pt idx="25">
                  <c:v>34.438400000000001</c:v>
                </c:pt>
                <c:pt idx="26">
                  <c:v>34.134700000000002</c:v>
                </c:pt>
                <c:pt idx="27">
                  <c:v>33.874900000000004</c:v>
                </c:pt>
                <c:pt idx="28">
                  <c:v>33.689099999999996</c:v>
                </c:pt>
                <c:pt idx="29">
                  <c:v>33.5321</c:v>
                </c:pt>
                <c:pt idx="30">
                  <c:v>33.526000000000003</c:v>
                </c:pt>
                <c:pt idx="31">
                  <c:v>33.681100000000001</c:v>
                </c:pt>
                <c:pt idx="32">
                  <c:v>33.825800000000001</c:v>
                </c:pt>
                <c:pt idx="33">
                  <c:v>33.926099999999998</c:v>
                </c:pt>
                <c:pt idx="34">
                  <c:v>34.075000000000003</c:v>
                </c:pt>
                <c:pt idx="35">
                  <c:v>34.1785</c:v>
                </c:pt>
                <c:pt idx="36">
                  <c:v>34.361399999999996</c:v>
                </c:pt>
                <c:pt idx="37">
                  <c:v>34.601999999999997</c:v>
                </c:pt>
                <c:pt idx="38">
                  <c:v>34.909600000000005</c:v>
                </c:pt>
                <c:pt idx="39">
                  <c:v>35.238599999999998</c:v>
                </c:pt>
                <c:pt idx="40">
                  <c:v>35.557600000000001</c:v>
                </c:pt>
                <c:pt idx="41">
                  <c:v>35.876100000000001</c:v>
                </c:pt>
                <c:pt idx="42">
                  <c:v>36.2179</c:v>
                </c:pt>
                <c:pt idx="43">
                  <c:v>36.5274</c:v>
                </c:pt>
                <c:pt idx="44">
                  <c:v>36.817100000000003</c:v>
                </c:pt>
                <c:pt idx="45">
                  <c:v>36.9741</c:v>
                </c:pt>
                <c:pt idx="46">
                  <c:v>36.8123</c:v>
                </c:pt>
                <c:pt idx="47">
                  <c:v>36.573</c:v>
                </c:pt>
                <c:pt idx="48">
                  <c:v>36.313099999999999</c:v>
                </c:pt>
                <c:pt idx="49">
                  <c:v>36.018999999999998</c:v>
                </c:pt>
                <c:pt idx="50">
                  <c:v>36.048900000000003</c:v>
                </c:pt>
                <c:pt idx="51">
                  <c:v>36.1646</c:v>
                </c:pt>
                <c:pt idx="52">
                  <c:v>36.140599999999999</c:v>
                </c:pt>
                <c:pt idx="53">
                  <c:v>36.084899999999998</c:v>
                </c:pt>
                <c:pt idx="54">
                  <c:v>36.031999999999996</c:v>
                </c:pt>
                <c:pt idx="55">
                  <c:v>35.908499999999997</c:v>
                </c:pt>
                <c:pt idx="56">
                  <c:v>35.682900000000004</c:v>
                </c:pt>
                <c:pt idx="57">
                  <c:v>35.474899999999998</c:v>
                </c:pt>
                <c:pt idx="58">
                  <c:v>35.302499999999995</c:v>
                </c:pt>
                <c:pt idx="59">
                  <c:v>34.965000000000003</c:v>
                </c:pt>
                <c:pt idx="60">
                  <c:v>34.670999999999999</c:v>
                </c:pt>
                <c:pt idx="61">
                  <c:v>34.3384</c:v>
                </c:pt>
                <c:pt idx="62">
                  <c:v>33.927</c:v>
                </c:pt>
                <c:pt idx="63">
                  <c:v>33.385399999999997</c:v>
                </c:pt>
                <c:pt idx="64">
                  <c:v>32.784300000000002</c:v>
                </c:pt>
                <c:pt idx="65">
                  <c:v>32.198599999999999</c:v>
                </c:pt>
                <c:pt idx="66">
                  <c:v>31.574999999999996</c:v>
                </c:pt>
                <c:pt idx="67">
                  <c:v>30.898999999999997</c:v>
                </c:pt>
                <c:pt idx="68">
                  <c:v>29.848500000000001</c:v>
                </c:pt>
                <c:pt idx="69">
                  <c:v>28.347499999999997</c:v>
                </c:pt>
                <c:pt idx="70">
                  <c:v>26.857300000000002</c:v>
                </c:pt>
                <c:pt idx="71">
                  <c:v>26.2118</c:v>
                </c:pt>
                <c:pt idx="72">
                  <c:v>25.173000000000002</c:v>
                </c:pt>
                <c:pt idx="73">
                  <c:v>24.6921</c:v>
                </c:pt>
                <c:pt idx="74">
                  <c:v>25.569500000000001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14.940675000000001</c:v>
                </c:pt>
                <c:pt idx="1">
                  <c:v>44.822025000000004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48.004951351351338</c:v>
                </c:pt>
                <c:pt idx="1">
                  <c:v>35.776308108108111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31.427700000000002</c:v>
                </c:pt>
                <c:pt idx="1">
                  <c:v>23.845400000000001</c:v>
                </c:pt>
                <c:pt idx="2">
                  <c:v>24.069700000000001</c:v>
                </c:pt>
                <c:pt idx="3">
                  <c:v>27.066199999999998</c:v>
                </c:pt>
                <c:pt idx="4">
                  <c:v>67.516400000000004</c:v>
                </c:pt>
                <c:pt idx="5">
                  <c:v>81.227099999999993</c:v>
                </c:pt>
                <c:pt idx="6">
                  <c:v>16.023399999999999</c:v>
                </c:pt>
                <c:pt idx="7">
                  <c:v>74.059600000000003</c:v>
                </c:pt>
                <c:pt idx="8">
                  <c:v>18.952100000000002</c:v>
                </c:pt>
                <c:pt idx="9">
                  <c:v>50.390599999999999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37.667900000000003</c:v>
                </c:pt>
                <c:pt idx="1">
                  <c:v>29.676600000000001</c:v>
                </c:pt>
                <c:pt idx="2">
                  <c:v>23.4483</c:v>
                </c:pt>
                <c:pt idx="3">
                  <c:v>30.908999999999999</c:v>
                </c:pt>
                <c:pt idx="4">
                  <c:v>56.503999999999998</c:v>
                </c:pt>
                <c:pt idx="5">
                  <c:v>79.407899999999998</c:v>
                </c:pt>
                <c:pt idx="6">
                  <c:v>15.9377</c:v>
                </c:pt>
                <c:pt idx="7">
                  <c:v>67.942800000000005</c:v>
                </c:pt>
                <c:pt idx="8">
                  <c:v>15.484500000000001</c:v>
                </c:pt>
                <c:pt idx="9">
                  <c:v>25.7422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0.49352383829671337</c:v>
                </c:pt>
                <c:pt idx="1">
                  <c:v>0.21988924222946352</c:v>
                </c:pt>
                <c:pt idx="2">
                  <c:v>0.28658691947382314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2800</c:v>
                </c:pt>
                <c:pt idx="7">
                  <c:v>0</c:v>
                </c:pt>
                <c:pt idx="8">
                  <c:v>3662</c:v>
                </c:pt>
                <c:pt idx="9">
                  <c:v>0</c:v>
                </c:pt>
                <c:pt idx="10">
                  <c:v>0</c:v>
                </c:pt>
                <c:pt idx="11">
                  <c:v>8167</c:v>
                </c:pt>
                <c:pt idx="12">
                  <c:v>0</c:v>
                </c:pt>
                <c:pt idx="13">
                  <c:v>14889</c:v>
                </c:pt>
                <c:pt idx="14">
                  <c:v>0</c:v>
                </c:pt>
                <c:pt idx="15">
                  <c:v>0</c:v>
                </c:pt>
                <c:pt idx="16">
                  <c:v>23216</c:v>
                </c:pt>
                <c:pt idx="17">
                  <c:v>0</c:v>
                </c:pt>
                <c:pt idx="18">
                  <c:v>0</c:v>
                </c:pt>
                <c:pt idx="19">
                  <c:v>26233</c:v>
                </c:pt>
                <c:pt idx="20">
                  <c:v>0</c:v>
                </c:pt>
                <c:pt idx="21">
                  <c:v>35315</c:v>
                </c:pt>
                <c:pt idx="22">
                  <c:v>0</c:v>
                </c:pt>
                <c:pt idx="23">
                  <c:v>0</c:v>
                </c:pt>
                <c:pt idx="24">
                  <c:v>38076</c:v>
                </c:pt>
                <c:pt idx="25">
                  <c:v>0</c:v>
                </c:pt>
                <c:pt idx="26">
                  <c:v>37382</c:v>
                </c:pt>
                <c:pt idx="27">
                  <c:v>0</c:v>
                </c:pt>
                <c:pt idx="28">
                  <c:v>0</c:v>
                </c:pt>
                <c:pt idx="29">
                  <c:v>33351</c:v>
                </c:pt>
                <c:pt idx="30">
                  <c:v>0</c:v>
                </c:pt>
                <c:pt idx="31">
                  <c:v>38054</c:v>
                </c:pt>
                <c:pt idx="32">
                  <c:v>0</c:v>
                </c:pt>
                <c:pt idx="33">
                  <c:v>0</c:v>
                </c:pt>
                <c:pt idx="34">
                  <c:v>42762</c:v>
                </c:pt>
                <c:pt idx="35">
                  <c:v>0</c:v>
                </c:pt>
                <c:pt idx="36">
                  <c:v>0</c:v>
                </c:pt>
                <c:pt idx="37">
                  <c:v>52331</c:v>
                </c:pt>
                <c:pt idx="38">
                  <c:v>0</c:v>
                </c:pt>
                <c:pt idx="39">
                  <c:v>50858</c:v>
                </c:pt>
                <c:pt idx="40">
                  <c:v>0</c:v>
                </c:pt>
                <c:pt idx="41">
                  <c:v>0</c:v>
                </c:pt>
                <c:pt idx="42">
                  <c:v>59174</c:v>
                </c:pt>
                <c:pt idx="43">
                  <c:v>0</c:v>
                </c:pt>
                <c:pt idx="44">
                  <c:v>61200</c:v>
                </c:pt>
                <c:pt idx="45">
                  <c:v>0</c:v>
                </c:pt>
                <c:pt idx="46">
                  <c:v>0</c:v>
                </c:pt>
                <c:pt idx="47">
                  <c:v>79017</c:v>
                </c:pt>
                <c:pt idx="48">
                  <c:v>0</c:v>
                </c:pt>
                <c:pt idx="49">
                  <c:v>83124</c:v>
                </c:pt>
                <c:pt idx="50">
                  <c:v>0</c:v>
                </c:pt>
                <c:pt idx="51">
                  <c:v>0</c:v>
                </c:pt>
                <c:pt idx="52">
                  <c:v>77291</c:v>
                </c:pt>
                <c:pt idx="53">
                  <c:v>0</c:v>
                </c:pt>
                <c:pt idx="54">
                  <c:v>0</c:v>
                </c:pt>
                <c:pt idx="55">
                  <c:v>95776</c:v>
                </c:pt>
                <c:pt idx="56">
                  <c:v>0</c:v>
                </c:pt>
                <c:pt idx="57">
                  <c:v>102962</c:v>
                </c:pt>
                <c:pt idx="58">
                  <c:v>0</c:v>
                </c:pt>
                <c:pt idx="59">
                  <c:v>0</c:v>
                </c:pt>
                <c:pt idx="60">
                  <c:v>107073</c:v>
                </c:pt>
                <c:pt idx="61">
                  <c:v>0</c:v>
                </c:pt>
                <c:pt idx="62">
                  <c:v>103844</c:v>
                </c:pt>
                <c:pt idx="63">
                  <c:v>0</c:v>
                </c:pt>
                <c:pt idx="64">
                  <c:v>0</c:v>
                </c:pt>
                <c:pt idx="65">
                  <c:v>102583</c:v>
                </c:pt>
                <c:pt idx="66">
                  <c:v>0</c:v>
                </c:pt>
                <c:pt idx="67">
                  <c:v>81893</c:v>
                </c:pt>
                <c:pt idx="68">
                  <c:v>0</c:v>
                </c:pt>
                <c:pt idx="69">
                  <c:v>0</c:v>
                </c:pt>
                <c:pt idx="70">
                  <c:v>83515</c:v>
                </c:pt>
                <c:pt idx="71">
                  <c:v>0</c:v>
                </c:pt>
                <c:pt idx="72">
                  <c:v>0</c:v>
                </c:pt>
                <c:pt idx="73">
                  <c:v>73600</c:v>
                </c:pt>
                <c:pt idx="74">
                  <c:v>0</c:v>
                </c:pt>
                <c:pt idx="75">
                  <c:v>69341</c:v>
                </c:pt>
                <c:pt idx="76">
                  <c:v>0</c:v>
                </c:pt>
                <c:pt idx="77">
                  <c:v>0</c:v>
                </c:pt>
                <c:pt idx="78">
                  <c:v>67775</c:v>
                </c:pt>
                <c:pt idx="79">
                  <c:v>0</c:v>
                </c:pt>
                <c:pt idx="80">
                  <c:v>67733</c:v>
                </c:pt>
                <c:pt idx="81">
                  <c:v>0</c:v>
                </c:pt>
                <c:pt idx="82">
                  <c:v>0</c:v>
                </c:pt>
                <c:pt idx="83">
                  <c:v>64356</c:v>
                </c:pt>
                <c:pt idx="84">
                  <c:v>0</c:v>
                </c:pt>
                <c:pt idx="85">
                  <c:v>0</c:v>
                </c:pt>
                <c:pt idx="86">
                  <c:v>60393</c:v>
                </c:pt>
                <c:pt idx="87">
                  <c:v>0</c:v>
                </c:pt>
                <c:pt idx="88">
                  <c:v>60712</c:v>
                </c:pt>
                <c:pt idx="89">
                  <c:v>0</c:v>
                </c:pt>
                <c:pt idx="90">
                  <c:v>0</c:v>
                </c:pt>
                <c:pt idx="91">
                  <c:v>49963</c:v>
                </c:pt>
                <c:pt idx="92">
                  <c:v>0</c:v>
                </c:pt>
                <c:pt idx="93">
                  <c:v>53075</c:v>
                </c:pt>
                <c:pt idx="94">
                  <c:v>0</c:v>
                </c:pt>
                <c:pt idx="95">
                  <c:v>0</c:v>
                </c:pt>
                <c:pt idx="96">
                  <c:v>45334</c:v>
                </c:pt>
                <c:pt idx="97">
                  <c:v>0</c:v>
                </c:pt>
                <c:pt idx="98">
                  <c:v>33018</c:v>
                </c:pt>
                <c:pt idx="99">
                  <c:v>0</c:v>
                </c:pt>
                <c:pt idx="100">
                  <c:v>0</c:v>
                </c:pt>
                <c:pt idx="101">
                  <c:v>35698</c:v>
                </c:pt>
                <c:pt idx="102">
                  <c:v>0</c:v>
                </c:pt>
                <c:pt idx="103">
                  <c:v>0</c:v>
                </c:pt>
                <c:pt idx="104">
                  <c:v>27788</c:v>
                </c:pt>
                <c:pt idx="105">
                  <c:v>0</c:v>
                </c:pt>
                <c:pt idx="106">
                  <c:v>22562</c:v>
                </c:pt>
                <c:pt idx="107">
                  <c:v>0</c:v>
                </c:pt>
                <c:pt idx="108">
                  <c:v>0</c:v>
                </c:pt>
                <c:pt idx="109">
                  <c:v>29541</c:v>
                </c:pt>
                <c:pt idx="110">
                  <c:v>0</c:v>
                </c:pt>
                <c:pt idx="111">
                  <c:v>28584</c:v>
                </c:pt>
                <c:pt idx="112">
                  <c:v>0</c:v>
                </c:pt>
                <c:pt idx="113">
                  <c:v>0</c:v>
                </c:pt>
                <c:pt idx="114">
                  <c:v>20769</c:v>
                </c:pt>
                <c:pt idx="115">
                  <c:v>0</c:v>
                </c:pt>
                <c:pt idx="116">
                  <c:v>21119</c:v>
                </c:pt>
                <c:pt idx="117">
                  <c:v>0</c:v>
                </c:pt>
                <c:pt idx="118">
                  <c:v>0</c:v>
                </c:pt>
                <c:pt idx="119">
                  <c:v>16191</c:v>
                </c:pt>
                <c:pt idx="120">
                  <c:v>0</c:v>
                </c:pt>
                <c:pt idx="121">
                  <c:v>0</c:v>
                </c:pt>
                <c:pt idx="122">
                  <c:v>13357</c:v>
                </c:pt>
                <c:pt idx="123">
                  <c:v>0</c:v>
                </c:pt>
                <c:pt idx="124">
                  <c:v>11391</c:v>
                </c:pt>
                <c:pt idx="125">
                  <c:v>0</c:v>
                </c:pt>
                <c:pt idx="126">
                  <c:v>0</c:v>
                </c:pt>
                <c:pt idx="127">
                  <c:v>10238</c:v>
                </c:pt>
                <c:pt idx="128">
                  <c:v>0</c:v>
                </c:pt>
                <c:pt idx="129">
                  <c:v>10245</c:v>
                </c:pt>
                <c:pt idx="130">
                  <c:v>0</c:v>
                </c:pt>
                <c:pt idx="131">
                  <c:v>0</c:v>
                </c:pt>
                <c:pt idx="132">
                  <c:v>8857</c:v>
                </c:pt>
                <c:pt idx="133">
                  <c:v>0</c:v>
                </c:pt>
                <c:pt idx="134">
                  <c:v>5856</c:v>
                </c:pt>
                <c:pt idx="135">
                  <c:v>0</c:v>
                </c:pt>
                <c:pt idx="136">
                  <c:v>0</c:v>
                </c:pt>
                <c:pt idx="137">
                  <c:v>5554</c:v>
                </c:pt>
                <c:pt idx="138">
                  <c:v>0</c:v>
                </c:pt>
                <c:pt idx="139">
                  <c:v>0</c:v>
                </c:pt>
                <c:pt idx="140">
                  <c:v>3660</c:v>
                </c:pt>
                <c:pt idx="141">
                  <c:v>0</c:v>
                </c:pt>
                <c:pt idx="142">
                  <c:v>2506</c:v>
                </c:pt>
                <c:pt idx="143">
                  <c:v>0</c:v>
                </c:pt>
                <c:pt idx="144">
                  <c:v>0</c:v>
                </c:pt>
                <c:pt idx="145">
                  <c:v>1776</c:v>
                </c:pt>
                <c:pt idx="146">
                  <c:v>0</c:v>
                </c:pt>
                <c:pt idx="147">
                  <c:v>2346</c:v>
                </c:pt>
                <c:pt idx="148">
                  <c:v>0</c:v>
                </c:pt>
                <c:pt idx="149">
                  <c:v>0</c:v>
                </c:pt>
                <c:pt idx="150">
                  <c:v>1959</c:v>
                </c:pt>
                <c:pt idx="151">
                  <c:v>0</c:v>
                </c:pt>
                <c:pt idx="152">
                  <c:v>1891</c:v>
                </c:pt>
                <c:pt idx="153">
                  <c:v>0</c:v>
                </c:pt>
                <c:pt idx="154">
                  <c:v>0</c:v>
                </c:pt>
                <c:pt idx="155">
                  <c:v>1589</c:v>
                </c:pt>
                <c:pt idx="156">
                  <c:v>0</c:v>
                </c:pt>
                <c:pt idx="157">
                  <c:v>0</c:v>
                </c:pt>
                <c:pt idx="158">
                  <c:v>1310</c:v>
                </c:pt>
                <c:pt idx="159">
                  <c:v>0</c:v>
                </c:pt>
                <c:pt idx="160">
                  <c:v>1003</c:v>
                </c:pt>
                <c:pt idx="161">
                  <c:v>0</c:v>
                </c:pt>
                <c:pt idx="162">
                  <c:v>0</c:v>
                </c:pt>
                <c:pt idx="163">
                  <c:v>914</c:v>
                </c:pt>
                <c:pt idx="164">
                  <c:v>0</c:v>
                </c:pt>
                <c:pt idx="165">
                  <c:v>832</c:v>
                </c:pt>
                <c:pt idx="166">
                  <c:v>0</c:v>
                </c:pt>
                <c:pt idx="167">
                  <c:v>0</c:v>
                </c:pt>
                <c:pt idx="168">
                  <c:v>717</c:v>
                </c:pt>
                <c:pt idx="169">
                  <c:v>0</c:v>
                </c:pt>
                <c:pt idx="170">
                  <c:v>0</c:v>
                </c:pt>
                <c:pt idx="171">
                  <c:v>158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2416</c:v>
                </c:pt>
                <c:pt idx="7">
                  <c:v>0</c:v>
                </c:pt>
                <c:pt idx="8">
                  <c:v>3877</c:v>
                </c:pt>
                <c:pt idx="9">
                  <c:v>0</c:v>
                </c:pt>
                <c:pt idx="10">
                  <c:v>0</c:v>
                </c:pt>
                <c:pt idx="11">
                  <c:v>6099</c:v>
                </c:pt>
                <c:pt idx="12">
                  <c:v>0</c:v>
                </c:pt>
                <c:pt idx="13">
                  <c:v>14292</c:v>
                </c:pt>
                <c:pt idx="14">
                  <c:v>0</c:v>
                </c:pt>
                <c:pt idx="15">
                  <c:v>0</c:v>
                </c:pt>
                <c:pt idx="16">
                  <c:v>27932</c:v>
                </c:pt>
                <c:pt idx="17">
                  <c:v>0</c:v>
                </c:pt>
                <c:pt idx="18">
                  <c:v>0</c:v>
                </c:pt>
                <c:pt idx="19">
                  <c:v>35681</c:v>
                </c:pt>
                <c:pt idx="20">
                  <c:v>0</c:v>
                </c:pt>
                <c:pt idx="21">
                  <c:v>41802</c:v>
                </c:pt>
                <c:pt idx="22">
                  <c:v>0</c:v>
                </c:pt>
                <c:pt idx="23">
                  <c:v>0</c:v>
                </c:pt>
                <c:pt idx="24">
                  <c:v>33652</c:v>
                </c:pt>
                <c:pt idx="25">
                  <c:v>0</c:v>
                </c:pt>
                <c:pt idx="26">
                  <c:v>36203</c:v>
                </c:pt>
                <c:pt idx="27">
                  <c:v>0</c:v>
                </c:pt>
                <c:pt idx="28">
                  <c:v>0</c:v>
                </c:pt>
                <c:pt idx="29">
                  <c:v>37174</c:v>
                </c:pt>
                <c:pt idx="30">
                  <c:v>0</c:v>
                </c:pt>
                <c:pt idx="31">
                  <c:v>37719</c:v>
                </c:pt>
                <c:pt idx="32">
                  <c:v>0</c:v>
                </c:pt>
                <c:pt idx="33">
                  <c:v>0</c:v>
                </c:pt>
                <c:pt idx="34">
                  <c:v>38612</c:v>
                </c:pt>
                <c:pt idx="35">
                  <c:v>0</c:v>
                </c:pt>
                <c:pt idx="36">
                  <c:v>0</c:v>
                </c:pt>
                <c:pt idx="37">
                  <c:v>40755</c:v>
                </c:pt>
                <c:pt idx="38">
                  <c:v>0</c:v>
                </c:pt>
                <c:pt idx="39">
                  <c:v>40850</c:v>
                </c:pt>
                <c:pt idx="40">
                  <c:v>0</c:v>
                </c:pt>
                <c:pt idx="41">
                  <c:v>0</c:v>
                </c:pt>
                <c:pt idx="42">
                  <c:v>40887</c:v>
                </c:pt>
                <c:pt idx="43">
                  <c:v>0</c:v>
                </c:pt>
                <c:pt idx="44">
                  <c:v>54684</c:v>
                </c:pt>
                <c:pt idx="45">
                  <c:v>0</c:v>
                </c:pt>
                <c:pt idx="46">
                  <c:v>0</c:v>
                </c:pt>
                <c:pt idx="47">
                  <c:v>55961</c:v>
                </c:pt>
                <c:pt idx="48">
                  <c:v>0</c:v>
                </c:pt>
                <c:pt idx="49">
                  <c:v>61185</c:v>
                </c:pt>
                <c:pt idx="50">
                  <c:v>0</c:v>
                </c:pt>
                <c:pt idx="51">
                  <c:v>0</c:v>
                </c:pt>
                <c:pt idx="52">
                  <c:v>61816</c:v>
                </c:pt>
                <c:pt idx="53">
                  <c:v>0</c:v>
                </c:pt>
                <c:pt idx="54">
                  <c:v>0</c:v>
                </c:pt>
                <c:pt idx="55">
                  <c:v>72031</c:v>
                </c:pt>
                <c:pt idx="56">
                  <c:v>0</c:v>
                </c:pt>
                <c:pt idx="57">
                  <c:v>75176</c:v>
                </c:pt>
                <c:pt idx="58">
                  <c:v>0</c:v>
                </c:pt>
                <c:pt idx="59">
                  <c:v>0</c:v>
                </c:pt>
                <c:pt idx="60">
                  <c:v>67590</c:v>
                </c:pt>
                <c:pt idx="61">
                  <c:v>0</c:v>
                </c:pt>
                <c:pt idx="62">
                  <c:v>74210</c:v>
                </c:pt>
                <c:pt idx="63">
                  <c:v>0</c:v>
                </c:pt>
                <c:pt idx="64">
                  <c:v>0</c:v>
                </c:pt>
                <c:pt idx="65">
                  <c:v>76077</c:v>
                </c:pt>
                <c:pt idx="66">
                  <c:v>0</c:v>
                </c:pt>
                <c:pt idx="67">
                  <c:v>75301</c:v>
                </c:pt>
                <c:pt idx="68">
                  <c:v>0</c:v>
                </c:pt>
                <c:pt idx="69">
                  <c:v>0</c:v>
                </c:pt>
                <c:pt idx="70">
                  <c:v>80076</c:v>
                </c:pt>
                <c:pt idx="71">
                  <c:v>0</c:v>
                </c:pt>
                <c:pt idx="72">
                  <c:v>0</c:v>
                </c:pt>
                <c:pt idx="73">
                  <c:v>80312</c:v>
                </c:pt>
                <c:pt idx="74">
                  <c:v>0</c:v>
                </c:pt>
                <c:pt idx="75">
                  <c:v>71290</c:v>
                </c:pt>
                <c:pt idx="76">
                  <c:v>0</c:v>
                </c:pt>
                <c:pt idx="77">
                  <c:v>0</c:v>
                </c:pt>
                <c:pt idx="78">
                  <c:v>62869</c:v>
                </c:pt>
                <c:pt idx="79">
                  <c:v>0</c:v>
                </c:pt>
                <c:pt idx="80">
                  <c:v>64677</c:v>
                </c:pt>
                <c:pt idx="81">
                  <c:v>0</c:v>
                </c:pt>
                <c:pt idx="82">
                  <c:v>0</c:v>
                </c:pt>
                <c:pt idx="83">
                  <c:v>57326</c:v>
                </c:pt>
                <c:pt idx="84">
                  <c:v>0</c:v>
                </c:pt>
                <c:pt idx="85">
                  <c:v>0</c:v>
                </c:pt>
                <c:pt idx="86">
                  <c:v>50581</c:v>
                </c:pt>
                <c:pt idx="87">
                  <c:v>0</c:v>
                </c:pt>
                <c:pt idx="88">
                  <c:v>51127</c:v>
                </c:pt>
                <c:pt idx="89">
                  <c:v>0</c:v>
                </c:pt>
                <c:pt idx="90">
                  <c:v>0</c:v>
                </c:pt>
                <c:pt idx="91">
                  <c:v>53252</c:v>
                </c:pt>
                <c:pt idx="92">
                  <c:v>0</c:v>
                </c:pt>
                <c:pt idx="93">
                  <c:v>50634</c:v>
                </c:pt>
                <c:pt idx="94">
                  <c:v>0</c:v>
                </c:pt>
                <c:pt idx="95">
                  <c:v>0</c:v>
                </c:pt>
                <c:pt idx="96">
                  <c:v>43751</c:v>
                </c:pt>
                <c:pt idx="97">
                  <c:v>0</c:v>
                </c:pt>
                <c:pt idx="98">
                  <c:v>42782</c:v>
                </c:pt>
                <c:pt idx="99">
                  <c:v>0</c:v>
                </c:pt>
                <c:pt idx="100">
                  <c:v>0</c:v>
                </c:pt>
                <c:pt idx="101">
                  <c:v>38036</c:v>
                </c:pt>
                <c:pt idx="102">
                  <c:v>0</c:v>
                </c:pt>
                <c:pt idx="103">
                  <c:v>0</c:v>
                </c:pt>
                <c:pt idx="104">
                  <c:v>30848</c:v>
                </c:pt>
                <c:pt idx="105">
                  <c:v>0</c:v>
                </c:pt>
                <c:pt idx="106">
                  <c:v>26030</c:v>
                </c:pt>
                <c:pt idx="107">
                  <c:v>0</c:v>
                </c:pt>
                <c:pt idx="108">
                  <c:v>0</c:v>
                </c:pt>
                <c:pt idx="109">
                  <c:v>21863</c:v>
                </c:pt>
                <c:pt idx="110">
                  <c:v>0</c:v>
                </c:pt>
                <c:pt idx="111">
                  <c:v>18180</c:v>
                </c:pt>
                <c:pt idx="112">
                  <c:v>0</c:v>
                </c:pt>
                <c:pt idx="113">
                  <c:v>0</c:v>
                </c:pt>
                <c:pt idx="114">
                  <c:v>16171</c:v>
                </c:pt>
                <c:pt idx="115">
                  <c:v>0</c:v>
                </c:pt>
                <c:pt idx="116">
                  <c:v>15283</c:v>
                </c:pt>
                <c:pt idx="117">
                  <c:v>0</c:v>
                </c:pt>
                <c:pt idx="118">
                  <c:v>0</c:v>
                </c:pt>
                <c:pt idx="119">
                  <c:v>15258</c:v>
                </c:pt>
                <c:pt idx="120">
                  <c:v>0</c:v>
                </c:pt>
                <c:pt idx="121">
                  <c:v>0</c:v>
                </c:pt>
                <c:pt idx="122">
                  <c:v>15375</c:v>
                </c:pt>
                <c:pt idx="123">
                  <c:v>0</c:v>
                </c:pt>
                <c:pt idx="124">
                  <c:v>12373</c:v>
                </c:pt>
                <c:pt idx="125">
                  <c:v>0</c:v>
                </c:pt>
                <c:pt idx="126">
                  <c:v>0</c:v>
                </c:pt>
                <c:pt idx="127">
                  <c:v>13067</c:v>
                </c:pt>
                <c:pt idx="128">
                  <c:v>0</c:v>
                </c:pt>
                <c:pt idx="129">
                  <c:v>10615</c:v>
                </c:pt>
                <c:pt idx="130">
                  <c:v>0</c:v>
                </c:pt>
                <c:pt idx="131">
                  <c:v>0</c:v>
                </c:pt>
                <c:pt idx="132">
                  <c:v>10262</c:v>
                </c:pt>
                <c:pt idx="133">
                  <c:v>0</c:v>
                </c:pt>
                <c:pt idx="134">
                  <c:v>11003</c:v>
                </c:pt>
                <c:pt idx="135">
                  <c:v>0</c:v>
                </c:pt>
                <c:pt idx="136">
                  <c:v>0</c:v>
                </c:pt>
                <c:pt idx="137">
                  <c:v>8408</c:v>
                </c:pt>
                <c:pt idx="138">
                  <c:v>0</c:v>
                </c:pt>
                <c:pt idx="139">
                  <c:v>0</c:v>
                </c:pt>
                <c:pt idx="140">
                  <c:v>7215</c:v>
                </c:pt>
                <c:pt idx="141">
                  <c:v>0</c:v>
                </c:pt>
                <c:pt idx="142">
                  <c:v>6450</c:v>
                </c:pt>
                <c:pt idx="143">
                  <c:v>0</c:v>
                </c:pt>
                <c:pt idx="144">
                  <c:v>0</c:v>
                </c:pt>
                <c:pt idx="145">
                  <c:v>5665</c:v>
                </c:pt>
                <c:pt idx="146">
                  <c:v>0</c:v>
                </c:pt>
                <c:pt idx="147">
                  <c:v>3739</c:v>
                </c:pt>
                <c:pt idx="148">
                  <c:v>0</c:v>
                </c:pt>
                <c:pt idx="149">
                  <c:v>0</c:v>
                </c:pt>
                <c:pt idx="150">
                  <c:v>3613</c:v>
                </c:pt>
                <c:pt idx="151">
                  <c:v>0</c:v>
                </c:pt>
                <c:pt idx="152">
                  <c:v>4357</c:v>
                </c:pt>
                <c:pt idx="153">
                  <c:v>0</c:v>
                </c:pt>
                <c:pt idx="154">
                  <c:v>0</c:v>
                </c:pt>
                <c:pt idx="155">
                  <c:v>5397</c:v>
                </c:pt>
                <c:pt idx="156">
                  <c:v>0</c:v>
                </c:pt>
                <c:pt idx="157">
                  <c:v>0</c:v>
                </c:pt>
                <c:pt idx="158">
                  <c:v>8207</c:v>
                </c:pt>
                <c:pt idx="159">
                  <c:v>0</c:v>
                </c:pt>
                <c:pt idx="160">
                  <c:v>7334</c:v>
                </c:pt>
                <c:pt idx="161">
                  <c:v>0</c:v>
                </c:pt>
                <c:pt idx="162">
                  <c:v>0</c:v>
                </c:pt>
                <c:pt idx="163">
                  <c:v>5283</c:v>
                </c:pt>
                <c:pt idx="164">
                  <c:v>0</c:v>
                </c:pt>
                <c:pt idx="165">
                  <c:v>4213</c:v>
                </c:pt>
                <c:pt idx="166">
                  <c:v>0</c:v>
                </c:pt>
                <c:pt idx="167">
                  <c:v>0</c:v>
                </c:pt>
                <c:pt idx="168">
                  <c:v>2114</c:v>
                </c:pt>
                <c:pt idx="169">
                  <c:v>0</c:v>
                </c:pt>
                <c:pt idx="170">
                  <c:v>0</c:v>
                </c:pt>
                <c:pt idx="171">
                  <c:v>1202</c:v>
                </c:pt>
                <c:pt idx="172">
                  <c:v>0</c:v>
                </c:pt>
                <c:pt idx="173">
                  <c:v>708</c:v>
                </c:pt>
                <c:pt idx="174">
                  <c:v>0</c:v>
                </c:pt>
                <c:pt idx="175">
                  <c:v>0</c:v>
                </c:pt>
                <c:pt idx="176">
                  <c:v>386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0.15447862911506938</c:v>
                </c:pt>
                <c:pt idx="1">
                  <c:v>0.35394748107011148</c:v>
                </c:pt>
                <c:pt idx="2">
                  <c:v>0.49157388981481914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0.51844237353861655</c:v>
                </c:pt>
                <c:pt idx="1">
                  <c:v>0.28706802444453045</c:v>
                </c:pt>
                <c:pt idx="2">
                  <c:v>0.19448960201685303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10.159355</c:v>
                </c:pt>
                <c:pt idx="1">
                  <c:v>20.581624999999999</c:v>
                </c:pt>
                <c:pt idx="2">
                  <c:v>45.115449999999996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0.399501</c:v>
                </c:pt>
                <c:pt idx="2">
                  <c:v>0.81328299999999998</c:v>
                </c:pt>
                <c:pt idx="3">
                  <c:v>1.2192499999999999</c:v>
                </c:pt>
                <c:pt idx="4">
                  <c:v>1.6231500000000001</c:v>
                </c:pt>
                <c:pt idx="5">
                  <c:v>2.0301999999999998</c:v>
                </c:pt>
                <c:pt idx="6">
                  <c:v>2.4350399999999999</c:v>
                </c:pt>
                <c:pt idx="7">
                  <c:v>2.8439800000000002</c:v>
                </c:pt>
                <c:pt idx="8">
                  <c:v>3.2497199999999999</c:v>
                </c:pt>
                <c:pt idx="9">
                  <c:v>3.6508799999999999</c:v>
                </c:pt>
                <c:pt idx="10">
                  <c:v>4.0616199999999996</c:v>
                </c:pt>
                <c:pt idx="11">
                  <c:v>4.4685699999999997</c:v>
                </c:pt>
                <c:pt idx="12">
                  <c:v>4.8704200000000002</c:v>
                </c:pt>
                <c:pt idx="13">
                  <c:v>5.2824099999999996</c:v>
                </c:pt>
                <c:pt idx="14">
                  <c:v>5.6823600000000001</c:v>
                </c:pt>
                <c:pt idx="15">
                  <c:v>6.0931800000000003</c:v>
                </c:pt>
                <c:pt idx="16">
                  <c:v>6.5020499999999997</c:v>
                </c:pt>
                <c:pt idx="17">
                  <c:v>6.9049800000000001</c:v>
                </c:pt>
                <c:pt idx="18">
                  <c:v>7.3134199999999998</c:v>
                </c:pt>
                <c:pt idx="19">
                  <c:v>7.7168999999999999</c:v>
                </c:pt>
                <c:pt idx="20">
                  <c:v>8.1257699999999993</c:v>
                </c:pt>
                <c:pt idx="21">
                  <c:v>8.5296000000000003</c:v>
                </c:pt>
                <c:pt idx="22">
                  <c:v>8.9375300000000006</c:v>
                </c:pt>
                <c:pt idx="23">
                  <c:v>9.3404299999999996</c:v>
                </c:pt>
                <c:pt idx="24">
                  <c:v>9.7495499999999993</c:v>
                </c:pt>
                <c:pt idx="25">
                  <c:v>10.1553</c:v>
                </c:pt>
                <c:pt idx="26">
                  <c:v>10.564299999999999</c:v>
                </c:pt>
                <c:pt idx="27">
                  <c:v>10.963800000000001</c:v>
                </c:pt>
                <c:pt idx="28">
                  <c:v>11.372</c:v>
                </c:pt>
                <c:pt idx="29">
                  <c:v>11.781000000000001</c:v>
                </c:pt>
                <c:pt idx="30">
                  <c:v>12.1839</c:v>
                </c:pt>
                <c:pt idx="31">
                  <c:v>12.591799999999999</c:v>
                </c:pt>
                <c:pt idx="32">
                  <c:v>13.0037</c:v>
                </c:pt>
                <c:pt idx="33">
                  <c:v>13.403600000000001</c:v>
                </c:pt>
                <c:pt idx="34">
                  <c:v>13.8096</c:v>
                </c:pt>
                <c:pt idx="35">
                  <c:v>14.2204</c:v>
                </c:pt>
                <c:pt idx="36">
                  <c:v>14.6273</c:v>
                </c:pt>
                <c:pt idx="37">
                  <c:v>15.03</c:v>
                </c:pt>
                <c:pt idx="38">
                  <c:v>15.432399999999999</c:v>
                </c:pt>
                <c:pt idx="39">
                  <c:v>15.8414</c:v>
                </c:pt>
                <c:pt idx="40">
                  <c:v>16.248999999999999</c:v>
                </c:pt>
                <c:pt idx="41">
                  <c:v>16.657900000000001</c:v>
                </c:pt>
                <c:pt idx="42">
                  <c:v>17.062799999999999</c:v>
                </c:pt>
                <c:pt idx="43">
                  <c:v>17.466999999999999</c:v>
                </c:pt>
                <c:pt idx="44">
                  <c:v>17.8749</c:v>
                </c:pt>
                <c:pt idx="45">
                  <c:v>18.281600000000001</c:v>
                </c:pt>
                <c:pt idx="46">
                  <c:v>18.682700000000001</c:v>
                </c:pt>
                <c:pt idx="47">
                  <c:v>19.093299999999999</c:v>
                </c:pt>
                <c:pt idx="48">
                  <c:v>19.499400000000001</c:v>
                </c:pt>
                <c:pt idx="49">
                  <c:v>19.901199999999999</c:v>
                </c:pt>
                <c:pt idx="50">
                  <c:v>20.3111</c:v>
                </c:pt>
                <c:pt idx="51">
                  <c:v>20.719100000000001</c:v>
                </c:pt>
                <c:pt idx="52">
                  <c:v>21.123000000000001</c:v>
                </c:pt>
                <c:pt idx="53">
                  <c:v>21.530899999999999</c:v>
                </c:pt>
                <c:pt idx="54">
                  <c:v>21.934100000000001</c:v>
                </c:pt>
                <c:pt idx="55">
                  <c:v>22.337900000000001</c:v>
                </c:pt>
                <c:pt idx="56">
                  <c:v>22.750800000000002</c:v>
                </c:pt>
                <c:pt idx="57">
                  <c:v>23.155100000000001</c:v>
                </c:pt>
                <c:pt idx="58">
                  <c:v>23.5594</c:v>
                </c:pt>
                <c:pt idx="59">
                  <c:v>23.963100000000001</c:v>
                </c:pt>
                <c:pt idx="60">
                  <c:v>24.369900000000001</c:v>
                </c:pt>
                <c:pt idx="61">
                  <c:v>24.782399999999999</c:v>
                </c:pt>
                <c:pt idx="62">
                  <c:v>25.1861</c:v>
                </c:pt>
                <c:pt idx="63">
                  <c:v>25.589099999999998</c:v>
                </c:pt>
                <c:pt idx="64">
                  <c:v>25.995899999999999</c:v>
                </c:pt>
                <c:pt idx="65">
                  <c:v>26.4069</c:v>
                </c:pt>
                <c:pt idx="66">
                  <c:v>26.808499999999999</c:v>
                </c:pt>
                <c:pt idx="67">
                  <c:v>27.216999999999999</c:v>
                </c:pt>
                <c:pt idx="68">
                  <c:v>27.619599999999998</c:v>
                </c:pt>
                <c:pt idx="69">
                  <c:v>28.029499999999999</c:v>
                </c:pt>
                <c:pt idx="70">
                  <c:v>28.435500000000001</c:v>
                </c:pt>
                <c:pt idx="71">
                  <c:v>28.8446</c:v>
                </c:pt>
                <c:pt idx="72">
                  <c:v>29.251200000000001</c:v>
                </c:pt>
                <c:pt idx="73">
                  <c:v>29.659300000000002</c:v>
                </c:pt>
                <c:pt idx="74">
                  <c:v>30.251899999999999</c:v>
                </c:pt>
                <c:pt idx="75">
                  <c:v>30.627500000000001</c:v>
                </c:pt>
                <c:pt idx="76">
                  <c:v>31.0002</c:v>
                </c:pt>
                <c:pt idx="77">
                  <c:v>31.3749</c:v>
                </c:pt>
                <c:pt idx="78">
                  <c:v>31.7498</c:v>
                </c:pt>
                <c:pt idx="79">
                  <c:v>32.137500000000003</c:v>
                </c:pt>
                <c:pt idx="80">
                  <c:v>32.546599999999998</c:v>
                </c:pt>
                <c:pt idx="81">
                  <c:v>32.953400000000002</c:v>
                </c:pt>
                <c:pt idx="82">
                  <c:v>33.362200000000001</c:v>
                </c:pt>
                <c:pt idx="83">
                  <c:v>33.764200000000002</c:v>
                </c:pt>
                <c:pt idx="84">
                  <c:v>34.171100000000003</c:v>
                </c:pt>
                <c:pt idx="85">
                  <c:v>34.575099999999999</c:v>
                </c:pt>
                <c:pt idx="86">
                  <c:v>34.986899999999999</c:v>
                </c:pt>
                <c:pt idx="87">
                  <c:v>35.39</c:v>
                </c:pt>
                <c:pt idx="88">
                  <c:v>35.794699999999999</c:v>
                </c:pt>
                <c:pt idx="89">
                  <c:v>36.200000000000003</c:v>
                </c:pt>
                <c:pt idx="90">
                  <c:v>36.607700000000001</c:v>
                </c:pt>
                <c:pt idx="91">
                  <c:v>37.017600000000002</c:v>
                </c:pt>
                <c:pt idx="92">
                  <c:v>37.419499999999999</c:v>
                </c:pt>
                <c:pt idx="93">
                  <c:v>37.827199999999998</c:v>
                </c:pt>
                <c:pt idx="94">
                  <c:v>38.231200000000001</c:v>
                </c:pt>
                <c:pt idx="95">
                  <c:v>38.639200000000002</c:v>
                </c:pt>
                <c:pt idx="96">
                  <c:v>39.048999999999999</c:v>
                </c:pt>
                <c:pt idx="97">
                  <c:v>39.454300000000003</c:v>
                </c:pt>
                <c:pt idx="98">
                  <c:v>39.860799999999998</c:v>
                </c:pt>
                <c:pt idx="99">
                  <c:v>40.2637</c:v>
                </c:pt>
                <c:pt idx="100">
                  <c:v>40.671900000000001</c:v>
                </c:pt>
                <c:pt idx="101">
                  <c:v>41.074800000000003</c:v>
                </c:pt>
                <c:pt idx="102">
                  <c:v>41.485500000000002</c:v>
                </c:pt>
                <c:pt idx="103">
                  <c:v>41.891399999999997</c:v>
                </c:pt>
                <c:pt idx="104">
                  <c:v>42.294499999999999</c:v>
                </c:pt>
                <c:pt idx="105">
                  <c:v>42.698300000000003</c:v>
                </c:pt>
                <c:pt idx="106">
                  <c:v>43.107300000000002</c:v>
                </c:pt>
                <c:pt idx="107">
                  <c:v>43.516300000000001</c:v>
                </c:pt>
                <c:pt idx="108">
                  <c:v>43.920099999999998</c:v>
                </c:pt>
                <c:pt idx="109">
                  <c:v>44.3249</c:v>
                </c:pt>
                <c:pt idx="110">
                  <c:v>44.731900000000003</c:v>
                </c:pt>
                <c:pt idx="111">
                  <c:v>45.136000000000003</c:v>
                </c:pt>
                <c:pt idx="112">
                  <c:v>45.547699999999999</c:v>
                </c:pt>
                <c:pt idx="113">
                  <c:v>45.951599999999999</c:v>
                </c:pt>
                <c:pt idx="114">
                  <c:v>46.360500000000002</c:v>
                </c:pt>
                <c:pt idx="115">
                  <c:v>46.7624</c:v>
                </c:pt>
                <c:pt idx="116">
                  <c:v>47.170400000000001</c:v>
                </c:pt>
                <c:pt idx="117">
                  <c:v>47.573</c:v>
                </c:pt>
                <c:pt idx="118">
                  <c:v>47.984299999999998</c:v>
                </c:pt>
                <c:pt idx="119">
                  <c:v>48.39</c:v>
                </c:pt>
                <c:pt idx="120">
                  <c:v>48.795000000000002</c:v>
                </c:pt>
                <c:pt idx="121">
                  <c:v>49.201300000000003</c:v>
                </c:pt>
                <c:pt idx="122">
                  <c:v>49.6068</c:v>
                </c:pt>
                <c:pt idx="123">
                  <c:v>50.014800000000001</c:v>
                </c:pt>
                <c:pt idx="124">
                  <c:v>50.418700000000001</c:v>
                </c:pt>
                <c:pt idx="125">
                  <c:v>50.827599999999997</c:v>
                </c:pt>
                <c:pt idx="126">
                  <c:v>51.234499999999997</c:v>
                </c:pt>
                <c:pt idx="127">
                  <c:v>51.6374</c:v>
                </c:pt>
                <c:pt idx="128">
                  <c:v>52.0413</c:v>
                </c:pt>
                <c:pt idx="129">
                  <c:v>52.448399999999999</c:v>
                </c:pt>
                <c:pt idx="130">
                  <c:v>52.856200000000001</c:v>
                </c:pt>
                <c:pt idx="131">
                  <c:v>53.266300000000001</c:v>
                </c:pt>
                <c:pt idx="132">
                  <c:v>53.668999999999997</c:v>
                </c:pt>
                <c:pt idx="133">
                  <c:v>54.073999999999998</c:v>
                </c:pt>
                <c:pt idx="134">
                  <c:v>54.483899999999998</c:v>
                </c:pt>
                <c:pt idx="135">
                  <c:v>54.890700000000002</c:v>
                </c:pt>
                <c:pt idx="136">
                  <c:v>55.292299999999997</c:v>
                </c:pt>
                <c:pt idx="137">
                  <c:v>55.699800000000003</c:v>
                </c:pt>
                <c:pt idx="138">
                  <c:v>56.107500000000002</c:v>
                </c:pt>
                <c:pt idx="139">
                  <c:v>56.512599999999999</c:v>
                </c:pt>
                <c:pt idx="140">
                  <c:v>56.921300000000002</c:v>
                </c:pt>
                <c:pt idx="141">
                  <c:v>57.3264</c:v>
                </c:pt>
                <c:pt idx="142">
                  <c:v>57.730899999999998</c:v>
                </c:pt>
                <c:pt idx="143">
                  <c:v>58.137999999999998</c:v>
                </c:pt>
                <c:pt idx="144">
                  <c:v>58.545299999999997</c:v>
                </c:pt>
                <c:pt idx="145">
                  <c:v>58.948</c:v>
                </c:pt>
                <c:pt idx="146">
                  <c:v>59.358699999999999</c:v>
                </c:pt>
                <c:pt idx="147">
                  <c:v>59.762700000000002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2.1335899999999999</c:v>
                </c:pt>
                <c:pt idx="1">
                  <c:v>2.2002099999999998</c:v>
                </c:pt>
                <c:pt idx="2">
                  <c:v>2.2634000000000003</c:v>
                </c:pt>
                <c:pt idx="3">
                  <c:v>2.3230999999999997</c:v>
                </c:pt>
                <c:pt idx="4">
                  <c:v>2.37914</c:v>
                </c:pt>
                <c:pt idx="5">
                  <c:v>2.4330400000000001</c:v>
                </c:pt>
                <c:pt idx="6">
                  <c:v>2.48447</c:v>
                </c:pt>
                <c:pt idx="7">
                  <c:v>2.5342099999999999</c:v>
                </c:pt>
                <c:pt idx="8">
                  <c:v>2.58168</c:v>
                </c:pt>
                <c:pt idx="9">
                  <c:v>2.6266099999999999</c:v>
                </c:pt>
                <c:pt idx="10">
                  <c:v>2.6699800000000002</c:v>
                </c:pt>
                <c:pt idx="11">
                  <c:v>2.7117200000000001</c:v>
                </c:pt>
                <c:pt idx="12">
                  <c:v>2.7518700000000003</c:v>
                </c:pt>
                <c:pt idx="13">
                  <c:v>2.7904900000000001</c:v>
                </c:pt>
                <c:pt idx="14">
                  <c:v>2.8279999999999998</c:v>
                </c:pt>
                <c:pt idx="15">
                  <c:v>2.8635000000000002</c:v>
                </c:pt>
                <c:pt idx="16">
                  <c:v>2.8931400000000003</c:v>
                </c:pt>
                <c:pt idx="17">
                  <c:v>2.91248</c:v>
                </c:pt>
                <c:pt idx="18">
                  <c:v>2.9266100000000002</c:v>
                </c:pt>
                <c:pt idx="19">
                  <c:v>2.9403299999999999</c:v>
                </c:pt>
                <c:pt idx="20">
                  <c:v>2.9507400000000001</c:v>
                </c:pt>
                <c:pt idx="21">
                  <c:v>2.9597199999999999</c:v>
                </c:pt>
                <c:pt idx="22">
                  <c:v>2.9681999999999995</c:v>
                </c:pt>
                <c:pt idx="23">
                  <c:v>2.9754100000000001</c:v>
                </c:pt>
                <c:pt idx="24">
                  <c:v>2.9805700000000002</c:v>
                </c:pt>
                <c:pt idx="25">
                  <c:v>2.9848599999999998</c:v>
                </c:pt>
                <c:pt idx="26">
                  <c:v>2.9862799999999998</c:v>
                </c:pt>
                <c:pt idx="27">
                  <c:v>2.9847000000000001</c:v>
                </c:pt>
                <c:pt idx="28">
                  <c:v>2.9787000000000003</c:v>
                </c:pt>
                <c:pt idx="29">
                  <c:v>2.9711100000000004</c:v>
                </c:pt>
                <c:pt idx="30">
                  <c:v>2.96041</c:v>
                </c:pt>
                <c:pt idx="31">
                  <c:v>2.9470299999999998</c:v>
                </c:pt>
                <c:pt idx="32">
                  <c:v>2.93221</c:v>
                </c:pt>
                <c:pt idx="33">
                  <c:v>2.91629</c:v>
                </c:pt>
                <c:pt idx="34">
                  <c:v>2.8992200000000001</c:v>
                </c:pt>
                <c:pt idx="35">
                  <c:v>2.8805900000000002</c:v>
                </c:pt>
                <c:pt idx="36">
                  <c:v>2.8607800000000001</c:v>
                </c:pt>
                <c:pt idx="37">
                  <c:v>2.84</c:v>
                </c:pt>
                <c:pt idx="38">
                  <c:v>2.8156999999999996</c:v>
                </c:pt>
                <c:pt idx="39">
                  <c:v>2.7877299999999998</c:v>
                </c:pt>
                <c:pt idx="40">
                  <c:v>2.7572700000000001</c:v>
                </c:pt>
                <c:pt idx="41">
                  <c:v>2.7269500000000004</c:v>
                </c:pt>
                <c:pt idx="42">
                  <c:v>2.6977699999999998</c:v>
                </c:pt>
                <c:pt idx="43">
                  <c:v>2.6698499999999998</c:v>
                </c:pt>
                <c:pt idx="44">
                  <c:v>2.6415499999999996</c:v>
                </c:pt>
                <c:pt idx="45">
                  <c:v>2.6155299999999997</c:v>
                </c:pt>
                <c:pt idx="46">
                  <c:v>2.59015</c:v>
                </c:pt>
                <c:pt idx="47">
                  <c:v>2.5649600000000001</c:v>
                </c:pt>
                <c:pt idx="48">
                  <c:v>2.53952</c:v>
                </c:pt>
                <c:pt idx="49">
                  <c:v>2.5140000000000002</c:v>
                </c:pt>
                <c:pt idx="50">
                  <c:v>2.4910700000000001</c:v>
                </c:pt>
                <c:pt idx="51">
                  <c:v>2.4690300000000001</c:v>
                </c:pt>
                <c:pt idx="52">
                  <c:v>2.4510800000000001</c:v>
                </c:pt>
                <c:pt idx="53">
                  <c:v>2.4414899999999999</c:v>
                </c:pt>
                <c:pt idx="54">
                  <c:v>2.4346899999999998</c:v>
                </c:pt>
                <c:pt idx="55">
                  <c:v>2.43032</c:v>
                </c:pt>
                <c:pt idx="56">
                  <c:v>2.4315899999999999</c:v>
                </c:pt>
                <c:pt idx="57">
                  <c:v>2.42754</c:v>
                </c:pt>
                <c:pt idx="58">
                  <c:v>2.4295400000000003</c:v>
                </c:pt>
                <c:pt idx="59">
                  <c:v>2.4335899999999997</c:v>
                </c:pt>
                <c:pt idx="60">
                  <c:v>2.4413199999999997</c:v>
                </c:pt>
                <c:pt idx="61">
                  <c:v>2.4569000000000001</c:v>
                </c:pt>
                <c:pt idx="62">
                  <c:v>2.4602499999999998</c:v>
                </c:pt>
                <c:pt idx="63">
                  <c:v>2.47322</c:v>
                </c:pt>
                <c:pt idx="64">
                  <c:v>2.48766</c:v>
                </c:pt>
                <c:pt idx="65">
                  <c:v>2.50922</c:v>
                </c:pt>
                <c:pt idx="66">
                  <c:v>2.52142</c:v>
                </c:pt>
                <c:pt idx="67">
                  <c:v>2.5476900000000002</c:v>
                </c:pt>
                <c:pt idx="68">
                  <c:v>2.5695099999999997</c:v>
                </c:pt>
                <c:pt idx="69">
                  <c:v>2.5920399999999999</c:v>
                </c:pt>
                <c:pt idx="70">
                  <c:v>2.61511</c:v>
                </c:pt>
                <c:pt idx="71">
                  <c:v>2.63801</c:v>
                </c:pt>
                <c:pt idx="72">
                  <c:v>2.6557599999999999</c:v>
                </c:pt>
                <c:pt idx="73">
                  <c:v>2.6834200000000004</c:v>
                </c:pt>
                <c:pt idx="74">
                  <c:v>2.7056799999999996</c:v>
                </c:pt>
                <c:pt idx="75">
                  <c:v>2.7263999999999999</c:v>
                </c:pt>
                <c:pt idx="76">
                  <c:v>2.7465099999999998</c:v>
                </c:pt>
                <c:pt idx="77">
                  <c:v>2.7652999999999999</c:v>
                </c:pt>
                <c:pt idx="78">
                  <c:v>2.7837200000000002</c:v>
                </c:pt>
                <c:pt idx="79">
                  <c:v>2.8019600000000002</c:v>
                </c:pt>
                <c:pt idx="80">
                  <c:v>2.8193400000000004</c:v>
                </c:pt>
                <c:pt idx="81">
                  <c:v>2.83521</c:v>
                </c:pt>
                <c:pt idx="82">
                  <c:v>2.8470800000000001</c:v>
                </c:pt>
                <c:pt idx="83">
                  <c:v>2.8574600000000001</c:v>
                </c:pt>
                <c:pt idx="84">
                  <c:v>2.8683900000000002</c:v>
                </c:pt>
                <c:pt idx="85">
                  <c:v>2.8786699999999996</c:v>
                </c:pt>
                <c:pt idx="86">
                  <c:v>2.8890900000000004</c:v>
                </c:pt>
                <c:pt idx="87">
                  <c:v>2.8995300000000004</c:v>
                </c:pt>
                <c:pt idx="88">
                  <c:v>2.9104799999999997</c:v>
                </c:pt>
                <c:pt idx="89">
                  <c:v>2.9224499999999995</c:v>
                </c:pt>
                <c:pt idx="90">
                  <c:v>2.9348200000000002</c:v>
                </c:pt>
                <c:pt idx="91">
                  <c:v>2.9455499999999999</c:v>
                </c:pt>
                <c:pt idx="92">
                  <c:v>2.9543699999999999</c:v>
                </c:pt>
                <c:pt idx="93">
                  <c:v>2.9612600000000002</c:v>
                </c:pt>
                <c:pt idx="94">
                  <c:v>2.9651000000000001</c:v>
                </c:pt>
                <c:pt idx="95">
                  <c:v>2.96469</c:v>
                </c:pt>
                <c:pt idx="96">
                  <c:v>2.9608800000000004</c:v>
                </c:pt>
                <c:pt idx="97">
                  <c:v>2.9537400000000003</c:v>
                </c:pt>
                <c:pt idx="98">
                  <c:v>2.9465500000000002</c:v>
                </c:pt>
                <c:pt idx="99">
                  <c:v>2.93811</c:v>
                </c:pt>
                <c:pt idx="100">
                  <c:v>2.9231600000000002</c:v>
                </c:pt>
                <c:pt idx="101">
                  <c:v>2.9078200000000001</c:v>
                </c:pt>
                <c:pt idx="102">
                  <c:v>2.8917799999999998</c:v>
                </c:pt>
                <c:pt idx="103">
                  <c:v>2.87486</c:v>
                </c:pt>
                <c:pt idx="104">
                  <c:v>2.8588999999999998</c:v>
                </c:pt>
                <c:pt idx="105">
                  <c:v>2.8436899999999996</c:v>
                </c:pt>
                <c:pt idx="106">
                  <c:v>2.8307799999999999</c:v>
                </c:pt>
                <c:pt idx="107">
                  <c:v>2.8176399999999999</c:v>
                </c:pt>
                <c:pt idx="108">
                  <c:v>2.80518</c:v>
                </c:pt>
                <c:pt idx="109">
                  <c:v>2.7898299999999998</c:v>
                </c:pt>
                <c:pt idx="110">
                  <c:v>2.7726600000000001</c:v>
                </c:pt>
                <c:pt idx="111">
                  <c:v>2.7539799999999999</c:v>
                </c:pt>
                <c:pt idx="112">
                  <c:v>2.73353</c:v>
                </c:pt>
                <c:pt idx="113">
                  <c:v>2.7099000000000002</c:v>
                </c:pt>
                <c:pt idx="114">
                  <c:v>2.6846900000000002</c:v>
                </c:pt>
                <c:pt idx="115">
                  <c:v>2.6585100000000002</c:v>
                </c:pt>
                <c:pt idx="116">
                  <c:v>2.63334</c:v>
                </c:pt>
                <c:pt idx="117">
                  <c:v>2.6060100000000004</c:v>
                </c:pt>
                <c:pt idx="118">
                  <c:v>2.5804899999999997</c:v>
                </c:pt>
                <c:pt idx="119">
                  <c:v>2.5611699999999997</c:v>
                </c:pt>
                <c:pt idx="120">
                  <c:v>2.5453799999999998</c:v>
                </c:pt>
                <c:pt idx="121">
                  <c:v>2.5335800000000002</c:v>
                </c:pt>
                <c:pt idx="122">
                  <c:v>2.5242800000000001</c:v>
                </c:pt>
                <c:pt idx="123">
                  <c:v>2.5160999999999998</c:v>
                </c:pt>
                <c:pt idx="124">
                  <c:v>2.5119399999999996</c:v>
                </c:pt>
                <c:pt idx="125">
                  <c:v>2.5118</c:v>
                </c:pt>
                <c:pt idx="126">
                  <c:v>2.5110000000000001</c:v>
                </c:pt>
                <c:pt idx="127">
                  <c:v>2.5099500000000003</c:v>
                </c:pt>
                <c:pt idx="128">
                  <c:v>2.5073299999999996</c:v>
                </c:pt>
                <c:pt idx="129">
                  <c:v>2.5020500000000001</c:v>
                </c:pt>
                <c:pt idx="130">
                  <c:v>2.4951400000000001</c:v>
                </c:pt>
                <c:pt idx="131">
                  <c:v>2.4860600000000002</c:v>
                </c:pt>
                <c:pt idx="132">
                  <c:v>2.4776699999999998</c:v>
                </c:pt>
                <c:pt idx="133">
                  <c:v>2.4676200000000001</c:v>
                </c:pt>
                <c:pt idx="134">
                  <c:v>2.4559600000000001</c:v>
                </c:pt>
                <c:pt idx="135">
                  <c:v>2.4442699999999999</c:v>
                </c:pt>
                <c:pt idx="136">
                  <c:v>2.43241</c:v>
                </c:pt>
                <c:pt idx="137">
                  <c:v>2.4203199999999998</c:v>
                </c:pt>
                <c:pt idx="138">
                  <c:v>2.41221</c:v>
                </c:pt>
                <c:pt idx="139">
                  <c:v>2.4047800000000001</c:v>
                </c:pt>
                <c:pt idx="140">
                  <c:v>2.39676</c:v>
                </c:pt>
                <c:pt idx="141">
                  <c:v>2.3917199999999998</c:v>
                </c:pt>
                <c:pt idx="142">
                  <c:v>2.4020199999999998</c:v>
                </c:pt>
                <c:pt idx="143">
                  <c:v>2.4198300000000001</c:v>
                </c:pt>
                <c:pt idx="144">
                  <c:v>2.4249100000000001</c:v>
                </c:pt>
                <c:pt idx="145">
                  <c:v>2.43058</c:v>
                </c:pt>
                <c:pt idx="146">
                  <c:v>2.4186000000000001</c:v>
                </c:pt>
                <c:pt idx="147">
                  <c:v>2.3929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0.399501</c:v>
                </c:pt>
                <c:pt idx="2">
                  <c:v>0.81328299999999998</c:v>
                </c:pt>
                <c:pt idx="3">
                  <c:v>1.2192499999999999</c:v>
                </c:pt>
                <c:pt idx="4">
                  <c:v>1.6231500000000001</c:v>
                </c:pt>
                <c:pt idx="5">
                  <c:v>2.0301999999999998</c:v>
                </c:pt>
                <c:pt idx="6">
                  <c:v>2.4350399999999999</c:v>
                </c:pt>
                <c:pt idx="7">
                  <c:v>2.8439800000000002</c:v>
                </c:pt>
                <c:pt idx="8">
                  <c:v>3.2497199999999999</c:v>
                </c:pt>
                <c:pt idx="9">
                  <c:v>3.6508799999999999</c:v>
                </c:pt>
                <c:pt idx="10">
                  <c:v>4.0616199999999996</c:v>
                </c:pt>
                <c:pt idx="11">
                  <c:v>4.4685699999999997</c:v>
                </c:pt>
                <c:pt idx="12">
                  <c:v>4.8704200000000002</c:v>
                </c:pt>
                <c:pt idx="13">
                  <c:v>5.2824099999999996</c:v>
                </c:pt>
                <c:pt idx="14">
                  <c:v>5.6823600000000001</c:v>
                </c:pt>
                <c:pt idx="15">
                  <c:v>6.0931800000000003</c:v>
                </c:pt>
                <c:pt idx="16">
                  <c:v>6.5020499999999997</c:v>
                </c:pt>
                <c:pt idx="17">
                  <c:v>6.9049800000000001</c:v>
                </c:pt>
                <c:pt idx="18">
                  <c:v>7.3134199999999998</c:v>
                </c:pt>
                <c:pt idx="19">
                  <c:v>7.7168999999999999</c:v>
                </c:pt>
                <c:pt idx="20">
                  <c:v>8.1257699999999993</c:v>
                </c:pt>
                <c:pt idx="21">
                  <c:v>8.5296000000000003</c:v>
                </c:pt>
                <c:pt idx="22">
                  <c:v>8.9375300000000006</c:v>
                </c:pt>
                <c:pt idx="23">
                  <c:v>9.3404299999999996</c:v>
                </c:pt>
                <c:pt idx="24">
                  <c:v>9.7495499999999993</c:v>
                </c:pt>
                <c:pt idx="25">
                  <c:v>10.1553</c:v>
                </c:pt>
                <c:pt idx="26">
                  <c:v>10.564299999999999</c:v>
                </c:pt>
                <c:pt idx="27">
                  <c:v>10.963800000000001</c:v>
                </c:pt>
                <c:pt idx="28">
                  <c:v>11.372</c:v>
                </c:pt>
                <c:pt idx="29">
                  <c:v>11.781000000000001</c:v>
                </c:pt>
                <c:pt idx="30">
                  <c:v>12.1839</c:v>
                </c:pt>
                <c:pt idx="31">
                  <c:v>12.591799999999999</c:v>
                </c:pt>
                <c:pt idx="32">
                  <c:v>13.0037</c:v>
                </c:pt>
                <c:pt idx="33">
                  <c:v>13.403600000000001</c:v>
                </c:pt>
                <c:pt idx="34">
                  <c:v>13.8096</c:v>
                </c:pt>
                <c:pt idx="35">
                  <c:v>14.2204</c:v>
                </c:pt>
                <c:pt idx="36">
                  <c:v>14.6273</c:v>
                </c:pt>
                <c:pt idx="37">
                  <c:v>15.03</c:v>
                </c:pt>
                <c:pt idx="38">
                  <c:v>15.432399999999999</c:v>
                </c:pt>
                <c:pt idx="39">
                  <c:v>15.8414</c:v>
                </c:pt>
                <c:pt idx="40">
                  <c:v>16.248999999999999</c:v>
                </c:pt>
                <c:pt idx="41">
                  <c:v>16.657900000000001</c:v>
                </c:pt>
                <c:pt idx="42">
                  <c:v>17.062799999999999</c:v>
                </c:pt>
                <c:pt idx="43">
                  <c:v>17.466999999999999</c:v>
                </c:pt>
                <c:pt idx="44">
                  <c:v>17.8749</c:v>
                </c:pt>
                <c:pt idx="45">
                  <c:v>18.281600000000001</c:v>
                </c:pt>
                <c:pt idx="46">
                  <c:v>18.682700000000001</c:v>
                </c:pt>
                <c:pt idx="47">
                  <c:v>19.093299999999999</c:v>
                </c:pt>
                <c:pt idx="48">
                  <c:v>19.499400000000001</c:v>
                </c:pt>
                <c:pt idx="49">
                  <c:v>19.901199999999999</c:v>
                </c:pt>
                <c:pt idx="50">
                  <c:v>20.3111</c:v>
                </c:pt>
                <c:pt idx="51">
                  <c:v>20.719100000000001</c:v>
                </c:pt>
                <c:pt idx="52">
                  <c:v>21.123000000000001</c:v>
                </c:pt>
                <c:pt idx="53">
                  <c:v>21.530899999999999</c:v>
                </c:pt>
                <c:pt idx="54">
                  <c:v>21.934100000000001</c:v>
                </c:pt>
                <c:pt idx="55">
                  <c:v>22.337900000000001</c:v>
                </c:pt>
                <c:pt idx="56">
                  <c:v>22.750800000000002</c:v>
                </c:pt>
                <c:pt idx="57">
                  <c:v>23.155100000000001</c:v>
                </c:pt>
                <c:pt idx="58">
                  <c:v>23.5594</c:v>
                </c:pt>
                <c:pt idx="59">
                  <c:v>23.963100000000001</c:v>
                </c:pt>
                <c:pt idx="60">
                  <c:v>24.369900000000001</c:v>
                </c:pt>
                <c:pt idx="61">
                  <c:v>24.782399999999999</c:v>
                </c:pt>
                <c:pt idx="62">
                  <c:v>25.1861</c:v>
                </c:pt>
                <c:pt idx="63">
                  <c:v>25.589099999999998</c:v>
                </c:pt>
                <c:pt idx="64">
                  <c:v>25.995899999999999</c:v>
                </c:pt>
                <c:pt idx="65">
                  <c:v>26.4069</c:v>
                </c:pt>
                <c:pt idx="66">
                  <c:v>26.808499999999999</c:v>
                </c:pt>
                <c:pt idx="67">
                  <c:v>27.216999999999999</c:v>
                </c:pt>
                <c:pt idx="68">
                  <c:v>27.619599999999998</c:v>
                </c:pt>
                <c:pt idx="69">
                  <c:v>28.029499999999999</c:v>
                </c:pt>
                <c:pt idx="70">
                  <c:v>28.435500000000001</c:v>
                </c:pt>
                <c:pt idx="71">
                  <c:v>28.8446</c:v>
                </c:pt>
                <c:pt idx="72">
                  <c:v>29.251200000000001</c:v>
                </c:pt>
                <c:pt idx="73">
                  <c:v>29.659300000000002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2.1335899999999999</c:v>
                </c:pt>
                <c:pt idx="1">
                  <c:v>2.2002099999999998</c:v>
                </c:pt>
                <c:pt idx="2">
                  <c:v>2.2634000000000003</c:v>
                </c:pt>
                <c:pt idx="3">
                  <c:v>2.3230999999999997</c:v>
                </c:pt>
                <c:pt idx="4">
                  <c:v>2.37914</c:v>
                </c:pt>
                <c:pt idx="5">
                  <c:v>2.4330400000000001</c:v>
                </c:pt>
                <c:pt idx="6">
                  <c:v>2.48447</c:v>
                </c:pt>
                <c:pt idx="7">
                  <c:v>2.5342099999999999</c:v>
                </c:pt>
                <c:pt idx="8">
                  <c:v>2.58168</c:v>
                </c:pt>
                <c:pt idx="9">
                  <c:v>2.6266099999999999</c:v>
                </c:pt>
                <c:pt idx="10">
                  <c:v>2.6699800000000002</c:v>
                </c:pt>
                <c:pt idx="11">
                  <c:v>2.7117200000000001</c:v>
                </c:pt>
                <c:pt idx="12">
                  <c:v>2.7518700000000003</c:v>
                </c:pt>
                <c:pt idx="13">
                  <c:v>2.7904900000000001</c:v>
                </c:pt>
                <c:pt idx="14">
                  <c:v>2.8279999999999998</c:v>
                </c:pt>
                <c:pt idx="15">
                  <c:v>2.8635000000000002</c:v>
                </c:pt>
                <c:pt idx="16">
                  <c:v>2.8931400000000003</c:v>
                </c:pt>
                <c:pt idx="17">
                  <c:v>2.91248</c:v>
                </c:pt>
                <c:pt idx="18">
                  <c:v>2.9266100000000002</c:v>
                </c:pt>
                <c:pt idx="19">
                  <c:v>2.9403299999999999</c:v>
                </c:pt>
                <c:pt idx="20">
                  <c:v>2.9507400000000001</c:v>
                </c:pt>
                <c:pt idx="21">
                  <c:v>2.9597199999999999</c:v>
                </c:pt>
                <c:pt idx="22">
                  <c:v>2.9681999999999995</c:v>
                </c:pt>
                <c:pt idx="23">
                  <c:v>2.9754100000000001</c:v>
                </c:pt>
                <c:pt idx="24">
                  <c:v>2.9805700000000002</c:v>
                </c:pt>
                <c:pt idx="25">
                  <c:v>2.9848599999999998</c:v>
                </c:pt>
                <c:pt idx="26">
                  <c:v>2.9862799999999998</c:v>
                </c:pt>
                <c:pt idx="27">
                  <c:v>2.9847000000000001</c:v>
                </c:pt>
                <c:pt idx="28">
                  <c:v>2.9787000000000003</c:v>
                </c:pt>
                <c:pt idx="29">
                  <c:v>2.9711100000000004</c:v>
                </c:pt>
                <c:pt idx="30">
                  <c:v>2.96041</c:v>
                </c:pt>
                <c:pt idx="31">
                  <c:v>2.9470299999999998</c:v>
                </c:pt>
                <c:pt idx="32">
                  <c:v>2.93221</c:v>
                </c:pt>
                <c:pt idx="33">
                  <c:v>2.91629</c:v>
                </c:pt>
                <c:pt idx="34">
                  <c:v>2.8992200000000001</c:v>
                </c:pt>
                <c:pt idx="35">
                  <c:v>2.8805900000000002</c:v>
                </c:pt>
                <c:pt idx="36">
                  <c:v>2.8607800000000001</c:v>
                </c:pt>
                <c:pt idx="37">
                  <c:v>2.84</c:v>
                </c:pt>
                <c:pt idx="38">
                  <c:v>2.8156999999999996</c:v>
                </c:pt>
                <c:pt idx="39">
                  <c:v>2.7877299999999998</c:v>
                </c:pt>
                <c:pt idx="40">
                  <c:v>2.7572700000000001</c:v>
                </c:pt>
                <c:pt idx="41">
                  <c:v>2.7269500000000004</c:v>
                </c:pt>
                <c:pt idx="42">
                  <c:v>2.6977699999999998</c:v>
                </c:pt>
                <c:pt idx="43">
                  <c:v>2.6698499999999998</c:v>
                </c:pt>
                <c:pt idx="44">
                  <c:v>2.6415499999999996</c:v>
                </c:pt>
                <c:pt idx="45">
                  <c:v>2.6155299999999997</c:v>
                </c:pt>
                <c:pt idx="46">
                  <c:v>2.59015</c:v>
                </c:pt>
                <c:pt idx="47">
                  <c:v>2.5649600000000001</c:v>
                </c:pt>
                <c:pt idx="48">
                  <c:v>2.53952</c:v>
                </c:pt>
                <c:pt idx="49">
                  <c:v>2.5140000000000002</c:v>
                </c:pt>
                <c:pt idx="50">
                  <c:v>2.4910700000000001</c:v>
                </c:pt>
                <c:pt idx="51">
                  <c:v>2.4690300000000001</c:v>
                </c:pt>
                <c:pt idx="52">
                  <c:v>2.4510800000000001</c:v>
                </c:pt>
                <c:pt idx="53">
                  <c:v>2.4414899999999999</c:v>
                </c:pt>
                <c:pt idx="54">
                  <c:v>2.4346899999999998</c:v>
                </c:pt>
                <c:pt idx="55">
                  <c:v>2.43032</c:v>
                </c:pt>
                <c:pt idx="56">
                  <c:v>2.4315899999999999</c:v>
                </c:pt>
                <c:pt idx="57">
                  <c:v>2.42754</c:v>
                </c:pt>
                <c:pt idx="58">
                  <c:v>2.4295400000000003</c:v>
                </c:pt>
                <c:pt idx="59">
                  <c:v>2.4335899999999997</c:v>
                </c:pt>
                <c:pt idx="60">
                  <c:v>2.4413199999999997</c:v>
                </c:pt>
                <c:pt idx="61">
                  <c:v>2.4569000000000001</c:v>
                </c:pt>
                <c:pt idx="62">
                  <c:v>2.4602499999999998</c:v>
                </c:pt>
                <c:pt idx="63">
                  <c:v>2.47322</c:v>
                </c:pt>
                <c:pt idx="64">
                  <c:v>2.48766</c:v>
                </c:pt>
                <c:pt idx="65">
                  <c:v>2.50922</c:v>
                </c:pt>
                <c:pt idx="66">
                  <c:v>2.52142</c:v>
                </c:pt>
                <c:pt idx="67">
                  <c:v>2.5476900000000002</c:v>
                </c:pt>
                <c:pt idx="68">
                  <c:v>2.5695099999999997</c:v>
                </c:pt>
                <c:pt idx="69">
                  <c:v>2.5920399999999999</c:v>
                </c:pt>
                <c:pt idx="70">
                  <c:v>2.61511</c:v>
                </c:pt>
                <c:pt idx="71">
                  <c:v>2.63801</c:v>
                </c:pt>
                <c:pt idx="72">
                  <c:v>2.6557599999999999</c:v>
                </c:pt>
                <c:pt idx="73">
                  <c:v>2.6834200000000004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29.659300000000002</c:v>
                </c:pt>
                <c:pt idx="1">
                  <c:v>30.251899999999999</c:v>
                </c:pt>
                <c:pt idx="2">
                  <c:v>30.627500000000001</c:v>
                </c:pt>
                <c:pt idx="3">
                  <c:v>31.0002</c:v>
                </c:pt>
                <c:pt idx="4">
                  <c:v>31.3749</c:v>
                </c:pt>
                <c:pt idx="5">
                  <c:v>31.7498</c:v>
                </c:pt>
                <c:pt idx="6">
                  <c:v>32.137500000000003</c:v>
                </c:pt>
                <c:pt idx="7">
                  <c:v>32.546599999999998</c:v>
                </c:pt>
                <c:pt idx="8">
                  <c:v>32.953400000000002</c:v>
                </c:pt>
                <c:pt idx="9">
                  <c:v>33.362200000000001</c:v>
                </c:pt>
                <c:pt idx="10">
                  <c:v>33.764200000000002</c:v>
                </c:pt>
                <c:pt idx="11">
                  <c:v>34.171100000000003</c:v>
                </c:pt>
                <c:pt idx="12">
                  <c:v>34.575099999999999</c:v>
                </c:pt>
                <c:pt idx="13">
                  <c:v>34.986899999999999</c:v>
                </c:pt>
                <c:pt idx="14">
                  <c:v>35.39</c:v>
                </c:pt>
                <c:pt idx="15">
                  <c:v>35.794699999999999</c:v>
                </c:pt>
                <c:pt idx="16">
                  <c:v>36.200000000000003</c:v>
                </c:pt>
                <c:pt idx="17">
                  <c:v>36.607700000000001</c:v>
                </c:pt>
                <c:pt idx="18">
                  <c:v>37.017600000000002</c:v>
                </c:pt>
                <c:pt idx="19">
                  <c:v>37.419499999999999</c:v>
                </c:pt>
                <c:pt idx="20">
                  <c:v>37.827199999999998</c:v>
                </c:pt>
                <c:pt idx="21">
                  <c:v>38.231200000000001</c:v>
                </c:pt>
                <c:pt idx="22">
                  <c:v>38.639200000000002</c:v>
                </c:pt>
                <c:pt idx="23">
                  <c:v>39.048999999999999</c:v>
                </c:pt>
                <c:pt idx="24">
                  <c:v>39.454300000000003</c:v>
                </c:pt>
                <c:pt idx="25">
                  <c:v>39.860799999999998</c:v>
                </c:pt>
                <c:pt idx="26">
                  <c:v>40.2637</c:v>
                </c:pt>
                <c:pt idx="27">
                  <c:v>40.671900000000001</c:v>
                </c:pt>
                <c:pt idx="28">
                  <c:v>41.074800000000003</c:v>
                </c:pt>
                <c:pt idx="29">
                  <c:v>41.485500000000002</c:v>
                </c:pt>
                <c:pt idx="30">
                  <c:v>41.891399999999997</c:v>
                </c:pt>
                <c:pt idx="31">
                  <c:v>42.294499999999999</c:v>
                </c:pt>
                <c:pt idx="32">
                  <c:v>42.698300000000003</c:v>
                </c:pt>
                <c:pt idx="33">
                  <c:v>43.107300000000002</c:v>
                </c:pt>
                <c:pt idx="34">
                  <c:v>43.516300000000001</c:v>
                </c:pt>
                <c:pt idx="35">
                  <c:v>43.920099999999998</c:v>
                </c:pt>
                <c:pt idx="36">
                  <c:v>44.3249</c:v>
                </c:pt>
                <c:pt idx="37">
                  <c:v>44.731900000000003</c:v>
                </c:pt>
                <c:pt idx="38">
                  <c:v>45.136000000000003</c:v>
                </c:pt>
                <c:pt idx="39">
                  <c:v>45.547699999999999</c:v>
                </c:pt>
                <c:pt idx="40">
                  <c:v>45.951599999999999</c:v>
                </c:pt>
                <c:pt idx="41">
                  <c:v>46.360500000000002</c:v>
                </c:pt>
                <c:pt idx="42">
                  <c:v>46.7624</c:v>
                </c:pt>
                <c:pt idx="43">
                  <c:v>47.170400000000001</c:v>
                </c:pt>
                <c:pt idx="44">
                  <c:v>47.573</c:v>
                </c:pt>
                <c:pt idx="45">
                  <c:v>47.984299999999998</c:v>
                </c:pt>
                <c:pt idx="46">
                  <c:v>48.39</c:v>
                </c:pt>
                <c:pt idx="47">
                  <c:v>48.795000000000002</c:v>
                </c:pt>
                <c:pt idx="48">
                  <c:v>49.201300000000003</c:v>
                </c:pt>
                <c:pt idx="49">
                  <c:v>49.6068</c:v>
                </c:pt>
                <c:pt idx="50">
                  <c:v>50.014800000000001</c:v>
                </c:pt>
                <c:pt idx="51">
                  <c:v>50.418700000000001</c:v>
                </c:pt>
                <c:pt idx="52">
                  <c:v>50.827599999999997</c:v>
                </c:pt>
                <c:pt idx="53">
                  <c:v>51.234499999999997</c:v>
                </c:pt>
                <c:pt idx="54">
                  <c:v>51.6374</c:v>
                </c:pt>
                <c:pt idx="55">
                  <c:v>52.0413</c:v>
                </c:pt>
                <c:pt idx="56">
                  <c:v>52.448399999999999</c:v>
                </c:pt>
                <c:pt idx="57">
                  <c:v>52.856200000000001</c:v>
                </c:pt>
                <c:pt idx="58">
                  <c:v>53.266300000000001</c:v>
                </c:pt>
                <c:pt idx="59">
                  <c:v>53.668999999999997</c:v>
                </c:pt>
                <c:pt idx="60">
                  <c:v>54.073999999999998</c:v>
                </c:pt>
                <c:pt idx="61">
                  <c:v>54.483899999999998</c:v>
                </c:pt>
                <c:pt idx="62">
                  <c:v>54.890700000000002</c:v>
                </c:pt>
                <c:pt idx="63">
                  <c:v>55.292299999999997</c:v>
                </c:pt>
                <c:pt idx="64">
                  <c:v>55.699800000000003</c:v>
                </c:pt>
                <c:pt idx="65">
                  <c:v>56.107500000000002</c:v>
                </c:pt>
                <c:pt idx="66">
                  <c:v>56.512599999999999</c:v>
                </c:pt>
                <c:pt idx="67">
                  <c:v>56.921300000000002</c:v>
                </c:pt>
                <c:pt idx="68">
                  <c:v>57.3264</c:v>
                </c:pt>
                <c:pt idx="69">
                  <c:v>57.730899999999998</c:v>
                </c:pt>
                <c:pt idx="70">
                  <c:v>58.137999999999998</c:v>
                </c:pt>
                <c:pt idx="71">
                  <c:v>58.545299999999997</c:v>
                </c:pt>
                <c:pt idx="72">
                  <c:v>58.948</c:v>
                </c:pt>
                <c:pt idx="73">
                  <c:v>59.358699999999999</c:v>
                </c:pt>
                <c:pt idx="74">
                  <c:v>59.762700000000002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2.6834200000000004</c:v>
                </c:pt>
                <c:pt idx="1">
                  <c:v>2.7056799999999996</c:v>
                </c:pt>
                <c:pt idx="2">
                  <c:v>2.7263999999999999</c:v>
                </c:pt>
                <c:pt idx="3">
                  <c:v>2.7465099999999998</c:v>
                </c:pt>
                <c:pt idx="4">
                  <c:v>2.7652999999999999</c:v>
                </c:pt>
                <c:pt idx="5">
                  <c:v>2.7837200000000002</c:v>
                </c:pt>
                <c:pt idx="6">
                  <c:v>2.8019600000000002</c:v>
                </c:pt>
                <c:pt idx="7">
                  <c:v>2.8193400000000004</c:v>
                </c:pt>
                <c:pt idx="8">
                  <c:v>2.83521</c:v>
                </c:pt>
                <c:pt idx="9">
                  <c:v>2.8470800000000001</c:v>
                </c:pt>
                <c:pt idx="10">
                  <c:v>2.8574600000000001</c:v>
                </c:pt>
                <c:pt idx="11">
                  <c:v>2.8683900000000002</c:v>
                </c:pt>
                <c:pt idx="12">
                  <c:v>2.8786699999999996</c:v>
                </c:pt>
                <c:pt idx="13">
                  <c:v>2.8890900000000004</c:v>
                </c:pt>
                <c:pt idx="14">
                  <c:v>2.8995300000000004</c:v>
                </c:pt>
                <c:pt idx="15">
                  <c:v>2.9104799999999997</c:v>
                </c:pt>
                <c:pt idx="16">
                  <c:v>2.9224499999999995</c:v>
                </c:pt>
                <c:pt idx="17">
                  <c:v>2.9348200000000002</c:v>
                </c:pt>
                <c:pt idx="18">
                  <c:v>2.9455499999999999</c:v>
                </c:pt>
                <c:pt idx="19">
                  <c:v>2.9543699999999999</c:v>
                </c:pt>
                <c:pt idx="20">
                  <c:v>2.9612600000000002</c:v>
                </c:pt>
                <c:pt idx="21">
                  <c:v>2.9651000000000001</c:v>
                </c:pt>
                <c:pt idx="22">
                  <c:v>2.96469</c:v>
                </c:pt>
                <c:pt idx="23">
                  <c:v>2.9608800000000004</c:v>
                </c:pt>
                <c:pt idx="24">
                  <c:v>2.9537400000000003</c:v>
                </c:pt>
                <c:pt idx="25">
                  <c:v>2.9465500000000002</c:v>
                </c:pt>
                <c:pt idx="26">
                  <c:v>2.93811</c:v>
                </c:pt>
                <c:pt idx="27">
                  <c:v>2.9231600000000002</c:v>
                </c:pt>
                <c:pt idx="28">
                  <c:v>2.9078200000000001</c:v>
                </c:pt>
                <c:pt idx="29">
                  <c:v>2.8917799999999998</c:v>
                </c:pt>
                <c:pt idx="30">
                  <c:v>2.87486</c:v>
                </c:pt>
                <c:pt idx="31">
                  <c:v>2.8588999999999998</c:v>
                </c:pt>
                <c:pt idx="32">
                  <c:v>2.8436899999999996</c:v>
                </c:pt>
                <c:pt idx="33">
                  <c:v>2.8307799999999999</c:v>
                </c:pt>
                <c:pt idx="34">
                  <c:v>2.8176399999999999</c:v>
                </c:pt>
                <c:pt idx="35">
                  <c:v>2.80518</c:v>
                </c:pt>
                <c:pt idx="36">
                  <c:v>2.7898299999999998</c:v>
                </c:pt>
                <c:pt idx="37">
                  <c:v>2.7726600000000001</c:v>
                </c:pt>
                <c:pt idx="38">
                  <c:v>2.7539799999999999</c:v>
                </c:pt>
                <c:pt idx="39">
                  <c:v>2.73353</c:v>
                </c:pt>
                <c:pt idx="40">
                  <c:v>2.7099000000000002</c:v>
                </c:pt>
                <c:pt idx="41">
                  <c:v>2.6846900000000002</c:v>
                </c:pt>
                <c:pt idx="42">
                  <c:v>2.6585100000000002</c:v>
                </c:pt>
                <c:pt idx="43">
                  <c:v>2.63334</c:v>
                </c:pt>
                <c:pt idx="44">
                  <c:v>2.6060100000000004</c:v>
                </c:pt>
                <c:pt idx="45">
                  <c:v>2.5804899999999997</c:v>
                </c:pt>
                <c:pt idx="46">
                  <c:v>2.5611699999999997</c:v>
                </c:pt>
                <c:pt idx="47">
                  <c:v>2.5453799999999998</c:v>
                </c:pt>
                <c:pt idx="48">
                  <c:v>2.5335800000000002</c:v>
                </c:pt>
                <c:pt idx="49">
                  <c:v>2.5242800000000001</c:v>
                </c:pt>
                <c:pt idx="50">
                  <c:v>2.5160999999999998</c:v>
                </c:pt>
                <c:pt idx="51">
                  <c:v>2.5119399999999996</c:v>
                </c:pt>
                <c:pt idx="52">
                  <c:v>2.5118</c:v>
                </c:pt>
                <c:pt idx="53">
                  <c:v>2.5110000000000001</c:v>
                </c:pt>
                <c:pt idx="54">
                  <c:v>2.5099500000000003</c:v>
                </c:pt>
                <c:pt idx="55">
                  <c:v>2.5073299999999996</c:v>
                </c:pt>
                <c:pt idx="56">
                  <c:v>2.5020500000000001</c:v>
                </c:pt>
                <c:pt idx="57">
                  <c:v>2.4951400000000001</c:v>
                </c:pt>
                <c:pt idx="58">
                  <c:v>2.4860600000000002</c:v>
                </c:pt>
                <c:pt idx="59">
                  <c:v>2.4776699999999998</c:v>
                </c:pt>
                <c:pt idx="60">
                  <c:v>2.4676200000000001</c:v>
                </c:pt>
                <c:pt idx="61">
                  <c:v>2.4559600000000001</c:v>
                </c:pt>
                <c:pt idx="62">
                  <c:v>2.4442699999999999</c:v>
                </c:pt>
                <c:pt idx="63">
                  <c:v>2.43241</c:v>
                </c:pt>
                <c:pt idx="64">
                  <c:v>2.4203199999999998</c:v>
                </c:pt>
                <c:pt idx="65">
                  <c:v>2.41221</c:v>
                </c:pt>
                <c:pt idx="66">
                  <c:v>2.4047800000000001</c:v>
                </c:pt>
                <c:pt idx="67">
                  <c:v>2.39676</c:v>
                </c:pt>
                <c:pt idx="68">
                  <c:v>2.3917199999999998</c:v>
                </c:pt>
                <c:pt idx="69">
                  <c:v>2.4020199999999998</c:v>
                </c:pt>
                <c:pt idx="70">
                  <c:v>2.4198300000000001</c:v>
                </c:pt>
                <c:pt idx="71">
                  <c:v>2.4249100000000001</c:v>
                </c:pt>
                <c:pt idx="72">
                  <c:v>2.43058</c:v>
                </c:pt>
                <c:pt idx="73">
                  <c:v>2.4186000000000001</c:v>
                </c:pt>
                <c:pt idx="74">
                  <c:v>2.3929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14.940675000000001</c:v>
                </c:pt>
                <c:pt idx="1">
                  <c:v>44.822025000000004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2.6653627027027027</c:v>
                </c:pt>
                <c:pt idx="1">
                  <c:v>2.6887490540540537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0.399501</c:v>
                </c:pt>
                <c:pt idx="2">
                  <c:v>0.81328299999999998</c:v>
                </c:pt>
                <c:pt idx="3">
                  <c:v>1.2192499999999999</c:v>
                </c:pt>
                <c:pt idx="4">
                  <c:v>1.6231500000000001</c:v>
                </c:pt>
                <c:pt idx="5">
                  <c:v>2.0301999999999998</c:v>
                </c:pt>
                <c:pt idx="6">
                  <c:v>2.4350399999999999</c:v>
                </c:pt>
                <c:pt idx="7">
                  <c:v>2.8439800000000002</c:v>
                </c:pt>
                <c:pt idx="8">
                  <c:v>3.2497199999999999</c:v>
                </c:pt>
                <c:pt idx="9">
                  <c:v>3.6508799999999999</c:v>
                </c:pt>
                <c:pt idx="10">
                  <c:v>4.0616199999999996</c:v>
                </c:pt>
                <c:pt idx="11">
                  <c:v>4.4685699999999997</c:v>
                </c:pt>
                <c:pt idx="12">
                  <c:v>4.8704200000000002</c:v>
                </c:pt>
                <c:pt idx="13">
                  <c:v>5.2824099999999996</c:v>
                </c:pt>
                <c:pt idx="14">
                  <c:v>5.6823600000000001</c:v>
                </c:pt>
                <c:pt idx="15">
                  <c:v>6.0931800000000003</c:v>
                </c:pt>
                <c:pt idx="16">
                  <c:v>6.5020499999999997</c:v>
                </c:pt>
                <c:pt idx="17">
                  <c:v>6.9049800000000001</c:v>
                </c:pt>
                <c:pt idx="18">
                  <c:v>7.3134199999999998</c:v>
                </c:pt>
                <c:pt idx="19">
                  <c:v>7.7168999999999999</c:v>
                </c:pt>
                <c:pt idx="20">
                  <c:v>8.1257699999999993</c:v>
                </c:pt>
                <c:pt idx="21">
                  <c:v>8.5296000000000003</c:v>
                </c:pt>
                <c:pt idx="22">
                  <c:v>8.9375300000000006</c:v>
                </c:pt>
                <c:pt idx="23">
                  <c:v>9.3404299999999996</c:v>
                </c:pt>
                <c:pt idx="24">
                  <c:v>9.7495499999999993</c:v>
                </c:pt>
                <c:pt idx="25">
                  <c:v>10.1553</c:v>
                </c:pt>
                <c:pt idx="26">
                  <c:v>10.564299999999999</c:v>
                </c:pt>
                <c:pt idx="27">
                  <c:v>10.963800000000001</c:v>
                </c:pt>
                <c:pt idx="28">
                  <c:v>11.372</c:v>
                </c:pt>
                <c:pt idx="29">
                  <c:v>11.781000000000001</c:v>
                </c:pt>
                <c:pt idx="30">
                  <c:v>12.1839</c:v>
                </c:pt>
                <c:pt idx="31">
                  <c:v>12.591799999999999</c:v>
                </c:pt>
                <c:pt idx="32">
                  <c:v>13.0037</c:v>
                </c:pt>
                <c:pt idx="33">
                  <c:v>13.403600000000001</c:v>
                </c:pt>
                <c:pt idx="34">
                  <c:v>13.8096</c:v>
                </c:pt>
                <c:pt idx="35">
                  <c:v>14.2204</c:v>
                </c:pt>
                <c:pt idx="36">
                  <c:v>14.6273</c:v>
                </c:pt>
                <c:pt idx="37">
                  <c:v>15.03</c:v>
                </c:pt>
                <c:pt idx="38">
                  <c:v>15.432399999999999</c:v>
                </c:pt>
                <c:pt idx="39">
                  <c:v>15.8414</c:v>
                </c:pt>
                <c:pt idx="40">
                  <c:v>16.248999999999999</c:v>
                </c:pt>
                <c:pt idx="41">
                  <c:v>16.657900000000001</c:v>
                </c:pt>
                <c:pt idx="42">
                  <c:v>17.062799999999999</c:v>
                </c:pt>
                <c:pt idx="43">
                  <c:v>17.466999999999999</c:v>
                </c:pt>
                <c:pt idx="44">
                  <c:v>17.8749</c:v>
                </c:pt>
                <c:pt idx="45">
                  <c:v>18.281600000000001</c:v>
                </c:pt>
                <c:pt idx="46">
                  <c:v>18.682700000000001</c:v>
                </c:pt>
                <c:pt idx="47">
                  <c:v>19.093299999999999</c:v>
                </c:pt>
                <c:pt idx="48">
                  <c:v>19.499400000000001</c:v>
                </c:pt>
                <c:pt idx="49">
                  <c:v>19.901199999999999</c:v>
                </c:pt>
                <c:pt idx="50">
                  <c:v>20.3111</c:v>
                </c:pt>
                <c:pt idx="51">
                  <c:v>20.719100000000001</c:v>
                </c:pt>
                <c:pt idx="52">
                  <c:v>21.123000000000001</c:v>
                </c:pt>
                <c:pt idx="53">
                  <c:v>21.530899999999999</c:v>
                </c:pt>
                <c:pt idx="54">
                  <c:v>21.934100000000001</c:v>
                </c:pt>
                <c:pt idx="55">
                  <c:v>22.337900000000001</c:v>
                </c:pt>
                <c:pt idx="56">
                  <c:v>22.750800000000002</c:v>
                </c:pt>
                <c:pt idx="57">
                  <c:v>23.155100000000001</c:v>
                </c:pt>
                <c:pt idx="58">
                  <c:v>23.5594</c:v>
                </c:pt>
                <c:pt idx="59">
                  <c:v>23.963100000000001</c:v>
                </c:pt>
                <c:pt idx="60">
                  <c:v>24.369900000000001</c:v>
                </c:pt>
                <c:pt idx="61">
                  <c:v>24.782399999999999</c:v>
                </c:pt>
                <c:pt idx="62">
                  <c:v>25.1861</c:v>
                </c:pt>
                <c:pt idx="63">
                  <c:v>25.589099999999998</c:v>
                </c:pt>
                <c:pt idx="64">
                  <c:v>25.995899999999999</c:v>
                </c:pt>
                <c:pt idx="65">
                  <c:v>26.4069</c:v>
                </c:pt>
                <c:pt idx="66">
                  <c:v>26.808499999999999</c:v>
                </c:pt>
                <c:pt idx="67">
                  <c:v>27.216999999999999</c:v>
                </c:pt>
                <c:pt idx="68">
                  <c:v>27.619599999999998</c:v>
                </c:pt>
                <c:pt idx="69">
                  <c:v>28.029499999999999</c:v>
                </c:pt>
                <c:pt idx="70">
                  <c:v>28.435500000000001</c:v>
                </c:pt>
                <c:pt idx="71">
                  <c:v>28.8446</c:v>
                </c:pt>
                <c:pt idx="72">
                  <c:v>29.251200000000001</c:v>
                </c:pt>
                <c:pt idx="73">
                  <c:v>29.659300000000002</c:v>
                </c:pt>
                <c:pt idx="74">
                  <c:v>30.251899999999999</c:v>
                </c:pt>
                <c:pt idx="75">
                  <c:v>30.627500000000001</c:v>
                </c:pt>
                <c:pt idx="76">
                  <c:v>31.0002</c:v>
                </c:pt>
                <c:pt idx="77">
                  <c:v>31.3749</c:v>
                </c:pt>
                <c:pt idx="78">
                  <c:v>31.7498</c:v>
                </c:pt>
                <c:pt idx="79">
                  <c:v>32.137500000000003</c:v>
                </c:pt>
                <c:pt idx="80">
                  <c:v>32.546599999999998</c:v>
                </c:pt>
                <c:pt idx="81">
                  <c:v>32.953400000000002</c:v>
                </c:pt>
                <c:pt idx="82">
                  <c:v>33.362200000000001</c:v>
                </c:pt>
                <c:pt idx="83">
                  <c:v>33.764200000000002</c:v>
                </c:pt>
                <c:pt idx="84">
                  <c:v>34.171100000000003</c:v>
                </c:pt>
                <c:pt idx="85">
                  <c:v>34.575099999999999</c:v>
                </c:pt>
                <c:pt idx="86">
                  <c:v>34.986899999999999</c:v>
                </c:pt>
                <c:pt idx="87">
                  <c:v>35.39</c:v>
                </c:pt>
                <c:pt idx="88">
                  <c:v>35.794699999999999</c:v>
                </c:pt>
                <c:pt idx="89">
                  <c:v>36.200000000000003</c:v>
                </c:pt>
                <c:pt idx="90">
                  <c:v>36.607700000000001</c:v>
                </c:pt>
                <c:pt idx="91">
                  <c:v>37.017600000000002</c:v>
                </c:pt>
                <c:pt idx="92">
                  <c:v>37.419499999999999</c:v>
                </c:pt>
                <c:pt idx="93">
                  <c:v>37.827199999999998</c:v>
                </c:pt>
                <c:pt idx="94">
                  <c:v>38.231200000000001</c:v>
                </c:pt>
                <c:pt idx="95">
                  <c:v>38.639200000000002</c:v>
                </c:pt>
                <c:pt idx="96">
                  <c:v>39.048999999999999</c:v>
                </c:pt>
                <c:pt idx="97">
                  <c:v>39.454300000000003</c:v>
                </c:pt>
                <c:pt idx="98">
                  <c:v>39.860799999999998</c:v>
                </c:pt>
                <c:pt idx="99">
                  <c:v>40.2637</c:v>
                </c:pt>
                <c:pt idx="100">
                  <c:v>40.671900000000001</c:v>
                </c:pt>
                <c:pt idx="101">
                  <c:v>41.074800000000003</c:v>
                </c:pt>
                <c:pt idx="102">
                  <c:v>41.485500000000002</c:v>
                </c:pt>
                <c:pt idx="103">
                  <c:v>41.891399999999997</c:v>
                </c:pt>
                <c:pt idx="104">
                  <c:v>42.294499999999999</c:v>
                </c:pt>
                <c:pt idx="105">
                  <c:v>42.698300000000003</c:v>
                </c:pt>
                <c:pt idx="106">
                  <c:v>43.107300000000002</c:v>
                </c:pt>
                <c:pt idx="107">
                  <c:v>43.516300000000001</c:v>
                </c:pt>
                <c:pt idx="108">
                  <c:v>43.920099999999998</c:v>
                </c:pt>
                <c:pt idx="109">
                  <c:v>44.3249</c:v>
                </c:pt>
                <c:pt idx="110">
                  <c:v>44.731900000000003</c:v>
                </c:pt>
                <c:pt idx="111">
                  <c:v>45.136000000000003</c:v>
                </c:pt>
                <c:pt idx="112">
                  <c:v>45.547699999999999</c:v>
                </c:pt>
                <c:pt idx="113">
                  <c:v>45.951599999999999</c:v>
                </c:pt>
                <c:pt idx="114">
                  <c:v>46.360500000000002</c:v>
                </c:pt>
                <c:pt idx="115">
                  <c:v>46.7624</c:v>
                </c:pt>
                <c:pt idx="116">
                  <c:v>47.170400000000001</c:v>
                </c:pt>
                <c:pt idx="117">
                  <c:v>47.573</c:v>
                </c:pt>
                <c:pt idx="118">
                  <c:v>47.984299999999998</c:v>
                </c:pt>
                <c:pt idx="119">
                  <c:v>48.39</c:v>
                </c:pt>
                <c:pt idx="120">
                  <c:v>48.795000000000002</c:v>
                </c:pt>
                <c:pt idx="121">
                  <c:v>49.201300000000003</c:v>
                </c:pt>
                <c:pt idx="122">
                  <c:v>49.6068</c:v>
                </c:pt>
                <c:pt idx="123">
                  <c:v>50.014800000000001</c:v>
                </c:pt>
                <c:pt idx="124">
                  <c:v>50.418700000000001</c:v>
                </c:pt>
                <c:pt idx="125">
                  <c:v>50.827599999999997</c:v>
                </c:pt>
                <c:pt idx="126">
                  <c:v>51.234499999999997</c:v>
                </c:pt>
                <c:pt idx="127">
                  <c:v>51.6374</c:v>
                </c:pt>
                <c:pt idx="128">
                  <c:v>52.0413</c:v>
                </c:pt>
                <c:pt idx="129">
                  <c:v>52.448399999999999</c:v>
                </c:pt>
                <c:pt idx="130">
                  <c:v>52.856200000000001</c:v>
                </c:pt>
                <c:pt idx="131">
                  <c:v>53.266300000000001</c:v>
                </c:pt>
                <c:pt idx="132">
                  <c:v>53.668999999999997</c:v>
                </c:pt>
                <c:pt idx="133">
                  <c:v>54.073999999999998</c:v>
                </c:pt>
                <c:pt idx="134">
                  <c:v>54.483899999999998</c:v>
                </c:pt>
                <c:pt idx="135">
                  <c:v>54.890700000000002</c:v>
                </c:pt>
                <c:pt idx="136">
                  <c:v>55.292299999999997</c:v>
                </c:pt>
                <c:pt idx="137">
                  <c:v>55.699800000000003</c:v>
                </c:pt>
                <c:pt idx="138">
                  <c:v>56.107500000000002</c:v>
                </c:pt>
                <c:pt idx="139">
                  <c:v>56.512599999999999</c:v>
                </c:pt>
                <c:pt idx="140">
                  <c:v>56.921300000000002</c:v>
                </c:pt>
                <c:pt idx="141">
                  <c:v>57.3264</c:v>
                </c:pt>
                <c:pt idx="142">
                  <c:v>57.730899999999998</c:v>
                </c:pt>
                <c:pt idx="143">
                  <c:v>58.137999999999998</c:v>
                </c:pt>
                <c:pt idx="144">
                  <c:v>58.545299999999997</c:v>
                </c:pt>
                <c:pt idx="145">
                  <c:v>58.948</c:v>
                </c:pt>
                <c:pt idx="146">
                  <c:v>59.358699999999999</c:v>
                </c:pt>
                <c:pt idx="147">
                  <c:v>59.762700000000002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57.410399999999996</c:v>
                </c:pt>
                <c:pt idx="1">
                  <c:v>56.966300000000004</c:v>
                </c:pt>
                <c:pt idx="2">
                  <c:v>56.535599999999995</c:v>
                </c:pt>
                <c:pt idx="3">
                  <c:v>56.100499999999997</c:v>
                </c:pt>
                <c:pt idx="4">
                  <c:v>55.6554</c:v>
                </c:pt>
                <c:pt idx="5">
                  <c:v>55.116699999999994</c:v>
                </c:pt>
                <c:pt idx="6">
                  <c:v>54.555699999999995</c:v>
                </c:pt>
                <c:pt idx="7">
                  <c:v>53.899600000000007</c:v>
                </c:pt>
                <c:pt idx="8">
                  <c:v>53.327300000000001</c:v>
                </c:pt>
                <c:pt idx="9">
                  <c:v>52.822899999999997</c:v>
                </c:pt>
                <c:pt idx="10">
                  <c:v>52.376500000000007</c:v>
                </c:pt>
                <c:pt idx="11">
                  <c:v>51.975000000000001</c:v>
                </c:pt>
                <c:pt idx="12">
                  <c:v>51.613799999999998</c:v>
                </c:pt>
                <c:pt idx="13">
                  <c:v>51.198600000000006</c:v>
                </c:pt>
                <c:pt idx="14">
                  <c:v>50.716000000000008</c:v>
                </c:pt>
                <c:pt idx="15">
                  <c:v>50.2196</c:v>
                </c:pt>
                <c:pt idx="16">
                  <c:v>49.710300000000004</c:v>
                </c:pt>
                <c:pt idx="17">
                  <c:v>49.191600000000001</c:v>
                </c:pt>
                <c:pt idx="18">
                  <c:v>48.732399999999998</c:v>
                </c:pt>
                <c:pt idx="19">
                  <c:v>48.314099999999996</c:v>
                </c:pt>
                <c:pt idx="20">
                  <c:v>47.960900000000002</c:v>
                </c:pt>
                <c:pt idx="21">
                  <c:v>47.613299999999995</c:v>
                </c:pt>
                <c:pt idx="22">
                  <c:v>47.249000000000002</c:v>
                </c:pt>
                <c:pt idx="23">
                  <c:v>46.851100000000002</c:v>
                </c:pt>
                <c:pt idx="24">
                  <c:v>46.432099999999998</c:v>
                </c:pt>
                <c:pt idx="25">
                  <c:v>46.042699999999996</c:v>
                </c:pt>
                <c:pt idx="26">
                  <c:v>45.683</c:v>
                </c:pt>
                <c:pt idx="27">
                  <c:v>45.383299999999998</c:v>
                </c:pt>
                <c:pt idx="28">
                  <c:v>45.118900000000004</c:v>
                </c:pt>
                <c:pt idx="29">
                  <c:v>44.828099999999999</c:v>
                </c:pt>
                <c:pt idx="30">
                  <c:v>44.565899999999999</c:v>
                </c:pt>
                <c:pt idx="31">
                  <c:v>44.301200000000001</c:v>
                </c:pt>
                <c:pt idx="32">
                  <c:v>44.128799999999998</c:v>
                </c:pt>
                <c:pt idx="33">
                  <c:v>43.993500000000004</c:v>
                </c:pt>
                <c:pt idx="34">
                  <c:v>43.8812</c:v>
                </c:pt>
                <c:pt idx="35">
                  <c:v>43.817999999999998</c:v>
                </c:pt>
                <c:pt idx="36">
                  <c:v>43.7789</c:v>
                </c:pt>
                <c:pt idx="37">
                  <c:v>43.788400000000003</c:v>
                </c:pt>
                <c:pt idx="38">
                  <c:v>43.877699999999997</c:v>
                </c:pt>
                <c:pt idx="39">
                  <c:v>44.034300000000002</c:v>
                </c:pt>
                <c:pt idx="40">
                  <c:v>44.269399999999997</c:v>
                </c:pt>
                <c:pt idx="41">
                  <c:v>44.520199999999996</c:v>
                </c:pt>
                <c:pt idx="42">
                  <c:v>44.660800000000002</c:v>
                </c:pt>
                <c:pt idx="43">
                  <c:v>44.771300000000004</c:v>
                </c:pt>
                <c:pt idx="44">
                  <c:v>44.846699999999998</c:v>
                </c:pt>
                <c:pt idx="45">
                  <c:v>44.9041</c:v>
                </c:pt>
                <c:pt idx="46">
                  <c:v>44.993100000000005</c:v>
                </c:pt>
                <c:pt idx="47">
                  <c:v>45.174700000000001</c:v>
                </c:pt>
                <c:pt idx="48">
                  <c:v>45.456899999999997</c:v>
                </c:pt>
                <c:pt idx="49">
                  <c:v>45.840199999999996</c:v>
                </c:pt>
                <c:pt idx="50">
                  <c:v>46.250999999999998</c:v>
                </c:pt>
                <c:pt idx="51">
                  <c:v>46.747599999999998</c:v>
                </c:pt>
                <c:pt idx="52">
                  <c:v>47.166400000000003</c:v>
                </c:pt>
                <c:pt idx="53">
                  <c:v>47.434100000000001</c:v>
                </c:pt>
                <c:pt idx="54">
                  <c:v>47.701700000000002</c:v>
                </c:pt>
                <c:pt idx="55">
                  <c:v>47.953899999999997</c:v>
                </c:pt>
                <c:pt idx="56">
                  <c:v>48.219899999999996</c:v>
                </c:pt>
                <c:pt idx="57">
                  <c:v>48.367199999999997</c:v>
                </c:pt>
                <c:pt idx="58">
                  <c:v>48.468499999999999</c:v>
                </c:pt>
                <c:pt idx="59">
                  <c:v>48.5441</c:v>
                </c:pt>
                <c:pt idx="60">
                  <c:v>48.529299999999999</c:v>
                </c:pt>
                <c:pt idx="61">
                  <c:v>48.485700000000001</c:v>
                </c:pt>
                <c:pt idx="62">
                  <c:v>48.486899999999999</c:v>
                </c:pt>
                <c:pt idx="63">
                  <c:v>48.332099999999997</c:v>
                </c:pt>
                <c:pt idx="64">
                  <c:v>48.146699999999996</c:v>
                </c:pt>
                <c:pt idx="65">
                  <c:v>47.8414</c:v>
                </c:pt>
                <c:pt idx="66">
                  <c:v>47.685200000000002</c:v>
                </c:pt>
                <c:pt idx="67">
                  <c:v>47.423000000000002</c:v>
                </c:pt>
                <c:pt idx="68">
                  <c:v>47.274300000000004</c:v>
                </c:pt>
                <c:pt idx="69">
                  <c:v>47.178599999999996</c:v>
                </c:pt>
                <c:pt idx="70">
                  <c:v>47.0184</c:v>
                </c:pt>
                <c:pt idx="71">
                  <c:v>46.827999999999996</c:v>
                </c:pt>
                <c:pt idx="72">
                  <c:v>46.770099999999999</c:v>
                </c:pt>
                <c:pt idx="73">
                  <c:v>46.3063</c:v>
                </c:pt>
                <c:pt idx="74">
                  <c:v>45.987499999999997</c:v>
                </c:pt>
                <c:pt idx="75">
                  <c:v>45.650800000000004</c:v>
                </c:pt>
                <c:pt idx="76">
                  <c:v>45.227800000000002</c:v>
                </c:pt>
                <c:pt idx="77">
                  <c:v>44.7742</c:v>
                </c:pt>
                <c:pt idx="78">
                  <c:v>44.222999999999999</c:v>
                </c:pt>
                <c:pt idx="79">
                  <c:v>43.614100000000001</c:v>
                </c:pt>
                <c:pt idx="80">
                  <c:v>43.001400000000004</c:v>
                </c:pt>
                <c:pt idx="81">
                  <c:v>42.444600000000001</c:v>
                </c:pt>
                <c:pt idx="82">
                  <c:v>41.948299999999996</c:v>
                </c:pt>
                <c:pt idx="83">
                  <c:v>41.4664</c:v>
                </c:pt>
                <c:pt idx="84">
                  <c:v>40.916999999999994</c:v>
                </c:pt>
                <c:pt idx="85">
                  <c:v>40.325499999999998</c:v>
                </c:pt>
                <c:pt idx="86">
                  <c:v>39.705500000000001</c:v>
                </c:pt>
                <c:pt idx="87">
                  <c:v>39.106900000000003</c:v>
                </c:pt>
                <c:pt idx="88">
                  <c:v>38.511800000000001</c:v>
                </c:pt>
                <c:pt idx="89">
                  <c:v>37.931699999999999</c:v>
                </c:pt>
                <c:pt idx="90">
                  <c:v>37.360599999999998</c:v>
                </c:pt>
                <c:pt idx="91">
                  <c:v>36.900300000000001</c:v>
                </c:pt>
                <c:pt idx="92">
                  <c:v>36.520899999999997</c:v>
                </c:pt>
                <c:pt idx="93">
                  <c:v>36.195699999999995</c:v>
                </c:pt>
                <c:pt idx="94">
                  <c:v>35.896999999999998</c:v>
                </c:pt>
                <c:pt idx="95">
                  <c:v>35.643700000000003</c:v>
                </c:pt>
                <c:pt idx="96">
                  <c:v>35.276499999999999</c:v>
                </c:pt>
                <c:pt idx="97">
                  <c:v>34.851500000000001</c:v>
                </c:pt>
                <c:pt idx="98">
                  <c:v>34.438400000000001</c:v>
                </c:pt>
                <c:pt idx="99">
                  <c:v>34.134700000000002</c:v>
                </c:pt>
                <c:pt idx="100">
                  <c:v>33.874900000000004</c:v>
                </c:pt>
                <c:pt idx="101">
                  <c:v>33.689099999999996</c:v>
                </c:pt>
                <c:pt idx="102">
                  <c:v>33.5321</c:v>
                </c:pt>
                <c:pt idx="103">
                  <c:v>33.526000000000003</c:v>
                </c:pt>
                <c:pt idx="104">
                  <c:v>33.681100000000001</c:v>
                </c:pt>
                <c:pt idx="105">
                  <c:v>33.825800000000001</c:v>
                </c:pt>
                <c:pt idx="106">
                  <c:v>33.926099999999998</c:v>
                </c:pt>
                <c:pt idx="107">
                  <c:v>34.075000000000003</c:v>
                </c:pt>
                <c:pt idx="108">
                  <c:v>34.1785</c:v>
                </c:pt>
                <c:pt idx="109">
                  <c:v>34.361399999999996</c:v>
                </c:pt>
                <c:pt idx="110">
                  <c:v>34.601999999999997</c:v>
                </c:pt>
                <c:pt idx="111">
                  <c:v>34.909600000000005</c:v>
                </c:pt>
                <c:pt idx="112">
                  <c:v>35.238599999999998</c:v>
                </c:pt>
                <c:pt idx="113">
                  <c:v>35.557600000000001</c:v>
                </c:pt>
                <c:pt idx="114">
                  <c:v>35.876100000000001</c:v>
                </c:pt>
                <c:pt idx="115">
                  <c:v>36.2179</c:v>
                </c:pt>
                <c:pt idx="116">
                  <c:v>36.5274</c:v>
                </c:pt>
                <c:pt idx="117">
                  <c:v>36.817100000000003</c:v>
                </c:pt>
                <c:pt idx="118">
                  <c:v>36.9741</c:v>
                </c:pt>
                <c:pt idx="119">
                  <c:v>36.8123</c:v>
                </c:pt>
                <c:pt idx="120">
                  <c:v>36.573</c:v>
                </c:pt>
                <c:pt idx="121">
                  <c:v>36.313099999999999</c:v>
                </c:pt>
                <c:pt idx="122">
                  <c:v>36.018999999999998</c:v>
                </c:pt>
                <c:pt idx="123">
                  <c:v>36.048900000000003</c:v>
                </c:pt>
                <c:pt idx="124">
                  <c:v>36.1646</c:v>
                </c:pt>
                <c:pt idx="125">
                  <c:v>36.140599999999999</c:v>
                </c:pt>
                <c:pt idx="126">
                  <c:v>36.084899999999998</c:v>
                </c:pt>
                <c:pt idx="127">
                  <c:v>36.031999999999996</c:v>
                </c:pt>
                <c:pt idx="128">
                  <c:v>35.908499999999997</c:v>
                </c:pt>
                <c:pt idx="129">
                  <c:v>35.682900000000004</c:v>
                </c:pt>
                <c:pt idx="130">
                  <c:v>35.474899999999998</c:v>
                </c:pt>
                <c:pt idx="131">
                  <c:v>35.302499999999995</c:v>
                </c:pt>
                <c:pt idx="132">
                  <c:v>34.965000000000003</c:v>
                </c:pt>
                <c:pt idx="133">
                  <c:v>34.670999999999999</c:v>
                </c:pt>
                <c:pt idx="134">
                  <c:v>34.3384</c:v>
                </c:pt>
                <c:pt idx="135">
                  <c:v>33.927</c:v>
                </c:pt>
                <c:pt idx="136">
                  <c:v>33.385399999999997</c:v>
                </c:pt>
                <c:pt idx="137">
                  <c:v>32.784300000000002</c:v>
                </c:pt>
                <c:pt idx="138">
                  <c:v>32.198599999999999</c:v>
                </c:pt>
                <c:pt idx="139">
                  <c:v>31.574999999999996</c:v>
                </c:pt>
                <c:pt idx="140">
                  <c:v>30.898999999999997</c:v>
                </c:pt>
                <c:pt idx="141">
                  <c:v>29.848500000000001</c:v>
                </c:pt>
                <c:pt idx="142">
                  <c:v>28.347499999999997</c:v>
                </c:pt>
                <c:pt idx="143">
                  <c:v>26.857300000000002</c:v>
                </c:pt>
                <c:pt idx="144">
                  <c:v>26.2118</c:v>
                </c:pt>
                <c:pt idx="145">
                  <c:v>25.173000000000002</c:v>
                </c:pt>
                <c:pt idx="146">
                  <c:v>24.6921</c:v>
                </c:pt>
                <c:pt idx="147">
                  <c:v>25.569500000000001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0.399501</c:v>
                </c:pt>
                <c:pt idx="2">
                  <c:v>0.81328299999999998</c:v>
                </c:pt>
                <c:pt idx="3">
                  <c:v>1.2192499999999999</c:v>
                </c:pt>
                <c:pt idx="4">
                  <c:v>1.6231500000000001</c:v>
                </c:pt>
                <c:pt idx="5">
                  <c:v>2.0301999999999998</c:v>
                </c:pt>
                <c:pt idx="6">
                  <c:v>2.4350399999999999</c:v>
                </c:pt>
                <c:pt idx="7">
                  <c:v>2.8439800000000002</c:v>
                </c:pt>
                <c:pt idx="8">
                  <c:v>3.2497199999999999</c:v>
                </c:pt>
                <c:pt idx="9">
                  <c:v>3.6508799999999999</c:v>
                </c:pt>
                <c:pt idx="10">
                  <c:v>4.0616199999999996</c:v>
                </c:pt>
                <c:pt idx="11">
                  <c:v>4.4685699999999997</c:v>
                </c:pt>
                <c:pt idx="12">
                  <c:v>4.8704200000000002</c:v>
                </c:pt>
                <c:pt idx="13">
                  <c:v>5.2824099999999996</c:v>
                </c:pt>
                <c:pt idx="14">
                  <c:v>5.6823600000000001</c:v>
                </c:pt>
                <c:pt idx="15">
                  <c:v>6.0931800000000003</c:v>
                </c:pt>
                <c:pt idx="16">
                  <c:v>6.5020499999999997</c:v>
                </c:pt>
                <c:pt idx="17">
                  <c:v>6.9049800000000001</c:v>
                </c:pt>
                <c:pt idx="18">
                  <c:v>7.3134199999999998</c:v>
                </c:pt>
                <c:pt idx="19">
                  <c:v>7.7168999999999999</c:v>
                </c:pt>
                <c:pt idx="20">
                  <c:v>8.1257699999999993</c:v>
                </c:pt>
                <c:pt idx="21">
                  <c:v>8.5296000000000003</c:v>
                </c:pt>
                <c:pt idx="22">
                  <c:v>8.9375300000000006</c:v>
                </c:pt>
                <c:pt idx="23">
                  <c:v>9.3404299999999996</c:v>
                </c:pt>
                <c:pt idx="24">
                  <c:v>9.7495499999999993</c:v>
                </c:pt>
                <c:pt idx="25">
                  <c:v>10.1553</c:v>
                </c:pt>
                <c:pt idx="26">
                  <c:v>10.564299999999999</c:v>
                </c:pt>
                <c:pt idx="27">
                  <c:v>10.963800000000001</c:v>
                </c:pt>
                <c:pt idx="28">
                  <c:v>11.372</c:v>
                </c:pt>
                <c:pt idx="29">
                  <c:v>11.781000000000001</c:v>
                </c:pt>
                <c:pt idx="30">
                  <c:v>12.1839</c:v>
                </c:pt>
                <c:pt idx="31">
                  <c:v>12.591799999999999</c:v>
                </c:pt>
                <c:pt idx="32">
                  <c:v>13.0037</c:v>
                </c:pt>
                <c:pt idx="33">
                  <c:v>13.403600000000001</c:v>
                </c:pt>
                <c:pt idx="34">
                  <c:v>13.8096</c:v>
                </c:pt>
                <c:pt idx="35">
                  <c:v>14.2204</c:v>
                </c:pt>
                <c:pt idx="36">
                  <c:v>14.6273</c:v>
                </c:pt>
                <c:pt idx="37">
                  <c:v>15.03</c:v>
                </c:pt>
                <c:pt idx="38">
                  <c:v>15.432399999999999</c:v>
                </c:pt>
                <c:pt idx="39">
                  <c:v>15.8414</c:v>
                </c:pt>
                <c:pt idx="40">
                  <c:v>16.248999999999999</c:v>
                </c:pt>
                <c:pt idx="41">
                  <c:v>16.657900000000001</c:v>
                </c:pt>
                <c:pt idx="42">
                  <c:v>17.062799999999999</c:v>
                </c:pt>
                <c:pt idx="43">
                  <c:v>17.466999999999999</c:v>
                </c:pt>
                <c:pt idx="44">
                  <c:v>17.8749</c:v>
                </c:pt>
                <c:pt idx="45">
                  <c:v>18.281600000000001</c:v>
                </c:pt>
                <c:pt idx="46">
                  <c:v>18.682700000000001</c:v>
                </c:pt>
                <c:pt idx="47">
                  <c:v>19.093299999999999</c:v>
                </c:pt>
                <c:pt idx="48">
                  <c:v>19.499400000000001</c:v>
                </c:pt>
                <c:pt idx="49">
                  <c:v>19.901199999999999</c:v>
                </c:pt>
                <c:pt idx="50">
                  <c:v>20.3111</c:v>
                </c:pt>
                <c:pt idx="51">
                  <c:v>20.719100000000001</c:v>
                </c:pt>
                <c:pt idx="52">
                  <c:v>21.123000000000001</c:v>
                </c:pt>
                <c:pt idx="53">
                  <c:v>21.530899999999999</c:v>
                </c:pt>
                <c:pt idx="54">
                  <c:v>21.934100000000001</c:v>
                </c:pt>
                <c:pt idx="55">
                  <c:v>22.337900000000001</c:v>
                </c:pt>
                <c:pt idx="56">
                  <c:v>22.750800000000002</c:v>
                </c:pt>
                <c:pt idx="57">
                  <c:v>23.155100000000001</c:v>
                </c:pt>
                <c:pt idx="58">
                  <c:v>23.5594</c:v>
                </c:pt>
                <c:pt idx="59">
                  <c:v>23.963100000000001</c:v>
                </c:pt>
                <c:pt idx="60">
                  <c:v>24.369900000000001</c:v>
                </c:pt>
                <c:pt idx="61">
                  <c:v>24.782399999999999</c:v>
                </c:pt>
                <c:pt idx="62">
                  <c:v>25.1861</c:v>
                </c:pt>
                <c:pt idx="63">
                  <c:v>25.589099999999998</c:v>
                </c:pt>
                <c:pt idx="64">
                  <c:v>25.995899999999999</c:v>
                </c:pt>
                <c:pt idx="65">
                  <c:v>26.4069</c:v>
                </c:pt>
                <c:pt idx="66">
                  <c:v>26.808499999999999</c:v>
                </c:pt>
                <c:pt idx="67">
                  <c:v>27.216999999999999</c:v>
                </c:pt>
                <c:pt idx="68">
                  <c:v>27.619599999999998</c:v>
                </c:pt>
                <c:pt idx="69">
                  <c:v>28.029499999999999</c:v>
                </c:pt>
                <c:pt idx="70">
                  <c:v>28.435500000000001</c:v>
                </c:pt>
                <c:pt idx="71">
                  <c:v>28.8446</c:v>
                </c:pt>
                <c:pt idx="72">
                  <c:v>29.251200000000001</c:v>
                </c:pt>
                <c:pt idx="73">
                  <c:v>29.659300000000002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57.410399999999996</c:v>
                </c:pt>
                <c:pt idx="1">
                  <c:v>56.966300000000004</c:v>
                </c:pt>
                <c:pt idx="2">
                  <c:v>56.535599999999995</c:v>
                </c:pt>
                <c:pt idx="3">
                  <c:v>56.100499999999997</c:v>
                </c:pt>
                <c:pt idx="4">
                  <c:v>55.6554</c:v>
                </c:pt>
                <c:pt idx="5">
                  <c:v>55.116699999999994</c:v>
                </c:pt>
                <c:pt idx="6">
                  <c:v>54.555699999999995</c:v>
                </c:pt>
                <c:pt idx="7">
                  <c:v>53.899600000000007</c:v>
                </c:pt>
                <c:pt idx="8">
                  <c:v>53.327300000000001</c:v>
                </c:pt>
                <c:pt idx="9">
                  <c:v>52.822899999999997</c:v>
                </c:pt>
                <c:pt idx="10">
                  <c:v>52.376500000000007</c:v>
                </c:pt>
                <c:pt idx="11">
                  <c:v>51.975000000000001</c:v>
                </c:pt>
                <c:pt idx="12">
                  <c:v>51.613799999999998</c:v>
                </c:pt>
                <c:pt idx="13">
                  <c:v>51.198600000000006</c:v>
                </c:pt>
                <c:pt idx="14">
                  <c:v>50.716000000000008</c:v>
                </c:pt>
                <c:pt idx="15">
                  <c:v>50.2196</c:v>
                </c:pt>
                <c:pt idx="16">
                  <c:v>49.710300000000004</c:v>
                </c:pt>
                <c:pt idx="17">
                  <c:v>49.191600000000001</c:v>
                </c:pt>
                <c:pt idx="18">
                  <c:v>48.732399999999998</c:v>
                </c:pt>
                <c:pt idx="19">
                  <c:v>48.314099999999996</c:v>
                </c:pt>
                <c:pt idx="20">
                  <c:v>47.960900000000002</c:v>
                </c:pt>
                <c:pt idx="21">
                  <c:v>47.613299999999995</c:v>
                </c:pt>
                <c:pt idx="22">
                  <c:v>47.249000000000002</c:v>
                </c:pt>
                <c:pt idx="23">
                  <c:v>46.851100000000002</c:v>
                </c:pt>
                <c:pt idx="24">
                  <c:v>46.432099999999998</c:v>
                </c:pt>
                <c:pt idx="25">
                  <c:v>46.042699999999996</c:v>
                </c:pt>
                <c:pt idx="26">
                  <c:v>45.683</c:v>
                </c:pt>
                <c:pt idx="27">
                  <c:v>45.383299999999998</c:v>
                </c:pt>
                <c:pt idx="28">
                  <c:v>45.118900000000004</c:v>
                </c:pt>
                <c:pt idx="29">
                  <c:v>44.828099999999999</c:v>
                </c:pt>
                <c:pt idx="30">
                  <c:v>44.565899999999999</c:v>
                </c:pt>
                <c:pt idx="31">
                  <c:v>44.301200000000001</c:v>
                </c:pt>
                <c:pt idx="32">
                  <c:v>44.128799999999998</c:v>
                </c:pt>
                <c:pt idx="33">
                  <c:v>43.993500000000004</c:v>
                </c:pt>
                <c:pt idx="34">
                  <c:v>43.8812</c:v>
                </c:pt>
                <c:pt idx="35">
                  <c:v>43.817999999999998</c:v>
                </c:pt>
                <c:pt idx="36">
                  <c:v>43.7789</c:v>
                </c:pt>
                <c:pt idx="37">
                  <c:v>43.788400000000003</c:v>
                </c:pt>
                <c:pt idx="38">
                  <c:v>43.877699999999997</c:v>
                </c:pt>
                <c:pt idx="39">
                  <c:v>44.034300000000002</c:v>
                </c:pt>
                <c:pt idx="40">
                  <c:v>44.269399999999997</c:v>
                </c:pt>
                <c:pt idx="41">
                  <c:v>44.520199999999996</c:v>
                </c:pt>
                <c:pt idx="42">
                  <c:v>44.660800000000002</c:v>
                </c:pt>
                <c:pt idx="43">
                  <c:v>44.771300000000004</c:v>
                </c:pt>
                <c:pt idx="44">
                  <c:v>44.846699999999998</c:v>
                </c:pt>
                <c:pt idx="45">
                  <c:v>44.9041</c:v>
                </c:pt>
                <c:pt idx="46">
                  <c:v>44.993100000000005</c:v>
                </c:pt>
                <c:pt idx="47">
                  <c:v>45.174700000000001</c:v>
                </c:pt>
                <c:pt idx="48">
                  <c:v>45.456899999999997</c:v>
                </c:pt>
                <c:pt idx="49">
                  <c:v>45.840199999999996</c:v>
                </c:pt>
                <c:pt idx="50">
                  <c:v>46.250999999999998</c:v>
                </c:pt>
                <c:pt idx="51">
                  <c:v>46.747599999999998</c:v>
                </c:pt>
                <c:pt idx="52">
                  <c:v>47.166400000000003</c:v>
                </c:pt>
                <c:pt idx="53">
                  <c:v>47.434100000000001</c:v>
                </c:pt>
                <c:pt idx="54">
                  <c:v>47.701700000000002</c:v>
                </c:pt>
                <c:pt idx="55">
                  <c:v>47.953899999999997</c:v>
                </c:pt>
                <c:pt idx="56">
                  <c:v>48.219899999999996</c:v>
                </c:pt>
                <c:pt idx="57">
                  <c:v>48.367199999999997</c:v>
                </c:pt>
                <c:pt idx="58">
                  <c:v>48.468499999999999</c:v>
                </c:pt>
                <c:pt idx="59">
                  <c:v>48.5441</c:v>
                </c:pt>
                <c:pt idx="60">
                  <c:v>48.529299999999999</c:v>
                </c:pt>
                <c:pt idx="61">
                  <c:v>48.485700000000001</c:v>
                </c:pt>
                <c:pt idx="62">
                  <c:v>48.486899999999999</c:v>
                </c:pt>
                <c:pt idx="63">
                  <c:v>48.332099999999997</c:v>
                </c:pt>
                <c:pt idx="64">
                  <c:v>48.146699999999996</c:v>
                </c:pt>
                <c:pt idx="65">
                  <c:v>47.8414</c:v>
                </c:pt>
                <c:pt idx="66">
                  <c:v>47.685200000000002</c:v>
                </c:pt>
                <c:pt idx="67">
                  <c:v>47.423000000000002</c:v>
                </c:pt>
                <c:pt idx="68">
                  <c:v>47.274300000000004</c:v>
                </c:pt>
                <c:pt idx="69">
                  <c:v>47.178599999999996</c:v>
                </c:pt>
                <c:pt idx="70">
                  <c:v>47.0184</c:v>
                </c:pt>
                <c:pt idx="71">
                  <c:v>46.827999999999996</c:v>
                </c:pt>
                <c:pt idx="72">
                  <c:v>46.770099999999999</c:v>
                </c:pt>
                <c:pt idx="73">
                  <c:v>46.3063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29.659300000000002</c:v>
                </c:pt>
                <c:pt idx="1">
                  <c:v>30.251899999999999</c:v>
                </c:pt>
                <c:pt idx="2">
                  <c:v>30.627500000000001</c:v>
                </c:pt>
                <c:pt idx="3">
                  <c:v>31.0002</c:v>
                </c:pt>
                <c:pt idx="4">
                  <c:v>31.3749</c:v>
                </c:pt>
                <c:pt idx="5">
                  <c:v>31.7498</c:v>
                </c:pt>
                <c:pt idx="6">
                  <c:v>32.137500000000003</c:v>
                </c:pt>
                <c:pt idx="7">
                  <c:v>32.546599999999998</c:v>
                </c:pt>
                <c:pt idx="8">
                  <c:v>32.953400000000002</c:v>
                </c:pt>
                <c:pt idx="9">
                  <c:v>33.362200000000001</c:v>
                </c:pt>
                <c:pt idx="10">
                  <c:v>33.764200000000002</c:v>
                </c:pt>
                <c:pt idx="11">
                  <c:v>34.171100000000003</c:v>
                </c:pt>
                <c:pt idx="12">
                  <c:v>34.575099999999999</c:v>
                </c:pt>
                <c:pt idx="13">
                  <c:v>34.986899999999999</c:v>
                </c:pt>
                <c:pt idx="14">
                  <c:v>35.39</c:v>
                </c:pt>
                <c:pt idx="15">
                  <c:v>35.794699999999999</c:v>
                </c:pt>
                <c:pt idx="16">
                  <c:v>36.200000000000003</c:v>
                </c:pt>
                <c:pt idx="17">
                  <c:v>36.607700000000001</c:v>
                </c:pt>
                <c:pt idx="18">
                  <c:v>37.017600000000002</c:v>
                </c:pt>
                <c:pt idx="19">
                  <c:v>37.419499999999999</c:v>
                </c:pt>
                <c:pt idx="20">
                  <c:v>37.827199999999998</c:v>
                </c:pt>
                <c:pt idx="21">
                  <c:v>38.231200000000001</c:v>
                </c:pt>
                <c:pt idx="22">
                  <c:v>38.639200000000002</c:v>
                </c:pt>
                <c:pt idx="23">
                  <c:v>39.048999999999999</c:v>
                </c:pt>
                <c:pt idx="24">
                  <c:v>39.454300000000003</c:v>
                </c:pt>
                <c:pt idx="25">
                  <c:v>39.860799999999998</c:v>
                </c:pt>
                <c:pt idx="26">
                  <c:v>40.2637</c:v>
                </c:pt>
                <c:pt idx="27">
                  <c:v>40.671900000000001</c:v>
                </c:pt>
                <c:pt idx="28">
                  <c:v>41.074800000000003</c:v>
                </c:pt>
                <c:pt idx="29">
                  <c:v>41.485500000000002</c:v>
                </c:pt>
                <c:pt idx="30">
                  <c:v>41.891399999999997</c:v>
                </c:pt>
                <c:pt idx="31">
                  <c:v>42.294499999999999</c:v>
                </c:pt>
                <c:pt idx="32">
                  <c:v>42.698300000000003</c:v>
                </c:pt>
                <c:pt idx="33">
                  <c:v>43.107300000000002</c:v>
                </c:pt>
                <c:pt idx="34">
                  <c:v>43.516300000000001</c:v>
                </c:pt>
                <c:pt idx="35">
                  <c:v>43.920099999999998</c:v>
                </c:pt>
                <c:pt idx="36">
                  <c:v>44.3249</c:v>
                </c:pt>
                <c:pt idx="37">
                  <c:v>44.731900000000003</c:v>
                </c:pt>
                <c:pt idx="38">
                  <c:v>45.136000000000003</c:v>
                </c:pt>
                <c:pt idx="39">
                  <c:v>45.547699999999999</c:v>
                </c:pt>
                <c:pt idx="40">
                  <c:v>45.951599999999999</c:v>
                </c:pt>
                <c:pt idx="41">
                  <c:v>46.360500000000002</c:v>
                </c:pt>
                <c:pt idx="42">
                  <c:v>46.7624</c:v>
                </c:pt>
                <c:pt idx="43">
                  <c:v>47.170400000000001</c:v>
                </c:pt>
                <c:pt idx="44">
                  <c:v>47.573</c:v>
                </c:pt>
                <c:pt idx="45">
                  <c:v>47.984299999999998</c:v>
                </c:pt>
                <c:pt idx="46">
                  <c:v>48.39</c:v>
                </c:pt>
                <c:pt idx="47">
                  <c:v>48.795000000000002</c:v>
                </c:pt>
                <c:pt idx="48">
                  <c:v>49.201300000000003</c:v>
                </c:pt>
                <c:pt idx="49">
                  <c:v>49.6068</c:v>
                </c:pt>
                <c:pt idx="50">
                  <c:v>50.014800000000001</c:v>
                </c:pt>
                <c:pt idx="51">
                  <c:v>50.418700000000001</c:v>
                </c:pt>
                <c:pt idx="52">
                  <c:v>50.827599999999997</c:v>
                </c:pt>
                <c:pt idx="53">
                  <c:v>51.234499999999997</c:v>
                </c:pt>
                <c:pt idx="54">
                  <c:v>51.6374</c:v>
                </c:pt>
                <c:pt idx="55">
                  <c:v>52.0413</c:v>
                </c:pt>
                <c:pt idx="56">
                  <c:v>52.448399999999999</c:v>
                </c:pt>
                <c:pt idx="57">
                  <c:v>52.856200000000001</c:v>
                </c:pt>
                <c:pt idx="58">
                  <c:v>53.266300000000001</c:v>
                </c:pt>
                <c:pt idx="59">
                  <c:v>53.668999999999997</c:v>
                </c:pt>
                <c:pt idx="60">
                  <c:v>54.073999999999998</c:v>
                </c:pt>
                <c:pt idx="61">
                  <c:v>54.483899999999998</c:v>
                </c:pt>
                <c:pt idx="62">
                  <c:v>54.890700000000002</c:v>
                </c:pt>
                <c:pt idx="63">
                  <c:v>55.292299999999997</c:v>
                </c:pt>
                <c:pt idx="64">
                  <c:v>55.699800000000003</c:v>
                </c:pt>
                <c:pt idx="65">
                  <c:v>56.107500000000002</c:v>
                </c:pt>
                <c:pt idx="66">
                  <c:v>56.512599999999999</c:v>
                </c:pt>
                <c:pt idx="67">
                  <c:v>56.921300000000002</c:v>
                </c:pt>
                <c:pt idx="68">
                  <c:v>57.3264</c:v>
                </c:pt>
                <c:pt idx="69">
                  <c:v>57.730899999999998</c:v>
                </c:pt>
                <c:pt idx="70">
                  <c:v>58.137999999999998</c:v>
                </c:pt>
                <c:pt idx="71">
                  <c:v>58.545299999999997</c:v>
                </c:pt>
                <c:pt idx="72">
                  <c:v>58.948</c:v>
                </c:pt>
                <c:pt idx="73">
                  <c:v>59.358699999999999</c:v>
                </c:pt>
                <c:pt idx="74">
                  <c:v>59.762700000000002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46.3063</c:v>
                </c:pt>
                <c:pt idx="1">
                  <c:v>45.987499999999997</c:v>
                </c:pt>
                <c:pt idx="2">
                  <c:v>45.650800000000004</c:v>
                </c:pt>
                <c:pt idx="3">
                  <c:v>45.227800000000002</c:v>
                </c:pt>
                <c:pt idx="4">
                  <c:v>44.7742</c:v>
                </c:pt>
                <c:pt idx="5">
                  <c:v>44.222999999999999</c:v>
                </c:pt>
                <c:pt idx="6">
                  <c:v>43.614100000000001</c:v>
                </c:pt>
                <c:pt idx="7">
                  <c:v>43.001400000000004</c:v>
                </c:pt>
                <c:pt idx="8">
                  <c:v>42.444600000000001</c:v>
                </c:pt>
                <c:pt idx="9">
                  <c:v>41.948299999999996</c:v>
                </c:pt>
                <c:pt idx="10">
                  <c:v>41.4664</c:v>
                </c:pt>
                <c:pt idx="11">
                  <c:v>40.916999999999994</c:v>
                </c:pt>
                <c:pt idx="12">
                  <c:v>40.325499999999998</c:v>
                </c:pt>
                <c:pt idx="13">
                  <c:v>39.705500000000001</c:v>
                </c:pt>
                <c:pt idx="14">
                  <c:v>39.106900000000003</c:v>
                </c:pt>
                <c:pt idx="15">
                  <c:v>38.511800000000001</c:v>
                </c:pt>
                <c:pt idx="16">
                  <c:v>37.931699999999999</c:v>
                </c:pt>
                <c:pt idx="17">
                  <c:v>37.360599999999998</c:v>
                </c:pt>
                <c:pt idx="18">
                  <c:v>36.900300000000001</c:v>
                </c:pt>
                <c:pt idx="19">
                  <c:v>36.520899999999997</c:v>
                </c:pt>
                <c:pt idx="20">
                  <c:v>36.195699999999995</c:v>
                </c:pt>
                <c:pt idx="21">
                  <c:v>35.896999999999998</c:v>
                </c:pt>
                <c:pt idx="22">
                  <c:v>35.643700000000003</c:v>
                </c:pt>
                <c:pt idx="23">
                  <c:v>35.276499999999999</c:v>
                </c:pt>
                <c:pt idx="24">
                  <c:v>34.851500000000001</c:v>
                </c:pt>
                <c:pt idx="25">
                  <c:v>34.438400000000001</c:v>
                </c:pt>
                <c:pt idx="26">
                  <c:v>34.134700000000002</c:v>
                </c:pt>
                <c:pt idx="27">
                  <c:v>33.874900000000004</c:v>
                </c:pt>
                <c:pt idx="28">
                  <c:v>33.689099999999996</c:v>
                </c:pt>
                <c:pt idx="29">
                  <c:v>33.5321</c:v>
                </c:pt>
                <c:pt idx="30">
                  <c:v>33.526000000000003</c:v>
                </c:pt>
                <c:pt idx="31">
                  <c:v>33.681100000000001</c:v>
                </c:pt>
                <c:pt idx="32">
                  <c:v>33.825800000000001</c:v>
                </c:pt>
                <c:pt idx="33">
                  <c:v>33.926099999999998</c:v>
                </c:pt>
                <c:pt idx="34">
                  <c:v>34.075000000000003</c:v>
                </c:pt>
                <c:pt idx="35">
                  <c:v>34.1785</c:v>
                </c:pt>
                <c:pt idx="36">
                  <c:v>34.361399999999996</c:v>
                </c:pt>
                <c:pt idx="37">
                  <c:v>34.601999999999997</c:v>
                </c:pt>
                <c:pt idx="38">
                  <c:v>34.909600000000005</c:v>
                </c:pt>
                <c:pt idx="39">
                  <c:v>35.238599999999998</c:v>
                </c:pt>
                <c:pt idx="40">
                  <c:v>35.557600000000001</c:v>
                </c:pt>
                <c:pt idx="41">
                  <c:v>35.876100000000001</c:v>
                </c:pt>
                <c:pt idx="42">
                  <c:v>36.2179</c:v>
                </c:pt>
                <c:pt idx="43">
                  <c:v>36.5274</c:v>
                </c:pt>
                <c:pt idx="44">
                  <c:v>36.817100000000003</c:v>
                </c:pt>
                <c:pt idx="45">
                  <c:v>36.9741</c:v>
                </c:pt>
                <c:pt idx="46">
                  <c:v>36.8123</c:v>
                </c:pt>
                <c:pt idx="47">
                  <c:v>36.573</c:v>
                </c:pt>
                <c:pt idx="48">
                  <c:v>36.313099999999999</c:v>
                </c:pt>
                <c:pt idx="49">
                  <c:v>36.018999999999998</c:v>
                </c:pt>
                <c:pt idx="50">
                  <c:v>36.048900000000003</c:v>
                </c:pt>
                <c:pt idx="51">
                  <c:v>36.1646</c:v>
                </c:pt>
                <c:pt idx="52">
                  <c:v>36.140599999999999</c:v>
                </c:pt>
                <c:pt idx="53">
                  <c:v>36.084899999999998</c:v>
                </c:pt>
                <c:pt idx="54">
                  <c:v>36.031999999999996</c:v>
                </c:pt>
                <c:pt idx="55">
                  <c:v>35.908499999999997</c:v>
                </c:pt>
                <c:pt idx="56">
                  <c:v>35.682900000000004</c:v>
                </c:pt>
                <c:pt idx="57">
                  <c:v>35.474899999999998</c:v>
                </c:pt>
                <c:pt idx="58">
                  <c:v>35.302499999999995</c:v>
                </c:pt>
                <c:pt idx="59">
                  <c:v>34.965000000000003</c:v>
                </c:pt>
                <c:pt idx="60">
                  <c:v>34.670999999999999</c:v>
                </c:pt>
                <c:pt idx="61">
                  <c:v>34.3384</c:v>
                </c:pt>
                <c:pt idx="62">
                  <c:v>33.927</c:v>
                </c:pt>
                <c:pt idx="63">
                  <c:v>33.385399999999997</c:v>
                </c:pt>
                <c:pt idx="64">
                  <c:v>32.784300000000002</c:v>
                </c:pt>
                <c:pt idx="65">
                  <c:v>32.198599999999999</c:v>
                </c:pt>
                <c:pt idx="66">
                  <c:v>31.574999999999996</c:v>
                </c:pt>
                <c:pt idx="67">
                  <c:v>30.898999999999997</c:v>
                </c:pt>
                <c:pt idx="68">
                  <c:v>29.848500000000001</c:v>
                </c:pt>
                <c:pt idx="69">
                  <c:v>28.347499999999997</c:v>
                </c:pt>
                <c:pt idx="70">
                  <c:v>26.857300000000002</c:v>
                </c:pt>
                <c:pt idx="71">
                  <c:v>26.2118</c:v>
                </c:pt>
                <c:pt idx="72">
                  <c:v>25.173000000000002</c:v>
                </c:pt>
                <c:pt idx="73">
                  <c:v>24.6921</c:v>
                </c:pt>
                <c:pt idx="74">
                  <c:v>25.569500000000001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14.940675000000001</c:v>
                </c:pt>
                <c:pt idx="1">
                  <c:v>44.822025000000004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48.004951351351338</c:v>
                </c:pt>
                <c:pt idx="1">
                  <c:v>35.776308108108111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2.1335899999999999</c:v>
                </c:pt>
                <c:pt idx="1">
                  <c:v>2.2002099999999998</c:v>
                </c:pt>
                <c:pt idx="2">
                  <c:v>2.2634000000000003</c:v>
                </c:pt>
                <c:pt idx="3">
                  <c:v>2.3230999999999997</c:v>
                </c:pt>
                <c:pt idx="4">
                  <c:v>2.37914</c:v>
                </c:pt>
                <c:pt idx="5">
                  <c:v>2.4330400000000001</c:v>
                </c:pt>
                <c:pt idx="6">
                  <c:v>2.48447</c:v>
                </c:pt>
                <c:pt idx="7">
                  <c:v>2.5342099999999999</c:v>
                </c:pt>
                <c:pt idx="8">
                  <c:v>2.58168</c:v>
                </c:pt>
                <c:pt idx="9">
                  <c:v>2.6266099999999999</c:v>
                </c:pt>
                <c:pt idx="10">
                  <c:v>2.6699800000000002</c:v>
                </c:pt>
                <c:pt idx="11">
                  <c:v>2.7117200000000001</c:v>
                </c:pt>
                <c:pt idx="12">
                  <c:v>2.7518700000000003</c:v>
                </c:pt>
                <c:pt idx="13">
                  <c:v>2.7904900000000001</c:v>
                </c:pt>
                <c:pt idx="14">
                  <c:v>2.8279999999999998</c:v>
                </c:pt>
                <c:pt idx="15">
                  <c:v>2.8635000000000002</c:v>
                </c:pt>
                <c:pt idx="16">
                  <c:v>2.8931400000000003</c:v>
                </c:pt>
                <c:pt idx="17">
                  <c:v>2.91248</c:v>
                </c:pt>
                <c:pt idx="18">
                  <c:v>2.9266100000000002</c:v>
                </c:pt>
                <c:pt idx="19">
                  <c:v>2.9403299999999999</c:v>
                </c:pt>
                <c:pt idx="20">
                  <c:v>2.9507400000000001</c:v>
                </c:pt>
                <c:pt idx="21">
                  <c:v>2.9597199999999999</c:v>
                </c:pt>
                <c:pt idx="22">
                  <c:v>2.9681999999999995</c:v>
                </c:pt>
                <c:pt idx="23">
                  <c:v>2.9754100000000001</c:v>
                </c:pt>
                <c:pt idx="24">
                  <c:v>2.9805700000000002</c:v>
                </c:pt>
                <c:pt idx="25">
                  <c:v>2.9848599999999998</c:v>
                </c:pt>
                <c:pt idx="26">
                  <c:v>2.9862799999999998</c:v>
                </c:pt>
                <c:pt idx="27">
                  <c:v>2.9847000000000001</c:v>
                </c:pt>
                <c:pt idx="28">
                  <c:v>2.9787000000000003</c:v>
                </c:pt>
                <c:pt idx="29">
                  <c:v>2.9711100000000004</c:v>
                </c:pt>
                <c:pt idx="30">
                  <c:v>2.96041</c:v>
                </c:pt>
                <c:pt idx="31">
                  <c:v>2.9470299999999998</c:v>
                </c:pt>
                <c:pt idx="32">
                  <c:v>2.93221</c:v>
                </c:pt>
                <c:pt idx="33">
                  <c:v>2.91629</c:v>
                </c:pt>
                <c:pt idx="34">
                  <c:v>2.8992200000000001</c:v>
                </c:pt>
                <c:pt idx="35">
                  <c:v>2.8805900000000002</c:v>
                </c:pt>
                <c:pt idx="36">
                  <c:v>2.8607800000000001</c:v>
                </c:pt>
                <c:pt idx="37">
                  <c:v>2.84</c:v>
                </c:pt>
                <c:pt idx="38">
                  <c:v>2.8156999999999996</c:v>
                </c:pt>
                <c:pt idx="39">
                  <c:v>2.7877299999999998</c:v>
                </c:pt>
                <c:pt idx="40">
                  <c:v>2.7572700000000001</c:v>
                </c:pt>
                <c:pt idx="41">
                  <c:v>2.7269500000000004</c:v>
                </c:pt>
                <c:pt idx="42">
                  <c:v>2.6977699999999998</c:v>
                </c:pt>
                <c:pt idx="43">
                  <c:v>2.6698499999999998</c:v>
                </c:pt>
                <c:pt idx="44">
                  <c:v>2.6415499999999996</c:v>
                </c:pt>
                <c:pt idx="45">
                  <c:v>2.6155299999999997</c:v>
                </c:pt>
                <c:pt idx="46">
                  <c:v>2.59015</c:v>
                </c:pt>
                <c:pt idx="47">
                  <c:v>2.5649600000000001</c:v>
                </c:pt>
                <c:pt idx="48">
                  <c:v>2.53952</c:v>
                </c:pt>
                <c:pt idx="49">
                  <c:v>2.5140000000000002</c:v>
                </c:pt>
                <c:pt idx="50">
                  <c:v>2.4910700000000001</c:v>
                </c:pt>
                <c:pt idx="51">
                  <c:v>2.4690300000000001</c:v>
                </c:pt>
                <c:pt idx="52">
                  <c:v>2.4510800000000001</c:v>
                </c:pt>
                <c:pt idx="53">
                  <c:v>2.4414899999999999</c:v>
                </c:pt>
                <c:pt idx="54">
                  <c:v>2.4346899999999998</c:v>
                </c:pt>
                <c:pt idx="55">
                  <c:v>2.43032</c:v>
                </c:pt>
                <c:pt idx="56">
                  <c:v>2.4315899999999999</c:v>
                </c:pt>
                <c:pt idx="57">
                  <c:v>2.42754</c:v>
                </c:pt>
                <c:pt idx="58">
                  <c:v>2.4295400000000003</c:v>
                </c:pt>
                <c:pt idx="59">
                  <c:v>2.4335899999999997</c:v>
                </c:pt>
                <c:pt idx="60">
                  <c:v>2.4413199999999997</c:v>
                </c:pt>
                <c:pt idx="61">
                  <c:v>2.4569000000000001</c:v>
                </c:pt>
                <c:pt idx="62">
                  <c:v>2.4602499999999998</c:v>
                </c:pt>
                <c:pt idx="63">
                  <c:v>2.47322</c:v>
                </c:pt>
                <c:pt idx="64">
                  <c:v>2.48766</c:v>
                </c:pt>
                <c:pt idx="65">
                  <c:v>2.50922</c:v>
                </c:pt>
                <c:pt idx="66">
                  <c:v>2.52142</c:v>
                </c:pt>
                <c:pt idx="67">
                  <c:v>2.5476900000000002</c:v>
                </c:pt>
                <c:pt idx="68">
                  <c:v>2.5695099999999997</c:v>
                </c:pt>
                <c:pt idx="69">
                  <c:v>2.5920399999999999</c:v>
                </c:pt>
                <c:pt idx="70">
                  <c:v>2.61511</c:v>
                </c:pt>
                <c:pt idx="71">
                  <c:v>2.63801</c:v>
                </c:pt>
                <c:pt idx="72">
                  <c:v>2.6557599999999999</c:v>
                </c:pt>
                <c:pt idx="73">
                  <c:v>2.6834200000000004</c:v>
                </c:pt>
                <c:pt idx="74">
                  <c:v>2.7056799999999996</c:v>
                </c:pt>
                <c:pt idx="75">
                  <c:v>2.7263999999999999</c:v>
                </c:pt>
                <c:pt idx="76">
                  <c:v>2.7465099999999998</c:v>
                </c:pt>
                <c:pt idx="77">
                  <c:v>2.7652999999999999</c:v>
                </c:pt>
                <c:pt idx="78">
                  <c:v>2.7837200000000002</c:v>
                </c:pt>
                <c:pt idx="79">
                  <c:v>2.8019600000000002</c:v>
                </c:pt>
                <c:pt idx="80">
                  <c:v>2.8193400000000004</c:v>
                </c:pt>
                <c:pt idx="81">
                  <c:v>2.83521</c:v>
                </c:pt>
                <c:pt idx="82">
                  <c:v>2.8470800000000001</c:v>
                </c:pt>
                <c:pt idx="83">
                  <c:v>2.8574600000000001</c:v>
                </c:pt>
                <c:pt idx="84">
                  <c:v>2.8683900000000002</c:v>
                </c:pt>
                <c:pt idx="85">
                  <c:v>2.8786699999999996</c:v>
                </c:pt>
                <c:pt idx="86">
                  <c:v>2.8890900000000004</c:v>
                </c:pt>
                <c:pt idx="87">
                  <c:v>2.8995300000000004</c:v>
                </c:pt>
                <c:pt idx="88">
                  <c:v>2.9104799999999997</c:v>
                </c:pt>
                <c:pt idx="89">
                  <c:v>2.9224499999999995</c:v>
                </c:pt>
                <c:pt idx="90">
                  <c:v>2.9348200000000002</c:v>
                </c:pt>
                <c:pt idx="91">
                  <c:v>2.9455499999999999</c:v>
                </c:pt>
                <c:pt idx="92">
                  <c:v>2.9543699999999999</c:v>
                </c:pt>
                <c:pt idx="93">
                  <c:v>2.9612600000000002</c:v>
                </c:pt>
                <c:pt idx="94">
                  <c:v>2.9651000000000001</c:v>
                </c:pt>
                <c:pt idx="95">
                  <c:v>2.96469</c:v>
                </c:pt>
                <c:pt idx="96">
                  <c:v>2.9608800000000004</c:v>
                </c:pt>
                <c:pt idx="97">
                  <c:v>2.9537400000000003</c:v>
                </c:pt>
                <c:pt idx="98">
                  <c:v>2.9465500000000002</c:v>
                </c:pt>
                <c:pt idx="99">
                  <c:v>2.93811</c:v>
                </c:pt>
                <c:pt idx="100">
                  <c:v>2.9231600000000002</c:v>
                </c:pt>
                <c:pt idx="101">
                  <c:v>2.9078200000000001</c:v>
                </c:pt>
                <c:pt idx="102">
                  <c:v>2.8917799999999998</c:v>
                </c:pt>
                <c:pt idx="103">
                  <c:v>2.87486</c:v>
                </c:pt>
                <c:pt idx="104">
                  <c:v>2.8588999999999998</c:v>
                </c:pt>
                <c:pt idx="105">
                  <c:v>2.8436899999999996</c:v>
                </c:pt>
                <c:pt idx="106">
                  <c:v>2.8307799999999999</c:v>
                </c:pt>
                <c:pt idx="107">
                  <c:v>2.8176399999999999</c:v>
                </c:pt>
                <c:pt idx="108">
                  <c:v>2.80518</c:v>
                </c:pt>
                <c:pt idx="109">
                  <c:v>2.7898299999999998</c:v>
                </c:pt>
                <c:pt idx="110">
                  <c:v>2.7726600000000001</c:v>
                </c:pt>
                <c:pt idx="111">
                  <c:v>2.7539799999999999</c:v>
                </c:pt>
                <c:pt idx="112">
                  <c:v>2.73353</c:v>
                </c:pt>
                <c:pt idx="113">
                  <c:v>2.7099000000000002</c:v>
                </c:pt>
                <c:pt idx="114">
                  <c:v>2.6846900000000002</c:v>
                </c:pt>
                <c:pt idx="115">
                  <c:v>2.6585100000000002</c:v>
                </c:pt>
                <c:pt idx="116">
                  <c:v>2.63334</c:v>
                </c:pt>
                <c:pt idx="117">
                  <c:v>2.6060100000000004</c:v>
                </c:pt>
                <c:pt idx="118">
                  <c:v>2.5804899999999997</c:v>
                </c:pt>
                <c:pt idx="119">
                  <c:v>2.5611699999999997</c:v>
                </c:pt>
                <c:pt idx="120">
                  <c:v>2.5453799999999998</c:v>
                </c:pt>
                <c:pt idx="121">
                  <c:v>2.5335800000000002</c:v>
                </c:pt>
                <c:pt idx="122">
                  <c:v>2.5242800000000001</c:v>
                </c:pt>
                <c:pt idx="123">
                  <c:v>2.5160999999999998</c:v>
                </c:pt>
                <c:pt idx="124">
                  <c:v>2.5119399999999996</c:v>
                </c:pt>
                <c:pt idx="125">
                  <c:v>2.5118</c:v>
                </c:pt>
                <c:pt idx="126">
                  <c:v>2.5110000000000001</c:v>
                </c:pt>
                <c:pt idx="127">
                  <c:v>2.5099500000000003</c:v>
                </c:pt>
                <c:pt idx="128">
                  <c:v>2.5073299999999996</c:v>
                </c:pt>
                <c:pt idx="129">
                  <c:v>2.5020500000000001</c:v>
                </c:pt>
                <c:pt idx="130">
                  <c:v>2.4951400000000001</c:v>
                </c:pt>
                <c:pt idx="131">
                  <c:v>2.4860600000000002</c:v>
                </c:pt>
                <c:pt idx="132">
                  <c:v>2.4776699999999998</c:v>
                </c:pt>
                <c:pt idx="133">
                  <c:v>2.4676200000000001</c:v>
                </c:pt>
                <c:pt idx="134">
                  <c:v>2.4559600000000001</c:v>
                </c:pt>
                <c:pt idx="135">
                  <c:v>2.4442699999999999</c:v>
                </c:pt>
                <c:pt idx="136">
                  <c:v>2.43241</c:v>
                </c:pt>
                <c:pt idx="137">
                  <c:v>2.4203199999999998</c:v>
                </c:pt>
                <c:pt idx="138">
                  <c:v>2.41221</c:v>
                </c:pt>
                <c:pt idx="139">
                  <c:v>2.4047800000000001</c:v>
                </c:pt>
                <c:pt idx="140">
                  <c:v>2.39676</c:v>
                </c:pt>
                <c:pt idx="141">
                  <c:v>2.3917199999999998</c:v>
                </c:pt>
                <c:pt idx="142">
                  <c:v>2.4020199999999998</c:v>
                </c:pt>
                <c:pt idx="143">
                  <c:v>2.4198300000000001</c:v>
                </c:pt>
                <c:pt idx="144">
                  <c:v>2.4249100000000001</c:v>
                </c:pt>
                <c:pt idx="145">
                  <c:v>2.43058</c:v>
                </c:pt>
                <c:pt idx="146">
                  <c:v>2.4186000000000001</c:v>
                </c:pt>
                <c:pt idx="147">
                  <c:v>2.3929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57.410399999999996</c:v>
                </c:pt>
                <c:pt idx="1">
                  <c:v>56.966300000000004</c:v>
                </c:pt>
                <c:pt idx="2">
                  <c:v>56.535599999999995</c:v>
                </c:pt>
                <c:pt idx="3">
                  <c:v>56.100499999999997</c:v>
                </c:pt>
                <c:pt idx="4">
                  <c:v>55.6554</c:v>
                </c:pt>
                <c:pt idx="5">
                  <c:v>55.116699999999994</c:v>
                </c:pt>
                <c:pt idx="6">
                  <c:v>54.555699999999995</c:v>
                </c:pt>
                <c:pt idx="7">
                  <c:v>53.899600000000007</c:v>
                </c:pt>
                <c:pt idx="8">
                  <c:v>53.327300000000001</c:v>
                </c:pt>
                <c:pt idx="9">
                  <c:v>52.822899999999997</c:v>
                </c:pt>
                <c:pt idx="10">
                  <c:v>52.376500000000007</c:v>
                </c:pt>
                <c:pt idx="11">
                  <c:v>51.975000000000001</c:v>
                </c:pt>
                <c:pt idx="12">
                  <c:v>51.613799999999998</c:v>
                </c:pt>
                <c:pt idx="13">
                  <c:v>51.198600000000006</c:v>
                </c:pt>
                <c:pt idx="14">
                  <c:v>50.716000000000008</c:v>
                </c:pt>
                <c:pt idx="15">
                  <c:v>50.2196</c:v>
                </c:pt>
                <c:pt idx="16">
                  <c:v>49.710300000000004</c:v>
                </c:pt>
                <c:pt idx="17">
                  <c:v>49.191600000000001</c:v>
                </c:pt>
                <c:pt idx="18">
                  <c:v>48.732399999999998</c:v>
                </c:pt>
                <c:pt idx="19">
                  <c:v>48.314099999999996</c:v>
                </c:pt>
                <c:pt idx="20">
                  <c:v>47.960900000000002</c:v>
                </c:pt>
                <c:pt idx="21">
                  <c:v>47.613299999999995</c:v>
                </c:pt>
                <c:pt idx="22">
                  <c:v>47.249000000000002</c:v>
                </c:pt>
                <c:pt idx="23">
                  <c:v>46.851100000000002</c:v>
                </c:pt>
                <c:pt idx="24">
                  <c:v>46.432099999999998</c:v>
                </c:pt>
                <c:pt idx="25">
                  <c:v>46.042699999999996</c:v>
                </c:pt>
                <c:pt idx="26">
                  <c:v>45.683</c:v>
                </c:pt>
                <c:pt idx="27">
                  <c:v>45.383299999999998</c:v>
                </c:pt>
                <c:pt idx="28">
                  <c:v>45.118900000000004</c:v>
                </c:pt>
                <c:pt idx="29">
                  <c:v>44.828099999999999</c:v>
                </c:pt>
                <c:pt idx="30">
                  <c:v>44.565899999999999</c:v>
                </c:pt>
                <c:pt idx="31">
                  <c:v>44.301200000000001</c:v>
                </c:pt>
                <c:pt idx="32">
                  <c:v>44.128799999999998</c:v>
                </c:pt>
                <c:pt idx="33">
                  <c:v>43.993500000000004</c:v>
                </c:pt>
                <c:pt idx="34">
                  <c:v>43.8812</c:v>
                </c:pt>
                <c:pt idx="35">
                  <c:v>43.817999999999998</c:v>
                </c:pt>
                <c:pt idx="36">
                  <c:v>43.7789</c:v>
                </c:pt>
                <c:pt idx="37">
                  <c:v>43.788400000000003</c:v>
                </c:pt>
                <c:pt idx="38">
                  <c:v>43.877699999999997</c:v>
                </c:pt>
                <c:pt idx="39">
                  <c:v>44.034300000000002</c:v>
                </c:pt>
                <c:pt idx="40">
                  <c:v>44.269399999999997</c:v>
                </c:pt>
                <c:pt idx="41">
                  <c:v>44.520199999999996</c:v>
                </c:pt>
                <c:pt idx="42">
                  <c:v>44.660800000000002</c:v>
                </c:pt>
                <c:pt idx="43">
                  <c:v>44.771300000000004</c:v>
                </c:pt>
                <c:pt idx="44">
                  <c:v>44.846699999999998</c:v>
                </c:pt>
                <c:pt idx="45">
                  <c:v>44.9041</c:v>
                </c:pt>
                <c:pt idx="46">
                  <c:v>44.993100000000005</c:v>
                </c:pt>
                <c:pt idx="47">
                  <c:v>45.174700000000001</c:v>
                </c:pt>
                <c:pt idx="48">
                  <c:v>45.456899999999997</c:v>
                </c:pt>
                <c:pt idx="49">
                  <c:v>45.840199999999996</c:v>
                </c:pt>
                <c:pt idx="50">
                  <c:v>46.250999999999998</c:v>
                </c:pt>
                <c:pt idx="51">
                  <c:v>46.747599999999998</c:v>
                </c:pt>
                <c:pt idx="52">
                  <c:v>47.166400000000003</c:v>
                </c:pt>
                <c:pt idx="53">
                  <c:v>47.434100000000001</c:v>
                </c:pt>
                <c:pt idx="54">
                  <c:v>47.701700000000002</c:v>
                </c:pt>
                <c:pt idx="55">
                  <c:v>47.953899999999997</c:v>
                </c:pt>
                <c:pt idx="56">
                  <c:v>48.219899999999996</c:v>
                </c:pt>
                <c:pt idx="57">
                  <c:v>48.367199999999997</c:v>
                </c:pt>
                <c:pt idx="58">
                  <c:v>48.468499999999999</c:v>
                </c:pt>
                <c:pt idx="59">
                  <c:v>48.5441</c:v>
                </c:pt>
                <c:pt idx="60">
                  <c:v>48.529299999999999</c:v>
                </c:pt>
                <c:pt idx="61">
                  <c:v>48.485700000000001</c:v>
                </c:pt>
                <c:pt idx="62">
                  <c:v>48.486899999999999</c:v>
                </c:pt>
                <c:pt idx="63">
                  <c:v>48.332099999999997</c:v>
                </c:pt>
                <c:pt idx="64">
                  <c:v>48.146699999999996</c:v>
                </c:pt>
                <c:pt idx="65">
                  <c:v>47.8414</c:v>
                </c:pt>
                <c:pt idx="66">
                  <c:v>47.685200000000002</c:v>
                </c:pt>
                <c:pt idx="67">
                  <c:v>47.423000000000002</c:v>
                </c:pt>
                <c:pt idx="68">
                  <c:v>47.274300000000004</c:v>
                </c:pt>
                <c:pt idx="69">
                  <c:v>47.178599999999996</c:v>
                </c:pt>
                <c:pt idx="70">
                  <c:v>47.0184</c:v>
                </c:pt>
                <c:pt idx="71">
                  <c:v>46.827999999999996</c:v>
                </c:pt>
                <c:pt idx="72">
                  <c:v>46.770099999999999</c:v>
                </c:pt>
                <c:pt idx="73">
                  <c:v>46.3063</c:v>
                </c:pt>
                <c:pt idx="74">
                  <c:v>45.987499999999997</c:v>
                </c:pt>
                <c:pt idx="75">
                  <c:v>45.650800000000004</c:v>
                </c:pt>
                <c:pt idx="76">
                  <c:v>45.227800000000002</c:v>
                </c:pt>
                <c:pt idx="77">
                  <c:v>44.7742</c:v>
                </c:pt>
                <c:pt idx="78">
                  <c:v>44.222999999999999</c:v>
                </c:pt>
                <c:pt idx="79">
                  <c:v>43.614100000000001</c:v>
                </c:pt>
                <c:pt idx="80">
                  <c:v>43.001400000000004</c:v>
                </c:pt>
                <c:pt idx="81">
                  <c:v>42.444600000000001</c:v>
                </c:pt>
                <c:pt idx="82">
                  <c:v>41.948299999999996</c:v>
                </c:pt>
                <c:pt idx="83">
                  <c:v>41.4664</c:v>
                </c:pt>
                <c:pt idx="84">
                  <c:v>40.916999999999994</c:v>
                </c:pt>
                <c:pt idx="85">
                  <c:v>40.325499999999998</c:v>
                </c:pt>
                <c:pt idx="86">
                  <c:v>39.705500000000001</c:v>
                </c:pt>
                <c:pt idx="87">
                  <c:v>39.106900000000003</c:v>
                </c:pt>
                <c:pt idx="88">
                  <c:v>38.511800000000001</c:v>
                </c:pt>
                <c:pt idx="89">
                  <c:v>37.931699999999999</c:v>
                </c:pt>
                <c:pt idx="90">
                  <c:v>37.360599999999998</c:v>
                </c:pt>
                <c:pt idx="91">
                  <c:v>36.900300000000001</c:v>
                </c:pt>
                <c:pt idx="92">
                  <c:v>36.520899999999997</c:v>
                </c:pt>
                <c:pt idx="93">
                  <c:v>36.195699999999995</c:v>
                </c:pt>
                <c:pt idx="94">
                  <c:v>35.896999999999998</c:v>
                </c:pt>
                <c:pt idx="95">
                  <c:v>35.643700000000003</c:v>
                </c:pt>
                <c:pt idx="96">
                  <c:v>35.276499999999999</c:v>
                </c:pt>
                <c:pt idx="97">
                  <c:v>34.851500000000001</c:v>
                </c:pt>
                <c:pt idx="98">
                  <c:v>34.438400000000001</c:v>
                </c:pt>
                <c:pt idx="99">
                  <c:v>34.134700000000002</c:v>
                </c:pt>
                <c:pt idx="100">
                  <c:v>33.874900000000004</c:v>
                </c:pt>
                <c:pt idx="101">
                  <c:v>33.689099999999996</c:v>
                </c:pt>
                <c:pt idx="102">
                  <c:v>33.5321</c:v>
                </c:pt>
                <c:pt idx="103">
                  <c:v>33.526000000000003</c:v>
                </c:pt>
                <c:pt idx="104">
                  <c:v>33.681100000000001</c:v>
                </c:pt>
                <c:pt idx="105">
                  <c:v>33.825800000000001</c:v>
                </c:pt>
                <c:pt idx="106">
                  <c:v>33.926099999999998</c:v>
                </c:pt>
                <c:pt idx="107">
                  <c:v>34.075000000000003</c:v>
                </c:pt>
                <c:pt idx="108">
                  <c:v>34.1785</c:v>
                </c:pt>
                <c:pt idx="109">
                  <c:v>34.361399999999996</c:v>
                </c:pt>
                <c:pt idx="110">
                  <c:v>34.601999999999997</c:v>
                </c:pt>
                <c:pt idx="111">
                  <c:v>34.909600000000005</c:v>
                </c:pt>
                <c:pt idx="112">
                  <c:v>35.238599999999998</c:v>
                </c:pt>
                <c:pt idx="113">
                  <c:v>35.557600000000001</c:v>
                </c:pt>
                <c:pt idx="114">
                  <c:v>35.876100000000001</c:v>
                </c:pt>
                <c:pt idx="115">
                  <c:v>36.2179</c:v>
                </c:pt>
                <c:pt idx="116">
                  <c:v>36.5274</c:v>
                </c:pt>
                <c:pt idx="117">
                  <c:v>36.817100000000003</c:v>
                </c:pt>
                <c:pt idx="118">
                  <c:v>36.9741</c:v>
                </c:pt>
                <c:pt idx="119">
                  <c:v>36.8123</c:v>
                </c:pt>
                <c:pt idx="120">
                  <c:v>36.573</c:v>
                </c:pt>
                <c:pt idx="121">
                  <c:v>36.313099999999999</c:v>
                </c:pt>
                <c:pt idx="122">
                  <c:v>36.018999999999998</c:v>
                </c:pt>
                <c:pt idx="123">
                  <c:v>36.048900000000003</c:v>
                </c:pt>
                <c:pt idx="124">
                  <c:v>36.1646</c:v>
                </c:pt>
                <c:pt idx="125">
                  <c:v>36.140599999999999</c:v>
                </c:pt>
                <c:pt idx="126">
                  <c:v>36.084899999999998</c:v>
                </c:pt>
                <c:pt idx="127">
                  <c:v>36.031999999999996</c:v>
                </c:pt>
                <c:pt idx="128">
                  <c:v>35.908499999999997</c:v>
                </c:pt>
                <c:pt idx="129">
                  <c:v>35.682900000000004</c:v>
                </c:pt>
                <c:pt idx="130">
                  <c:v>35.474899999999998</c:v>
                </c:pt>
                <c:pt idx="131">
                  <c:v>35.302499999999995</c:v>
                </c:pt>
                <c:pt idx="132">
                  <c:v>34.965000000000003</c:v>
                </c:pt>
                <c:pt idx="133">
                  <c:v>34.670999999999999</c:v>
                </c:pt>
                <c:pt idx="134">
                  <c:v>34.3384</c:v>
                </c:pt>
                <c:pt idx="135">
                  <c:v>33.927</c:v>
                </c:pt>
                <c:pt idx="136">
                  <c:v>33.385399999999997</c:v>
                </c:pt>
                <c:pt idx="137">
                  <c:v>32.784300000000002</c:v>
                </c:pt>
                <c:pt idx="138">
                  <c:v>32.198599999999999</c:v>
                </c:pt>
                <c:pt idx="139">
                  <c:v>31.574999999999996</c:v>
                </c:pt>
                <c:pt idx="140">
                  <c:v>30.898999999999997</c:v>
                </c:pt>
                <c:pt idx="141">
                  <c:v>29.848500000000001</c:v>
                </c:pt>
                <c:pt idx="142">
                  <c:v>28.347499999999997</c:v>
                </c:pt>
                <c:pt idx="143">
                  <c:v>26.857300000000002</c:v>
                </c:pt>
                <c:pt idx="144">
                  <c:v>26.2118</c:v>
                </c:pt>
                <c:pt idx="145">
                  <c:v>25.173000000000002</c:v>
                </c:pt>
                <c:pt idx="146">
                  <c:v>24.6921</c:v>
                </c:pt>
                <c:pt idx="147">
                  <c:v>25.569500000000001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2.1335899999999999</c:v>
                </c:pt>
                <c:pt idx="1">
                  <c:v>2.2002099999999998</c:v>
                </c:pt>
                <c:pt idx="2">
                  <c:v>2.2634000000000003</c:v>
                </c:pt>
                <c:pt idx="3">
                  <c:v>2.3230999999999997</c:v>
                </c:pt>
                <c:pt idx="4">
                  <c:v>2.37914</c:v>
                </c:pt>
                <c:pt idx="5">
                  <c:v>2.4330400000000001</c:v>
                </c:pt>
                <c:pt idx="6">
                  <c:v>2.48447</c:v>
                </c:pt>
                <c:pt idx="7">
                  <c:v>2.5342099999999999</c:v>
                </c:pt>
                <c:pt idx="8">
                  <c:v>2.58168</c:v>
                </c:pt>
                <c:pt idx="9">
                  <c:v>2.6266099999999999</c:v>
                </c:pt>
                <c:pt idx="10">
                  <c:v>2.6699800000000002</c:v>
                </c:pt>
                <c:pt idx="11">
                  <c:v>2.7117200000000001</c:v>
                </c:pt>
                <c:pt idx="12">
                  <c:v>2.7518700000000003</c:v>
                </c:pt>
                <c:pt idx="13">
                  <c:v>2.7904900000000001</c:v>
                </c:pt>
                <c:pt idx="14">
                  <c:v>2.8279999999999998</c:v>
                </c:pt>
                <c:pt idx="15">
                  <c:v>2.8635000000000002</c:v>
                </c:pt>
                <c:pt idx="16">
                  <c:v>2.8931400000000003</c:v>
                </c:pt>
                <c:pt idx="17">
                  <c:v>2.91248</c:v>
                </c:pt>
                <c:pt idx="18">
                  <c:v>2.9266100000000002</c:v>
                </c:pt>
                <c:pt idx="19">
                  <c:v>2.9403299999999999</c:v>
                </c:pt>
                <c:pt idx="20">
                  <c:v>2.9507400000000001</c:v>
                </c:pt>
                <c:pt idx="21">
                  <c:v>2.9597199999999999</c:v>
                </c:pt>
                <c:pt idx="22">
                  <c:v>2.9681999999999995</c:v>
                </c:pt>
                <c:pt idx="23">
                  <c:v>2.9754100000000001</c:v>
                </c:pt>
                <c:pt idx="24">
                  <c:v>2.9805700000000002</c:v>
                </c:pt>
                <c:pt idx="25">
                  <c:v>2.9848599999999998</c:v>
                </c:pt>
                <c:pt idx="26">
                  <c:v>2.9862799999999998</c:v>
                </c:pt>
                <c:pt idx="27">
                  <c:v>2.9847000000000001</c:v>
                </c:pt>
                <c:pt idx="28">
                  <c:v>2.9787000000000003</c:v>
                </c:pt>
                <c:pt idx="29">
                  <c:v>2.9711100000000004</c:v>
                </c:pt>
                <c:pt idx="30">
                  <c:v>2.96041</c:v>
                </c:pt>
                <c:pt idx="31">
                  <c:v>2.9470299999999998</c:v>
                </c:pt>
                <c:pt idx="32">
                  <c:v>2.93221</c:v>
                </c:pt>
                <c:pt idx="33">
                  <c:v>2.91629</c:v>
                </c:pt>
                <c:pt idx="34">
                  <c:v>2.8992200000000001</c:v>
                </c:pt>
                <c:pt idx="35">
                  <c:v>2.8805900000000002</c:v>
                </c:pt>
                <c:pt idx="36">
                  <c:v>2.8607800000000001</c:v>
                </c:pt>
                <c:pt idx="37">
                  <c:v>2.84</c:v>
                </c:pt>
                <c:pt idx="38">
                  <c:v>2.8156999999999996</c:v>
                </c:pt>
                <c:pt idx="39">
                  <c:v>2.7877299999999998</c:v>
                </c:pt>
                <c:pt idx="40">
                  <c:v>2.7572700000000001</c:v>
                </c:pt>
                <c:pt idx="41">
                  <c:v>2.7269500000000004</c:v>
                </c:pt>
                <c:pt idx="42">
                  <c:v>2.6977699999999998</c:v>
                </c:pt>
                <c:pt idx="43">
                  <c:v>2.6698499999999998</c:v>
                </c:pt>
                <c:pt idx="44">
                  <c:v>2.6415499999999996</c:v>
                </c:pt>
                <c:pt idx="45">
                  <c:v>2.6155299999999997</c:v>
                </c:pt>
                <c:pt idx="46">
                  <c:v>2.59015</c:v>
                </c:pt>
                <c:pt idx="47">
                  <c:v>2.5649600000000001</c:v>
                </c:pt>
                <c:pt idx="48">
                  <c:v>2.53952</c:v>
                </c:pt>
                <c:pt idx="49">
                  <c:v>2.5140000000000002</c:v>
                </c:pt>
                <c:pt idx="50">
                  <c:v>2.4910700000000001</c:v>
                </c:pt>
                <c:pt idx="51">
                  <c:v>2.4690300000000001</c:v>
                </c:pt>
                <c:pt idx="52">
                  <c:v>2.4510800000000001</c:v>
                </c:pt>
                <c:pt idx="53">
                  <c:v>2.4414899999999999</c:v>
                </c:pt>
                <c:pt idx="54">
                  <c:v>2.4346899999999998</c:v>
                </c:pt>
                <c:pt idx="55">
                  <c:v>2.43032</c:v>
                </c:pt>
                <c:pt idx="56">
                  <c:v>2.4315899999999999</c:v>
                </c:pt>
                <c:pt idx="57">
                  <c:v>2.42754</c:v>
                </c:pt>
                <c:pt idx="58">
                  <c:v>2.4295400000000003</c:v>
                </c:pt>
                <c:pt idx="59">
                  <c:v>2.4335899999999997</c:v>
                </c:pt>
                <c:pt idx="60">
                  <c:v>2.4413199999999997</c:v>
                </c:pt>
                <c:pt idx="61">
                  <c:v>2.4569000000000001</c:v>
                </c:pt>
                <c:pt idx="62">
                  <c:v>2.4602499999999998</c:v>
                </c:pt>
                <c:pt idx="63">
                  <c:v>2.47322</c:v>
                </c:pt>
                <c:pt idx="64">
                  <c:v>2.48766</c:v>
                </c:pt>
                <c:pt idx="65">
                  <c:v>2.50922</c:v>
                </c:pt>
                <c:pt idx="66">
                  <c:v>2.52142</c:v>
                </c:pt>
                <c:pt idx="67">
                  <c:v>2.5476900000000002</c:v>
                </c:pt>
                <c:pt idx="68">
                  <c:v>2.5695099999999997</c:v>
                </c:pt>
                <c:pt idx="69">
                  <c:v>2.5920399999999999</c:v>
                </c:pt>
                <c:pt idx="70">
                  <c:v>2.61511</c:v>
                </c:pt>
                <c:pt idx="71">
                  <c:v>2.63801</c:v>
                </c:pt>
                <c:pt idx="72">
                  <c:v>2.6557599999999999</c:v>
                </c:pt>
                <c:pt idx="73">
                  <c:v>2.6834200000000004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57.410399999999996</c:v>
                </c:pt>
                <c:pt idx="1">
                  <c:v>56.966300000000004</c:v>
                </c:pt>
                <c:pt idx="2">
                  <c:v>56.535599999999995</c:v>
                </c:pt>
                <c:pt idx="3">
                  <c:v>56.100499999999997</c:v>
                </c:pt>
                <c:pt idx="4">
                  <c:v>55.6554</c:v>
                </c:pt>
                <c:pt idx="5">
                  <c:v>55.116699999999994</c:v>
                </c:pt>
                <c:pt idx="6">
                  <c:v>54.555699999999995</c:v>
                </c:pt>
                <c:pt idx="7">
                  <c:v>53.899600000000007</c:v>
                </c:pt>
                <c:pt idx="8">
                  <c:v>53.327300000000001</c:v>
                </c:pt>
                <c:pt idx="9">
                  <c:v>52.822899999999997</c:v>
                </c:pt>
                <c:pt idx="10">
                  <c:v>52.376500000000007</c:v>
                </c:pt>
                <c:pt idx="11">
                  <c:v>51.975000000000001</c:v>
                </c:pt>
                <c:pt idx="12">
                  <c:v>51.613799999999998</c:v>
                </c:pt>
                <c:pt idx="13">
                  <c:v>51.198600000000006</c:v>
                </c:pt>
                <c:pt idx="14">
                  <c:v>50.716000000000008</c:v>
                </c:pt>
                <c:pt idx="15">
                  <c:v>50.2196</c:v>
                </c:pt>
                <c:pt idx="16">
                  <c:v>49.710300000000004</c:v>
                </c:pt>
                <c:pt idx="17">
                  <c:v>49.191600000000001</c:v>
                </c:pt>
                <c:pt idx="18">
                  <c:v>48.732399999999998</c:v>
                </c:pt>
                <c:pt idx="19">
                  <c:v>48.314099999999996</c:v>
                </c:pt>
                <c:pt idx="20">
                  <c:v>47.960900000000002</c:v>
                </c:pt>
                <c:pt idx="21">
                  <c:v>47.613299999999995</c:v>
                </c:pt>
                <c:pt idx="22">
                  <c:v>47.249000000000002</c:v>
                </c:pt>
                <c:pt idx="23">
                  <c:v>46.851100000000002</c:v>
                </c:pt>
                <c:pt idx="24">
                  <c:v>46.432099999999998</c:v>
                </c:pt>
                <c:pt idx="25">
                  <c:v>46.042699999999996</c:v>
                </c:pt>
                <c:pt idx="26">
                  <c:v>45.683</c:v>
                </c:pt>
                <c:pt idx="27">
                  <c:v>45.383299999999998</c:v>
                </c:pt>
                <c:pt idx="28">
                  <c:v>45.118900000000004</c:v>
                </c:pt>
                <c:pt idx="29">
                  <c:v>44.828099999999999</c:v>
                </c:pt>
                <c:pt idx="30">
                  <c:v>44.565899999999999</c:v>
                </c:pt>
                <c:pt idx="31">
                  <c:v>44.301200000000001</c:v>
                </c:pt>
                <c:pt idx="32">
                  <c:v>44.128799999999998</c:v>
                </c:pt>
                <c:pt idx="33">
                  <c:v>43.993500000000004</c:v>
                </c:pt>
                <c:pt idx="34">
                  <c:v>43.8812</c:v>
                </c:pt>
                <c:pt idx="35">
                  <c:v>43.817999999999998</c:v>
                </c:pt>
                <c:pt idx="36">
                  <c:v>43.7789</c:v>
                </c:pt>
                <c:pt idx="37">
                  <c:v>43.788400000000003</c:v>
                </c:pt>
                <c:pt idx="38">
                  <c:v>43.877699999999997</c:v>
                </c:pt>
                <c:pt idx="39">
                  <c:v>44.034300000000002</c:v>
                </c:pt>
                <c:pt idx="40">
                  <c:v>44.269399999999997</c:v>
                </c:pt>
                <c:pt idx="41">
                  <c:v>44.520199999999996</c:v>
                </c:pt>
                <c:pt idx="42">
                  <c:v>44.660800000000002</c:v>
                </c:pt>
                <c:pt idx="43">
                  <c:v>44.771300000000004</c:v>
                </c:pt>
                <c:pt idx="44">
                  <c:v>44.846699999999998</c:v>
                </c:pt>
                <c:pt idx="45">
                  <c:v>44.9041</c:v>
                </c:pt>
                <c:pt idx="46">
                  <c:v>44.993100000000005</c:v>
                </c:pt>
                <c:pt idx="47">
                  <c:v>45.174700000000001</c:v>
                </c:pt>
                <c:pt idx="48">
                  <c:v>45.456899999999997</c:v>
                </c:pt>
                <c:pt idx="49">
                  <c:v>45.840199999999996</c:v>
                </c:pt>
                <c:pt idx="50">
                  <c:v>46.250999999999998</c:v>
                </c:pt>
                <c:pt idx="51">
                  <c:v>46.747599999999998</c:v>
                </c:pt>
                <c:pt idx="52">
                  <c:v>47.166400000000003</c:v>
                </c:pt>
                <c:pt idx="53">
                  <c:v>47.434100000000001</c:v>
                </c:pt>
                <c:pt idx="54">
                  <c:v>47.701700000000002</c:v>
                </c:pt>
                <c:pt idx="55">
                  <c:v>47.953899999999997</c:v>
                </c:pt>
                <c:pt idx="56">
                  <c:v>48.219899999999996</c:v>
                </c:pt>
                <c:pt idx="57">
                  <c:v>48.367199999999997</c:v>
                </c:pt>
                <c:pt idx="58">
                  <c:v>48.468499999999999</c:v>
                </c:pt>
                <c:pt idx="59">
                  <c:v>48.5441</c:v>
                </c:pt>
                <c:pt idx="60">
                  <c:v>48.529299999999999</c:v>
                </c:pt>
                <c:pt idx="61">
                  <c:v>48.485700000000001</c:v>
                </c:pt>
                <c:pt idx="62">
                  <c:v>48.486899999999999</c:v>
                </c:pt>
                <c:pt idx="63">
                  <c:v>48.332099999999997</c:v>
                </c:pt>
                <c:pt idx="64">
                  <c:v>48.146699999999996</c:v>
                </c:pt>
                <c:pt idx="65">
                  <c:v>47.8414</c:v>
                </c:pt>
                <c:pt idx="66">
                  <c:v>47.685200000000002</c:v>
                </c:pt>
                <c:pt idx="67">
                  <c:v>47.423000000000002</c:v>
                </c:pt>
                <c:pt idx="68">
                  <c:v>47.274300000000004</c:v>
                </c:pt>
                <c:pt idx="69">
                  <c:v>47.178599999999996</c:v>
                </c:pt>
                <c:pt idx="70">
                  <c:v>47.0184</c:v>
                </c:pt>
                <c:pt idx="71">
                  <c:v>46.827999999999996</c:v>
                </c:pt>
                <c:pt idx="72">
                  <c:v>46.770099999999999</c:v>
                </c:pt>
                <c:pt idx="73">
                  <c:v>46.3063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2.6834200000000004</c:v>
                </c:pt>
                <c:pt idx="1">
                  <c:v>2.7056799999999996</c:v>
                </c:pt>
                <c:pt idx="2">
                  <c:v>2.7263999999999999</c:v>
                </c:pt>
                <c:pt idx="3">
                  <c:v>2.7465099999999998</c:v>
                </c:pt>
                <c:pt idx="4">
                  <c:v>2.7652999999999999</c:v>
                </c:pt>
                <c:pt idx="5">
                  <c:v>2.7837200000000002</c:v>
                </c:pt>
                <c:pt idx="6">
                  <c:v>2.8019600000000002</c:v>
                </c:pt>
                <c:pt idx="7">
                  <c:v>2.8193400000000004</c:v>
                </c:pt>
                <c:pt idx="8">
                  <c:v>2.83521</c:v>
                </c:pt>
                <c:pt idx="9">
                  <c:v>2.8470800000000001</c:v>
                </c:pt>
                <c:pt idx="10">
                  <c:v>2.8574600000000001</c:v>
                </c:pt>
                <c:pt idx="11">
                  <c:v>2.8683900000000002</c:v>
                </c:pt>
                <c:pt idx="12">
                  <c:v>2.8786699999999996</c:v>
                </c:pt>
                <c:pt idx="13">
                  <c:v>2.8890900000000004</c:v>
                </c:pt>
                <c:pt idx="14">
                  <c:v>2.8995300000000004</c:v>
                </c:pt>
                <c:pt idx="15">
                  <c:v>2.9104799999999997</c:v>
                </c:pt>
                <c:pt idx="16">
                  <c:v>2.9224499999999995</c:v>
                </c:pt>
                <c:pt idx="17">
                  <c:v>2.9348200000000002</c:v>
                </c:pt>
                <c:pt idx="18">
                  <c:v>2.9455499999999999</c:v>
                </c:pt>
                <c:pt idx="19">
                  <c:v>2.9543699999999999</c:v>
                </c:pt>
                <c:pt idx="20">
                  <c:v>2.9612600000000002</c:v>
                </c:pt>
                <c:pt idx="21">
                  <c:v>2.9651000000000001</c:v>
                </c:pt>
                <c:pt idx="22">
                  <c:v>2.96469</c:v>
                </c:pt>
                <c:pt idx="23">
                  <c:v>2.9608800000000004</c:v>
                </c:pt>
                <c:pt idx="24">
                  <c:v>2.9537400000000003</c:v>
                </c:pt>
                <c:pt idx="25">
                  <c:v>2.9465500000000002</c:v>
                </c:pt>
                <c:pt idx="26">
                  <c:v>2.93811</c:v>
                </c:pt>
                <c:pt idx="27">
                  <c:v>2.9231600000000002</c:v>
                </c:pt>
                <c:pt idx="28">
                  <c:v>2.9078200000000001</c:v>
                </c:pt>
                <c:pt idx="29">
                  <c:v>2.8917799999999998</c:v>
                </c:pt>
                <c:pt idx="30">
                  <c:v>2.87486</c:v>
                </c:pt>
                <c:pt idx="31">
                  <c:v>2.8588999999999998</c:v>
                </c:pt>
                <c:pt idx="32">
                  <c:v>2.8436899999999996</c:v>
                </c:pt>
                <c:pt idx="33">
                  <c:v>2.8307799999999999</c:v>
                </c:pt>
                <c:pt idx="34">
                  <c:v>2.8176399999999999</c:v>
                </c:pt>
                <c:pt idx="35">
                  <c:v>2.80518</c:v>
                </c:pt>
                <c:pt idx="36">
                  <c:v>2.7898299999999998</c:v>
                </c:pt>
                <c:pt idx="37">
                  <c:v>2.7726600000000001</c:v>
                </c:pt>
                <c:pt idx="38">
                  <c:v>2.7539799999999999</c:v>
                </c:pt>
                <c:pt idx="39">
                  <c:v>2.73353</c:v>
                </c:pt>
                <c:pt idx="40">
                  <c:v>2.7099000000000002</c:v>
                </c:pt>
                <c:pt idx="41">
                  <c:v>2.6846900000000002</c:v>
                </c:pt>
                <c:pt idx="42">
                  <c:v>2.6585100000000002</c:v>
                </c:pt>
                <c:pt idx="43">
                  <c:v>2.63334</c:v>
                </c:pt>
                <c:pt idx="44">
                  <c:v>2.6060100000000004</c:v>
                </c:pt>
                <c:pt idx="45">
                  <c:v>2.5804899999999997</c:v>
                </c:pt>
                <c:pt idx="46">
                  <c:v>2.5611699999999997</c:v>
                </c:pt>
                <c:pt idx="47">
                  <c:v>2.5453799999999998</c:v>
                </c:pt>
                <c:pt idx="48">
                  <c:v>2.5335800000000002</c:v>
                </c:pt>
                <c:pt idx="49">
                  <c:v>2.5242800000000001</c:v>
                </c:pt>
                <c:pt idx="50">
                  <c:v>2.5160999999999998</c:v>
                </c:pt>
                <c:pt idx="51">
                  <c:v>2.5119399999999996</c:v>
                </c:pt>
                <c:pt idx="52">
                  <c:v>2.5118</c:v>
                </c:pt>
                <c:pt idx="53">
                  <c:v>2.5110000000000001</c:v>
                </c:pt>
                <c:pt idx="54">
                  <c:v>2.5099500000000003</c:v>
                </c:pt>
                <c:pt idx="55">
                  <c:v>2.5073299999999996</c:v>
                </c:pt>
                <c:pt idx="56">
                  <c:v>2.5020500000000001</c:v>
                </c:pt>
                <c:pt idx="57">
                  <c:v>2.4951400000000001</c:v>
                </c:pt>
                <c:pt idx="58">
                  <c:v>2.4860600000000002</c:v>
                </c:pt>
                <c:pt idx="59">
                  <c:v>2.4776699999999998</c:v>
                </c:pt>
                <c:pt idx="60">
                  <c:v>2.4676200000000001</c:v>
                </c:pt>
                <c:pt idx="61">
                  <c:v>2.4559600000000001</c:v>
                </c:pt>
                <c:pt idx="62">
                  <c:v>2.4442699999999999</c:v>
                </c:pt>
                <c:pt idx="63">
                  <c:v>2.43241</c:v>
                </c:pt>
                <c:pt idx="64">
                  <c:v>2.4203199999999998</c:v>
                </c:pt>
                <c:pt idx="65">
                  <c:v>2.41221</c:v>
                </c:pt>
                <c:pt idx="66">
                  <c:v>2.4047800000000001</c:v>
                </c:pt>
                <c:pt idx="67">
                  <c:v>2.39676</c:v>
                </c:pt>
                <c:pt idx="68">
                  <c:v>2.3917199999999998</c:v>
                </c:pt>
                <c:pt idx="69">
                  <c:v>2.4020199999999998</c:v>
                </c:pt>
                <c:pt idx="70">
                  <c:v>2.4198300000000001</c:v>
                </c:pt>
                <c:pt idx="71">
                  <c:v>2.4249100000000001</c:v>
                </c:pt>
                <c:pt idx="72">
                  <c:v>2.43058</c:v>
                </c:pt>
                <c:pt idx="73">
                  <c:v>2.4186000000000001</c:v>
                </c:pt>
                <c:pt idx="74">
                  <c:v>2.3929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46.3063</c:v>
                </c:pt>
                <c:pt idx="1">
                  <c:v>45.987499999999997</c:v>
                </c:pt>
                <c:pt idx="2">
                  <c:v>45.650800000000004</c:v>
                </c:pt>
                <c:pt idx="3">
                  <c:v>45.227800000000002</c:v>
                </c:pt>
                <c:pt idx="4">
                  <c:v>44.7742</c:v>
                </c:pt>
                <c:pt idx="5">
                  <c:v>44.222999999999999</c:v>
                </c:pt>
                <c:pt idx="6">
                  <c:v>43.614100000000001</c:v>
                </c:pt>
                <c:pt idx="7">
                  <c:v>43.001400000000004</c:v>
                </c:pt>
                <c:pt idx="8">
                  <c:v>42.444600000000001</c:v>
                </c:pt>
                <c:pt idx="9">
                  <c:v>41.948299999999996</c:v>
                </c:pt>
                <c:pt idx="10">
                  <c:v>41.4664</c:v>
                </c:pt>
                <c:pt idx="11">
                  <c:v>40.916999999999994</c:v>
                </c:pt>
                <c:pt idx="12">
                  <c:v>40.325499999999998</c:v>
                </c:pt>
                <c:pt idx="13">
                  <c:v>39.705500000000001</c:v>
                </c:pt>
                <c:pt idx="14">
                  <c:v>39.106900000000003</c:v>
                </c:pt>
                <c:pt idx="15">
                  <c:v>38.511800000000001</c:v>
                </c:pt>
                <c:pt idx="16">
                  <c:v>37.931699999999999</c:v>
                </c:pt>
                <c:pt idx="17">
                  <c:v>37.360599999999998</c:v>
                </c:pt>
                <c:pt idx="18">
                  <c:v>36.900300000000001</c:v>
                </c:pt>
                <c:pt idx="19">
                  <c:v>36.520899999999997</c:v>
                </c:pt>
                <c:pt idx="20">
                  <c:v>36.195699999999995</c:v>
                </c:pt>
                <c:pt idx="21">
                  <c:v>35.896999999999998</c:v>
                </c:pt>
                <c:pt idx="22">
                  <c:v>35.643700000000003</c:v>
                </c:pt>
                <c:pt idx="23">
                  <c:v>35.276499999999999</c:v>
                </c:pt>
                <c:pt idx="24">
                  <c:v>34.851500000000001</c:v>
                </c:pt>
                <c:pt idx="25">
                  <c:v>34.438400000000001</c:v>
                </c:pt>
                <c:pt idx="26">
                  <c:v>34.134700000000002</c:v>
                </c:pt>
                <c:pt idx="27">
                  <c:v>33.874900000000004</c:v>
                </c:pt>
                <c:pt idx="28">
                  <c:v>33.689099999999996</c:v>
                </c:pt>
                <c:pt idx="29">
                  <c:v>33.5321</c:v>
                </c:pt>
                <c:pt idx="30">
                  <c:v>33.526000000000003</c:v>
                </c:pt>
                <c:pt idx="31">
                  <c:v>33.681100000000001</c:v>
                </c:pt>
                <c:pt idx="32">
                  <c:v>33.825800000000001</c:v>
                </c:pt>
                <c:pt idx="33">
                  <c:v>33.926099999999998</c:v>
                </c:pt>
                <c:pt idx="34">
                  <c:v>34.075000000000003</c:v>
                </c:pt>
                <c:pt idx="35">
                  <c:v>34.1785</c:v>
                </c:pt>
                <c:pt idx="36">
                  <c:v>34.361399999999996</c:v>
                </c:pt>
                <c:pt idx="37">
                  <c:v>34.601999999999997</c:v>
                </c:pt>
                <c:pt idx="38">
                  <c:v>34.909600000000005</c:v>
                </c:pt>
                <c:pt idx="39">
                  <c:v>35.238599999999998</c:v>
                </c:pt>
                <c:pt idx="40">
                  <c:v>35.557600000000001</c:v>
                </c:pt>
                <c:pt idx="41">
                  <c:v>35.876100000000001</c:v>
                </c:pt>
                <c:pt idx="42">
                  <c:v>36.2179</c:v>
                </c:pt>
                <c:pt idx="43">
                  <c:v>36.5274</c:v>
                </c:pt>
                <c:pt idx="44">
                  <c:v>36.817100000000003</c:v>
                </c:pt>
                <c:pt idx="45">
                  <c:v>36.9741</c:v>
                </c:pt>
                <c:pt idx="46">
                  <c:v>36.8123</c:v>
                </c:pt>
                <c:pt idx="47">
                  <c:v>36.573</c:v>
                </c:pt>
                <c:pt idx="48">
                  <c:v>36.313099999999999</c:v>
                </c:pt>
                <c:pt idx="49">
                  <c:v>36.018999999999998</c:v>
                </c:pt>
                <c:pt idx="50">
                  <c:v>36.048900000000003</c:v>
                </c:pt>
                <c:pt idx="51">
                  <c:v>36.1646</c:v>
                </c:pt>
                <c:pt idx="52">
                  <c:v>36.140599999999999</c:v>
                </c:pt>
                <c:pt idx="53">
                  <c:v>36.084899999999998</c:v>
                </c:pt>
                <c:pt idx="54">
                  <c:v>36.031999999999996</c:v>
                </c:pt>
                <c:pt idx="55">
                  <c:v>35.908499999999997</c:v>
                </c:pt>
                <c:pt idx="56">
                  <c:v>35.682900000000004</c:v>
                </c:pt>
                <c:pt idx="57">
                  <c:v>35.474899999999998</c:v>
                </c:pt>
                <c:pt idx="58">
                  <c:v>35.302499999999995</c:v>
                </c:pt>
                <c:pt idx="59">
                  <c:v>34.965000000000003</c:v>
                </c:pt>
                <c:pt idx="60">
                  <c:v>34.670999999999999</c:v>
                </c:pt>
                <c:pt idx="61">
                  <c:v>34.3384</c:v>
                </c:pt>
                <c:pt idx="62">
                  <c:v>33.927</c:v>
                </c:pt>
                <c:pt idx="63">
                  <c:v>33.385399999999997</c:v>
                </c:pt>
                <c:pt idx="64">
                  <c:v>32.784300000000002</c:v>
                </c:pt>
                <c:pt idx="65">
                  <c:v>32.198599999999999</c:v>
                </c:pt>
                <c:pt idx="66">
                  <c:v>31.574999999999996</c:v>
                </c:pt>
                <c:pt idx="67">
                  <c:v>30.898999999999997</c:v>
                </c:pt>
                <c:pt idx="68">
                  <c:v>29.848500000000001</c:v>
                </c:pt>
                <c:pt idx="69">
                  <c:v>28.347499999999997</c:v>
                </c:pt>
                <c:pt idx="70">
                  <c:v>26.857300000000002</c:v>
                </c:pt>
                <c:pt idx="71">
                  <c:v>26.2118</c:v>
                </c:pt>
                <c:pt idx="72">
                  <c:v>25.173000000000002</c:v>
                </c:pt>
                <c:pt idx="73">
                  <c:v>24.6921</c:v>
                </c:pt>
                <c:pt idx="74">
                  <c:v>25.569500000000001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2.1335899999999999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57.410399999999996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2.6653627027027027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48.004951351351338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2.6887490540540537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35.776308108108111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2.6887490540540537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35.776308108108111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topLeftCell="A5" zoomScaleNormal="100" workbookViewId="0">
      <selection activeCell="C5" sqref="C5:F5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9.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569</v>
      </c>
      <c r="D5" s="191"/>
      <c r="E5" s="191"/>
      <c r="F5" s="192"/>
      <c r="G5" s="48" t="str">
        <f>lang!B27</f>
        <v>编号</v>
      </c>
      <c r="H5" s="190">
        <v>7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568</v>
      </c>
      <c r="D6" s="145"/>
      <c r="E6" s="145"/>
      <c r="F6" s="146"/>
      <c r="G6" s="49" t="str">
        <f>lang!B28</f>
        <v xml:space="preserve"> 日期</v>
      </c>
      <c r="H6" s="129">
        <f>FH_info!A2</f>
        <v>43605.700555555559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27</v>
      </c>
      <c r="D7" s="148"/>
      <c r="E7" s="148"/>
      <c r="F7" s="149"/>
      <c r="G7" s="50" t="str">
        <f>lang!B29</f>
        <v>误差率（%）</v>
      </c>
      <c r="H7" s="132">
        <f>M!B17*1</f>
        <v>21.897099999999998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34.341900000000003</v>
      </c>
      <c r="O8" s="59">
        <f>M!C5*1</f>
        <v>6.8984899999999998</v>
      </c>
      <c r="P8" s="59">
        <f>M!D5*1</f>
        <v>20.087700000000002</v>
      </c>
      <c r="Q8" s="59">
        <f>M!E5*1</f>
        <v>20</v>
      </c>
      <c r="R8" s="59">
        <f>M!F5*1</f>
        <v>11.723699999999999</v>
      </c>
      <c r="S8" s="59">
        <f>M!G5*1</f>
        <v>50</v>
      </c>
      <c r="T8" s="59">
        <f>M!H5*1</f>
        <v>46.065899999999999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25.342400000000001</v>
      </c>
      <c r="O9" s="59">
        <f>M!C6*1</f>
        <v>3.9234</v>
      </c>
      <c r="P9" s="59">
        <f>M!D6*1</f>
        <v>15.4815</v>
      </c>
      <c r="Q9" s="59">
        <f>M!E6*1</f>
        <v>20</v>
      </c>
      <c r="R9" s="59">
        <f>M!F6*1</f>
        <v>21.746300000000002</v>
      </c>
      <c r="S9" s="59">
        <f>M!G6*1</f>
        <v>40</v>
      </c>
      <c r="T9" s="59">
        <f>M!H6*1</f>
        <v>37.984200000000001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11.723699999999999</v>
      </c>
      <c r="D10" s="99">
        <f>N8</f>
        <v>34.341900000000003</v>
      </c>
      <c r="E10" s="100">
        <f>T8</f>
        <v>46.065899999999999</v>
      </c>
      <c r="F10" s="91">
        <f>P8</f>
        <v>20.087700000000002</v>
      </c>
      <c r="G10" s="81" t="str">
        <f>CONCATENATE(M9,"
(20 ~ 40)")</f>
        <v>压力
(20 ~ 40)</v>
      </c>
      <c r="H10" s="98">
        <f>R9</f>
        <v>21.746300000000002</v>
      </c>
      <c r="I10" s="108">
        <f>N9</f>
        <v>25.342400000000001</v>
      </c>
      <c r="J10" s="98">
        <f>T9</f>
        <v>37.984200000000001</v>
      </c>
      <c r="K10" s="92">
        <f>P9</f>
        <v>15.4815</v>
      </c>
      <c r="L10" s="6"/>
      <c r="M10" s="27" t="str">
        <f>lang!B16</f>
        <v>焦虑</v>
      </c>
      <c r="N10" s="59">
        <f>M!B7*1</f>
        <v>23.811199999999999</v>
      </c>
      <c r="O10" s="59">
        <f>M!C7*1</f>
        <v>11.601800000000001</v>
      </c>
      <c r="P10" s="59">
        <f>M!D7*1</f>
        <v>48.7239</v>
      </c>
      <c r="Q10" s="59">
        <f>M!E7*1</f>
        <v>15</v>
      </c>
      <c r="R10" s="59">
        <f>M!F7*1</f>
        <v>3.74749</v>
      </c>
      <c r="S10" s="59">
        <f>M!G7*1</f>
        <v>40</v>
      </c>
      <c r="T10" s="59">
        <f>M!H7*1</f>
        <v>49.985199999999999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3.74749</v>
      </c>
      <c r="D11" s="102">
        <f>N10</f>
        <v>23.811199999999999</v>
      </c>
      <c r="E11" s="103">
        <f>T10</f>
        <v>49.985199999999999</v>
      </c>
      <c r="F11" s="94">
        <f>P10</f>
        <v>48.7239</v>
      </c>
      <c r="G11" s="52" t="str">
        <f>CONCATENATE(M11,"
(20 ~ 50)")</f>
        <v>可疑
(20 ~ 50)</v>
      </c>
      <c r="H11" s="101">
        <f>R11</f>
        <v>19.553000000000001</v>
      </c>
      <c r="I11" s="104">
        <f>N11</f>
        <v>29.0062</v>
      </c>
      <c r="J11" s="101">
        <f>T11</f>
        <v>38.140599999999999</v>
      </c>
      <c r="K11" s="95">
        <f>P11</f>
        <v>17.081099999999999</v>
      </c>
      <c r="L11" s="4"/>
      <c r="M11" s="27" t="str">
        <f>lang!B17</f>
        <v>可疑</v>
      </c>
      <c r="N11" s="59">
        <f>M!B8*1</f>
        <v>29.0062</v>
      </c>
      <c r="O11" s="59">
        <f>M!C8*1</f>
        <v>4.9545700000000004</v>
      </c>
      <c r="P11" s="59">
        <f>M!D8*1</f>
        <v>17.081099999999999</v>
      </c>
      <c r="Q11" s="59">
        <f>M!E8*1</f>
        <v>20</v>
      </c>
      <c r="R11" s="59">
        <f>M!F8*1</f>
        <v>19.553000000000001</v>
      </c>
      <c r="S11" s="59">
        <f>M!G8*1</f>
        <v>50</v>
      </c>
      <c r="T11" s="59">
        <f>M!H8*1</f>
        <v>38.140599999999999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28.561</v>
      </c>
      <c r="D12" s="104">
        <f>N12</f>
        <v>60.419199999999996</v>
      </c>
      <c r="E12" s="101">
        <f>T12</f>
        <v>84.428399999999996</v>
      </c>
      <c r="F12" s="93">
        <f>P12</f>
        <v>16.563800000000001</v>
      </c>
      <c r="G12" s="52" t="str">
        <f>CONCATENATE(M13,"
(40 ~ 100)")</f>
        <v>自信
(40 ~ 100)</v>
      </c>
      <c r="H12" s="101">
        <f>R13</f>
        <v>68.862799999999993</v>
      </c>
      <c r="I12" s="104">
        <f>N13</f>
        <v>79.739199999999997</v>
      </c>
      <c r="J12" s="101">
        <f>T13</f>
        <v>85.009200000000007</v>
      </c>
      <c r="K12" s="95">
        <f>P13</f>
        <v>5.0459899999999998</v>
      </c>
      <c r="L12" s="4"/>
      <c r="M12" s="27" t="str">
        <f>lang!B18</f>
        <v>平衡</v>
      </c>
      <c r="N12" s="59">
        <f>M!B9*1</f>
        <v>60.419199999999996</v>
      </c>
      <c r="O12" s="59">
        <f>M!C9*1</f>
        <v>10.0077</v>
      </c>
      <c r="P12" s="59">
        <f>M!D9*1</f>
        <v>16.563800000000001</v>
      </c>
      <c r="Q12" s="59">
        <f>M!E9*1</f>
        <v>50</v>
      </c>
      <c r="R12" s="59">
        <f>M!F9*1</f>
        <v>28.561</v>
      </c>
      <c r="S12" s="59">
        <f>M!G9*1</f>
        <v>100</v>
      </c>
      <c r="T12" s="59">
        <f>M!H9*1</f>
        <v>84.428399999999996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6.6634599999999997</v>
      </c>
      <c r="D13" s="102">
        <f>N14</f>
        <v>15.9495</v>
      </c>
      <c r="E13" s="103">
        <f>T14</f>
        <v>20.4254</v>
      </c>
      <c r="F13" s="94">
        <f>P14</f>
        <v>18.083600000000001</v>
      </c>
      <c r="G13" s="52" t="str">
        <f>CONCATENATE(M15,"
(50 ~ 100)")</f>
        <v>自我调节
(50 ~ 100)</v>
      </c>
      <c r="H13" s="101">
        <f>R15</f>
        <v>49.0411</v>
      </c>
      <c r="I13" s="104">
        <f>N15</f>
        <v>71.023700000000005</v>
      </c>
      <c r="J13" s="101">
        <f>T15</f>
        <v>80.183800000000005</v>
      </c>
      <c r="K13" s="95">
        <f>P15</f>
        <v>8.0150900000000007</v>
      </c>
      <c r="L13" s="4"/>
      <c r="M13" s="27" t="str">
        <f>lang!B19</f>
        <v>自信</v>
      </c>
      <c r="N13" s="59">
        <f>M!B10*1</f>
        <v>79.739199999999997</v>
      </c>
      <c r="O13" s="59">
        <f>M!C10*1</f>
        <v>4.0236299999999998</v>
      </c>
      <c r="P13" s="59">
        <f>M!D10*1</f>
        <v>5.0459899999999998</v>
      </c>
      <c r="Q13" s="59">
        <f>M!E10*1</f>
        <v>40</v>
      </c>
      <c r="R13" s="59">
        <f>M!F10*1</f>
        <v>68.862799999999993</v>
      </c>
      <c r="S13" s="59">
        <f>M!G10*1</f>
        <v>100</v>
      </c>
      <c r="T13" s="59">
        <f>M!H10*1</f>
        <v>85.009200000000007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12.0174</v>
      </c>
      <c r="D14" s="106">
        <f>N16</f>
        <v>16.6889</v>
      </c>
      <c r="E14" s="107">
        <f>T16</f>
        <v>36.8658</v>
      </c>
      <c r="F14" s="96">
        <f>P16</f>
        <v>25.5244</v>
      </c>
      <c r="G14" s="112" t="str">
        <f>CONCATENATE(M17,"
(10 ~ 50)")</f>
        <v>神经质
(10 ~ 50)</v>
      </c>
      <c r="H14" s="105">
        <f>R17</f>
        <v>0.355437</v>
      </c>
      <c r="I14" s="106">
        <f>N17</f>
        <v>42.597200000000001</v>
      </c>
      <c r="J14" s="107">
        <f>T17</f>
        <v>54.719099999999997</v>
      </c>
      <c r="K14" s="97">
        <f>P17</f>
        <v>44.363999999999997</v>
      </c>
      <c r="M14" s="27" t="str">
        <f>lang!B20</f>
        <v>活力</v>
      </c>
      <c r="N14" s="59">
        <f>M!B11*1</f>
        <v>15.9495</v>
      </c>
      <c r="O14" s="59">
        <f>M!C11*1</f>
        <v>2.8842400000000001</v>
      </c>
      <c r="P14" s="59">
        <f>M!D11*1</f>
        <v>18.083600000000001</v>
      </c>
      <c r="Q14" s="59">
        <f>M!E11*1</f>
        <v>10</v>
      </c>
      <c r="R14" s="59">
        <f>M!F11*1</f>
        <v>6.6634599999999997</v>
      </c>
      <c r="S14" s="59">
        <f>M!G11*1</f>
        <v>50</v>
      </c>
      <c r="T14" s="59">
        <f>M!H11*1</f>
        <v>20.4254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71.023700000000005</v>
      </c>
      <c r="O15" s="59">
        <f>M!C12*1</f>
        <v>5.6926100000000002</v>
      </c>
      <c r="P15" s="59">
        <f>M!D12*1</f>
        <v>8.0150900000000007</v>
      </c>
      <c r="Q15" s="59">
        <f>M!E12*1</f>
        <v>50</v>
      </c>
      <c r="R15" s="59">
        <f>M!F12*1</f>
        <v>49.0411</v>
      </c>
      <c r="S15" s="59">
        <f>M!G12*1</f>
        <v>100</v>
      </c>
      <c r="T15" s="59">
        <f>M!H12*1</f>
        <v>80.183800000000005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16.6889</v>
      </c>
      <c r="O16" s="59">
        <f>M!C13*1</f>
        <v>4.2597199999999997</v>
      </c>
      <c r="P16" s="59">
        <f>M!D13*1</f>
        <v>25.5244</v>
      </c>
      <c r="Q16" s="59">
        <f>M!E13*1</f>
        <v>10</v>
      </c>
      <c r="R16" s="59">
        <f>M!F13*1</f>
        <v>12.0174</v>
      </c>
      <c r="S16" s="59">
        <f>M!G13*1</f>
        <v>25</v>
      </c>
      <c r="T16" s="59">
        <f>M!H13*1</f>
        <v>36.8658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42.597200000000001</v>
      </c>
      <c r="O17" s="59">
        <f>M!C14*1</f>
        <v>18.8978</v>
      </c>
      <c r="P17" s="59">
        <f>M!D14*1</f>
        <v>44.363999999999997</v>
      </c>
      <c r="Q17" s="59">
        <f>M!E14*1</f>
        <v>10</v>
      </c>
      <c r="R17" s="59">
        <f>M!F14*1</f>
        <v>0.355437</v>
      </c>
      <c r="S17" s="59">
        <f>M!G14*1</f>
        <v>50</v>
      </c>
      <c r="T17" s="59">
        <f>M!H14*1</f>
        <v>54.719099999999997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56.782899999999998</v>
      </c>
      <c r="O18" s="22">
        <f>N18/(N18+N19+N20)</f>
        <v>0.49569810925447205</v>
      </c>
      <c r="P18" s="65">
        <f>SUM(P12:P15)/4</f>
        <v>11.92712</v>
      </c>
      <c r="Q18" s="22">
        <f>P18/(P18+P19+P20)</f>
        <v>0.16516155190752269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28.125425</v>
      </c>
      <c r="O19" s="22">
        <f>N19/(N18+N19+N20)</f>
        <v>0.2455267341836796</v>
      </c>
      <c r="P19" s="18">
        <f>SUM(P8:P11)/4</f>
        <v>25.34355</v>
      </c>
      <c r="Q19" s="22">
        <f>P19/(P18+P19+P20)</f>
        <v>0.35094641865311127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29.643050000000002</v>
      </c>
      <c r="O20" s="22">
        <f>N20/(N18+N19+N20)</f>
        <v>0.25877515656184835</v>
      </c>
      <c r="P20" s="18">
        <f>(P16+P17)/2</f>
        <v>34.944199999999995</v>
      </c>
      <c r="Q20" s="22">
        <f>P20/(P18+P19+P20)</f>
        <v>0.48389202943936616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-0.12462506756756736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1.3107815926816264</v>
      </c>
      <c r="D25" s="44" t="str">
        <f>lang!B11</f>
        <v>频率方差</v>
      </c>
      <c r="E25" s="182">
        <f ca="1">FH!L3</f>
        <v>0.57014188255917031</v>
      </c>
      <c r="F25" s="183"/>
      <c r="G25" s="174" t="str">
        <f>lang!B12</f>
        <v>生理变化率</v>
      </c>
      <c r="H25" s="175"/>
      <c r="I25" s="62" t="str">
        <f ca="1">CONCATENATE(info!M7,"-",info!M8)</f>
        <v>24.7-57.4</v>
      </c>
      <c r="J25" s="42" t="str">
        <f>lang!B13</f>
        <v>千卡l/分钟</v>
      </c>
      <c r="K25" s="41" t="str">
        <f ca="1">CONCATENATE(info!M5,"-",info!M6)</f>
        <v>2.1-3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58.992400000000004</v>
      </c>
      <c r="F28" s="121"/>
      <c r="G28" s="135" t="str">
        <f>lang!B33</f>
        <v>稳定性</v>
      </c>
      <c r="H28" s="136"/>
      <c r="I28" s="137"/>
      <c r="J28" s="138">
        <f>M!B19*100</f>
        <v>68.994699999999995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43605.700555555559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6.2402000000000015</v>
      </c>
      <c r="O7" s="59">
        <f t="shared" ref="O7:T7" si="2">AG7-X7</f>
        <v>-1.84267</v>
      </c>
      <c r="P7" s="59">
        <f t="shared" si="2"/>
        <v>-8.1547999999999998</v>
      </c>
      <c r="Q7" s="59">
        <f t="shared" si="2"/>
        <v>0</v>
      </c>
      <c r="R7" s="59">
        <f t="shared" si="2"/>
        <v>17.416200000000003</v>
      </c>
      <c r="S7" s="59">
        <f t="shared" si="2"/>
        <v>0</v>
      </c>
      <c r="T7" s="59">
        <f t="shared" si="2"/>
        <v>5.6067999999999998</v>
      </c>
      <c r="U7" s="14"/>
      <c r="V7" s="27" t="str">
        <f>M7</f>
        <v>攻击性</v>
      </c>
      <c r="W7" s="59">
        <f>'M1'!B5*1</f>
        <v>31.427700000000002</v>
      </c>
      <c r="X7" s="59">
        <f>'M1'!C5*1</f>
        <v>6.1901299999999999</v>
      </c>
      <c r="Y7" s="59">
        <f>'M1'!D5*1</f>
        <v>19.696400000000001</v>
      </c>
      <c r="Z7" s="59">
        <f>'M1'!E5*1</f>
        <v>20</v>
      </c>
      <c r="AA7" s="59">
        <f>'M1'!F5*1</f>
        <v>11.723699999999999</v>
      </c>
      <c r="AB7" s="59">
        <f>'M1'!G5*1</f>
        <v>50</v>
      </c>
      <c r="AC7" s="59">
        <f>'M1'!H5*1</f>
        <v>40.459099999999999</v>
      </c>
      <c r="AE7" s="27" t="str">
        <f>V7</f>
        <v>攻击性</v>
      </c>
      <c r="AF7" s="59">
        <f>'M2'!B5*1</f>
        <v>37.667900000000003</v>
      </c>
      <c r="AG7" s="59">
        <f>'M2'!C5*1</f>
        <v>4.3474599999999999</v>
      </c>
      <c r="AH7" s="59">
        <f>'M2'!D5*1</f>
        <v>11.541600000000001</v>
      </c>
      <c r="AI7" s="59">
        <f>'M2'!E5*1</f>
        <v>20</v>
      </c>
      <c r="AJ7" s="59">
        <f>'M2'!F5*1</f>
        <v>29.139900000000001</v>
      </c>
      <c r="AK7" s="59">
        <f>'M2'!G5*1</f>
        <v>50</v>
      </c>
      <c r="AL7" s="59">
        <f>'M2'!H5*1</f>
        <v>46.065899999999999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5.8311999999999991</v>
      </c>
      <c r="O8" s="59">
        <f t="shared" ref="O8:O16" si="5">AG8-X8</f>
        <v>2.1989100000000001</v>
      </c>
      <c r="P8" s="59">
        <f t="shared" ref="P8:P16" si="6">AH8-Y8</f>
        <v>6.2768700000000006</v>
      </c>
      <c r="Q8" s="59">
        <f t="shared" ref="Q8:Q16" si="7">AI8-Z8</f>
        <v>0</v>
      </c>
      <c r="R8" s="59">
        <f t="shared" ref="R8:R16" si="8">AJ8-AA8</f>
        <v>1.8225999999999978</v>
      </c>
      <c r="S8" s="59">
        <f t="shared" ref="S8:S16" si="9">AK8-AB8</f>
        <v>0</v>
      </c>
      <c r="T8" s="59">
        <f t="shared" ref="T8:T16" si="10">AL8-AC8</f>
        <v>9.0370000000000026</v>
      </c>
      <c r="U8" s="15"/>
      <c r="V8" s="27" t="str">
        <f t="shared" ref="V8:V16" si="11">M8</f>
        <v>压力</v>
      </c>
      <c r="W8" s="59">
        <f>'M1'!B6*1</f>
        <v>23.845400000000001</v>
      </c>
      <c r="X8" s="59">
        <f>'M1'!C6*1</f>
        <v>1.3746499999999999</v>
      </c>
      <c r="Y8" s="59">
        <f>'M1'!D6*1</f>
        <v>5.7648299999999999</v>
      </c>
      <c r="Z8" s="59">
        <f>'M1'!E6*1</f>
        <v>20</v>
      </c>
      <c r="AA8" s="59">
        <f>'M1'!F6*1</f>
        <v>21.746300000000002</v>
      </c>
      <c r="AB8" s="59">
        <f>'M1'!G6*1</f>
        <v>40</v>
      </c>
      <c r="AC8" s="59">
        <f>'M1'!H6*1</f>
        <v>28.947199999999999</v>
      </c>
      <c r="AE8" s="27" t="str">
        <f t="shared" ref="AE8:AE16" si="12">V8</f>
        <v>压力</v>
      </c>
      <c r="AF8" s="59">
        <f>'M2'!B6*1</f>
        <v>29.676600000000001</v>
      </c>
      <c r="AG8" s="59">
        <f>'M2'!C6*1</f>
        <v>3.5735600000000001</v>
      </c>
      <c r="AH8" s="59">
        <f>'M2'!D6*1</f>
        <v>12.041700000000001</v>
      </c>
      <c r="AI8" s="59">
        <f>'M2'!E6*1</f>
        <v>20</v>
      </c>
      <c r="AJ8" s="59">
        <f>'M2'!F6*1</f>
        <v>23.568899999999999</v>
      </c>
      <c r="AK8" s="59">
        <f>'M2'!G6*1</f>
        <v>40</v>
      </c>
      <c r="AL8" s="59">
        <f>'M2'!H6*1</f>
        <v>37.984200000000001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17.416200000000003</v>
      </c>
      <c r="D9" s="78">
        <f>N7</f>
        <v>6.2402000000000015</v>
      </c>
      <c r="E9" s="79">
        <f>T7</f>
        <v>5.6067999999999998</v>
      </c>
      <c r="F9" s="79">
        <f>P7</f>
        <v>-8.1547999999999998</v>
      </c>
      <c r="G9" s="80" t="str">
        <f>CONCATENATE(M8,"
(20 ~ 40)")</f>
        <v>压力
(20 ~ 40)</v>
      </c>
      <c r="H9" s="77">
        <f>R8</f>
        <v>1.8225999999999978</v>
      </c>
      <c r="I9" s="81">
        <f>N8</f>
        <v>5.8311999999999991</v>
      </c>
      <c r="J9" s="77">
        <f>T8</f>
        <v>9.0370000000000026</v>
      </c>
      <c r="K9" s="82">
        <f>P8</f>
        <v>6.2768700000000006</v>
      </c>
      <c r="L9" s="6"/>
      <c r="M9" s="27" t="str">
        <f>lang!B16</f>
        <v>焦虑</v>
      </c>
      <c r="N9" s="59">
        <f t="shared" si="4"/>
        <v>-0.62140000000000128</v>
      </c>
      <c r="O9" s="59">
        <f t="shared" si="5"/>
        <v>-3.2874400000000001</v>
      </c>
      <c r="P9" s="59">
        <f t="shared" si="6"/>
        <v>-12.575299999999999</v>
      </c>
      <c r="Q9" s="59">
        <f t="shared" si="7"/>
        <v>0</v>
      </c>
      <c r="R9" s="59">
        <f t="shared" si="8"/>
        <v>0.39261000000000035</v>
      </c>
      <c r="S9" s="59">
        <f t="shared" si="9"/>
        <v>0</v>
      </c>
      <c r="T9" s="59">
        <f t="shared" si="10"/>
        <v>-0.26270000000000238</v>
      </c>
      <c r="U9" s="14"/>
      <c r="V9" s="27" t="str">
        <f t="shared" si="11"/>
        <v>焦虑</v>
      </c>
      <c r="W9" s="59">
        <f>'M1'!B7*1</f>
        <v>24.069700000000001</v>
      </c>
      <c r="X9" s="59">
        <f>'M1'!C7*1</f>
        <v>13.1204</v>
      </c>
      <c r="Y9" s="59">
        <f>'M1'!D7*1</f>
        <v>54.51</v>
      </c>
      <c r="Z9" s="59">
        <f>'M1'!E7*1</f>
        <v>15</v>
      </c>
      <c r="AA9" s="59">
        <f>'M1'!F7*1</f>
        <v>3.74749</v>
      </c>
      <c r="AB9" s="59">
        <f>'M1'!G7*1</f>
        <v>40</v>
      </c>
      <c r="AC9" s="59">
        <f>'M1'!H7*1</f>
        <v>49.985199999999999</v>
      </c>
      <c r="AE9" s="27" t="str">
        <f t="shared" si="12"/>
        <v>焦虑</v>
      </c>
      <c r="AF9" s="59">
        <f>'M2'!B7*1</f>
        <v>23.4483</v>
      </c>
      <c r="AG9" s="59">
        <f>'M2'!C7*1</f>
        <v>9.8329599999999999</v>
      </c>
      <c r="AH9" s="59">
        <f>'M2'!D7*1</f>
        <v>41.934699999999999</v>
      </c>
      <c r="AI9" s="59">
        <f>'M2'!E7*1</f>
        <v>15</v>
      </c>
      <c r="AJ9" s="59">
        <f>'M2'!F7*1</f>
        <v>4.1401000000000003</v>
      </c>
      <c r="AK9" s="59">
        <f>'M2'!G7*1</f>
        <v>40</v>
      </c>
      <c r="AL9" s="59">
        <f>'M2'!H7*1</f>
        <v>49.722499999999997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0.39261000000000035</v>
      </c>
      <c r="D10" s="51">
        <f>N9</f>
        <v>-0.62140000000000128</v>
      </c>
      <c r="E10" s="53">
        <f>T9</f>
        <v>-0.26270000000000238</v>
      </c>
      <c r="F10" s="53">
        <f>P9</f>
        <v>-12.575299999999999</v>
      </c>
      <c r="G10" s="73" t="str">
        <f>CONCATENATE(M10,"
(20 ~ 50)")</f>
        <v>可疑
(20 ~ 50)</v>
      </c>
      <c r="H10" s="24">
        <f>R10</f>
        <v>9.9099999999999966E-2</v>
      </c>
      <c r="I10" s="52">
        <f>N10</f>
        <v>3.8428000000000004</v>
      </c>
      <c r="J10" s="24">
        <f>T10</f>
        <v>6.4671999999999983</v>
      </c>
      <c r="K10" s="25">
        <f>P10</f>
        <v>4.6270999999999987</v>
      </c>
      <c r="L10" s="4"/>
      <c r="M10" s="27" t="str">
        <f>lang!B17</f>
        <v>可疑</v>
      </c>
      <c r="N10" s="59">
        <f t="shared" si="4"/>
        <v>3.8428000000000004</v>
      </c>
      <c r="O10" s="59">
        <f t="shared" si="5"/>
        <v>1.8983300000000005</v>
      </c>
      <c r="P10" s="59">
        <f t="shared" si="6"/>
        <v>4.6270999999999987</v>
      </c>
      <c r="Q10" s="59">
        <f t="shared" si="7"/>
        <v>0</v>
      </c>
      <c r="R10" s="59">
        <f t="shared" si="8"/>
        <v>9.9099999999999966E-2</v>
      </c>
      <c r="S10" s="59">
        <f t="shared" si="9"/>
        <v>0</v>
      </c>
      <c r="T10" s="59">
        <f t="shared" si="10"/>
        <v>6.4671999999999983</v>
      </c>
      <c r="U10" s="14"/>
      <c r="V10" s="27" t="str">
        <f t="shared" si="11"/>
        <v>可疑</v>
      </c>
      <c r="W10" s="59">
        <f>'M1'!B8*1</f>
        <v>27.066199999999998</v>
      </c>
      <c r="X10" s="59">
        <f>'M1'!C8*1</f>
        <v>3.2970199999999998</v>
      </c>
      <c r="Y10" s="59">
        <f>'M1'!D8*1</f>
        <v>12.1814</v>
      </c>
      <c r="Z10" s="59">
        <f>'M1'!E8*1</f>
        <v>20</v>
      </c>
      <c r="AA10" s="59">
        <f>'M1'!F8*1</f>
        <v>19.553000000000001</v>
      </c>
      <c r="AB10" s="59">
        <f>'M1'!G8*1</f>
        <v>50</v>
      </c>
      <c r="AC10" s="59">
        <f>'M1'!H8*1</f>
        <v>31.673400000000001</v>
      </c>
      <c r="AE10" s="27" t="str">
        <f t="shared" si="12"/>
        <v>可疑</v>
      </c>
      <c r="AF10" s="59">
        <f>'M2'!B8*1</f>
        <v>30.908999999999999</v>
      </c>
      <c r="AG10" s="59">
        <f>'M2'!C8*1</f>
        <v>5.1953500000000004</v>
      </c>
      <c r="AH10" s="59">
        <f>'M2'!D8*1</f>
        <v>16.808499999999999</v>
      </c>
      <c r="AI10" s="59">
        <f>'M2'!E8*1</f>
        <v>20</v>
      </c>
      <c r="AJ10" s="59">
        <f>'M2'!F8*1</f>
        <v>19.652100000000001</v>
      </c>
      <c r="AK10" s="59">
        <f>'M2'!G8*1</f>
        <v>50</v>
      </c>
      <c r="AL10" s="59">
        <f>'M2'!H8*1</f>
        <v>38.140599999999999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-27.451599999999999</v>
      </c>
      <c r="D11" s="52">
        <f>N11</f>
        <v>-11.012400000000007</v>
      </c>
      <c r="E11" s="24">
        <f>T11</f>
        <v>-20.037499999999994</v>
      </c>
      <c r="F11" s="24">
        <f>P11</f>
        <v>1.7695000000000007</v>
      </c>
      <c r="G11" s="73" t="str">
        <f>CONCATENATE(M12,"
(40 ~ 100)")</f>
        <v>自信
(40 ~ 100)</v>
      </c>
      <c r="H11" s="24">
        <f>R12</f>
        <v>-2.5000000000005684E-2</v>
      </c>
      <c r="I11" s="52">
        <f>N12</f>
        <v>-1.819199999999995</v>
      </c>
      <c r="J11" s="24">
        <f>T12</f>
        <v>-0.73560000000000514</v>
      </c>
      <c r="K11" s="25">
        <f>P12</f>
        <v>1.1587000000000005</v>
      </c>
      <c r="L11" s="4"/>
      <c r="M11" s="27" t="str">
        <f>lang!B18</f>
        <v>平衡</v>
      </c>
      <c r="N11" s="59">
        <f t="shared" si="4"/>
        <v>-11.012400000000007</v>
      </c>
      <c r="O11" s="59">
        <f t="shared" si="5"/>
        <v>-0.24617999999999984</v>
      </c>
      <c r="P11" s="59">
        <f t="shared" si="6"/>
        <v>1.7695000000000007</v>
      </c>
      <c r="Q11" s="59">
        <f t="shared" si="7"/>
        <v>0</v>
      </c>
      <c r="R11" s="59">
        <f t="shared" si="8"/>
        <v>-27.451599999999999</v>
      </c>
      <c r="S11" s="59">
        <f t="shared" si="9"/>
        <v>0</v>
      </c>
      <c r="T11" s="59">
        <f t="shared" si="10"/>
        <v>-20.037499999999994</v>
      </c>
      <c r="U11" s="14"/>
      <c r="V11" s="27" t="str">
        <f t="shared" si="11"/>
        <v>平衡</v>
      </c>
      <c r="W11" s="59">
        <f>'M1'!B9*1</f>
        <v>67.516400000000004</v>
      </c>
      <c r="X11" s="59">
        <f>'M1'!C9*1</f>
        <v>7.6393599999999999</v>
      </c>
      <c r="Y11" s="59">
        <f>'M1'!D9*1</f>
        <v>11.3148</v>
      </c>
      <c r="Z11" s="59">
        <f>'M1'!E9*1</f>
        <v>50</v>
      </c>
      <c r="AA11" s="59">
        <f>'M1'!F9*1</f>
        <v>56.012599999999999</v>
      </c>
      <c r="AB11" s="59">
        <f>'M1'!G9*1</f>
        <v>100</v>
      </c>
      <c r="AC11" s="59">
        <f>'M1'!H9*1</f>
        <v>84.428399999999996</v>
      </c>
      <c r="AE11" s="27" t="str">
        <f t="shared" si="12"/>
        <v>平衡</v>
      </c>
      <c r="AF11" s="59">
        <f>'M2'!B9*1</f>
        <v>56.503999999999998</v>
      </c>
      <c r="AG11" s="59">
        <f>'M2'!C9*1</f>
        <v>7.3931800000000001</v>
      </c>
      <c r="AH11" s="59">
        <f>'M2'!D9*1</f>
        <v>13.084300000000001</v>
      </c>
      <c r="AI11" s="59">
        <f>'M2'!E9*1</f>
        <v>50</v>
      </c>
      <c r="AJ11" s="59">
        <f>'M2'!F9*1</f>
        <v>28.561</v>
      </c>
      <c r="AK11" s="59">
        <f>'M2'!G9*1</f>
        <v>100</v>
      </c>
      <c r="AL11" s="59">
        <f>'M2'!H9*1</f>
        <v>64.390900000000002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2.3441000000000001</v>
      </c>
      <c r="D12" s="51">
        <f>N13</f>
        <v>-8.5699999999999221E-2</v>
      </c>
      <c r="E12" s="53">
        <f>T13</f>
        <v>-3.0001999999999995</v>
      </c>
      <c r="F12" s="53">
        <f>P13</f>
        <v>-6.6731000000000016</v>
      </c>
      <c r="G12" s="73" t="str">
        <f>CONCATENATE(M14,"
(50 ~ 100)")</f>
        <v>自我调节
(50 ~ 100)</v>
      </c>
      <c r="H12" s="24">
        <f>R14</f>
        <v>-18.341700000000003</v>
      </c>
      <c r="I12" s="52">
        <f>N14</f>
        <v>-6.1167999999999978</v>
      </c>
      <c r="J12" s="24">
        <f>T14</f>
        <v>-6.1925000000000097</v>
      </c>
      <c r="K12" s="25">
        <f>P14</f>
        <v>4.1627600000000005</v>
      </c>
      <c r="L12" s="4"/>
      <c r="M12" s="27" t="str">
        <f>lang!B19</f>
        <v>自信</v>
      </c>
      <c r="N12" s="59">
        <f t="shared" si="4"/>
        <v>-1.819199999999995</v>
      </c>
      <c r="O12" s="59">
        <f t="shared" si="5"/>
        <v>0.8424400000000003</v>
      </c>
      <c r="P12" s="59">
        <f t="shared" si="6"/>
        <v>1.1587000000000005</v>
      </c>
      <c r="Q12" s="59">
        <f t="shared" si="7"/>
        <v>0</v>
      </c>
      <c r="R12" s="59">
        <f t="shared" si="8"/>
        <v>-2.5000000000005684E-2</v>
      </c>
      <c r="S12" s="59">
        <f t="shared" si="9"/>
        <v>0</v>
      </c>
      <c r="T12" s="59">
        <f t="shared" si="10"/>
        <v>-0.73560000000000514</v>
      </c>
      <c r="U12" s="15"/>
      <c r="V12" s="27" t="str">
        <f t="shared" si="11"/>
        <v>自信</v>
      </c>
      <c r="W12" s="59">
        <f>'M1'!B10*1</f>
        <v>81.227099999999993</v>
      </c>
      <c r="X12" s="59">
        <f>'M1'!C10*1</f>
        <v>3.46705</v>
      </c>
      <c r="Y12" s="59">
        <f>'M1'!D10*1</f>
        <v>4.2683299999999997</v>
      </c>
      <c r="Z12" s="59">
        <f>'M1'!E10*1</f>
        <v>40</v>
      </c>
      <c r="AA12" s="59">
        <f>'M1'!F10*1</f>
        <v>68.887799999999999</v>
      </c>
      <c r="AB12" s="59">
        <f>'M1'!G10*1</f>
        <v>100</v>
      </c>
      <c r="AC12" s="59">
        <f>'M1'!H10*1</f>
        <v>85.009200000000007</v>
      </c>
      <c r="AE12" s="27" t="str">
        <f t="shared" si="12"/>
        <v>自信</v>
      </c>
      <c r="AF12" s="59">
        <f>'M2'!B10*1</f>
        <v>79.407899999999998</v>
      </c>
      <c r="AG12" s="59">
        <f>'M2'!C10*1</f>
        <v>4.3094900000000003</v>
      </c>
      <c r="AH12" s="59">
        <f>'M2'!D10*1</f>
        <v>5.4270300000000002</v>
      </c>
      <c r="AI12" s="59">
        <f>'M2'!E10*1</f>
        <v>40</v>
      </c>
      <c r="AJ12" s="59">
        <f>'M2'!F10*1</f>
        <v>68.862799999999993</v>
      </c>
      <c r="AK12" s="59">
        <f>'M2'!G10*1</f>
        <v>100</v>
      </c>
      <c r="AL12" s="59">
        <f>'M2'!H10*1</f>
        <v>84.273600000000002</v>
      </c>
    </row>
    <row r="13" spans="2:38" ht="25.5" customHeight="1" thickBot="1">
      <c r="B13" s="72" t="str">
        <f>CONCATENATE(M15,"
(10 ~ 25)")</f>
        <v>抑郁
(10 ~ 25)</v>
      </c>
      <c r="C13" s="54">
        <f>R15</f>
        <v>-0.36589999999999989</v>
      </c>
      <c r="D13" s="55">
        <f>N15</f>
        <v>-3.4676000000000009</v>
      </c>
      <c r="E13" s="56">
        <f>T15</f>
        <v>-12.347999999999999</v>
      </c>
      <c r="F13" s="56">
        <f>P15</f>
        <v>-9.9638999999999989</v>
      </c>
      <c r="G13" s="74" t="str">
        <f>CONCATENATE(M16,"
(10 ~ 50)")</f>
        <v>神经质
(10 ~ 50)</v>
      </c>
      <c r="H13" s="54">
        <f>R16</f>
        <v>2.4868430000000004</v>
      </c>
      <c r="I13" s="55">
        <f>N16</f>
        <v>-24.648399999999999</v>
      </c>
      <c r="J13" s="56">
        <f>T16</f>
        <v>-4.3436999999999983</v>
      </c>
      <c r="K13" s="57">
        <f>P16</f>
        <v>36.202499999999993</v>
      </c>
      <c r="M13" s="27" t="str">
        <f>lang!B20</f>
        <v>活力</v>
      </c>
      <c r="N13" s="59">
        <f t="shared" si="4"/>
        <v>-8.5699999999999221E-2</v>
      </c>
      <c r="O13" s="59">
        <f t="shared" si="5"/>
        <v>-1.0814600000000003</v>
      </c>
      <c r="P13" s="59">
        <f t="shared" si="6"/>
        <v>-6.6731000000000016</v>
      </c>
      <c r="Q13" s="59">
        <f t="shared" si="7"/>
        <v>0</v>
      </c>
      <c r="R13" s="59">
        <f t="shared" si="8"/>
        <v>2.3441000000000001</v>
      </c>
      <c r="S13" s="59">
        <f t="shared" si="9"/>
        <v>0</v>
      </c>
      <c r="T13" s="59">
        <f t="shared" si="10"/>
        <v>-3.0001999999999995</v>
      </c>
      <c r="U13" s="14"/>
      <c r="V13" s="27" t="str">
        <f t="shared" si="11"/>
        <v>活力</v>
      </c>
      <c r="W13" s="59">
        <f>'M1'!B11*1</f>
        <v>16.023399999999999</v>
      </c>
      <c r="X13" s="59">
        <f>'M1'!C11*1</f>
        <v>3.3516300000000001</v>
      </c>
      <c r="Y13" s="59">
        <f>'M1'!D11*1</f>
        <v>20.917100000000001</v>
      </c>
      <c r="Z13" s="59">
        <f>'M1'!E11*1</f>
        <v>10</v>
      </c>
      <c r="AA13" s="59">
        <f>'M1'!F11*1</f>
        <v>6.6634599999999997</v>
      </c>
      <c r="AB13" s="59">
        <f>'M1'!G11*1</f>
        <v>50</v>
      </c>
      <c r="AC13" s="59">
        <f>'M1'!H11*1</f>
        <v>20.4254</v>
      </c>
      <c r="AE13" s="27" t="str">
        <f t="shared" si="12"/>
        <v>活力</v>
      </c>
      <c r="AF13" s="59">
        <f>'M2'!B11*1</f>
        <v>15.9377</v>
      </c>
      <c r="AG13" s="59">
        <f>'M2'!C11*1</f>
        <v>2.2701699999999998</v>
      </c>
      <c r="AH13" s="59">
        <f>'M2'!D11*1</f>
        <v>14.244</v>
      </c>
      <c r="AI13" s="59">
        <f>'M2'!E11*1</f>
        <v>10</v>
      </c>
      <c r="AJ13" s="59">
        <f>'M2'!F11*1</f>
        <v>9.0075599999999998</v>
      </c>
      <c r="AK13" s="59">
        <f>'M2'!G11*1</f>
        <v>50</v>
      </c>
      <c r="AL13" s="59">
        <f>'M2'!H11*1</f>
        <v>17.4252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-6.1167999999999978</v>
      </c>
      <c r="O14" s="59">
        <f t="shared" si="5"/>
        <v>2.6008</v>
      </c>
      <c r="P14" s="59">
        <f t="shared" si="6"/>
        <v>4.1627600000000005</v>
      </c>
      <c r="Q14" s="59">
        <f t="shared" si="7"/>
        <v>0</v>
      </c>
      <c r="R14" s="59">
        <f t="shared" si="8"/>
        <v>-18.341700000000003</v>
      </c>
      <c r="S14" s="59">
        <f t="shared" si="9"/>
        <v>0</v>
      </c>
      <c r="T14" s="59">
        <f t="shared" si="10"/>
        <v>-6.1925000000000097</v>
      </c>
      <c r="U14" s="14"/>
      <c r="V14" s="27" t="str">
        <f t="shared" si="11"/>
        <v>自我调节</v>
      </c>
      <c r="W14" s="59">
        <f>'M1'!B12*1</f>
        <v>74.059600000000003</v>
      </c>
      <c r="X14" s="59">
        <f>'M1'!C12*1</f>
        <v>2.7545199999999999</v>
      </c>
      <c r="Y14" s="59">
        <f>'M1'!D12*1</f>
        <v>3.7193299999999998</v>
      </c>
      <c r="Z14" s="59">
        <f>'M1'!E12*1</f>
        <v>50</v>
      </c>
      <c r="AA14" s="59">
        <f>'M1'!F12*1</f>
        <v>67.382800000000003</v>
      </c>
      <c r="AB14" s="59">
        <f>'M1'!G12*1</f>
        <v>100</v>
      </c>
      <c r="AC14" s="59">
        <f>'M1'!H12*1</f>
        <v>80.183800000000005</v>
      </c>
      <c r="AE14" s="27" t="str">
        <f t="shared" si="12"/>
        <v>自我调节</v>
      </c>
      <c r="AF14" s="59">
        <f>'M2'!B12*1</f>
        <v>67.942800000000005</v>
      </c>
      <c r="AG14" s="59">
        <f>'M2'!C12*1</f>
        <v>5.3553199999999999</v>
      </c>
      <c r="AH14" s="59">
        <f>'M2'!D12*1</f>
        <v>7.8820899999999998</v>
      </c>
      <c r="AI14" s="59">
        <f>'M2'!E12*1</f>
        <v>50</v>
      </c>
      <c r="AJ14" s="59">
        <f>'M2'!F12*1</f>
        <v>49.0411</v>
      </c>
      <c r="AK14" s="59">
        <f>'M2'!G12*1</f>
        <v>100</v>
      </c>
      <c r="AL14" s="59">
        <f>'M2'!H12*1</f>
        <v>73.991299999999995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-3.4676000000000009</v>
      </c>
      <c r="O15" s="59">
        <f t="shared" si="5"/>
        <v>-2.4648400000000001</v>
      </c>
      <c r="P15" s="59">
        <f t="shared" si="6"/>
        <v>-9.9638999999999989</v>
      </c>
      <c r="Q15" s="59">
        <f t="shared" si="7"/>
        <v>0</v>
      </c>
      <c r="R15" s="59">
        <f t="shared" si="8"/>
        <v>-0.36589999999999989</v>
      </c>
      <c r="S15" s="59">
        <f t="shared" si="9"/>
        <v>0</v>
      </c>
      <c r="T15" s="59">
        <f t="shared" si="10"/>
        <v>-12.347999999999999</v>
      </c>
      <c r="U15" s="14"/>
      <c r="V15" s="27" t="str">
        <f t="shared" si="11"/>
        <v>抑郁</v>
      </c>
      <c r="W15" s="59">
        <f>'M1'!B13*1</f>
        <v>18.952100000000002</v>
      </c>
      <c r="X15" s="59">
        <f>'M1'!C13*1</f>
        <v>5.0390600000000001</v>
      </c>
      <c r="Y15" s="59">
        <f>'M1'!D13*1</f>
        <v>26.5884</v>
      </c>
      <c r="Z15" s="59">
        <f>'M1'!E13*1</f>
        <v>10</v>
      </c>
      <c r="AA15" s="59">
        <f>'M1'!F13*1</f>
        <v>12.3833</v>
      </c>
      <c r="AB15" s="59">
        <f>'M1'!G13*1</f>
        <v>25</v>
      </c>
      <c r="AC15" s="59">
        <f>'M1'!H13*1</f>
        <v>36.8658</v>
      </c>
      <c r="AE15" s="27" t="str">
        <f t="shared" si="12"/>
        <v>抑郁</v>
      </c>
      <c r="AF15" s="59">
        <f>'M2'!B13*1</f>
        <v>15.484500000000001</v>
      </c>
      <c r="AG15" s="59">
        <f>'M2'!C13*1</f>
        <v>2.57422</v>
      </c>
      <c r="AH15" s="59">
        <f>'M2'!D13*1</f>
        <v>16.624500000000001</v>
      </c>
      <c r="AI15" s="59">
        <f>'M2'!E13*1</f>
        <v>10</v>
      </c>
      <c r="AJ15" s="59">
        <f>'M2'!F13*1</f>
        <v>12.0174</v>
      </c>
      <c r="AK15" s="59">
        <f>'M2'!G13*1</f>
        <v>25</v>
      </c>
      <c r="AL15" s="59">
        <f>'M2'!H13*1</f>
        <v>24.517800000000001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-24.648399999999999</v>
      </c>
      <c r="O16" s="59">
        <f t="shared" si="5"/>
        <v>9.9800000000001887E-2</v>
      </c>
      <c r="P16" s="59">
        <f t="shared" si="6"/>
        <v>36.202499999999993</v>
      </c>
      <c r="Q16" s="59">
        <f t="shared" si="7"/>
        <v>0</v>
      </c>
      <c r="R16" s="59">
        <f t="shared" si="8"/>
        <v>2.4868430000000004</v>
      </c>
      <c r="S16" s="59">
        <f t="shared" si="9"/>
        <v>0</v>
      </c>
      <c r="T16" s="59">
        <f t="shared" si="10"/>
        <v>-4.3436999999999983</v>
      </c>
      <c r="U16" s="15"/>
      <c r="V16" s="27" t="str">
        <f t="shared" si="11"/>
        <v>神经质</v>
      </c>
      <c r="W16" s="59">
        <f>'M1'!B14*1</f>
        <v>50.390599999999999</v>
      </c>
      <c r="X16" s="59">
        <f>'M1'!C14*1</f>
        <v>18.848099999999999</v>
      </c>
      <c r="Y16" s="59">
        <f>'M1'!D14*1</f>
        <v>37.4039</v>
      </c>
      <c r="Z16" s="59">
        <f>'M1'!E14*1</f>
        <v>10</v>
      </c>
      <c r="AA16" s="59">
        <f>'M1'!F14*1</f>
        <v>0.355437</v>
      </c>
      <c r="AB16" s="59">
        <f>'M1'!G14*1</f>
        <v>50</v>
      </c>
      <c r="AC16" s="59">
        <f>'M1'!H14*1</f>
        <v>54.719099999999997</v>
      </c>
      <c r="AE16" s="27" t="str">
        <f t="shared" si="12"/>
        <v>神经质</v>
      </c>
      <c r="AF16" s="59">
        <f>'M2'!B14*1</f>
        <v>25.7422</v>
      </c>
      <c r="AG16" s="59">
        <f>'M2'!C14*1</f>
        <v>18.947900000000001</v>
      </c>
      <c r="AH16" s="59">
        <f>'M2'!D14*1</f>
        <v>73.606399999999994</v>
      </c>
      <c r="AI16" s="59">
        <f>'M2'!E14*1</f>
        <v>10</v>
      </c>
      <c r="AJ16" s="59">
        <f>'M2'!F14*1</f>
        <v>2.8422800000000001</v>
      </c>
      <c r="AK16" s="59">
        <f>'M2'!G14*1</f>
        <v>50</v>
      </c>
      <c r="AL16" s="59">
        <f>'M2'!H14*1</f>
        <v>50.375399999999999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-4.7585249999999997</v>
      </c>
      <c r="O17" s="22">
        <f>N17/(N17+N18+N19)</f>
        <v>0.31737623242342844</v>
      </c>
      <c r="P17" s="65">
        <f>SUM(P11:P14)/4</f>
        <v>0.10446500000000003</v>
      </c>
      <c r="Q17" s="22">
        <f>P17/(P17+P18+P19)</f>
        <v>9.7021216919017991E-3</v>
      </c>
      <c r="R17" s="14"/>
      <c r="S17" s="14"/>
      <c r="T17" s="14"/>
      <c r="U17" s="14"/>
      <c r="V17" s="21" t="str">
        <f>M17</f>
        <v>Positive</v>
      </c>
      <c r="W17" s="65">
        <f>SUM(W11:W14)/4</f>
        <v>59.706625000000003</v>
      </c>
      <c r="X17" s="22">
        <f>W17/(W17+W18+W19)</f>
        <v>0.49352383829671337</v>
      </c>
      <c r="Y17" s="65">
        <f>SUM(Y11:Y14)/4</f>
        <v>10.05489</v>
      </c>
      <c r="Z17" s="22">
        <f>Y17/(Y17+Y18+Y19)</f>
        <v>0.15447862911506938</v>
      </c>
      <c r="AA17" s="14"/>
      <c r="AB17" s="14"/>
      <c r="AC17" s="14"/>
      <c r="AE17" s="21" t="str">
        <f>V17</f>
        <v>Positive</v>
      </c>
      <c r="AF17" s="65">
        <f>SUM(AF11:AF14)/4</f>
        <v>54.948100000000004</v>
      </c>
      <c r="AG17" s="22">
        <f>AF17/(AF17+AF18+AF19)</f>
        <v>0.51844237353861655</v>
      </c>
      <c r="AH17" s="65">
        <f>SUM(AH11:AH14)/4</f>
        <v>10.159355</v>
      </c>
      <c r="AI17" s="22">
        <f>AH17/(AH17+AH18+AH19)</f>
        <v>0.13392872562022759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3.8231999999999999</v>
      </c>
      <c r="O18" s="22">
        <f>N18/(N17+N18+N19)</f>
        <v>-0.25499347209508233</v>
      </c>
      <c r="P18" s="18">
        <f>SUM(P7:P10)/4</f>
        <v>-2.4565324999999998</v>
      </c>
      <c r="Q18" s="22">
        <f>P18/(P17+P18+P19)</f>
        <v>-0.22814892313321924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26.602249999999998</v>
      </c>
      <c r="X18" s="22">
        <f>W18/(W17+W18+W19)</f>
        <v>0.21988924222946352</v>
      </c>
      <c r="Y18" s="18">
        <f>SUM(Y7:Y10)/4</f>
        <v>23.038157499999997</v>
      </c>
      <c r="Z18" s="22">
        <f>Y18/(Y17+Y18+Y19)</f>
        <v>0.35394748107011148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30.425450000000005</v>
      </c>
      <c r="AG18" s="22">
        <f>AF18/(AF17+AF18+AF19)</f>
        <v>0.28706802444453045</v>
      </c>
      <c r="AH18" s="18">
        <f>SUM(AH7:AH10)/4</f>
        <v>20.581624999999999</v>
      </c>
      <c r="AI18" s="22">
        <f>AH18/(AH17+AH18+AH19)</f>
        <v>0.27132340659849141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-14.058</v>
      </c>
      <c r="O19" s="22">
        <f>N19/(N17+N18+N19)</f>
        <v>0.937617239671654</v>
      </c>
      <c r="P19" s="18">
        <f>(P15+P16)/2</f>
        <v>13.119299999999997</v>
      </c>
      <c r="Q19" s="22">
        <f>P19/(P17+P18+P19)</f>
        <v>1.2184468014413175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34.671350000000004</v>
      </c>
      <c r="X19" s="22">
        <f>W19/(W17+W18+W19)</f>
        <v>0.28658691947382314</v>
      </c>
      <c r="Y19" s="18">
        <f>(Y15+Y16)/2</f>
        <v>31.99615</v>
      </c>
      <c r="Z19" s="22">
        <f>Y19/(Y17+Y18+Y19)</f>
        <v>0.49157388981481914</v>
      </c>
      <c r="AA19" s="14"/>
      <c r="AB19" s="14"/>
      <c r="AC19" s="14"/>
      <c r="AE19" s="21" t="str">
        <f t="shared" si="14"/>
        <v>Physiological</v>
      </c>
      <c r="AF19" s="18">
        <f>(AF15+AF16)/2</f>
        <v>20.613350000000001</v>
      </c>
      <c r="AG19" s="22">
        <f>AF19/(AF17+AF18+AF19)</f>
        <v>0.19448960201685303</v>
      </c>
      <c r="AH19" s="18">
        <f>(AH15+AH16)/2</f>
        <v>45.115449999999996</v>
      </c>
      <c r="AI19" s="22">
        <f>AH19/(AH17+AH18+AH19)</f>
        <v>0.59474786778128108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1.28/1.34</v>
      </c>
      <c r="D24" s="44" t="str">
        <f>lang!B11</f>
        <v>频率方差</v>
      </c>
      <c r="E24" s="182" t="str">
        <f ca="1">CONCATENATE(ROUND('FH1'!L3,2),"/",ROUND('FH2'!L3,2))</f>
        <v>0.53/0.61</v>
      </c>
      <c r="F24" s="183"/>
      <c r="G24" s="174" t="str">
        <f>lang!B12</f>
        <v>生理变化率</v>
      </c>
      <c r="H24" s="175"/>
      <c r="I24" s="62" t="str">
        <f ca="1">CONCATENATE(info!M7,"-",info!M8)</f>
        <v>24.7-57.4</v>
      </c>
      <c r="J24" s="42" t="str">
        <f>lang!B13</f>
        <v>千卡l/分钟</v>
      </c>
      <c r="K24" s="41" t="str">
        <f ca="1">CONCATENATE(info!M5,"-",info!M6)</f>
        <v>2.1-3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13.815500000000004</v>
      </c>
      <c r="F27" s="121"/>
      <c r="G27" s="135" t="str">
        <f>lang!B33</f>
        <v>稳定性</v>
      </c>
      <c r="H27" s="136"/>
      <c r="I27" s="137"/>
      <c r="J27" s="138">
        <f>dM!B19*100</f>
        <v>2.6876000000000011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-0.54670565682849204</v>
      </c>
      <c r="C2">
        <f t="array" aca="1" ref="C2" ca="1">CORREL(FT_E02,FT_PH02)</f>
        <v>0.4545631834957824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2.1335899999999999</v>
      </c>
      <c r="G2" s="61">
        <f>IF(FT!B2&lt;&gt;"",FT!B2*100,"")</f>
        <v>57.410399999999996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2.2002099999999998</v>
      </c>
      <c r="G3" s="61">
        <f>IF(FT!B3&lt;&gt;"",FT!B3*100,"")</f>
        <v>56.966300000000004</v>
      </c>
      <c r="H3" s="61">
        <f t="shared" ref="H3:H66" si="1">(IF(F3&lt;&gt;"",1,""))</f>
        <v>1</v>
      </c>
      <c r="I3" t="str">
        <f>IF(FT!B3&lt;&gt;"",FT!E3,"")</f>
        <v>1 [0.399501]</v>
      </c>
      <c r="J3">
        <f>IF(FT!B3&lt;&gt;"",FT!C3,"")</f>
        <v>0.399501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0.48004951351351338</v>
      </c>
      <c r="V3">
        <f ca="1">AVERAGE(OFFSET(FT!B2,info!$L$3/2,0,info!$L$3/2,1))</f>
        <v>0.35776308108108112</v>
      </c>
      <c r="W3">
        <f ca="1">AVERAGE(OFFSET(FT!A2,0,0,info!$L$3/2,1))</f>
        <v>0.26653627027027027</v>
      </c>
      <c r="X3">
        <f ca="1">AVERAGE(OFFSET(FT!A2,info!$L$3/2,0,info!$L$3/2,1))</f>
        <v>0.26887490540540537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2.2634000000000003</v>
      </c>
      <c r="G4" s="61">
        <f>IF(FT!B4&lt;&gt;"",FT!B4*100,"")</f>
        <v>56.535599999999995</v>
      </c>
      <c r="H4" s="61">
        <f t="shared" si="1"/>
        <v>1</v>
      </c>
      <c r="I4" t="str">
        <f>IF(FT!B4&lt;&gt;"",FT!E4,"")</f>
        <v>1 [0.813283]</v>
      </c>
      <c r="J4">
        <f>IF(FT!B4&lt;&gt;"",FT!C4,"")</f>
        <v>0.81328299999999998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14.940675000000001</v>
      </c>
      <c r="V4">
        <f>U4*3</f>
        <v>44.822025000000004</v>
      </c>
      <c r="W4">
        <f>U4</f>
        <v>14.940675000000001</v>
      </c>
      <c r="X4">
        <f>V4</f>
        <v>44.822025000000004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2.3230999999999997</v>
      </c>
      <c r="G5" s="61">
        <f>IF(FT!B5&lt;&gt;"",FT!B5*100,"")</f>
        <v>56.100499999999997</v>
      </c>
      <c r="H5" s="61">
        <f t="shared" si="1"/>
        <v>1</v>
      </c>
      <c r="I5" t="str">
        <f>IF(FT!B5&lt;&gt;"",FT!E5,"")</f>
        <v>1 [1.219247]</v>
      </c>
      <c r="J5">
        <f>IF(FT!B5&lt;&gt;"",FT!C5,"")</f>
        <v>1.2192499999999999</v>
      </c>
      <c r="K5" t="s">
        <v>53</v>
      </c>
      <c r="L5" s="63">
        <f ca="1">MIN(FT_E)</f>
        <v>2.1335899999999999</v>
      </c>
      <c r="M5" s="63">
        <f ca="1">ROUND(L5,1)</f>
        <v>2.1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48.004951351351338</v>
      </c>
      <c r="V5">
        <f ca="1">V3*100</f>
        <v>35.776308108108111</v>
      </c>
      <c r="W5">
        <f ca="1">W3*10</f>
        <v>2.6653627027027027</v>
      </c>
      <c r="X5">
        <f ca="1">X3*10</f>
        <v>2.6887490540540537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2.37914</v>
      </c>
      <c r="G6" s="61">
        <f>IF(FT!B6&lt;&gt;"",FT!B6*100,"")</f>
        <v>55.6554</v>
      </c>
      <c r="H6" s="61">
        <f t="shared" si="1"/>
        <v>1</v>
      </c>
      <c r="I6" t="str">
        <f>IF(FT!B6&lt;&gt;"",FT!E6,"")</f>
        <v>1 [1.623146]</v>
      </c>
      <c r="J6">
        <f>IF(FT!B6&lt;&gt;"",FT!C6,"")</f>
        <v>1.6231500000000001</v>
      </c>
      <c r="K6" t="s">
        <v>54</v>
      </c>
      <c r="L6" s="63">
        <f ca="1">MAX(FT_E)</f>
        <v>2.9862799999999998</v>
      </c>
      <c r="M6" s="63">
        <f ca="1">ROUND(L6,1)</f>
        <v>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2.4330400000000001</v>
      </c>
      <c r="G7" s="61">
        <f>IF(FT!B7&lt;&gt;"",FT!B7*100,"")</f>
        <v>55.116699999999994</v>
      </c>
      <c r="H7" s="61">
        <f t="shared" si="1"/>
        <v>1</v>
      </c>
      <c r="I7" t="str">
        <f>IF(FT!B7&lt;&gt;"",FT!E7,"")</f>
        <v>1 [2.030200]</v>
      </c>
      <c r="J7">
        <f>IF(FT!B7&lt;&gt;"",FT!C7,"")</f>
        <v>2.0301999999999998</v>
      </c>
      <c r="K7" t="s">
        <v>55</v>
      </c>
      <c r="L7" s="63">
        <f ca="1">MIN(FT_PH)</f>
        <v>24.6921</v>
      </c>
      <c r="M7" s="63">
        <f ca="1">ROUND(L7,1)</f>
        <v>24.7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5211</v>
      </c>
      <c r="D8" s="61">
        <f>FH!B8*1</f>
        <v>5211</v>
      </c>
      <c r="E8">
        <f t="shared" si="3"/>
        <v>6</v>
      </c>
      <c r="F8" s="61">
        <f>IF(FT!A8&lt;&gt;"",FT!A8*10,"")</f>
        <v>2.48447</v>
      </c>
      <c r="G8" s="61">
        <f>IF(FT!B8&lt;&gt;"",FT!B8*100,"")</f>
        <v>54.555699999999995</v>
      </c>
      <c r="H8" s="61">
        <f t="shared" si="1"/>
        <v>1</v>
      </c>
      <c r="I8" t="str">
        <f>IF(FT!B8&lt;&gt;"",FT!E8,"")</f>
        <v>1 [2.435041]</v>
      </c>
      <c r="J8">
        <f>IF(FT!B8&lt;&gt;"",FT!C8,"")</f>
        <v>2.4350399999999999</v>
      </c>
      <c r="K8" t="s">
        <v>56</v>
      </c>
      <c r="L8" s="63">
        <f ca="1">MAX(FT_PH)</f>
        <v>57.410399999999996</v>
      </c>
      <c r="M8" s="63">
        <f ca="1">ROUND(L8,1)</f>
        <v>57.4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2.5342099999999999</v>
      </c>
      <c r="G9" s="61">
        <f>IF(FT!B9&lt;&gt;"",FT!B9*100,"")</f>
        <v>53.899600000000007</v>
      </c>
      <c r="H9" s="61">
        <f t="shared" si="1"/>
        <v>1</v>
      </c>
      <c r="I9" t="str">
        <f>IF(FT!B9&lt;&gt;"",FT!E9,"")</f>
        <v>1 [2.843980]</v>
      </c>
      <c r="J9">
        <f>IF(FT!B9&lt;&gt;"",FT!C9,"")</f>
        <v>2.8439800000000002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7532</v>
      </c>
      <c r="D10" s="61">
        <f>FH!B10*1</f>
        <v>7532</v>
      </c>
      <c r="E10">
        <f t="shared" si="3"/>
        <v>8</v>
      </c>
      <c r="F10" s="61">
        <f>IF(FT!A10&lt;&gt;"",FT!A10*10,"")</f>
        <v>2.58168</v>
      </c>
      <c r="G10" s="61">
        <f>IF(FT!B10&lt;&gt;"",FT!B10*100,"")</f>
        <v>53.327300000000001</v>
      </c>
      <c r="H10" s="61">
        <f t="shared" si="1"/>
        <v>1</v>
      </c>
      <c r="I10" t="str">
        <f>IF(FT!B10&lt;&gt;"",FT!E10,"")</f>
        <v>1 [3.249720]</v>
      </c>
      <c r="J10">
        <f>IF(FT!B10&lt;&gt;"",FT!C10,"")</f>
        <v>3.2497199999999999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2.6266099999999999</v>
      </c>
      <c r="G11" s="61">
        <f>IF(FT!B11&lt;&gt;"",FT!B11*100,"")</f>
        <v>52.822899999999997</v>
      </c>
      <c r="H11" s="61">
        <f t="shared" si="1"/>
        <v>1</v>
      </c>
      <c r="I11" t="str">
        <f>IF(FT!B11&lt;&gt;"",FT!E11,"")</f>
        <v>1 [3.650876]</v>
      </c>
      <c r="J11">
        <f>IF(FT!B11&lt;&gt;"",FT!C11,"")</f>
        <v>3.6508799999999999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2.6699800000000002</v>
      </c>
      <c r="G12" s="61">
        <f>IF(FT!B12&lt;&gt;"",FT!B12*100,"")</f>
        <v>52.376500000000007</v>
      </c>
      <c r="H12" s="61">
        <f t="shared" si="1"/>
        <v>1</v>
      </c>
      <c r="I12" t="str">
        <f>IF(FT!B12&lt;&gt;"",FT!E12,"")</f>
        <v>1 [4.061619]</v>
      </c>
      <c r="J12">
        <f>IF(FT!B12&lt;&gt;"",FT!C12,"")</f>
        <v>4.0616199999999996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14192</v>
      </c>
      <c r="D13" s="61">
        <f>FH!B13*1</f>
        <v>14192</v>
      </c>
      <c r="E13">
        <f t="shared" si="3"/>
        <v>11</v>
      </c>
      <c r="F13" s="61">
        <f>IF(FT!A13&lt;&gt;"",FT!A13*10,"")</f>
        <v>2.7117200000000001</v>
      </c>
      <c r="G13" s="61">
        <f>IF(FT!B13&lt;&gt;"",FT!B13*100,"")</f>
        <v>51.975000000000001</v>
      </c>
      <c r="H13" s="61">
        <f t="shared" si="1"/>
        <v>1</v>
      </c>
      <c r="I13" t="str">
        <f>IF(FT!B13&lt;&gt;"",FT!E13,"")</f>
        <v>1 [4.468574]</v>
      </c>
      <c r="J13">
        <f>IF(FT!B13&lt;&gt;"",FT!C13,"")</f>
        <v>4.4685699999999997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2.7518700000000003</v>
      </c>
      <c r="G14" s="61">
        <f>IF(FT!B14&lt;&gt;"",FT!B14*100,"")</f>
        <v>51.613799999999998</v>
      </c>
      <c r="H14" s="61">
        <f t="shared" si="1"/>
        <v>1</v>
      </c>
      <c r="I14" t="str">
        <f>IF(FT!B14&lt;&gt;"",FT!E14,"")</f>
        <v>1 [4.870423]</v>
      </c>
      <c r="J14">
        <f>IF(FT!B14&lt;&gt;"",FT!C14,"")</f>
        <v>4.8704200000000002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28988</v>
      </c>
      <c r="D15" s="61">
        <f>FH!B15*1</f>
        <v>28988</v>
      </c>
      <c r="E15">
        <f t="shared" si="3"/>
        <v>13</v>
      </c>
      <c r="F15" s="61">
        <f>IF(FT!A15&lt;&gt;"",FT!A15*10,"")</f>
        <v>2.7904900000000001</v>
      </c>
      <c r="G15" s="61">
        <f>IF(FT!B15&lt;&gt;"",FT!B15*100,"")</f>
        <v>51.198600000000006</v>
      </c>
      <c r="H15" s="61">
        <f t="shared" si="1"/>
        <v>1</v>
      </c>
      <c r="I15" t="str">
        <f>IF(FT!B15&lt;&gt;"",FT!E15,"")</f>
        <v>1 [5.282408]</v>
      </c>
      <c r="J15">
        <f>IF(FT!B15&lt;&gt;"",FT!C15,"")</f>
        <v>5.2824099999999996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2.8279999999999998</v>
      </c>
      <c r="G16" s="61">
        <f>IF(FT!B16&lt;&gt;"",FT!B16*100,"")</f>
        <v>50.716000000000008</v>
      </c>
      <c r="H16" s="61">
        <f t="shared" si="1"/>
        <v>1</v>
      </c>
      <c r="I16" t="str">
        <f>IF(FT!B16&lt;&gt;"",FT!E16,"")</f>
        <v>1 [5.682360]</v>
      </c>
      <c r="J16">
        <f>IF(FT!B16&lt;&gt;"",FT!C16,"")</f>
        <v>5.6823600000000001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2.8635000000000002</v>
      </c>
      <c r="G17" s="61">
        <f>IF(FT!B17&lt;&gt;"",FT!B17*100,"")</f>
        <v>50.2196</v>
      </c>
      <c r="H17" s="61">
        <f t="shared" si="1"/>
        <v>1</v>
      </c>
      <c r="I17" t="str">
        <f>IF(FT!B17&lt;&gt;"",FT!E17,"")</f>
        <v>1 [6.093178]</v>
      </c>
      <c r="J17">
        <f>IF(FT!B17&lt;&gt;"",FT!C17,"")</f>
        <v>6.0931800000000003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51054</v>
      </c>
      <c r="D18" s="61">
        <f>FH!B18*1</f>
        <v>51054</v>
      </c>
      <c r="E18">
        <f t="shared" si="3"/>
        <v>16</v>
      </c>
      <c r="F18" s="61">
        <f>IF(FT!A18&lt;&gt;"",FT!A18*10,"")</f>
        <v>2.8931400000000003</v>
      </c>
      <c r="G18" s="61">
        <f>IF(FT!B18&lt;&gt;"",FT!B18*100,"")</f>
        <v>49.710300000000004</v>
      </c>
      <c r="H18" s="61">
        <f t="shared" si="1"/>
        <v>1</v>
      </c>
      <c r="I18" t="str">
        <f>IF(FT!B18&lt;&gt;"",FT!E18,"")</f>
        <v>1 [6.502045]</v>
      </c>
      <c r="J18">
        <f>IF(FT!B18&lt;&gt;"",FT!C18,"")</f>
        <v>6.5020499999999997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2.91248</v>
      </c>
      <c r="G19" s="61">
        <f>IF(FT!B19&lt;&gt;"",FT!B19*100,"")</f>
        <v>49.191600000000001</v>
      </c>
      <c r="H19" s="61">
        <f t="shared" si="1"/>
        <v>1</v>
      </c>
      <c r="I19" t="str">
        <f>IF(FT!B19&lt;&gt;"",FT!E19,"")</f>
        <v>1 [6.904978]</v>
      </c>
      <c r="J19">
        <f>IF(FT!B19&lt;&gt;"",FT!C19,"")</f>
        <v>6.9049800000000001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2.9266100000000002</v>
      </c>
      <c r="G20" s="61">
        <f>IF(FT!B20&lt;&gt;"",FT!B20*100,"")</f>
        <v>48.732399999999998</v>
      </c>
      <c r="H20" s="61">
        <f t="shared" si="1"/>
        <v>1</v>
      </c>
      <c r="I20" t="str">
        <f>IF(FT!B20&lt;&gt;"",FT!E20,"")</f>
        <v>1 [7.313416]</v>
      </c>
      <c r="J20">
        <f>IF(FT!B20&lt;&gt;"",FT!C20,"")</f>
        <v>7.3134199999999998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61707</v>
      </c>
      <c r="D21" s="61">
        <f>FH!B21*1</f>
        <v>61707</v>
      </c>
      <c r="E21">
        <f t="shared" si="3"/>
        <v>19</v>
      </c>
      <c r="F21" s="61">
        <f>IF(FT!A21&lt;&gt;"",FT!A21*10,"")</f>
        <v>2.9403299999999999</v>
      </c>
      <c r="G21" s="61">
        <f>IF(FT!B21&lt;&gt;"",FT!B21*100,"")</f>
        <v>48.314099999999996</v>
      </c>
      <c r="H21" s="61">
        <f t="shared" si="1"/>
        <v>1</v>
      </c>
      <c r="I21" t="str">
        <f>IF(FT!B21&lt;&gt;"",FT!E21,"")</f>
        <v>1 [7.716903]</v>
      </c>
      <c r="J21">
        <f>IF(FT!B21&lt;&gt;"",FT!C21,"")</f>
        <v>7.7168999999999999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2.9507400000000001</v>
      </c>
      <c r="G22" s="61">
        <f>IF(FT!B22&lt;&gt;"",FT!B22*100,"")</f>
        <v>47.960900000000002</v>
      </c>
      <c r="H22" s="61">
        <f t="shared" si="1"/>
        <v>1</v>
      </c>
      <c r="I22" t="str">
        <f>IF(FT!B22&lt;&gt;"",FT!E22,"")</f>
        <v>1 [8.125770]</v>
      </c>
      <c r="J22">
        <f>IF(FT!B22&lt;&gt;"",FT!C22,"")</f>
        <v>8.1257699999999993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76854</v>
      </c>
      <c r="D23" s="61">
        <f>FH!B23*1</f>
        <v>76854</v>
      </c>
      <c r="E23">
        <f t="shared" si="3"/>
        <v>21</v>
      </c>
      <c r="F23" s="61">
        <f>IF(FT!A23&lt;&gt;"",FT!A23*10,"")</f>
        <v>2.9597199999999999</v>
      </c>
      <c r="G23" s="61">
        <f>IF(FT!B23&lt;&gt;"",FT!B23*100,"")</f>
        <v>47.613299999999995</v>
      </c>
      <c r="H23" s="61">
        <f t="shared" si="1"/>
        <v>1</v>
      </c>
      <c r="I23" t="str">
        <f>IF(FT!B23&lt;&gt;"",FT!E23,"")</f>
        <v>1 [8.529597]</v>
      </c>
      <c r="J23">
        <f>IF(FT!B23&lt;&gt;"",FT!C23,"")</f>
        <v>8.5296000000000003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2.9681999999999995</v>
      </c>
      <c r="G24" s="61">
        <f>IF(FT!B24&lt;&gt;"",FT!B24*100,"")</f>
        <v>47.249000000000002</v>
      </c>
      <c r="H24" s="61">
        <f t="shared" si="1"/>
        <v>1</v>
      </c>
      <c r="I24" t="str">
        <f>IF(FT!B24&lt;&gt;"",FT!E24,"")</f>
        <v>1 [8.937529]</v>
      </c>
      <c r="J24">
        <f>IF(FT!B24&lt;&gt;"",FT!C24,"")</f>
        <v>8.9375300000000006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2.9754100000000001</v>
      </c>
      <c r="G25" s="61">
        <f>IF(FT!B25&lt;&gt;"",FT!B25*100,"")</f>
        <v>46.851100000000002</v>
      </c>
      <c r="H25" s="61">
        <f t="shared" si="1"/>
        <v>1</v>
      </c>
      <c r="I25" t="str">
        <f>IF(FT!B25&lt;&gt;"",FT!E25,"")</f>
        <v>1 [9.340434]</v>
      </c>
      <c r="J25">
        <f>IF(FT!B25&lt;&gt;"",FT!C25,"")</f>
        <v>9.3404299999999996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71589</v>
      </c>
      <c r="D26" s="61">
        <f>FH!B26*1</f>
        <v>71589</v>
      </c>
      <c r="E26">
        <f t="shared" si="3"/>
        <v>24</v>
      </c>
      <c r="F26" s="61">
        <f>IF(FT!A26&lt;&gt;"",FT!A26*10,"")</f>
        <v>2.9805700000000002</v>
      </c>
      <c r="G26" s="61">
        <f>IF(FT!B26&lt;&gt;"",FT!B26*100,"")</f>
        <v>46.432099999999998</v>
      </c>
      <c r="H26" s="61">
        <f t="shared" si="1"/>
        <v>1</v>
      </c>
      <c r="I26" t="str">
        <f>IF(FT!B26&lt;&gt;"",FT!E26,"")</f>
        <v>1 [9.749554]</v>
      </c>
      <c r="J26">
        <f>IF(FT!B26&lt;&gt;"",FT!C26,"")</f>
        <v>9.7495499999999993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2.9848599999999998</v>
      </c>
      <c r="G27" s="61">
        <f>IF(FT!B27&lt;&gt;"",FT!B27*100,"")</f>
        <v>46.042699999999996</v>
      </c>
      <c r="H27" s="61">
        <f t="shared" si="1"/>
        <v>1</v>
      </c>
      <c r="I27" t="str">
        <f>IF(FT!B27&lt;&gt;"",FT!E27,"")</f>
        <v>1 [10.155289]</v>
      </c>
      <c r="J27">
        <f>IF(FT!B27&lt;&gt;"",FT!C27,"")</f>
        <v>10.1553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73264</v>
      </c>
      <c r="D28" s="61">
        <f>FH!B28*1</f>
        <v>73264</v>
      </c>
      <c r="E28">
        <f t="shared" si="3"/>
        <v>26</v>
      </c>
      <c r="F28" s="61">
        <f>IF(FT!A28&lt;&gt;"",FT!A28*10,"")</f>
        <v>2.9862799999999998</v>
      </c>
      <c r="G28" s="61">
        <f>IF(FT!B28&lt;&gt;"",FT!B28*100,"")</f>
        <v>45.683</v>
      </c>
      <c r="H28" s="61">
        <f t="shared" si="1"/>
        <v>1</v>
      </c>
      <c r="I28" t="str">
        <f>IF(FT!B28&lt;&gt;"",FT!E28,"")</f>
        <v>1 [10.564288]</v>
      </c>
      <c r="J28">
        <f>IF(FT!B28&lt;&gt;"",FT!C28,"")</f>
        <v>10.564299999999999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2.9847000000000001</v>
      </c>
      <c r="G29" s="61">
        <f>IF(FT!B29&lt;&gt;"",FT!B29*100,"")</f>
        <v>45.383299999999998</v>
      </c>
      <c r="H29" s="61">
        <f t="shared" si="1"/>
        <v>1</v>
      </c>
      <c r="I29" t="str">
        <f>IF(FT!B29&lt;&gt;"",FT!E29,"")</f>
        <v>1 [10.963766]</v>
      </c>
      <c r="J29">
        <f>IF(FT!B29&lt;&gt;"",FT!C29,"")</f>
        <v>10.963800000000001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2.9787000000000003</v>
      </c>
      <c r="G30" s="61">
        <f>IF(FT!B30&lt;&gt;"",FT!B30*100,"")</f>
        <v>45.118900000000004</v>
      </c>
      <c r="H30" s="61">
        <f t="shared" si="1"/>
        <v>1</v>
      </c>
      <c r="I30" t="str">
        <f>IF(FT!B30&lt;&gt;"",FT!E30,"")</f>
        <v>1 [11.372026]</v>
      </c>
      <c r="J30">
        <f>IF(FT!B30&lt;&gt;"",FT!C30,"")</f>
        <v>11.372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70250</v>
      </c>
      <c r="D31" s="61">
        <f>FH!B31*1</f>
        <v>70250</v>
      </c>
      <c r="E31">
        <f t="shared" si="3"/>
        <v>29</v>
      </c>
      <c r="F31" s="61">
        <f>IF(FT!A31&lt;&gt;"",FT!A31*10,"")</f>
        <v>2.9711100000000004</v>
      </c>
      <c r="G31" s="61">
        <f>IF(FT!B31&lt;&gt;"",FT!B31*100,"")</f>
        <v>44.828099999999999</v>
      </c>
      <c r="H31" s="61">
        <f t="shared" si="1"/>
        <v>1</v>
      </c>
      <c r="I31" t="str">
        <f>IF(FT!B31&lt;&gt;"",FT!E31,"")</f>
        <v>1 [11.781007]</v>
      </c>
      <c r="J31">
        <f>IF(FT!B31&lt;&gt;"",FT!C31,"")</f>
        <v>11.781000000000001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2.96041</v>
      </c>
      <c r="G32" s="61">
        <f>IF(FT!B32&lt;&gt;"",FT!B32*100,"")</f>
        <v>44.565899999999999</v>
      </c>
      <c r="H32" s="61">
        <f t="shared" si="1"/>
        <v>1</v>
      </c>
      <c r="I32" t="str">
        <f>IF(FT!B32&lt;&gt;"",FT!E32,"")</f>
        <v>1 [12.183905]</v>
      </c>
      <c r="J32">
        <f>IF(FT!B32&lt;&gt;"",FT!C32,"")</f>
        <v>12.1839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75644</v>
      </c>
      <c r="D33" s="61">
        <f>FH!B33*1</f>
        <v>75644</v>
      </c>
      <c r="E33">
        <f t="shared" si="3"/>
        <v>31</v>
      </c>
      <c r="F33" s="61">
        <f>IF(FT!A33&lt;&gt;"",FT!A33*10,"")</f>
        <v>2.9470299999999998</v>
      </c>
      <c r="G33" s="61">
        <f>IF(FT!B33&lt;&gt;"",FT!B33*100,"")</f>
        <v>44.301200000000001</v>
      </c>
      <c r="H33" s="61">
        <f t="shared" si="1"/>
        <v>1</v>
      </c>
      <c r="I33" t="str">
        <f>IF(FT!B33&lt;&gt;"",FT!E33,"")</f>
        <v>1 [12.591783]</v>
      </c>
      <c r="J33">
        <f>IF(FT!B33&lt;&gt;"",FT!C33,"")</f>
        <v>12.591799999999999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2.93221</v>
      </c>
      <c r="G34" s="61">
        <f>IF(FT!B34&lt;&gt;"",FT!B34*100,"")</f>
        <v>44.128799999999998</v>
      </c>
      <c r="H34" s="61">
        <f t="shared" si="1"/>
        <v>1</v>
      </c>
      <c r="I34" t="str">
        <f>IF(FT!B34&lt;&gt;"",FT!E34,"")</f>
        <v>1 [13.003653]</v>
      </c>
      <c r="J34">
        <f>IF(FT!B34&lt;&gt;"",FT!C34,"")</f>
        <v>13.0037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2.91629</v>
      </c>
      <c r="G35" s="61">
        <f>IF(FT!B35&lt;&gt;"",FT!B35*100,"")</f>
        <v>43.993500000000004</v>
      </c>
      <c r="H35" s="61">
        <f t="shared" si="1"/>
        <v>1</v>
      </c>
      <c r="I35" t="str">
        <f>IF(FT!B35&lt;&gt;"",FT!E35,"")</f>
        <v>1 [13.403633]</v>
      </c>
      <c r="J35">
        <f>IF(FT!B35&lt;&gt;"",FT!C35,"")</f>
        <v>13.403600000000001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81246</v>
      </c>
      <c r="D36" s="61">
        <f>FH!B36*1</f>
        <v>81246</v>
      </c>
      <c r="E36">
        <f t="shared" si="3"/>
        <v>34</v>
      </c>
      <c r="F36" s="61">
        <f>IF(FT!A36&lt;&gt;"",FT!A36*10,"")</f>
        <v>2.8992200000000001</v>
      </c>
      <c r="G36" s="61">
        <f>IF(FT!B36&lt;&gt;"",FT!B36*100,"")</f>
        <v>43.8812</v>
      </c>
      <c r="H36" s="61">
        <f t="shared" si="1"/>
        <v>1</v>
      </c>
      <c r="I36" t="str">
        <f>IF(FT!B36&lt;&gt;"",FT!E36,"")</f>
        <v>1 [13.809619]</v>
      </c>
      <c r="J36">
        <f>IF(FT!B36&lt;&gt;"",FT!C36,"")</f>
        <v>13.8096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2.8805900000000002</v>
      </c>
      <c r="G37" s="61">
        <f>IF(FT!B37&lt;&gt;"",FT!B37*100,"")</f>
        <v>43.817999999999998</v>
      </c>
      <c r="H37" s="61">
        <f t="shared" si="1"/>
        <v>1</v>
      </c>
      <c r="I37" t="str">
        <f>IF(FT!B37&lt;&gt;"",FT!E37,"")</f>
        <v>1 [14.220386]</v>
      </c>
      <c r="J37">
        <f>IF(FT!B37&lt;&gt;"",FT!C37,"")</f>
        <v>14.2204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2.8607800000000001</v>
      </c>
      <c r="G38" s="61">
        <f>IF(FT!B38&lt;&gt;"",FT!B38*100,"")</f>
        <v>43.7789</v>
      </c>
      <c r="H38" s="61">
        <f t="shared" si="1"/>
        <v>1</v>
      </c>
      <c r="I38" t="str">
        <f>IF(FT!B38&lt;&gt;"",FT!E38,"")</f>
        <v>1 [14.627311]</v>
      </c>
      <c r="J38">
        <f>IF(FT!B38&lt;&gt;"",FT!C38,"")</f>
        <v>14.6273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92825</v>
      </c>
      <c r="D39" s="61">
        <f>FH!B39*1</f>
        <v>92825</v>
      </c>
      <c r="E39">
        <f t="shared" si="3"/>
        <v>37</v>
      </c>
      <c r="F39" s="61">
        <f>IF(FT!A39&lt;&gt;"",FT!A39*10,"")</f>
        <v>2.84</v>
      </c>
      <c r="G39" s="61">
        <f>IF(FT!B39&lt;&gt;"",FT!B39*100,"")</f>
        <v>43.788400000000003</v>
      </c>
      <c r="H39" s="61">
        <f t="shared" si="1"/>
        <v>1</v>
      </c>
      <c r="I39" t="str">
        <f>IF(FT!B39&lt;&gt;"",FT!E39,"")</f>
        <v>1 [15.030023]</v>
      </c>
      <c r="J39">
        <f>IF(FT!B39&lt;&gt;"",FT!C39,"")</f>
        <v>15.03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2.8156999999999996</v>
      </c>
      <c r="G40" s="61">
        <f>IF(FT!B40&lt;&gt;"",FT!B40*100,"")</f>
        <v>43.877699999999997</v>
      </c>
      <c r="H40" s="61">
        <f t="shared" si="1"/>
        <v>1</v>
      </c>
      <c r="I40" t="str">
        <f>IF(FT!B40&lt;&gt;"",FT!E40,"")</f>
        <v>1 [15.432416]</v>
      </c>
      <c r="J40">
        <f>IF(FT!B40&lt;&gt;"",FT!C40,"")</f>
        <v>15.432399999999999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91203</v>
      </c>
      <c r="D41" s="61">
        <f>FH!B41*1</f>
        <v>91203</v>
      </c>
      <c r="E41">
        <f t="shared" si="3"/>
        <v>39</v>
      </c>
      <c r="F41" s="61">
        <f>IF(FT!A41&lt;&gt;"",FT!A41*10,"")</f>
        <v>2.7877299999999998</v>
      </c>
      <c r="G41" s="61">
        <f>IF(FT!B41&lt;&gt;"",FT!B41*100,"")</f>
        <v>44.034300000000002</v>
      </c>
      <c r="H41" s="61">
        <f t="shared" si="1"/>
        <v>1</v>
      </c>
      <c r="I41" t="str">
        <f>IF(FT!B41&lt;&gt;"",FT!E41,"")</f>
        <v>1 [15.841367]</v>
      </c>
      <c r="J41">
        <f>IF(FT!B41&lt;&gt;"",FT!C41,"")</f>
        <v>15.8414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2.7572700000000001</v>
      </c>
      <c r="G42" s="61">
        <f>IF(FT!B42&lt;&gt;"",FT!B42*100,"")</f>
        <v>44.269399999999997</v>
      </c>
      <c r="H42" s="61">
        <f t="shared" si="1"/>
        <v>1</v>
      </c>
      <c r="I42" t="str">
        <f>IF(FT!B42&lt;&gt;"",FT!E42,"")</f>
        <v>1 [16.248960]</v>
      </c>
      <c r="J42">
        <f>IF(FT!B42&lt;&gt;"",FT!C42,"")</f>
        <v>16.248999999999999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2.7269500000000004</v>
      </c>
      <c r="G43" s="61">
        <f>IF(FT!B43&lt;&gt;"",FT!B43*100,"")</f>
        <v>44.520199999999996</v>
      </c>
      <c r="H43" s="61">
        <f t="shared" si="1"/>
        <v>1</v>
      </c>
      <c r="I43" t="str">
        <f>IF(FT!B43&lt;&gt;"",FT!E43,"")</f>
        <v>1 [16.657906]</v>
      </c>
      <c r="J43">
        <f>IF(FT!B43&lt;&gt;"",FT!C43,"")</f>
        <v>16.657900000000001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99302</v>
      </c>
      <c r="D44" s="61">
        <f>FH!B44*1</f>
        <v>99302</v>
      </c>
      <c r="E44">
        <f t="shared" si="3"/>
        <v>42</v>
      </c>
      <c r="F44" s="61">
        <f>IF(FT!A44&lt;&gt;"",FT!A44*10,"")</f>
        <v>2.6977699999999998</v>
      </c>
      <c r="G44" s="61">
        <f>IF(FT!B44&lt;&gt;"",FT!B44*100,"")</f>
        <v>44.660800000000002</v>
      </c>
      <c r="H44" s="61">
        <f t="shared" si="1"/>
        <v>1</v>
      </c>
      <c r="I44" t="str">
        <f>IF(FT!B44&lt;&gt;"",FT!E44,"")</f>
        <v>1 [17.062792]</v>
      </c>
      <c r="J44">
        <f>IF(FT!B44&lt;&gt;"",FT!C44,"")</f>
        <v>17.062799999999999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2.6698499999999998</v>
      </c>
      <c r="G45" s="61">
        <f>IF(FT!B45&lt;&gt;"",FT!B45*100,"")</f>
        <v>44.771300000000004</v>
      </c>
      <c r="H45" s="61">
        <f t="shared" si="1"/>
        <v>1</v>
      </c>
      <c r="I45" t="str">
        <f>IF(FT!B45&lt;&gt;"",FT!E45,"")</f>
        <v>1 [17.467021]</v>
      </c>
      <c r="J45">
        <f>IF(FT!B45&lt;&gt;"",FT!C45,"")</f>
        <v>17.466999999999999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115157</v>
      </c>
      <c r="D46" s="61">
        <f>FH!B46*1</f>
        <v>115157</v>
      </c>
      <c r="E46">
        <f t="shared" si="3"/>
        <v>44</v>
      </c>
      <c r="F46" s="61">
        <f>IF(FT!A46&lt;&gt;"",FT!A46*10,"")</f>
        <v>2.6415499999999996</v>
      </c>
      <c r="G46" s="61">
        <f>IF(FT!B46&lt;&gt;"",FT!B46*100,"")</f>
        <v>44.846699999999998</v>
      </c>
      <c r="H46" s="61">
        <f t="shared" si="1"/>
        <v>1</v>
      </c>
      <c r="I46" t="str">
        <f>IF(FT!B46&lt;&gt;"",FT!E46,"")</f>
        <v>1 [17.874882]</v>
      </c>
      <c r="J46">
        <f>IF(FT!B46&lt;&gt;"",FT!C46,"")</f>
        <v>17.8749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2.6155299999999997</v>
      </c>
      <c r="G47" s="61">
        <f>IF(FT!B47&lt;&gt;"",FT!B47*100,"")</f>
        <v>44.9041</v>
      </c>
      <c r="H47" s="61">
        <f t="shared" si="1"/>
        <v>1</v>
      </c>
      <c r="I47" t="str">
        <f>IF(FT!B47&lt;&gt;"",FT!E47,"")</f>
        <v>1 [18.281650]</v>
      </c>
      <c r="J47">
        <f>IF(FT!B47&lt;&gt;"",FT!C47,"")</f>
        <v>18.281600000000001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2.59015</v>
      </c>
      <c r="G48" s="61">
        <f>IF(FT!B48&lt;&gt;"",FT!B48*100,"")</f>
        <v>44.993100000000005</v>
      </c>
      <c r="H48" s="61">
        <f t="shared" si="1"/>
        <v>1</v>
      </c>
      <c r="I48" t="str">
        <f>IF(FT!B48&lt;&gt;"",FT!E48,"")</f>
        <v>1 [18.682725]</v>
      </c>
      <c r="J48">
        <f>IF(FT!B48&lt;&gt;"",FT!C48,"")</f>
        <v>18.682700000000001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133935</v>
      </c>
      <c r="D49" s="61">
        <f>FH!B49*1</f>
        <v>133935</v>
      </c>
      <c r="E49">
        <f t="shared" si="3"/>
        <v>47</v>
      </c>
      <c r="F49" s="61">
        <f>IF(FT!A49&lt;&gt;"",FT!A49*10,"")</f>
        <v>2.5649600000000001</v>
      </c>
      <c r="G49" s="61">
        <f>IF(FT!B49&lt;&gt;"",FT!B49*100,"")</f>
        <v>45.174700000000001</v>
      </c>
      <c r="H49" s="61">
        <f t="shared" si="1"/>
        <v>1</v>
      </c>
      <c r="I49" t="str">
        <f>IF(FT!B49&lt;&gt;"",FT!E49,"")</f>
        <v>1 [19.093348]</v>
      </c>
      <c r="J49">
        <f>IF(FT!B49&lt;&gt;"",FT!C49,"")</f>
        <v>19.093299999999999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2.53952</v>
      </c>
      <c r="G50" s="61">
        <f>IF(FT!B50&lt;&gt;"",FT!B50*100,"")</f>
        <v>45.456899999999997</v>
      </c>
      <c r="H50" s="61">
        <f t="shared" si="1"/>
        <v>1</v>
      </c>
      <c r="I50" t="str">
        <f>IF(FT!B50&lt;&gt;"",FT!E50,"")</f>
        <v>1 [19.499442]</v>
      </c>
      <c r="J50">
        <f>IF(FT!B50&lt;&gt;"",FT!C50,"")</f>
        <v>19.499400000000001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143590</v>
      </c>
      <c r="D51" s="61">
        <f>FH!B51*1</f>
        <v>143590</v>
      </c>
      <c r="E51">
        <f t="shared" si="3"/>
        <v>49</v>
      </c>
      <c r="F51" s="61">
        <f>IF(FT!A51&lt;&gt;"",FT!A51*10,"")</f>
        <v>2.5140000000000002</v>
      </c>
      <c r="G51" s="61">
        <f>IF(FT!B51&lt;&gt;"",FT!B51*100,"")</f>
        <v>45.840199999999996</v>
      </c>
      <c r="H51" s="61">
        <f t="shared" si="1"/>
        <v>1</v>
      </c>
      <c r="I51" t="str">
        <f>IF(FT!B51&lt;&gt;"",FT!E51,"")</f>
        <v>1 [19.901190]</v>
      </c>
      <c r="J51">
        <f>IF(FT!B51&lt;&gt;"",FT!C51,"")</f>
        <v>19.901199999999999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2.4910700000000001</v>
      </c>
      <c r="G52" s="61">
        <f>IF(FT!B52&lt;&gt;"",FT!B52*100,"")</f>
        <v>46.250999999999998</v>
      </c>
      <c r="H52" s="61">
        <f t="shared" si="1"/>
        <v>1</v>
      </c>
      <c r="I52" t="str">
        <f>IF(FT!B52&lt;&gt;"",FT!E52,"")</f>
        <v>1 [20.311113]</v>
      </c>
      <c r="J52">
        <f>IF(FT!B52&lt;&gt;"",FT!C52,"")</f>
        <v>20.3111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2.4690300000000001</v>
      </c>
      <c r="G53" s="61">
        <f>IF(FT!B53&lt;&gt;"",FT!B53*100,"")</f>
        <v>46.747599999999998</v>
      </c>
      <c r="H53" s="61">
        <f t="shared" si="1"/>
        <v>1</v>
      </c>
      <c r="I53" t="str">
        <f>IF(FT!B53&lt;&gt;"",FT!E53,"")</f>
        <v>1 [20.719145]</v>
      </c>
      <c r="J53">
        <f>IF(FT!B53&lt;&gt;"",FT!C53,"")</f>
        <v>20.719100000000001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138366</v>
      </c>
      <c r="D54" s="61">
        <f>FH!B54*1</f>
        <v>138366</v>
      </c>
      <c r="E54">
        <f t="shared" si="3"/>
        <v>52</v>
      </c>
      <c r="F54" s="61">
        <f>IF(FT!A54&lt;&gt;"",FT!A54*10,"")</f>
        <v>2.4510800000000001</v>
      </c>
      <c r="G54" s="61">
        <f>IF(FT!B54&lt;&gt;"",FT!B54*100,"")</f>
        <v>47.166400000000003</v>
      </c>
      <c r="H54" s="61">
        <f t="shared" si="1"/>
        <v>1</v>
      </c>
      <c r="I54" t="str">
        <f>IF(FT!B54&lt;&gt;"",FT!E54,"")</f>
        <v>1 [21.122971]</v>
      </c>
      <c r="J54">
        <f>IF(FT!B54&lt;&gt;"",FT!C54,"")</f>
        <v>21.123000000000001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2.4414899999999999</v>
      </c>
      <c r="G55" s="61">
        <f>IF(FT!B55&lt;&gt;"",FT!B55*100,"")</f>
        <v>47.434100000000001</v>
      </c>
      <c r="H55" s="61">
        <f t="shared" si="1"/>
        <v>1</v>
      </c>
      <c r="I55" t="str">
        <f>IF(FT!B55&lt;&gt;"",FT!E55,"")</f>
        <v>1 [21.530933]</v>
      </c>
      <c r="J55">
        <f>IF(FT!B55&lt;&gt;"",FT!C55,"")</f>
        <v>21.530899999999999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2.4346899999999998</v>
      </c>
      <c r="G56" s="61">
        <f>IF(FT!B56&lt;&gt;"",FT!B56*100,"")</f>
        <v>47.701700000000002</v>
      </c>
      <c r="H56" s="61">
        <f t="shared" si="1"/>
        <v>1</v>
      </c>
      <c r="I56" t="str">
        <f>IF(FT!B56&lt;&gt;"",FT!E56,"")</f>
        <v>1 [21.934062]</v>
      </c>
      <c r="J56">
        <f>IF(FT!B56&lt;&gt;"",FT!C56,"")</f>
        <v>21.934100000000001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167171</v>
      </c>
      <c r="D57" s="61">
        <f>FH!B57*1</f>
        <v>167171</v>
      </c>
      <c r="E57">
        <f t="shared" si="3"/>
        <v>55</v>
      </c>
      <c r="F57" s="61">
        <f>IF(FT!A57&lt;&gt;"",FT!A57*10,"")</f>
        <v>2.43032</v>
      </c>
      <c r="G57" s="61">
        <f>IF(FT!B57&lt;&gt;"",FT!B57*100,"")</f>
        <v>47.953899999999997</v>
      </c>
      <c r="H57" s="61">
        <f t="shared" si="1"/>
        <v>1</v>
      </c>
      <c r="I57" t="str">
        <f>IF(FT!B57&lt;&gt;"",FT!E57,"")</f>
        <v>1 [22.337903]</v>
      </c>
      <c r="J57">
        <f>IF(FT!B57&lt;&gt;"",FT!C57,"")</f>
        <v>22.337900000000001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2.4315899999999999</v>
      </c>
      <c r="G58" s="61">
        <f>IF(FT!B58&lt;&gt;"",FT!B58*100,"")</f>
        <v>48.219899999999996</v>
      </c>
      <c r="H58" s="61">
        <f t="shared" si="1"/>
        <v>1</v>
      </c>
      <c r="I58" t="str">
        <f>IF(FT!B58&lt;&gt;"",FT!E58,"")</f>
        <v>1 [22.750836]</v>
      </c>
      <c r="J58">
        <f>IF(FT!B58&lt;&gt;"",FT!C58,"")</f>
        <v>22.750800000000002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177545</v>
      </c>
      <c r="D59" s="61">
        <f>FH!B59*1</f>
        <v>177545</v>
      </c>
      <c r="E59">
        <f t="shared" si="3"/>
        <v>57</v>
      </c>
      <c r="F59" s="61">
        <f>IF(FT!A59&lt;&gt;"",FT!A59*10,"")</f>
        <v>2.42754</v>
      </c>
      <c r="G59" s="61">
        <f>IF(FT!B59&lt;&gt;"",FT!B59*100,"")</f>
        <v>48.367199999999997</v>
      </c>
      <c r="H59" s="61">
        <f t="shared" si="1"/>
        <v>1</v>
      </c>
      <c r="I59" t="str">
        <f>IF(FT!B59&lt;&gt;"",FT!E59,"")</f>
        <v>1 [23.155057]</v>
      </c>
      <c r="J59">
        <f>IF(FT!B59&lt;&gt;"",FT!C59,"")</f>
        <v>23.155100000000001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2.4295400000000003</v>
      </c>
      <c r="G60" s="61">
        <f>IF(FT!B60&lt;&gt;"",FT!B60*100,"")</f>
        <v>48.468499999999999</v>
      </c>
      <c r="H60" s="61">
        <f t="shared" si="1"/>
        <v>1</v>
      </c>
      <c r="I60" t="str">
        <f>IF(FT!B60&lt;&gt;"",FT!E60,"")</f>
        <v>1 [23.559440]</v>
      </c>
      <c r="J60">
        <f>IF(FT!B60&lt;&gt;"",FT!C60,"")</f>
        <v>23.5594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2.4335899999999997</v>
      </c>
      <c r="G61" s="61">
        <f>IF(FT!B61&lt;&gt;"",FT!B61*100,"")</f>
        <v>48.5441</v>
      </c>
      <c r="H61" s="61">
        <f t="shared" si="1"/>
        <v>1</v>
      </c>
      <c r="I61" t="str">
        <f>IF(FT!B61&lt;&gt;"",FT!E61,"")</f>
        <v>1 [23.963076]</v>
      </c>
      <c r="J61">
        <f>IF(FT!B61&lt;&gt;"",FT!C61,"")</f>
        <v>23.963100000000001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173969</v>
      </c>
      <c r="D62" s="61">
        <f>FH!B62*1</f>
        <v>173969</v>
      </c>
      <c r="E62">
        <f t="shared" si="3"/>
        <v>60</v>
      </c>
      <c r="F62" s="61">
        <f>IF(FT!A62&lt;&gt;"",FT!A62*10,"")</f>
        <v>2.4413199999999997</v>
      </c>
      <c r="G62" s="61">
        <f>IF(FT!B62&lt;&gt;"",FT!B62*100,"")</f>
        <v>48.529299999999999</v>
      </c>
      <c r="H62" s="61">
        <f t="shared" si="1"/>
        <v>1</v>
      </c>
      <c r="I62" t="str">
        <f>IF(FT!B62&lt;&gt;"",FT!E62,"")</f>
        <v>1 [24.369879]</v>
      </c>
      <c r="J62">
        <f>IF(FT!B62&lt;&gt;"",FT!C62,"")</f>
        <v>24.369900000000001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2.4569000000000001</v>
      </c>
      <c r="G63" s="61">
        <f>IF(FT!B63&lt;&gt;"",FT!B63*100,"")</f>
        <v>48.485700000000001</v>
      </c>
      <c r="H63" s="61">
        <f t="shared" si="1"/>
        <v>1</v>
      </c>
      <c r="I63" t="str">
        <f>IF(FT!B63&lt;&gt;"",FT!E63,"")</f>
        <v>1 [24.782382]</v>
      </c>
      <c r="J63">
        <f>IF(FT!B63&lt;&gt;"",FT!C63,"")</f>
        <v>24.782399999999999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177207</v>
      </c>
      <c r="D64" s="61">
        <f>FH!B64*1</f>
        <v>177207</v>
      </c>
      <c r="E64">
        <f t="shared" si="3"/>
        <v>62</v>
      </c>
      <c r="F64" s="61">
        <f>IF(FT!A64&lt;&gt;"",FT!A64*10,"")</f>
        <v>2.4602499999999998</v>
      </c>
      <c r="G64" s="61">
        <f>IF(FT!B64&lt;&gt;"",FT!B64*100,"")</f>
        <v>48.486899999999999</v>
      </c>
      <c r="H64" s="61">
        <f t="shared" si="1"/>
        <v>1</v>
      </c>
      <c r="I64" t="str">
        <f>IF(FT!B64&lt;&gt;"",FT!E64,"")</f>
        <v>1 [25.186131]</v>
      </c>
      <c r="J64">
        <f>IF(FT!B64&lt;&gt;"",FT!C64,"")</f>
        <v>25.1861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2.47322</v>
      </c>
      <c r="G65" s="61">
        <f>IF(FT!B65&lt;&gt;"",FT!B65*100,"")</f>
        <v>48.332099999999997</v>
      </c>
      <c r="H65" s="61">
        <f t="shared" si="1"/>
        <v>1</v>
      </c>
      <c r="I65" t="str">
        <f>IF(FT!B65&lt;&gt;"",FT!E65,"")</f>
        <v>1 [25.589100]</v>
      </c>
      <c r="J65">
        <f>IF(FT!B65&lt;&gt;"",FT!C65,"")</f>
        <v>25.589099999999998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2.48766</v>
      </c>
      <c r="G66" s="61">
        <f>IF(FT!B66&lt;&gt;"",FT!B66*100,"")</f>
        <v>48.146699999999996</v>
      </c>
      <c r="H66" s="61">
        <f t="shared" si="1"/>
        <v>1</v>
      </c>
      <c r="I66" t="str">
        <f>IF(FT!B66&lt;&gt;"",FT!E66,"")</f>
        <v>1 [25.995935]</v>
      </c>
      <c r="J66">
        <f>IF(FT!B66&lt;&gt;"",FT!C66,"")</f>
        <v>25.995899999999999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177935</v>
      </c>
      <c r="D67" s="61">
        <f>FH!B67*1</f>
        <v>177935</v>
      </c>
      <c r="E67">
        <f t="shared" si="3"/>
        <v>65</v>
      </c>
      <c r="F67" s="61">
        <f>IF(FT!A67&lt;&gt;"",FT!A67*10,"")</f>
        <v>2.50922</v>
      </c>
      <c r="G67" s="61">
        <f>IF(FT!B67&lt;&gt;"",FT!B67*100,"")</f>
        <v>47.8414</v>
      </c>
      <c r="H67" s="61">
        <f t="shared" ref="H67:H130" si="9">(IF(F67&lt;&gt;"",1,""))</f>
        <v>1</v>
      </c>
      <c r="I67" t="str">
        <f>IF(FT!B67&lt;&gt;"",FT!E67,"")</f>
        <v>1 [26.406855]</v>
      </c>
      <c r="J67">
        <f>IF(FT!B67&lt;&gt;"",FT!C67,"")</f>
        <v>26.4069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2.52142</v>
      </c>
      <c r="G68" s="61">
        <f>IF(FT!B68&lt;&gt;"",FT!B68*100,"")</f>
        <v>47.685200000000002</v>
      </c>
      <c r="H68" s="61">
        <f t="shared" si="9"/>
        <v>1</v>
      </c>
      <c r="I68" t="str">
        <f>IF(FT!B68&lt;&gt;"",FT!E68,"")</f>
        <v>1 [26.808522]</v>
      </c>
      <c r="J68">
        <f>IF(FT!B68&lt;&gt;"",FT!C68,"")</f>
        <v>26.808499999999999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156553</v>
      </c>
      <c r="D69" s="61">
        <f>FH!B69*1</f>
        <v>156553</v>
      </c>
      <c r="E69">
        <f t="shared" si="11"/>
        <v>67</v>
      </c>
      <c r="F69" s="61">
        <f>IF(FT!A69&lt;&gt;"",FT!A69*10,"")</f>
        <v>2.5476900000000002</v>
      </c>
      <c r="G69" s="61">
        <f>IF(FT!B69&lt;&gt;"",FT!B69*100,"")</f>
        <v>47.423000000000002</v>
      </c>
      <c r="H69" s="61">
        <f t="shared" si="9"/>
        <v>1</v>
      </c>
      <c r="I69" t="str">
        <f>IF(FT!B69&lt;&gt;"",FT!E69,"")</f>
        <v>1 [27.216962]</v>
      </c>
      <c r="J69">
        <f>IF(FT!B69&lt;&gt;"",FT!C69,"")</f>
        <v>27.216999999999999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2.5695099999999997</v>
      </c>
      <c r="G70" s="61">
        <f>IF(FT!B70&lt;&gt;"",FT!B70*100,"")</f>
        <v>47.274300000000004</v>
      </c>
      <c r="H70" s="61">
        <f t="shared" si="9"/>
        <v>1</v>
      </c>
      <c r="I70" t="str">
        <f>IF(FT!B70&lt;&gt;"",FT!E70,"")</f>
        <v>1 [27.619618]</v>
      </c>
      <c r="J70">
        <f>IF(FT!B70&lt;&gt;"",FT!C70,"")</f>
        <v>27.619599999999998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2.5920399999999999</v>
      </c>
      <c r="G71" s="61">
        <f>IF(FT!B71&lt;&gt;"",FT!B71*100,"")</f>
        <v>47.178599999999996</v>
      </c>
      <c r="H71" s="61">
        <f t="shared" si="9"/>
        <v>1</v>
      </c>
      <c r="I71" t="str">
        <f>IF(FT!B71&lt;&gt;"",FT!E71,"")</f>
        <v>1 [28.029476]</v>
      </c>
      <c r="J71">
        <f>IF(FT!B71&lt;&gt;"",FT!C71,"")</f>
        <v>28.029499999999999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163032</v>
      </c>
      <c r="D72" s="61">
        <f>FH!B72*1</f>
        <v>163032</v>
      </c>
      <c r="E72">
        <f t="shared" si="11"/>
        <v>70</v>
      </c>
      <c r="F72" s="61">
        <f>IF(FT!A72&lt;&gt;"",FT!A72*10,"")</f>
        <v>2.61511</v>
      </c>
      <c r="G72" s="61">
        <f>IF(FT!B72&lt;&gt;"",FT!B72*100,"")</f>
        <v>47.0184</v>
      </c>
      <c r="H72" s="61">
        <f t="shared" si="9"/>
        <v>1</v>
      </c>
      <c r="I72" t="str">
        <f>IF(FT!B72&lt;&gt;"",FT!E72,"")</f>
        <v>1 [28.435457]</v>
      </c>
      <c r="J72">
        <f>IF(FT!B72&lt;&gt;"",FT!C72,"")</f>
        <v>28.435500000000001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2.63801</v>
      </c>
      <c r="G73" s="61">
        <f>IF(FT!B73&lt;&gt;"",FT!B73*100,"")</f>
        <v>46.827999999999996</v>
      </c>
      <c r="H73" s="61">
        <f t="shared" si="9"/>
        <v>1</v>
      </c>
      <c r="I73" t="str">
        <f>IF(FT!B73&lt;&gt;"",FT!E73,"")</f>
        <v>1 [28.844619]</v>
      </c>
      <c r="J73">
        <f>IF(FT!B73&lt;&gt;"",FT!C73,"")</f>
        <v>28.8446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2.6557599999999999</v>
      </c>
      <c r="G74" s="61">
        <f>IF(FT!B74&lt;&gt;"",FT!B74*100,"")</f>
        <v>46.770099999999999</v>
      </c>
      <c r="H74" s="61">
        <f t="shared" si="9"/>
        <v>1</v>
      </c>
      <c r="I74" t="str">
        <f>IF(FT!B74&lt;&gt;"",FT!E74,"")</f>
        <v>1 [29.251167]</v>
      </c>
      <c r="J74">
        <f>IF(FT!B74&lt;&gt;"",FT!C74,"")</f>
        <v>29.251200000000001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153620</v>
      </c>
      <c r="D75" s="61">
        <f>FH!B75*1</f>
        <v>153620</v>
      </c>
      <c r="E75">
        <f t="shared" si="11"/>
        <v>73</v>
      </c>
      <c r="F75" s="61">
        <f>IF(FT!A75&lt;&gt;"",FT!A75*10,"")</f>
        <v>2.6834200000000004</v>
      </c>
      <c r="G75" s="61">
        <f>IF(FT!B75&lt;&gt;"",FT!B75*100,"")</f>
        <v>46.3063</v>
      </c>
      <c r="H75" s="61">
        <f t="shared" si="9"/>
        <v>1</v>
      </c>
      <c r="I75" t="str">
        <f>IF(FT!B75&lt;&gt;"",FT!E75,"")</f>
        <v>1 [29.659273]</v>
      </c>
      <c r="J75">
        <f>IF(FT!B75&lt;&gt;"",FT!C75,"")</f>
        <v>29.659300000000002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2.7056799999999996</v>
      </c>
      <c r="G76" s="61">
        <f>IF(FT!B76&lt;&gt;"",FT!B76*100,"")</f>
        <v>45.987499999999997</v>
      </c>
      <c r="H76" s="61">
        <f t="shared" si="9"/>
        <v>1</v>
      </c>
      <c r="I76" t="str">
        <f>IF(FT!B76&lt;&gt;"",FT!E76,"")</f>
        <v>2 [30.251876]</v>
      </c>
      <c r="J76">
        <f>IF(FT!B76&lt;&gt;"",FT!C76,"")</f>
        <v>30.251899999999999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140441</v>
      </c>
      <c r="D77" s="61">
        <f>FH!B77*1</f>
        <v>140441</v>
      </c>
      <c r="E77">
        <f t="shared" si="11"/>
        <v>75</v>
      </c>
      <c r="F77" s="61">
        <f>IF(FT!A77&lt;&gt;"",FT!A77*10,"")</f>
        <v>2.7263999999999999</v>
      </c>
      <c r="G77" s="61">
        <f>IF(FT!B77&lt;&gt;"",FT!B77*100,"")</f>
        <v>45.650800000000004</v>
      </c>
      <c r="H77" s="61">
        <f t="shared" si="9"/>
        <v>1</v>
      </c>
      <c r="I77" t="str">
        <f>IF(FT!B77&lt;&gt;"",FT!E77,"")</f>
        <v>2 [30.627525]</v>
      </c>
      <c r="J77">
        <f>IF(FT!B77&lt;&gt;"",FT!C77,"")</f>
        <v>30.627500000000001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2.7465099999999998</v>
      </c>
      <c r="G78" s="61">
        <f>IF(FT!B78&lt;&gt;"",FT!B78*100,"")</f>
        <v>45.227800000000002</v>
      </c>
      <c r="H78" s="61">
        <f t="shared" si="9"/>
        <v>1</v>
      </c>
      <c r="I78" t="str">
        <f>IF(FT!B78&lt;&gt;"",FT!E78,"")</f>
        <v>2 [31.000187]</v>
      </c>
      <c r="J78">
        <f>IF(FT!B78&lt;&gt;"",FT!C78,"")</f>
        <v>31.0002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2.7652999999999999</v>
      </c>
      <c r="G79" s="61">
        <f>IF(FT!B79&lt;&gt;"",FT!B79*100,"")</f>
        <v>44.7742</v>
      </c>
      <c r="H79" s="61">
        <f t="shared" si="9"/>
        <v>1</v>
      </c>
      <c r="I79" t="str">
        <f>IF(FT!B79&lt;&gt;"",FT!E79,"")</f>
        <v>2 [31.374878]</v>
      </c>
      <c r="J79">
        <f>IF(FT!B79&lt;&gt;"",FT!C79,"")</f>
        <v>31.3749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130531</v>
      </c>
      <c r="D80" s="61">
        <f>FH!B80*1</f>
        <v>130531</v>
      </c>
      <c r="E80">
        <f t="shared" si="11"/>
        <v>78</v>
      </c>
      <c r="F80" s="61">
        <f>IF(FT!A80&lt;&gt;"",FT!A80*10,"")</f>
        <v>2.7837200000000002</v>
      </c>
      <c r="G80" s="61">
        <f>IF(FT!B80&lt;&gt;"",FT!B80*100,"")</f>
        <v>44.222999999999999</v>
      </c>
      <c r="H80" s="61">
        <f t="shared" si="9"/>
        <v>1</v>
      </c>
      <c r="I80" t="str">
        <f>IF(FT!B80&lt;&gt;"",FT!E80,"")</f>
        <v>2 [31.749802]</v>
      </c>
      <c r="J80">
        <f>IF(FT!B80&lt;&gt;"",FT!C80,"")</f>
        <v>31.7498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2.8019600000000002</v>
      </c>
      <c r="G81" s="61">
        <f>IF(FT!B81&lt;&gt;"",FT!B81*100,"")</f>
        <v>43.614100000000001</v>
      </c>
      <c r="H81" s="61">
        <f t="shared" si="9"/>
        <v>1</v>
      </c>
      <c r="I81" t="str">
        <f>IF(FT!B81&lt;&gt;"",FT!E81,"")</f>
        <v>2 [32.137500]</v>
      </c>
      <c r="J81">
        <f>IF(FT!B81&lt;&gt;"",FT!C81,"")</f>
        <v>32.137500000000003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132210</v>
      </c>
      <c r="D82" s="61">
        <f>FH!B82*1</f>
        <v>132210</v>
      </c>
      <c r="E82">
        <f t="shared" si="11"/>
        <v>80</v>
      </c>
      <c r="F82" s="61">
        <f>IF(FT!A82&lt;&gt;"",FT!A82*10,"")</f>
        <v>2.8193400000000004</v>
      </c>
      <c r="G82" s="61">
        <f>IF(FT!B82&lt;&gt;"",FT!B82*100,"")</f>
        <v>43.001400000000004</v>
      </c>
      <c r="H82" s="61">
        <f t="shared" si="9"/>
        <v>1</v>
      </c>
      <c r="I82" t="str">
        <f>IF(FT!B82&lt;&gt;"",FT!E82,"")</f>
        <v>2 [32.546575]</v>
      </c>
      <c r="J82">
        <f>IF(FT!B82&lt;&gt;"",FT!C82,"")</f>
        <v>32.546599999999998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2.83521</v>
      </c>
      <c r="G83" s="61">
        <f>IF(FT!B83&lt;&gt;"",FT!B83*100,"")</f>
        <v>42.444600000000001</v>
      </c>
      <c r="H83" s="61">
        <f t="shared" si="9"/>
        <v>1</v>
      </c>
      <c r="I83" t="str">
        <f>IF(FT!B83&lt;&gt;"",FT!E83,"")</f>
        <v>2 [32.953351]</v>
      </c>
      <c r="J83">
        <f>IF(FT!B83&lt;&gt;"",FT!C83,"")</f>
        <v>32.953400000000002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2.8470800000000001</v>
      </c>
      <c r="G84" s="61">
        <f>IF(FT!B84&lt;&gt;"",FT!B84*100,"")</f>
        <v>41.948299999999996</v>
      </c>
      <c r="H84" s="61">
        <f t="shared" si="9"/>
        <v>1</v>
      </c>
      <c r="I84" t="str">
        <f>IF(FT!B84&lt;&gt;"",FT!E84,"")</f>
        <v>2 [33.362211]</v>
      </c>
      <c r="J84">
        <f>IF(FT!B84&lt;&gt;"",FT!C84,"")</f>
        <v>33.362200000000001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121443</v>
      </c>
      <c r="D85" s="61">
        <f>FH!B85*1</f>
        <v>121443</v>
      </c>
      <c r="E85">
        <f t="shared" si="11"/>
        <v>83</v>
      </c>
      <c r="F85" s="61">
        <f>IF(FT!A85&lt;&gt;"",FT!A85*10,"")</f>
        <v>2.8574600000000001</v>
      </c>
      <c r="G85" s="61">
        <f>IF(FT!B85&lt;&gt;"",FT!B85*100,"")</f>
        <v>41.4664</v>
      </c>
      <c r="H85" s="61">
        <f t="shared" si="9"/>
        <v>1</v>
      </c>
      <c r="I85" t="str">
        <f>IF(FT!B85&lt;&gt;"",FT!E85,"")</f>
        <v>2 [33.764246]</v>
      </c>
      <c r="J85">
        <f>IF(FT!B85&lt;&gt;"",FT!C85,"")</f>
        <v>33.764200000000002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2.8683900000000002</v>
      </c>
      <c r="G86" s="61">
        <f>IF(FT!B86&lt;&gt;"",FT!B86*100,"")</f>
        <v>40.916999999999994</v>
      </c>
      <c r="H86" s="61">
        <f t="shared" si="9"/>
        <v>1</v>
      </c>
      <c r="I86" t="str">
        <f>IF(FT!B86&lt;&gt;"",FT!E86,"")</f>
        <v>2 [34.171076]</v>
      </c>
      <c r="J86">
        <f>IF(FT!B86&lt;&gt;"",FT!C86,"")</f>
        <v>34.171100000000003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2.8786699999999996</v>
      </c>
      <c r="G87" s="61">
        <f>IF(FT!B87&lt;&gt;"",FT!B87*100,"")</f>
        <v>40.325499999999998</v>
      </c>
      <c r="H87" s="61">
        <f t="shared" si="9"/>
        <v>1</v>
      </c>
      <c r="I87" t="str">
        <f>IF(FT!B87&lt;&gt;"",FT!E87,"")</f>
        <v>2 [34.575134]</v>
      </c>
      <c r="J87">
        <f>IF(FT!B87&lt;&gt;"",FT!C87,"")</f>
        <v>34.575099999999999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110756</v>
      </c>
      <c r="D88" s="61">
        <f>FH!B88*1</f>
        <v>110756</v>
      </c>
      <c r="E88">
        <f t="shared" si="11"/>
        <v>86</v>
      </c>
      <c r="F88" s="61">
        <f>IF(FT!A88&lt;&gt;"",FT!A88*10,"")</f>
        <v>2.8890900000000004</v>
      </c>
      <c r="G88" s="61">
        <f>IF(FT!B88&lt;&gt;"",FT!B88*100,"")</f>
        <v>39.705500000000001</v>
      </c>
      <c r="H88" s="61">
        <f t="shared" si="9"/>
        <v>1</v>
      </c>
      <c r="I88" t="str">
        <f>IF(FT!B88&lt;&gt;"",FT!E88,"")</f>
        <v>2 [34.986931]</v>
      </c>
      <c r="J88">
        <f>IF(FT!B88&lt;&gt;"",FT!C88,"")</f>
        <v>34.986899999999999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2.8995300000000004</v>
      </c>
      <c r="G89" s="61">
        <f>IF(FT!B89&lt;&gt;"",FT!B89*100,"")</f>
        <v>39.106900000000003</v>
      </c>
      <c r="H89" s="61">
        <f t="shared" si="9"/>
        <v>1</v>
      </c>
      <c r="I89" t="str">
        <f>IF(FT!B89&lt;&gt;"",FT!E89,"")</f>
        <v>2 [35.390010]</v>
      </c>
      <c r="J89">
        <f>IF(FT!B89&lt;&gt;"",FT!C89,"")</f>
        <v>35.39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111508</v>
      </c>
      <c r="D90" s="61">
        <f>FH!B90*1</f>
        <v>111508</v>
      </c>
      <c r="E90">
        <f t="shared" si="11"/>
        <v>88</v>
      </c>
      <c r="F90" s="61">
        <f>IF(FT!A90&lt;&gt;"",FT!A90*10,"")</f>
        <v>2.9104799999999997</v>
      </c>
      <c r="G90" s="61">
        <f>IF(FT!B90&lt;&gt;"",FT!B90*100,"")</f>
        <v>38.511800000000001</v>
      </c>
      <c r="H90" s="61">
        <f t="shared" si="9"/>
        <v>1</v>
      </c>
      <c r="I90" t="str">
        <f>IF(FT!B90&lt;&gt;"",FT!E90,"")</f>
        <v>2 [35.794730]</v>
      </c>
      <c r="J90">
        <f>IF(FT!B90&lt;&gt;"",FT!C90,"")</f>
        <v>35.794699999999999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2.9224499999999995</v>
      </c>
      <c r="G91" s="61">
        <f>IF(FT!B91&lt;&gt;"",FT!B91*100,"")</f>
        <v>37.931699999999999</v>
      </c>
      <c r="H91" s="61">
        <f t="shared" si="9"/>
        <v>1</v>
      </c>
      <c r="I91" t="str">
        <f>IF(FT!B91&lt;&gt;"",FT!E91,"")</f>
        <v>2 [36.200036]</v>
      </c>
      <c r="J91">
        <f>IF(FT!B91&lt;&gt;"",FT!C91,"")</f>
        <v>36.200000000000003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2.9348200000000002</v>
      </c>
      <c r="G92" s="61">
        <f>IF(FT!B92&lt;&gt;"",FT!B92*100,"")</f>
        <v>37.360599999999998</v>
      </c>
      <c r="H92" s="61">
        <f t="shared" si="9"/>
        <v>1</v>
      </c>
      <c r="I92" t="str">
        <f>IF(FT!B92&lt;&gt;"",FT!E92,"")</f>
        <v>2 [36.607707]</v>
      </c>
      <c r="J92">
        <f>IF(FT!B92&lt;&gt;"",FT!C92,"")</f>
        <v>36.607700000000001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103109</v>
      </c>
      <c r="D93" s="61">
        <f>FH!B93*1</f>
        <v>103109</v>
      </c>
      <c r="E93">
        <f t="shared" si="11"/>
        <v>91</v>
      </c>
      <c r="F93" s="61">
        <f>IF(FT!A93&lt;&gt;"",FT!A93*10,"")</f>
        <v>2.9455499999999999</v>
      </c>
      <c r="G93" s="61">
        <f>IF(FT!B93&lt;&gt;"",FT!B93*100,"")</f>
        <v>36.900300000000001</v>
      </c>
      <c r="H93" s="61">
        <f t="shared" si="9"/>
        <v>1</v>
      </c>
      <c r="I93" t="str">
        <f>IF(FT!B93&lt;&gt;"",FT!E93,"")</f>
        <v>2 [37.017579]</v>
      </c>
      <c r="J93">
        <f>IF(FT!B93&lt;&gt;"",FT!C93,"")</f>
        <v>37.017600000000002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2.9543699999999999</v>
      </c>
      <c r="G94" s="61">
        <f>IF(FT!B94&lt;&gt;"",FT!B94*100,"")</f>
        <v>36.520899999999997</v>
      </c>
      <c r="H94" s="61">
        <f t="shared" si="9"/>
        <v>1</v>
      </c>
      <c r="I94" t="str">
        <f>IF(FT!B94&lt;&gt;"",FT!E94,"")</f>
        <v>2 [37.419496]</v>
      </c>
      <c r="J94">
        <f>IF(FT!B94&lt;&gt;"",FT!C94,"")</f>
        <v>37.419499999999999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103489</v>
      </c>
      <c r="D95" s="61">
        <f>FH!B95*1</f>
        <v>103489</v>
      </c>
      <c r="E95">
        <f t="shared" si="11"/>
        <v>93</v>
      </c>
      <c r="F95" s="61">
        <f>IF(FT!A95&lt;&gt;"",FT!A95*10,"")</f>
        <v>2.9612600000000002</v>
      </c>
      <c r="G95" s="61">
        <f>IF(FT!B95&lt;&gt;"",FT!B95*100,"")</f>
        <v>36.195699999999995</v>
      </c>
      <c r="H95" s="61">
        <f t="shared" si="9"/>
        <v>1</v>
      </c>
      <c r="I95" t="str">
        <f>IF(FT!B95&lt;&gt;"",FT!E95,"")</f>
        <v>2 [37.827242]</v>
      </c>
      <c r="J95">
        <f>IF(FT!B95&lt;&gt;"",FT!C95,"")</f>
        <v>37.827199999999998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2.9651000000000001</v>
      </c>
      <c r="G96" s="61">
        <f>IF(FT!B96&lt;&gt;"",FT!B96*100,"")</f>
        <v>35.896999999999998</v>
      </c>
      <c r="H96" s="61">
        <f t="shared" si="9"/>
        <v>1</v>
      </c>
      <c r="I96" t="str">
        <f>IF(FT!B96&lt;&gt;"",FT!E96,"")</f>
        <v>2 [38.231213]</v>
      </c>
      <c r="J96">
        <f>IF(FT!B96&lt;&gt;"",FT!C96,"")</f>
        <v>38.231200000000001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2.96469</v>
      </c>
      <c r="G97" s="61">
        <f>IF(FT!B97&lt;&gt;"",FT!B97*100,"")</f>
        <v>35.643700000000003</v>
      </c>
      <c r="H97" s="61">
        <f t="shared" si="9"/>
        <v>1</v>
      </c>
      <c r="I97" t="str">
        <f>IF(FT!B97&lt;&gt;"",FT!E97,"")</f>
        <v>2 [38.639238]</v>
      </c>
      <c r="J97">
        <f>IF(FT!B97&lt;&gt;"",FT!C97,"")</f>
        <v>38.639200000000002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88973</v>
      </c>
      <c r="D98" s="61">
        <f>FH!B98*1</f>
        <v>88973</v>
      </c>
      <c r="E98">
        <f t="shared" si="11"/>
        <v>96</v>
      </c>
      <c r="F98" s="61">
        <f>IF(FT!A98&lt;&gt;"",FT!A98*10,"")</f>
        <v>2.9608800000000004</v>
      </c>
      <c r="G98" s="61">
        <f>IF(FT!B98&lt;&gt;"",FT!B98*100,"")</f>
        <v>35.276499999999999</v>
      </c>
      <c r="H98" s="61">
        <f t="shared" si="9"/>
        <v>1</v>
      </c>
      <c r="I98" t="str">
        <f>IF(FT!B98&lt;&gt;"",FT!E98,"")</f>
        <v>2 [39.049020]</v>
      </c>
      <c r="J98">
        <f>IF(FT!B98&lt;&gt;"",FT!C98,"")</f>
        <v>39.048999999999999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2.9537400000000003</v>
      </c>
      <c r="G99" s="61">
        <f>IF(FT!B99&lt;&gt;"",FT!B99*100,"")</f>
        <v>34.851500000000001</v>
      </c>
      <c r="H99" s="61">
        <f t="shared" si="9"/>
        <v>1</v>
      </c>
      <c r="I99" t="str">
        <f>IF(FT!B99&lt;&gt;"",FT!E99,"")</f>
        <v>2 [39.454295]</v>
      </c>
      <c r="J99">
        <f>IF(FT!B99&lt;&gt;"",FT!C99,"")</f>
        <v>39.454300000000003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75719</v>
      </c>
      <c r="D100" s="61">
        <f>FH!B100*1</f>
        <v>75719</v>
      </c>
      <c r="E100">
        <f t="shared" si="11"/>
        <v>98</v>
      </c>
      <c r="F100" s="61">
        <f>IF(FT!A100&lt;&gt;"",FT!A100*10,"")</f>
        <v>2.9465500000000002</v>
      </c>
      <c r="G100" s="61">
        <f>IF(FT!B100&lt;&gt;"",FT!B100*100,"")</f>
        <v>34.438400000000001</v>
      </c>
      <c r="H100" s="61">
        <f t="shared" si="9"/>
        <v>1</v>
      </c>
      <c r="I100" t="str">
        <f>IF(FT!B100&lt;&gt;"",FT!E100,"")</f>
        <v>2 [39.860850]</v>
      </c>
      <c r="J100">
        <f>IF(FT!B100&lt;&gt;"",FT!C100,"")</f>
        <v>39.860799999999998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2.93811</v>
      </c>
      <c r="G101" s="61">
        <f>IF(FT!B101&lt;&gt;"",FT!B101*100,"")</f>
        <v>34.134700000000002</v>
      </c>
      <c r="H101" s="61">
        <f t="shared" si="9"/>
        <v>1</v>
      </c>
      <c r="I101" t="str">
        <f>IF(FT!B101&lt;&gt;"",FT!E101,"")</f>
        <v>2 [40.263731]</v>
      </c>
      <c r="J101">
        <f>IF(FT!B101&lt;&gt;"",FT!C101,"")</f>
        <v>40.2637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2.9231600000000002</v>
      </c>
      <c r="G102" s="61">
        <f>IF(FT!B102&lt;&gt;"",FT!B102*100,"")</f>
        <v>33.874900000000004</v>
      </c>
      <c r="H102" s="61">
        <f t="shared" si="9"/>
        <v>1</v>
      </c>
      <c r="I102" t="str">
        <f>IF(FT!B102&lt;&gt;"",FT!E102,"")</f>
        <v>2 [40.671915]</v>
      </c>
      <c r="J102">
        <f>IF(FT!B102&lt;&gt;"",FT!C102,"")</f>
        <v>40.671900000000001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73565</v>
      </c>
      <c r="D103" s="61">
        <f>FH!B103*1</f>
        <v>73565</v>
      </c>
      <c r="E103">
        <f t="shared" si="11"/>
        <v>101</v>
      </c>
      <c r="F103" s="61">
        <f>IF(FT!A103&lt;&gt;"",FT!A103*10,"")</f>
        <v>2.9078200000000001</v>
      </c>
      <c r="G103" s="61">
        <f>IF(FT!B103&lt;&gt;"",FT!B103*100,"")</f>
        <v>33.689099999999996</v>
      </c>
      <c r="H103" s="61">
        <f t="shared" si="9"/>
        <v>1</v>
      </c>
      <c r="I103" t="str">
        <f>IF(FT!B103&lt;&gt;"",FT!E103,"")</f>
        <v>2 [41.074803]</v>
      </c>
      <c r="J103">
        <f>IF(FT!B103&lt;&gt;"",FT!C103,"")</f>
        <v>41.074800000000003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2.8917799999999998</v>
      </c>
      <c r="G104" s="61">
        <f>IF(FT!B104&lt;&gt;"",FT!B104*100,"")</f>
        <v>33.5321</v>
      </c>
      <c r="H104" s="61">
        <f t="shared" si="9"/>
        <v>1</v>
      </c>
      <c r="I104" t="str">
        <f>IF(FT!B104&lt;&gt;"",FT!E104,"")</f>
        <v>2 [41.485494]</v>
      </c>
      <c r="J104">
        <f>IF(FT!B104&lt;&gt;"",FT!C104,"")</f>
        <v>41.485500000000002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2.87486</v>
      </c>
      <c r="G105" s="61">
        <f>IF(FT!B105&lt;&gt;"",FT!B105*100,"")</f>
        <v>33.526000000000003</v>
      </c>
      <c r="H105" s="61">
        <f t="shared" si="9"/>
        <v>1</v>
      </c>
      <c r="I105" t="str">
        <f>IF(FT!B105&lt;&gt;"",FT!E105,"")</f>
        <v>2 [41.891390]</v>
      </c>
      <c r="J105">
        <f>IF(FT!B105&lt;&gt;"",FT!C105,"")</f>
        <v>41.891399999999997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58528</v>
      </c>
      <c r="D106" s="61">
        <f>FH!B106*1</f>
        <v>58528</v>
      </c>
      <c r="E106">
        <f t="shared" si="11"/>
        <v>104</v>
      </c>
      <c r="F106" s="61">
        <f>IF(FT!A106&lt;&gt;"",FT!A106*10,"")</f>
        <v>2.8588999999999998</v>
      </c>
      <c r="G106" s="61">
        <f>IF(FT!B106&lt;&gt;"",FT!B106*100,"")</f>
        <v>33.681100000000001</v>
      </c>
      <c r="H106" s="61">
        <f t="shared" si="9"/>
        <v>1</v>
      </c>
      <c r="I106" t="str">
        <f>IF(FT!B106&lt;&gt;"",FT!E106,"")</f>
        <v>2 [42.294508]</v>
      </c>
      <c r="J106">
        <f>IF(FT!B106&lt;&gt;"",FT!C106,"")</f>
        <v>42.294499999999999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2.8436899999999996</v>
      </c>
      <c r="G107" s="61">
        <f>IF(FT!B107&lt;&gt;"",FT!B107*100,"")</f>
        <v>33.825800000000001</v>
      </c>
      <c r="H107" s="61">
        <f t="shared" si="9"/>
        <v>1</v>
      </c>
      <c r="I107" t="str">
        <f>IF(FT!B107&lt;&gt;"",FT!E107,"")</f>
        <v>2 [42.698273]</v>
      </c>
      <c r="J107">
        <f>IF(FT!B107&lt;&gt;"",FT!C107,"")</f>
        <v>42.698300000000003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48470</v>
      </c>
      <c r="D108" s="61">
        <f>FH!B108*1</f>
        <v>48470</v>
      </c>
      <c r="E108">
        <f t="shared" si="11"/>
        <v>106</v>
      </c>
      <c r="F108" s="61">
        <f>IF(FT!A108&lt;&gt;"",FT!A108*10,"")</f>
        <v>2.8307799999999999</v>
      </c>
      <c r="G108" s="61">
        <f>IF(FT!B108&lt;&gt;"",FT!B108*100,"")</f>
        <v>33.926099999999998</v>
      </c>
      <c r="H108" s="61">
        <f t="shared" si="9"/>
        <v>1</v>
      </c>
      <c r="I108" t="str">
        <f>IF(FT!B108&lt;&gt;"",FT!E108,"")</f>
        <v>2 [43.107301]</v>
      </c>
      <c r="J108">
        <f>IF(FT!B108&lt;&gt;"",FT!C108,"")</f>
        <v>43.107300000000002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2.8176399999999999</v>
      </c>
      <c r="G109" s="61">
        <f>IF(FT!B109&lt;&gt;"",FT!B109*100,"")</f>
        <v>34.075000000000003</v>
      </c>
      <c r="H109" s="61">
        <f t="shared" si="9"/>
        <v>1</v>
      </c>
      <c r="I109" t="str">
        <f>IF(FT!B109&lt;&gt;"",FT!E109,"")</f>
        <v>2 [43.516317]</v>
      </c>
      <c r="J109">
        <f>IF(FT!B109&lt;&gt;"",FT!C109,"")</f>
        <v>43.516300000000001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2.80518</v>
      </c>
      <c r="G110" s="61">
        <f>IF(FT!B110&lt;&gt;"",FT!B110*100,"")</f>
        <v>34.1785</v>
      </c>
      <c r="H110" s="61">
        <f t="shared" si="9"/>
        <v>1</v>
      </c>
      <c r="I110" t="str">
        <f>IF(FT!B110&lt;&gt;"",FT!E110,"")</f>
        <v>2 [43.920055]</v>
      </c>
      <c r="J110">
        <f>IF(FT!B110&lt;&gt;"",FT!C110,"")</f>
        <v>43.920099999999998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51151</v>
      </c>
      <c r="D111" s="61">
        <f>FH!B111*1</f>
        <v>51151</v>
      </c>
      <c r="E111">
        <f t="shared" si="11"/>
        <v>109</v>
      </c>
      <c r="F111" s="61">
        <f>IF(FT!A111&lt;&gt;"",FT!A111*10,"")</f>
        <v>2.7898299999999998</v>
      </c>
      <c r="G111" s="61">
        <f>IF(FT!B111&lt;&gt;"",FT!B111*100,"")</f>
        <v>34.361399999999996</v>
      </c>
      <c r="H111" s="61">
        <f t="shared" si="9"/>
        <v>1</v>
      </c>
      <c r="I111" t="str">
        <f>IF(FT!B111&lt;&gt;"",FT!E111,"")</f>
        <v>2 [44.324935]</v>
      </c>
      <c r="J111">
        <f>IF(FT!B111&lt;&gt;"",FT!C111,"")</f>
        <v>44.3249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2.7726600000000001</v>
      </c>
      <c r="G112" s="61">
        <f>IF(FT!B112&lt;&gt;"",FT!B112*100,"")</f>
        <v>34.601999999999997</v>
      </c>
      <c r="H112" s="61">
        <f t="shared" si="9"/>
        <v>1</v>
      </c>
      <c r="I112" t="str">
        <f>IF(FT!B112&lt;&gt;"",FT!E112,"")</f>
        <v>2 [44.731898]</v>
      </c>
      <c r="J112">
        <f>IF(FT!B112&lt;&gt;"",FT!C112,"")</f>
        <v>44.731900000000003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46648</v>
      </c>
      <c r="D113" s="61">
        <f>FH!B113*1</f>
        <v>46648</v>
      </c>
      <c r="E113">
        <f t="shared" si="11"/>
        <v>111</v>
      </c>
      <c r="F113" s="61">
        <f>IF(FT!A113&lt;&gt;"",FT!A113*10,"")</f>
        <v>2.7539799999999999</v>
      </c>
      <c r="G113" s="61">
        <f>IF(FT!B113&lt;&gt;"",FT!B113*100,"")</f>
        <v>34.909600000000005</v>
      </c>
      <c r="H113" s="61">
        <f t="shared" si="9"/>
        <v>1</v>
      </c>
      <c r="I113" t="str">
        <f>IF(FT!B113&lt;&gt;"",FT!E113,"")</f>
        <v>2 [45.136043]</v>
      </c>
      <c r="J113">
        <f>IF(FT!B113&lt;&gt;"",FT!C113,"")</f>
        <v>45.136000000000003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2.73353</v>
      </c>
      <c r="G114" s="61">
        <f>IF(FT!B114&lt;&gt;"",FT!B114*100,"")</f>
        <v>35.238599999999998</v>
      </c>
      <c r="H114" s="61">
        <f t="shared" si="9"/>
        <v>1</v>
      </c>
      <c r="I114" t="str">
        <f>IF(FT!B114&lt;&gt;"",FT!E114,"")</f>
        <v>2 [45.547661]</v>
      </c>
      <c r="J114">
        <f>IF(FT!B114&lt;&gt;"",FT!C114,"")</f>
        <v>45.547699999999999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2.7099000000000002</v>
      </c>
      <c r="G115" s="61">
        <f>IF(FT!B115&lt;&gt;"",FT!B115*100,"")</f>
        <v>35.557600000000001</v>
      </c>
      <c r="H115" s="61">
        <f t="shared" si="9"/>
        <v>1</v>
      </c>
      <c r="I115" t="str">
        <f>IF(FT!B115&lt;&gt;"",FT!E115,"")</f>
        <v>2 [45.951583]</v>
      </c>
      <c r="J115">
        <f>IF(FT!B115&lt;&gt;"",FT!C115,"")</f>
        <v>45.951599999999999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36940</v>
      </c>
      <c r="D116" s="61">
        <f>FH!B116*1</f>
        <v>36940</v>
      </c>
      <c r="E116">
        <f t="shared" si="11"/>
        <v>114</v>
      </c>
      <c r="F116" s="61">
        <f>IF(FT!A116&lt;&gt;"",FT!A116*10,"")</f>
        <v>2.6846900000000002</v>
      </c>
      <c r="G116" s="61">
        <f>IF(FT!B116&lt;&gt;"",FT!B116*100,"")</f>
        <v>35.876100000000001</v>
      </c>
      <c r="H116" s="61">
        <f t="shared" si="9"/>
        <v>1</v>
      </c>
      <c r="I116" t="str">
        <f>IF(FT!B116&lt;&gt;"",FT!E116,"")</f>
        <v>2 [46.360471]</v>
      </c>
      <c r="J116">
        <f>IF(FT!B116&lt;&gt;"",FT!C116,"")</f>
        <v>46.360500000000002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2.6585100000000002</v>
      </c>
      <c r="G117" s="61">
        <f>IF(FT!B117&lt;&gt;"",FT!B117*100,"")</f>
        <v>36.2179</v>
      </c>
      <c r="H117" s="61">
        <f t="shared" si="9"/>
        <v>1</v>
      </c>
      <c r="I117" t="str">
        <f>IF(FT!B117&lt;&gt;"",FT!E117,"")</f>
        <v>2 [46.762389]</v>
      </c>
      <c r="J117">
        <f>IF(FT!B117&lt;&gt;"",FT!C117,"")</f>
        <v>46.7624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36370</v>
      </c>
      <c r="D118" s="61">
        <f>FH!B118*1</f>
        <v>36370</v>
      </c>
      <c r="E118">
        <f t="shared" si="11"/>
        <v>116</v>
      </c>
      <c r="F118" s="61">
        <f>IF(FT!A118&lt;&gt;"",FT!A118*10,"")</f>
        <v>2.63334</v>
      </c>
      <c r="G118" s="61">
        <f>IF(FT!B118&lt;&gt;"",FT!B118*100,"")</f>
        <v>36.5274</v>
      </c>
      <c r="H118" s="61">
        <f t="shared" si="9"/>
        <v>1</v>
      </c>
      <c r="I118" t="str">
        <f>IF(FT!B118&lt;&gt;"",FT!E118,"")</f>
        <v>2 [47.170445]</v>
      </c>
      <c r="J118">
        <f>IF(FT!B118&lt;&gt;"",FT!C118,"")</f>
        <v>47.170400000000001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2.6060100000000004</v>
      </c>
      <c r="G119" s="61">
        <f>IF(FT!B119&lt;&gt;"",FT!B119*100,"")</f>
        <v>36.817100000000003</v>
      </c>
      <c r="H119" s="61">
        <f t="shared" si="9"/>
        <v>1</v>
      </c>
      <c r="I119" t="str">
        <f>IF(FT!B119&lt;&gt;"",FT!E119,"")</f>
        <v>2 [47.573040]</v>
      </c>
      <c r="J119">
        <f>IF(FT!B119&lt;&gt;"",FT!C119,"")</f>
        <v>47.573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2.5804899999999997</v>
      </c>
      <c r="G120" s="61">
        <f>IF(FT!B120&lt;&gt;"",FT!B120*100,"")</f>
        <v>36.9741</v>
      </c>
      <c r="H120" s="61">
        <f t="shared" si="9"/>
        <v>1</v>
      </c>
      <c r="I120" t="str">
        <f>IF(FT!B120&lt;&gt;"",FT!E120,"")</f>
        <v>2 [47.984333]</v>
      </c>
      <c r="J120">
        <f>IF(FT!B120&lt;&gt;"",FT!C120,"")</f>
        <v>47.984299999999998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31397</v>
      </c>
      <c r="D121" s="61">
        <f>FH!B121*1</f>
        <v>31397</v>
      </c>
      <c r="E121">
        <f t="shared" si="11"/>
        <v>119</v>
      </c>
      <c r="F121" s="61">
        <f>IF(FT!A121&lt;&gt;"",FT!A121*10,"")</f>
        <v>2.5611699999999997</v>
      </c>
      <c r="G121" s="61">
        <f>IF(FT!B121&lt;&gt;"",FT!B121*100,"")</f>
        <v>36.8123</v>
      </c>
      <c r="H121" s="61">
        <f t="shared" si="9"/>
        <v>1</v>
      </c>
      <c r="I121" t="str">
        <f>IF(FT!B121&lt;&gt;"",FT!E121,"")</f>
        <v>2 [48.390037]</v>
      </c>
      <c r="J121">
        <f>IF(FT!B121&lt;&gt;"",FT!C121,"")</f>
        <v>48.39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2.5453799999999998</v>
      </c>
      <c r="G122" s="61">
        <f>IF(FT!B122&lt;&gt;"",FT!B122*100,"")</f>
        <v>36.573</v>
      </c>
      <c r="H122" s="61">
        <f t="shared" si="9"/>
        <v>1</v>
      </c>
      <c r="I122" t="str">
        <f>IF(FT!B122&lt;&gt;"",FT!E122,"")</f>
        <v>2 [48.795015]</v>
      </c>
      <c r="J122">
        <f>IF(FT!B122&lt;&gt;"",FT!C122,"")</f>
        <v>48.795000000000002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2.5335800000000002</v>
      </c>
      <c r="G123" s="61">
        <f>IF(FT!B123&lt;&gt;"",FT!B123*100,"")</f>
        <v>36.313099999999999</v>
      </c>
      <c r="H123" s="61">
        <f t="shared" si="9"/>
        <v>1</v>
      </c>
      <c r="I123" t="str">
        <f>IF(FT!B123&lt;&gt;"",FT!E123,"")</f>
        <v>2 [49.201285]</v>
      </c>
      <c r="J123">
        <f>IF(FT!B123&lt;&gt;"",FT!C123,"")</f>
        <v>49.201300000000003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28666</v>
      </c>
      <c r="D124" s="61">
        <f>FH!B124*1</f>
        <v>28666</v>
      </c>
      <c r="E124">
        <f t="shared" si="11"/>
        <v>122</v>
      </c>
      <c r="F124" s="61">
        <f>IF(FT!A124&lt;&gt;"",FT!A124*10,"")</f>
        <v>2.5242800000000001</v>
      </c>
      <c r="G124" s="61">
        <f>IF(FT!B124&lt;&gt;"",FT!B124*100,"")</f>
        <v>36.018999999999998</v>
      </c>
      <c r="H124" s="61">
        <f t="shared" si="9"/>
        <v>1</v>
      </c>
      <c r="I124" t="str">
        <f>IF(FT!B124&lt;&gt;"",FT!E124,"")</f>
        <v>2 [49.606846]</v>
      </c>
      <c r="J124">
        <f>IF(FT!B124&lt;&gt;"",FT!C124,"")</f>
        <v>49.6068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2.5160999999999998</v>
      </c>
      <c r="G125" s="61">
        <f>IF(FT!B125&lt;&gt;"",FT!B125*100,"")</f>
        <v>36.048900000000003</v>
      </c>
      <c r="H125" s="61">
        <f t="shared" si="9"/>
        <v>1</v>
      </c>
      <c r="I125" t="str">
        <f>IF(FT!B125&lt;&gt;"",FT!E125,"")</f>
        <v>2 [50.014759]</v>
      </c>
      <c r="J125">
        <f>IF(FT!B125&lt;&gt;"",FT!C125,"")</f>
        <v>50.014800000000001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23737</v>
      </c>
      <c r="D126" s="61">
        <f>FH!B126*1</f>
        <v>23737</v>
      </c>
      <c r="E126">
        <f t="shared" si="11"/>
        <v>124</v>
      </c>
      <c r="F126" s="61">
        <f>IF(FT!A126&lt;&gt;"",FT!A126*10,"")</f>
        <v>2.5119399999999996</v>
      </c>
      <c r="G126" s="61">
        <f>IF(FT!B126&lt;&gt;"",FT!B126*100,"")</f>
        <v>36.1646</v>
      </c>
      <c r="H126" s="61">
        <f t="shared" si="9"/>
        <v>1</v>
      </c>
      <c r="I126" t="str">
        <f>IF(FT!B126&lt;&gt;"",FT!E126,"")</f>
        <v>2 [50.418675]</v>
      </c>
      <c r="J126">
        <f>IF(FT!B126&lt;&gt;"",FT!C126,"")</f>
        <v>50.418700000000001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2.5118</v>
      </c>
      <c r="G127" s="61">
        <f>IF(FT!B127&lt;&gt;"",FT!B127*100,"")</f>
        <v>36.140599999999999</v>
      </c>
      <c r="H127" s="61">
        <f t="shared" si="9"/>
        <v>1</v>
      </c>
      <c r="I127" t="str">
        <f>IF(FT!B127&lt;&gt;"",FT!E127,"")</f>
        <v>2 [50.827551]</v>
      </c>
      <c r="J127">
        <f>IF(FT!B127&lt;&gt;"",FT!C127,"")</f>
        <v>50.827599999999997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2.5110000000000001</v>
      </c>
      <c r="G128" s="61">
        <f>IF(FT!B128&lt;&gt;"",FT!B128*100,"")</f>
        <v>36.084899999999998</v>
      </c>
      <c r="H128" s="61">
        <f t="shared" si="9"/>
        <v>1</v>
      </c>
      <c r="I128" t="str">
        <f>IF(FT!B128&lt;&gt;"",FT!E128,"")</f>
        <v>2 [51.234517]</v>
      </c>
      <c r="J128">
        <f>IF(FT!B128&lt;&gt;"",FT!C128,"")</f>
        <v>51.234499999999997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23270</v>
      </c>
      <c r="D129" s="61">
        <f>FH!B129*1</f>
        <v>23270</v>
      </c>
      <c r="E129">
        <f t="shared" si="11"/>
        <v>127</v>
      </c>
      <c r="F129" s="61">
        <f>IF(FT!A129&lt;&gt;"",FT!A129*10,"")</f>
        <v>2.5099500000000003</v>
      </c>
      <c r="G129" s="61">
        <f>IF(FT!B129&lt;&gt;"",FT!B129*100,"")</f>
        <v>36.031999999999996</v>
      </c>
      <c r="H129" s="61">
        <f t="shared" si="9"/>
        <v>1</v>
      </c>
      <c r="I129" t="str">
        <f>IF(FT!B129&lt;&gt;"",FT!E129,"")</f>
        <v>2 [51.637421]</v>
      </c>
      <c r="J129">
        <f>IF(FT!B129&lt;&gt;"",FT!C129,"")</f>
        <v>51.6374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2.5073299999999996</v>
      </c>
      <c r="G130" s="61">
        <f>IF(FT!B130&lt;&gt;"",FT!B130*100,"")</f>
        <v>35.908499999999997</v>
      </c>
      <c r="H130" s="61">
        <f t="shared" si="9"/>
        <v>1</v>
      </c>
      <c r="I130" t="str">
        <f>IF(FT!B130&lt;&gt;"",FT!E130,"")</f>
        <v>2 [52.041279]</v>
      </c>
      <c r="J130">
        <f>IF(FT!B130&lt;&gt;"",FT!C130,"")</f>
        <v>52.0413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20860</v>
      </c>
      <c r="D131" s="61">
        <f>FH!B131*1</f>
        <v>20860</v>
      </c>
      <c r="E131">
        <f t="shared" si="11"/>
        <v>129</v>
      </c>
      <c r="F131" s="61">
        <f>IF(FT!A131&lt;&gt;"",FT!A131*10,"")</f>
        <v>2.5020500000000001</v>
      </c>
      <c r="G131" s="61">
        <f>IF(FT!B131&lt;&gt;"",FT!B131*100,"")</f>
        <v>35.682900000000004</v>
      </c>
      <c r="H131" s="61">
        <f t="shared" ref="H131:H194" si="13">(IF(F131&lt;&gt;"",1,""))</f>
        <v>1</v>
      </c>
      <c r="I131" t="str">
        <f>IF(FT!B131&lt;&gt;"",FT!E131,"")</f>
        <v>2 [52.448405]</v>
      </c>
      <c r="J131">
        <f>IF(FT!B131&lt;&gt;"",FT!C131,"")</f>
        <v>52.448399999999999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2.4951400000000001</v>
      </c>
      <c r="G132" s="61">
        <f>IF(FT!B132&lt;&gt;"",FT!B132*100,"")</f>
        <v>35.474899999999998</v>
      </c>
      <c r="H132" s="61">
        <f t="shared" si="13"/>
        <v>1</v>
      </c>
      <c r="I132" t="str">
        <f>IF(FT!B132&lt;&gt;"",FT!E132,"")</f>
        <v>2 [52.856207]</v>
      </c>
      <c r="J132">
        <f>IF(FT!B132&lt;&gt;"",FT!C132,"")</f>
        <v>52.856200000000001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2.4860600000000002</v>
      </c>
      <c r="G133" s="61">
        <f>IF(FT!B133&lt;&gt;"",FT!B133*100,"")</f>
        <v>35.302499999999995</v>
      </c>
      <c r="H133" s="61">
        <f t="shared" si="13"/>
        <v>1</v>
      </c>
      <c r="I133" t="str">
        <f>IF(FT!B133&lt;&gt;"",FT!E133,"")</f>
        <v>2 [53.266257]</v>
      </c>
      <c r="J133">
        <f>IF(FT!B133&lt;&gt;"",FT!C133,"")</f>
        <v>53.266300000000001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19101</v>
      </c>
      <c r="D134" s="61">
        <f>FH!B134*1</f>
        <v>19101</v>
      </c>
      <c r="E134">
        <f t="shared" si="15"/>
        <v>132</v>
      </c>
      <c r="F134" s="61">
        <f>IF(FT!A134&lt;&gt;"",FT!A134*10,"")</f>
        <v>2.4776699999999998</v>
      </c>
      <c r="G134" s="61">
        <f>IF(FT!B134&lt;&gt;"",FT!B134*100,"")</f>
        <v>34.965000000000003</v>
      </c>
      <c r="H134" s="61">
        <f t="shared" si="13"/>
        <v>1</v>
      </c>
      <c r="I134" t="str">
        <f>IF(FT!B134&lt;&gt;"",FT!E134,"")</f>
        <v>2 [53.668975]</v>
      </c>
      <c r="J134">
        <f>IF(FT!B134&lt;&gt;"",FT!C134,"")</f>
        <v>53.668999999999997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2.4676200000000001</v>
      </c>
      <c r="G135" s="61">
        <f>IF(FT!B135&lt;&gt;"",FT!B135*100,"")</f>
        <v>34.670999999999999</v>
      </c>
      <c r="H135" s="61">
        <f t="shared" si="13"/>
        <v>1</v>
      </c>
      <c r="I135" t="str">
        <f>IF(FT!B135&lt;&gt;"",FT!E135,"")</f>
        <v>2 [54.074018]</v>
      </c>
      <c r="J135">
        <f>IF(FT!B135&lt;&gt;"",FT!C135,"")</f>
        <v>54.073999999999998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16859</v>
      </c>
      <c r="D136" s="61">
        <f>FH!B136*1</f>
        <v>16859</v>
      </c>
      <c r="E136">
        <f t="shared" si="15"/>
        <v>134</v>
      </c>
      <c r="F136" s="61">
        <f>IF(FT!A136&lt;&gt;"",FT!A136*10,"")</f>
        <v>2.4559600000000001</v>
      </c>
      <c r="G136" s="61">
        <f>IF(FT!B136&lt;&gt;"",FT!B136*100,"")</f>
        <v>34.3384</v>
      </c>
      <c r="H136" s="61">
        <f t="shared" si="13"/>
        <v>1</v>
      </c>
      <c r="I136" t="str">
        <f>IF(FT!B136&lt;&gt;"",FT!E136,"")</f>
        <v>2 [54.483928]</v>
      </c>
      <c r="J136">
        <f>IF(FT!B136&lt;&gt;"",FT!C136,"")</f>
        <v>54.483899999999998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2.4442699999999999</v>
      </c>
      <c r="G137" s="61">
        <f>IF(FT!B137&lt;&gt;"",FT!B137*100,"")</f>
        <v>33.927</v>
      </c>
      <c r="H137" s="61">
        <f t="shared" si="13"/>
        <v>1</v>
      </c>
      <c r="I137" t="str">
        <f>IF(FT!B137&lt;&gt;"",FT!E137,"")</f>
        <v>2 [54.890734]</v>
      </c>
      <c r="J137">
        <f>IF(FT!B137&lt;&gt;"",FT!C137,"")</f>
        <v>54.890700000000002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2.43241</v>
      </c>
      <c r="G138" s="61">
        <f>IF(FT!B138&lt;&gt;"",FT!B138*100,"")</f>
        <v>33.385399999999997</v>
      </c>
      <c r="H138" s="61">
        <f t="shared" si="13"/>
        <v>1</v>
      </c>
      <c r="I138" t="str">
        <f>IF(FT!B138&lt;&gt;"",FT!E138,"")</f>
        <v>2 [55.292341]</v>
      </c>
      <c r="J138">
        <f>IF(FT!B138&lt;&gt;"",FT!C138,"")</f>
        <v>55.292299999999997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13962</v>
      </c>
      <c r="D139" s="61">
        <f>FH!B139*1</f>
        <v>13962</v>
      </c>
      <c r="E139">
        <f t="shared" si="15"/>
        <v>137</v>
      </c>
      <c r="F139" s="61">
        <f>IF(FT!A139&lt;&gt;"",FT!A139*10,"")</f>
        <v>2.4203199999999998</v>
      </c>
      <c r="G139" s="61">
        <f>IF(FT!B139&lt;&gt;"",FT!B139*100,"")</f>
        <v>32.784300000000002</v>
      </c>
      <c r="H139" s="61">
        <f t="shared" si="13"/>
        <v>1</v>
      </c>
      <c r="I139" t="str">
        <f>IF(FT!B139&lt;&gt;"",FT!E139,"")</f>
        <v>2 [55.699776]</v>
      </c>
      <c r="J139">
        <f>IF(FT!B139&lt;&gt;"",FT!C139,"")</f>
        <v>55.699800000000003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2.41221</v>
      </c>
      <c r="G140" s="61">
        <f>IF(FT!B140&lt;&gt;"",FT!B140*100,"")</f>
        <v>32.198599999999999</v>
      </c>
      <c r="H140" s="61">
        <f t="shared" si="13"/>
        <v>1</v>
      </c>
      <c r="I140" t="str">
        <f>IF(FT!B140&lt;&gt;"",FT!E140,"")</f>
        <v>2 [56.107534]</v>
      </c>
      <c r="J140">
        <f>IF(FT!B140&lt;&gt;"",FT!C140,"")</f>
        <v>56.107500000000002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2.4047800000000001</v>
      </c>
      <c r="G141" s="61">
        <f>IF(FT!B141&lt;&gt;"",FT!B141*100,"")</f>
        <v>31.574999999999996</v>
      </c>
      <c r="H141" s="61">
        <f t="shared" si="13"/>
        <v>1</v>
      </c>
      <c r="I141" t="str">
        <f>IF(FT!B141&lt;&gt;"",FT!E141,"")</f>
        <v>2 [56.512606]</v>
      </c>
      <c r="J141">
        <f>IF(FT!B141&lt;&gt;"",FT!C141,"")</f>
        <v>56.512599999999999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10844</v>
      </c>
      <c r="D142" s="61">
        <f>FH!B142*1</f>
        <v>10844</v>
      </c>
      <c r="E142">
        <f t="shared" si="15"/>
        <v>140</v>
      </c>
      <c r="F142" s="61">
        <f>IF(FT!A142&lt;&gt;"",FT!A142*10,"")</f>
        <v>2.39676</v>
      </c>
      <c r="G142" s="61">
        <f>IF(FT!B142&lt;&gt;"",FT!B142*100,"")</f>
        <v>30.898999999999997</v>
      </c>
      <c r="H142" s="61">
        <f t="shared" si="13"/>
        <v>1</v>
      </c>
      <c r="I142" t="str">
        <f>IF(FT!B142&lt;&gt;"",FT!E142,"")</f>
        <v>2 [56.921270]</v>
      </c>
      <c r="J142">
        <f>IF(FT!B142&lt;&gt;"",FT!C142,"")</f>
        <v>56.921300000000002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2.3917199999999998</v>
      </c>
      <c r="G143" s="61">
        <f>IF(FT!B143&lt;&gt;"",FT!B143*100,"")</f>
        <v>29.848500000000001</v>
      </c>
      <c r="H143" s="61">
        <f t="shared" si="13"/>
        <v>1</v>
      </c>
      <c r="I143" t="str">
        <f>IF(FT!B143&lt;&gt;"",FT!E143,"")</f>
        <v>2 [57.326362]</v>
      </c>
      <c r="J143">
        <f>IF(FT!B143&lt;&gt;"",FT!C143,"")</f>
        <v>57.3264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8911</v>
      </c>
      <c r="D144" s="61">
        <f>FH!B144*1</f>
        <v>8911</v>
      </c>
      <c r="E144">
        <f t="shared" si="15"/>
        <v>142</v>
      </c>
      <c r="F144" s="61">
        <f>IF(FT!A144&lt;&gt;"",FT!A144*10,"")</f>
        <v>2.4020199999999998</v>
      </c>
      <c r="G144" s="61">
        <f>IF(FT!B144&lt;&gt;"",FT!B144*100,"")</f>
        <v>28.347499999999997</v>
      </c>
      <c r="H144" s="61">
        <f t="shared" si="13"/>
        <v>1</v>
      </c>
      <c r="I144" t="str">
        <f>IF(FT!B144&lt;&gt;"",FT!E144,"")</f>
        <v>2 [57.730863]</v>
      </c>
      <c r="J144">
        <f>IF(FT!B144&lt;&gt;"",FT!C144,"")</f>
        <v>57.730899999999998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2.4198300000000001</v>
      </c>
      <c r="G145" s="61">
        <f>IF(FT!B145&lt;&gt;"",FT!B145*100,"")</f>
        <v>26.857300000000002</v>
      </c>
      <c r="H145" s="61">
        <f t="shared" si="13"/>
        <v>1</v>
      </c>
      <c r="I145" t="str">
        <f>IF(FT!B145&lt;&gt;"",FT!E145,"")</f>
        <v>2 [58.137987]</v>
      </c>
      <c r="J145">
        <f>IF(FT!B145&lt;&gt;"",FT!C145,"")</f>
        <v>58.137999999999998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2.4249100000000001</v>
      </c>
      <c r="G146" s="61">
        <f>IF(FT!B146&lt;&gt;"",FT!B146*100,"")</f>
        <v>26.2118</v>
      </c>
      <c r="H146" s="61">
        <f t="shared" si="13"/>
        <v>1</v>
      </c>
      <c r="I146" t="str">
        <f>IF(FT!B146&lt;&gt;"",FT!E146,"")</f>
        <v>2 [58.545339]</v>
      </c>
      <c r="J146">
        <f>IF(FT!B146&lt;&gt;"",FT!C146,"")</f>
        <v>58.545299999999997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7441</v>
      </c>
      <c r="D147" s="61">
        <f>FH!B147*1</f>
        <v>7441</v>
      </c>
      <c r="E147">
        <f t="shared" si="15"/>
        <v>145</v>
      </c>
      <c r="F147" s="61">
        <f>IF(FT!A147&lt;&gt;"",FT!A147*10,"")</f>
        <v>2.43058</v>
      </c>
      <c r="G147" s="61">
        <f>IF(FT!B147&lt;&gt;"",FT!B147*100,"")</f>
        <v>25.173000000000002</v>
      </c>
      <c r="H147" s="61">
        <f t="shared" si="13"/>
        <v>1</v>
      </c>
      <c r="I147" t="str">
        <f>IF(FT!B147&lt;&gt;"",FT!E147,"")</f>
        <v>2 [58.947951]</v>
      </c>
      <c r="J147">
        <f>IF(FT!B147&lt;&gt;"",FT!C147,"")</f>
        <v>58.948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2.4186000000000001</v>
      </c>
      <c r="G148" s="61">
        <f>IF(FT!B148&lt;&gt;"",FT!B148*100,"")</f>
        <v>24.6921</v>
      </c>
      <c r="H148" s="61">
        <f t="shared" si="13"/>
        <v>1</v>
      </c>
      <c r="I148" t="str">
        <f>IF(FT!B148&lt;&gt;"",FT!E148,"")</f>
        <v>2 [59.358708]</v>
      </c>
      <c r="J148">
        <f>IF(FT!B148&lt;&gt;"",FT!C148,"")</f>
        <v>59.358699999999999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6032</v>
      </c>
      <c r="D149" s="61">
        <f>FH!B149*1</f>
        <v>6032</v>
      </c>
      <c r="E149">
        <f t="shared" si="15"/>
        <v>147</v>
      </c>
      <c r="F149" s="61">
        <f>IF(FT!A149&lt;&gt;"",FT!A149*10,"")</f>
        <v>2.3929</v>
      </c>
      <c r="G149" s="61">
        <f>IF(FT!B149&lt;&gt;"",FT!B149*100,"")</f>
        <v>25.569500000000001</v>
      </c>
      <c r="H149" s="61">
        <f t="shared" si="13"/>
        <v>1</v>
      </c>
      <c r="I149" t="str">
        <f>IF(FT!B149&lt;&gt;"",FT!E149,"")</f>
        <v>2 [59.762698]</v>
      </c>
      <c r="J149">
        <f>IF(FT!B149&lt;&gt;"",FT!C149,"")</f>
        <v>59.762700000000002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5526</v>
      </c>
      <c r="D152" s="61">
        <f>FH!B152*1</f>
        <v>5526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6227</v>
      </c>
      <c r="D154" s="61">
        <f>FH!B154*1</f>
        <v>6227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6944</v>
      </c>
      <c r="D157" s="61">
        <f>FH!B157*1</f>
        <v>6944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9517</v>
      </c>
      <c r="D160" s="61">
        <f>FH!B160*1</f>
        <v>9517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8337</v>
      </c>
      <c r="D162" s="61">
        <f>FH!B162*1</f>
        <v>8337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6197</v>
      </c>
      <c r="D165" s="61">
        <f>FH!B165*1</f>
        <v>6197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5045</v>
      </c>
      <c r="D167" s="61">
        <f>FH!B167*1</f>
        <v>5045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2831</v>
      </c>
      <c r="D170" s="61">
        <f>FH!B170*1</f>
        <v>2831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1360</v>
      </c>
      <c r="D173" s="61">
        <f>FH!B173*1</f>
        <v>1360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708</v>
      </c>
      <c r="D175" s="61">
        <f>FH!B175*1</f>
        <v>708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386</v>
      </c>
      <c r="D178" s="61">
        <f>FH!B178*1</f>
        <v>386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34.341900000000003</v>
      </c>
      <c r="C5" s="66">
        <v>6.8984899999999998</v>
      </c>
      <c r="D5" s="66">
        <v>20.087700000000002</v>
      </c>
      <c r="E5" s="66">
        <v>20</v>
      </c>
      <c r="F5" s="66">
        <v>11.723699999999999</v>
      </c>
      <c r="G5" s="66">
        <v>50</v>
      </c>
      <c r="H5" s="66">
        <v>46.065899999999999</v>
      </c>
    </row>
    <row r="6" spans="1:8">
      <c r="A6" s="58" t="s">
        <v>303</v>
      </c>
      <c r="B6" s="66">
        <v>25.342400000000001</v>
      </c>
      <c r="C6" s="66">
        <v>3.9234</v>
      </c>
      <c r="D6" s="66">
        <v>15.4815</v>
      </c>
      <c r="E6" s="66">
        <v>20</v>
      </c>
      <c r="F6" s="66">
        <v>21.746300000000002</v>
      </c>
      <c r="G6" s="66">
        <v>40</v>
      </c>
      <c r="H6" s="66">
        <v>37.984200000000001</v>
      </c>
    </row>
    <row r="7" spans="1:8">
      <c r="A7" s="58" t="s">
        <v>304</v>
      </c>
      <c r="B7" s="66">
        <v>23.811199999999999</v>
      </c>
      <c r="C7" s="66">
        <v>11.601800000000001</v>
      </c>
      <c r="D7" s="66">
        <v>48.7239</v>
      </c>
      <c r="E7" s="66">
        <v>15</v>
      </c>
      <c r="F7" s="66">
        <v>3.74749</v>
      </c>
      <c r="G7" s="66">
        <v>40</v>
      </c>
      <c r="H7" s="66">
        <v>49.985199999999999</v>
      </c>
    </row>
    <row r="8" spans="1:8">
      <c r="A8" s="58" t="s">
        <v>305</v>
      </c>
      <c r="B8" s="66">
        <v>29.0062</v>
      </c>
      <c r="C8" s="66">
        <v>4.9545700000000004</v>
      </c>
      <c r="D8" s="66">
        <v>17.081099999999999</v>
      </c>
      <c r="E8" s="66">
        <v>20</v>
      </c>
      <c r="F8" s="66">
        <v>19.553000000000001</v>
      </c>
      <c r="G8" s="66">
        <v>50</v>
      </c>
      <c r="H8" s="66">
        <v>38.140599999999999</v>
      </c>
    </row>
    <row r="9" spans="1:8">
      <c r="A9" s="58" t="s">
        <v>306</v>
      </c>
      <c r="B9" s="66">
        <v>60.419199999999996</v>
      </c>
      <c r="C9" s="66">
        <v>10.0077</v>
      </c>
      <c r="D9" s="66">
        <v>16.563800000000001</v>
      </c>
      <c r="E9" s="66">
        <v>50</v>
      </c>
      <c r="F9" s="66">
        <v>28.561</v>
      </c>
      <c r="G9" s="66">
        <v>100</v>
      </c>
      <c r="H9" s="66">
        <v>84.428399999999996</v>
      </c>
    </row>
    <row r="10" spans="1:8">
      <c r="A10" s="58" t="s">
        <v>307</v>
      </c>
      <c r="B10" s="66">
        <v>79.739199999999997</v>
      </c>
      <c r="C10" s="66">
        <v>4.0236299999999998</v>
      </c>
      <c r="D10" s="66">
        <v>5.0459899999999998</v>
      </c>
      <c r="E10" s="66">
        <v>40</v>
      </c>
      <c r="F10" s="66">
        <v>68.862799999999993</v>
      </c>
      <c r="G10" s="66">
        <v>100</v>
      </c>
      <c r="H10" s="66">
        <v>85.009200000000007</v>
      </c>
    </row>
    <row r="11" spans="1:8">
      <c r="A11" s="58" t="s">
        <v>308</v>
      </c>
      <c r="B11" s="66">
        <v>15.9495</v>
      </c>
      <c r="C11" s="66">
        <v>2.8842400000000001</v>
      </c>
      <c r="D11" s="66">
        <v>18.083600000000001</v>
      </c>
      <c r="E11" s="66">
        <v>10</v>
      </c>
      <c r="F11" s="66">
        <v>6.6634599999999997</v>
      </c>
      <c r="G11" s="66">
        <v>50</v>
      </c>
      <c r="H11" s="66">
        <v>20.4254</v>
      </c>
    </row>
    <row r="12" spans="1:8">
      <c r="A12" s="58" t="s">
        <v>309</v>
      </c>
      <c r="B12" s="66">
        <v>71.023700000000005</v>
      </c>
      <c r="C12" s="66">
        <v>5.6926100000000002</v>
      </c>
      <c r="D12" s="66">
        <v>8.0150900000000007</v>
      </c>
      <c r="E12" s="66">
        <v>50</v>
      </c>
      <c r="F12" s="66">
        <v>49.0411</v>
      </c>
      <c r="G12" s="66">
        <v>100</v>
      </c>
      <c r="H12" s="66">
        <v>80.183800000000005</v>
      </c>
    </row>
    <row r="13" spans="1:8">
      <c r="A13" s="58" t="s">
        <v>310</v>
      </c>
      <c r="B13" s="66">
        <v>16.6889</v>
      </c>
      <c r="C13" s="66">
        <v>4.2597199999999997</v>
      </c>
      <c r="D13" s="66">
        <v>25.5244</v>
      </c>
      <c r="E13" s="66">
        <v>10</v>
      </c>
      <c r="F13" s="66">
        <v>12.0174</v>
      </c>
      <c r="G13" s="66">
        <v>25</v>
      </c>
      <c r="H13" s="66">
        <v>36.8658</v>
      </c>
    </row>
    <row r="14" spans="1:8">
      <c r="A14" s="58" t="s">
        <v>311</v>
      </c>
      <c r="B14" s="66">
        <v>42.597200000000001</v>
      </c>
      <c r="C14" s="66">
        <v>18.8978</v>
      </c>
      <c r="D14" s="66">
        <v>44.363999999999997</v>
      </c>
      <c r="E14" s="66">
        <v>10</v>
      </c>
      <c r="F14" s="66">
        <v>0.355437</v>
      </c>
      <c r="G14" s="66">
        <v>50</v>
      </c>
      <c r="H14" s="66">
        <v>54.719099999999997</v>
      </c>
    </row>
    <row r="15" spans="1:8">
      <c r="A15" s="58" t="s">
        <v>312</v>
      </c>
      <c r="B15" s="66">
        <v>2.1857999999999999E-2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7.1979299999999996E-2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21.897099999999998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0.589924</v>
      </c>
      <c r="C18" s="66">
        <v>1.6199700000000001E-2</v>
      </c>
      <c r="D18" s="66">
        <v>2.7460700000000001E-2</v>
      </c>
      <c r="E18" s="66">
        <v>0</v>
      </c>
      <c r="F18" s="66">
        <v>0.57372400000000001</v>
      </c>
      <c r="G18" s="66">
        <v>0</v>
      </c>
      <c r="H18" s="66">
        <v>0.606124</v>
      </c>
    </row>
    <row r="19" spans="1:8">
      <c r="A19" s="58" t="s">
        <v>316</v>
      </c>
      <c r="B19" s="66">
        <v>0.68994699999999998</v>
      </c>
      <c r="C19" s="66">
        <v>1.5935700000000001E-2</v>
      </c>
      <c r="D19" s="66">
        <v>2.3096999999999999E-2</v>
      </c>
      <c r="E19" s="66">
        <v>0</v>
      </c>
      <c r="F19" s="66">
        <v>0.67401100000000003</v>
      </c>
      <c r="G19" s="66">
        <v>0</v>
      </c>
      <c r="H19" s="66">
        <v>0.70588200000000001</v>
      </c>
    </row>
    <row r="20" spans="1:8">
      <c r="A20" s="58" t="s">
        <v>317</v>
      </c>
      <c r="B20" s="66">
        <v>2.8412799999999997E-4</v>
      </c>
      <c r="C20" s="66">
        <v>5.70465E-2</v>
      </c>
      <c r="D20" s="66">
        <v>200.77699999999999</v>
      </c>
      <c r="E20" s="66">
        <v>0</v>
      </c>
      <c r="F20" s="196">
        <v>1.5177000000000001E-5</v>
      </c>
      <c r="G20" s="66">
        <v>0</v>
      </c>
      <c r="H20" s="66">
        <v>0.668265</v>
      </c>
    </row>
    <row r="21" spans="1:8">
      <c r="A21" s="58" t="s">
        <v>318</v>
      </c>
      <c r="B21" s="66">
        <v>3.7411100000000003E-2</v>
      </c>
      <c r="C21" s="66">
        <v>0.57108999999999999</v>
      </c>
      <c r="D21" s="66">
        <v>15.2653</v>
      </c>
      <c r="E21" s="66">
        <v>0</v>
      </c>
      <c r="F21" s="66">
        <v>2.3415799999999999E-4</v>
      </c>
      <c r="G21" s="66">
        <v>0</v>
      </c>
      <c r="H21" s="66">
        <v>4.0922700000000001</v>
      </c>
    </row>
    <row r="22" spans="1:8">
      <c r="A22" s="58" t="s">
        <v>319</v>
      </c>
      <c r="B22" s="66">
        <v>36.6905</v>
      </c>
      <c r="C22" s="66">
        <v>24.459700000000002</v>
      </c>
      <c r="D22" s="66">
        <v>0.66664800000000002</v>
      </c>
      <c r="E22" s="66">
        <v>0</v>
      </c>
      <c r="F22" s="66">
        <v>13.477499999999999</v>
      </c>
      <c r="G22" s="66">
        <v>0</v>
      </c>
      <c r="H22" s="66">
        <v>134.60900000000001</v>
      </c>
    </row>
    <row r="23" spans="1:8">
      <c r="A23" s="58" t="s">
        <v>320</v>
      </c>
      <c r="B23" s="66">
        <v>18.745699999999999</v>
      </c>
      <c r="C23" s="66">
        <v>4.7964099999999998</v>
      </c>
      <c r="D23" s="66">
        <v>0.25586799999999998</v>
      </c>
      <c r="E23" s="66">
        <v>0</v>
      </c>
      <c r="F23" s="66">
        <v>7.7431700000000001</v>
      </c>
      <c r="G23" s="66">
        <v>0</v>
      </c>
      <c r="H23" s="66">
        <v>25.7559</v>
      </c>
    </row>
    <row r="24" spans="1:8">
      <c r="A24" s="58" t="s">
        <v>321</v>
      </c>
      <c r="B24" s="66">
        <v>4.62275E-4</v>
      </c>
      <c r="C24" s="66">
        <v>4.67541E-2</v>
      </c>
      <c r="D24" s="66">
        <v>101.139</v>
      </c>
      <c r="E24" s="66">
        <v>0</v>
      </c>
      <c r="F24" s="66">
        <v>1.2321599999999999E-4</v>
      </c>
      <c r="G24" s="66">
        <v>0</v>
      </c>
      <c r="H24" s="66">
        <v>0.39984500000000001</v>
      </c>
    </row>
    <row r="25" spans="1:8">
      <c r="A25" s="58" t="s">
        <v>322</v>
      </c>
      <c r="B25" s="66">
        <v>5.4132199999999998E-2</v>
      </c>
      <c r="C25" s="66">
        <v>0.40321699999999999</v>
      </c>
      <c r="D25" s="66">
        <v>7.4487399999999999</v>
      </c>
      <c r="E25" s="66">
        <v>0</v>
      </c>
      <c r="F25" s="66">
        <v>4.23399E-3</v>
      </c>
      <c r="G25" s="66">
        <v>0</v>
      </c>
      <c r="H25" s="66">
        <v>1.8321499999999999</v>
      </c>
    </row>
    <row r="26" spans="1:8">
      <c r="A26" s="58" t="s">
        <v>323</v>
      </c>
      <c r="B26" s="196">
        <v>6.8933800000000001E-5</v>
      </c>
      <c r="C26" s="66">
        <v>6.0530499999999999E-3</v>
      </c>
      <c r="D26" s="66">
        <v>87.8095</v>
      </c>
      <c r="E26" s="66">
        <v>0</v>
      </c>
      <c r="F26" s="196">
        <v>3.2825599999999999E-6</v>
      </c>
      <c r="G26" s="66">
        <v>0</v>
      </c>
      <c r="H26" s="66">
        <v>8.8383000000000003E-2</v>
      </c>
    </row>
    <row r="27" spans="1:8">
      <c r="A27" s="58" t="s">
        <v>324</v>
      </c>
      <c r="B27" s="66">
        <v>0</v>
      </c>
      <c r="C27" s="66">
        <v>3.4627899999999999E-3</v>
      </c>
      <c r="D27" s="66">
        <v>0</v>
      </c>
      <c r="E27" s="66">
        <v>0</v>
      </c>
      <c r="F27" s="66">
        <v>-8.8241899999999998E-2</v>
      </c>
      <c r="G27" s="66">
        <v>0</v>
      </c>
      <c r="H27" s="66">
        <v>8.7972700000000001E-2</v>
      </c>
    </row>
    <row r="28" spans="1:8">
      <c r="A28" s="58" t="s">
        <v>325</v>
      </c>
      <c r="B28" s="66">
        <v>6.3932299999999997E-3</v>
      </c>
      <c r="C28" s="66">
        <v>2.68451E-2</v>
      </c>
      <c r="D28" s="66">
        <v>4.1989799999999997</v>
      </c>
      <c r="E28" s="66">
        <v>0</v>
      </c>
      <c r="F28" s="196">
        <v>7.1614599999999997E-5</v>
      </c>
      <c r="G28" s="66">
        <v>0</v>
      </c>
      <c r="H28" s="66">
        <v>0.15068400000000001</v>
      </c>
    </row>
    <row r="29" spans="1:8">
      <c r="A29" s="58" t="s">
        <v>326</v>
      </c>
      <c r="B29" s="66">
        <v>71.974800000000002</v>
      </c>
      <c r="C29" s="66">
        <v>11.011100000000001</v>
      </c>
      <c r="D29" s="66">
        <v>0.15298500000000001</v>
      </c>
      <c r="E29" s="66">
        <v>0</v>
      </c>
      <c r="F29" s="66">
        <v>43.459600000000002</v>
      </c>
      <c r="G29" s="66">
        <v>0</v>
      </c>
      <c r="H29" s="66">
        <v>102.16</v>
      </c>
    </row>
    <row r="30" spans="1:8">
      <c r="A30" s="58" t="s">
        <v>327</v>
      </c>
      <c r="B30" s="66">
        <v>19.282800000000002</v>
      </c>
      <c r="C30" s="66">
        <v>3.4563600000000001</v>
      </c>
      <c r="D30" s="66">
        <v>0.17924599999999999</v>
      </c>
      <c r="E30" s="66">
        <v>0</v>
      </c>
      <c r="F30" s="66">
        <v>9.1244800000000001</v>
      </c>
      <c r="G30" s="66">
        <v>0</v>
      </c>
      <c r="H30" s="66">
        <v>26.152699999999999</v>
      </c>
    </row>
    <row r="31" spans="1:8">
      <c r="A31" s="58" t="s">
        <v>328</v>
      </c>
      <c r="B31" s="66">
        <v>122.309</v>
      </c>
      <c r="C31" s="66">
        <v>31.817</v>
      </c>
      <c r="D31" s="66">
        <v>0.26013599999999998</v>
      </c>
      <c r="E31" s="66">
        <v>0</v>
      </c>
      <c r="F31" s="66">
        <v>38.7866</v>
      </c>
      <c r="G31" s="66">
        <v>0</v>
      </c>
      <c r="H31" s="66">
        <v>172.875</v>
      </c>
    </row>
    <row r="32" spans="1:8">
      <c r="A32" s="58" t="s">
        <v>329</v>
      </c>
      <c r="B32" s="66">
        <v>0.23811199999999999</v>
      </c>
      <c r="C32" s="66">
        <v>0.116018</v>
      </c>
      <c r="D32" s="66">
        <v>0.48723899999999998</v>
      </c>
      <c r="E32" s="66">
        <v>0.15</v>
      </c>
      <c r="F32" s="66">
        <v>3.7474899999999998E-2</v>
      </c>
      <c r="G32" s="66">
        <v>0.4</v>
      </c>
      <c r="H32" s="66">
        <v>0.49985200000000002</v>
      </c>
    </row>
    <row r="33" spans="1:8">
      <c r="A33" s="58" t="s">
        <v>330</v>
      </c>
      <c r="B33" s="66">
        <v>0.27279300000000001</v>
      </c>
      <c r="C33" s="66">
        <v>5.7491599999999997E-2</v>
      </c>
      <c r="D33" s="66">
        <v>0.21075199999999999</v>
      </c>
      <c r="E33" s="66">
        <v>0</v>
      </c>
      <c r="F33" s="66">
        <v>0.200043</v>
      </c>
      <c r="G33" s="66">
        <v>0</v>
      </c>
      <c r="H33" s="66">
        <v>0.43848199999999998</v>
      </c>
    </row>
    <row r="34" spans="1:8">
      <c r="A34" s="58" t="s">
        <v>331</v>
      </c>
      <c r="B34" s="66">
        <v>0.16688900000000001</v>
      </c>
      <c r="C34" s="66">
        <v>4.2597200000000002E-2</v>
      </c>
      <c r="D34" s="66">
        <v>0.25524400000000003</v>
      </c>
      <c r="E34" s="66">
        <v>0.1</v>
      </c>
      <c r="F34" s="66">
        <v>0.120174</v>
      </c>
      <c r="G34" s="66">
        <v>0.25</v>
      </c>
      <c r="H34" s="66">
        <v>0.36865799999999999</v>
      </c>
    </row>
    <row r="35" spans="1:8">
      <c r="A35" s="58" t="s">
        <v>332</v>
      </c>
      <c r="B35" s="66">
        <v>6.9850899999999994E-2</v>
      </c>
      <c r="C35" s="66">
        <v>2.5007100000000001E-2</v>
      </c>
      <c r="D35" s="66">
        <v>0.35800700000000002</v>
      </c>
      <c r="E35" s="66">
        <v>0</v>
      </c>
      <c r="F35" s="66">
        <v>3.7935000000000003E-2</v>
      </c>
      <c r="G35" s="66">
        <v>0</v>
      </c>
      <c r="H35" s="66">
        <v>0.18273700000000001</v>
      </c>
    </row>
    <row r="36" spans="1:8">
      <c r="A36" s="58" t="s">
        <v>333</v>
      </c>
      <c r="B36" s="66">
        <v>0.15488199999999999</v>
      </c>
      <c r="C36" s="66">
        <v>8.9230500000000004E-2</v>
      </c>
      <c r="D36" s="66">
        <v>0.57611999999999997</v>
      </c>
      <c r="E36" s="66">
        <v>0</v>
      </c>
      <c r="F36" s="66">
        <v>3.6150500000000002E-2</v>
      </c>
      <c r="G36" s="66">
        <v>0</v>
      </c>
      <c r="H36" s="66">
        <v>0.61399700000000001</v>
      </c>
    </row>
    <row r="37" spans="1:8">
      <c r="A37" s="58" t="s">
        <v>334</v>
      </c>
      <c r="B37" s="66">
        <v>0.42597200000000002</v>
      </c>
      <c r="C37" s="66">
        <v>0.18897800000000001</v>
      </c>
      <c r="D37" s="66">
        <v>0.44363999999999998</v>
      </c>
      <c r="E37" s="66">
        <v>0.1</v>
      </c>
      <c r="F37" s="66">
        <v>3.5543699999999998E-3</v>
      </c>
      <c r="G37" s="66">
        <v>0.5</v>
      </c>
      <c r="H37" s="66">
        <v>0.54719099999999998</v>
      </c>
    </row>
    <row r="38" spans="1:8">
      <c r="A38" s="58" t="s">
        <v>335</v>
      </c>
      <c r="B38" s="66">
        <v>-13.6898</v>
      </c>
      <c r="C38" s="66">
        <v>47.038200000000003</v>
      </c>
      <c r="D38" s="66">
        <v>-3.43601</v>
      </c>
      <c r="E38" s="66">
        <v>0</v>
      </c>
      <c r="F38" s="66">
        <v>-199.428</v>
      </c>
      <c r="G38" s="66">
        <v>0</v>
      </c>
      <c r="H38" s="66">
        <v>160.36799999999999</v>
      </c>
    </row>
    <row r="39" spans="1:8">
      <c r="A39" s="58" t="s">
        <v>336</v>
      </c>
      <c r="B39" s="66">
        <v>-6.11998</v>
      </c>
      <c r="C39" s="66">
        <v>7.9039299999999999</v>
      </c>
      <c r="D39" s="66">
        <v>-1.2915000000000001</v>
      </c>
      <c r="E39" s="66">
        <v>0</v>
      </c>
      <c r="F39" s="66">
        <v>-20.99</v>
      </c>
      <c r="G39" s="66">
        <v>0</v>
      </c>
      <c r="H39" s="66">
        <v>31.642299999999999</v>
      </c>
    </row>
    <row r="40" spans="1:8">
      <c r="A40" s="58" t="s">
        <v>337</v>
      </c>
      <c r="B40" s="66">
        <v>1.0416799999999999</v>
      </c>
      <c r="C40" s="66">
        <v>1.61477</v>
      </c>
      <c r="D40" s="66">
        <v>1.55016</v>
      </c>
      <c r="E40" s="66">
        <v>0</v>
      </c>
      <c r="F40" s="66">
        <v>-3.11694</v>
      </c>
      <c r="G40" s="66">
        <v>0</v>
      </c>
      <c r="H40" s="66">
        <v>4.2004200000000003</v>
      </c>
    </row>
    <row r="41" spans="1:8">
      <c r="A41" s="58" t="s">
        <v>338</v>
      </c>
      <c r="B41" s="66">
        <v>-0.149254</v>
      </c>
      <c r="C41" s="66">
        <v>0.36043700000000001</v>
      </c>
      <c r="D41" s="66">
        <v>-2.41493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-0.184561</v>
      </c>
      <c r="C42" s="66">
        <v>0.14011499999999999</v>
      </c>
      <c r="D42" s="66">
        <v>-0.75918099999999999</v>
      </c>
      <c r="E42" s="66">
        <v>0</v>
      </c>
      <c r="F42" s="66">
        <v>-0.48504999999999998</v>
      </c>
      <c r="G42" s="66">
        <v>0</v>
      </c>
      <c r="H42" s="66">
        <v>0.26546399999999998</v>
      </c>
    </row>
    <row r="43" spans="1:8">
      <c r="A43" s="58" t="s">
        <v>340</v>
      </c>
      <c r="B43" s="66">
        <v>1.15359E-2</v>
      </c>
      <c r="C43" s="66">
        <v>9.3123800000000007E-2</v>
      </c>
      <c r="D43" s="66">
        <v>8.07254</v>
      </c>
      <c r="E43" s="66">
        <v>0</v>
      </c>
      <c r="F43" s="66">
        <v>-0.21331700000000001</v>
      </c>
      <c r="G43" s="66">
        <v>0</v>
      </c>
      <c r="H43" s="66">
        <v>0.22347400000000001</v>
      </c>
    </row>
    <row r="44" spans="1:8">
      <c r="A44" s="58" t="s">
        <v>341</v>
      </c>
      <c r="B44" s="66">
        <v>4.9606500000000002</v>
      </c>
      <c r="C44" s="66">
        <v>10.2681</v>
      </c>
      <c r="D44" s="66">
        <v>2.0699200000000002</v>
      </c>
      <c r="E44" s="66">
        <v>0</v>
      </c>
      <c r="F44" s="66">
        <v>-12.4641</v>
      </c>
      <c r="G44" s="66">
        <v>0</v>
      </c>
      <c r="H44" s="66">
        <v>41.505000000000003</v>
      </c>
    </row>
    <row r="45" spans="1:8">
      <c r="A45" s="58" t="s">
        <v>342</v>
      </c>
      <c r="B45" s="66">
        <v>54.1999</v>
      </c>
      <c r="C45" s="66">
        <v>7.1630500000000001</v>
      </c>
      <c r="D45" s="66">
        <v>0.13216</v>
      </c>
      <c r="E45" s="66">
        <v>0</v>
      </c>
      <c r="F45" s="66">
        <v>32.928600000000003</v>
      </c>
      <c r="G45" s="66">
        <v>0</v>
      </c>
      <c r="H45" s="66">
        <v>72.325100000000006</v>
      </c>
    </row>
    <row r="46" spans="1:8">
      <c r="A46" s="58" t="s">
        <v>343</v>
      </c>
      <c r="B46" s="66">
        <v>28.6065</v>
      </c>
      <c r="C46" s="66">
        <v>4.9677499999999997</v>
      </c>
      <c r="D46" s="66">
        <v>0.17365800000000001</v>
      </c>
      <c r="E46" s="66">
        <v>0</v>
      </c>
      <c r="F46" s="66">
        <v>9.6745000000000001</v>
      </c>
      <c r="G46" s="66">
        <v>0</v>
      </c>
      <c r="H46" s="66">
        <v>35.271500000000003</v>
      </c>
    </row>
    <row r="47" spans="1:8">
      <c r="A47" s="58" t="s">
        <v>344</v>
      </c>
      <c r="B47" s="66">
        <v>0.77424499999999996</v>
      </c>
      <c r="C47" s="66">
        <v>0.60682000000000003</v>
      </c>
      <c r="D47" s="66">
        <v>0.78375600000000001</v>
      </c>
      <c r="E47" s="66">
        <v>0</v>
      </c>
      <c r="F47" s="66">
        <v>0.15926999999999999</v>
      </c>
      <c r="G47" s="66">
        <v>0</v>
      </c>
      <c r="H47" s="66">
        <v>3.7067800000000002</v>
      </c>
    </row>
    <row r="48" spans="1:8">
      <c r="A48" s="58" t="s">
        <v>345</v>
      </c>
      <c r="B48" s="66">
        <v>0.60087299999999999</v>
      </c>
      <c r="C48" s="66">
        <v>0.221218</v>
      </c>
      <c r="D48" s="66">
        <v>0.36816199999999999</v>
      </c>
      <c r="E48" s="66">
        <v>0</v>
      </c>
      <c r="F48" s="66">
        <v>0.32364900000000002</v>
      </c>
      <c r="G48" s="66">
        <v>0</v>
      </c>
      <c r="H48" s="66">
        <v>1.2308699999999999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6.2402000000000015</v>
      </c>
      <c r="C5" s="66">
        <f>'M2'!C5-'M1'!C5</f>
        <v>-1.84267</v>
      </c>
      <c r="D5" s="66">
        <f>'M2'!D5-'M1'!D5</f>
        <v>-8.1547999999999998</v>
      </c>
      <c r="E5" s="66">
        <f>'M2'!E5-'M1'!E5</f>
        <v>0</v>
      </c>
      <c r="F5" s="66">
        <f>'M2'!F5-'M1'!F5</f>
        <v>17.416200000000003</v>
      </c>
      <c r="G5" s="66">
        <f>'M2'!G5-'M1'!G5</f>
        <v>0</v>
      </c>
      <c r="H5" s="66">
        <f>'M2'!H5-'M1'!H5</f>
        <v>5.6067999999999998</v>
      </c>
    </row>
    <row r="6" spans="1:8">
      <c r="A6" s="66" t="s">
        <v>244</v>
      </c>
      <c r="B6" s="66">
        <f>'M2'!B6-'M1'!B6</f>
        <v>5.8311999999999991</v>
      </c>
      <c r="C6" s="66">
        <f>'M2'!C6-'M1'!C6</f>
        <v>2.1989100000000001</v>
      </c>
      <c r="D6" s="66">
        <f>'M2'!D6-'M1'!D6</f>
        <v>6.2768700000000006</v>
      </c>
      <c r="E6" s="66">
        <f>'M2'!E6-'M1'!E6</f>
        <v>0</v>
      </c>
      <c r="F6" s="66">
        <f>'M2'!F6-'M1'!F6</f>
        <v>1.8225999999999978</v>
      </c>
      <c r="G6" s="66">
        <f>'M2'!G6-'M1'!G6</f>
        <v>0</v>
      </c>
      <c r="H6" s="66">
        <f>'M2'!H6-'M1'!H6</f>
        <v>9.0370000000000026</v>
      </c>
    </row>
    <row r="7" spans="1:8">
      <c r="A7" s="66" t="s">
        <v>245</v>
      </c>
      <c r="B7" s="66">
        <f>'M2'!B7-'M1'!B7</f>
        <v>-0.62140000000000128</v>
      </c>
      <c r="C7" s="66">
        <f>'M2'!C7-'M1'!C7</f>
        <v>-3.2874400000000001</v>
      </c>
      <c r="D7" s="66">
        <f>'M2'!D7-'M1'!D7</f>
        <v>-12.575299999999999</v>
      </c>
      <c r="E7" s="66">
        <f>'M2'!E7-'M1'!E7</f>
        <v>0</v>
      </c>
      <c r="F7" s="66">
        <f>'M2'!F7-'M1'!F7</f>
        <v>0.39261000000000035</v>
      </c>
      <c r="G7" s="66">
        <f>'M2'!G7-'M1'!G7</f>
        <v>0</v>
      </c>
      <c r="H7" s="66">
        <f>'M2'!H7-'M1'!H7</f>
        <v>-0.26270000000000238</v>
      </c>
    </row>
    <row r="8" spans="1:8">
      <c r="A8" s="66" t="s">
        <v>246</v>
      </c>
      <c r="B8" s="66">
        <f>'M2'!B8-'M1'!B8</f>
        <v>3.8428000000000004</v>
      </c>
      <c r="C8" s="66">
        <f>'M2'!C8-'M1'!C8</f>
        <v>1.8983300000000005</v>
      </c>
      <c r="D8" s="66">
        <f>'M2'!D8-'M1'!D8</f>
        <v>4.6270999999999987</v>
      </c>
      <c r="E8" s="66">
        <f>'M2'!E8-'M1'!E8</f>
        <v>0</v>
      </c>
      <c r="F8" s="66">
        <f>'M2'!F8-'M1'!F8</f>
        <v>9.9099999999999966E-2</v>
      </c>
      <c r="G8" s="66">
        <f>'M2'!G8-'M1'!G8</f>
        <v>0</v>
      </c>
      <c r="H8" s="66">
        <f>'M2'!H8-'M1'!H8</f>
        <v>6.4671999999999983</v>
      </c>
    </row>
    <row r="9" spans="1:8">
      <c r="A9" s="66" t="s">
        <v>247</v>
      </c>
      <c r="B9" s="66">
        <f>'M2'!B9-'M1'!B9</f>
        <v>-11.012400000000007</v>
      </c>
      <c r="C9" s="66">
        <f>'M2'!C9-'M1'!C9</f>
        <v>-0.24617999999999984</v>
      </c>
      <c r="D9" s="66">
        <f>'M2'!D9-'M1'!D9</f>
        <v>1.7695000000000007</v>
      </c>
      <c r="E9" s="66">
        <f>'M2'!E9-'M1'!E9</f>
        <v>0</v>
      </c>
      <c r="F9" s="66">
        <f>'M2'!F9-'M1'!F9</f>
        <v>-27.451599999999999</v>
      </c>
      <c r="G9" s="66">
        <f>'M2'!G9-'M1'!G9</f>
        <v>0</v>
      </c>
      <c r="H9" s="66">
        <f>'M2'!H9-'M1'!H9</f>
        <v>-20.037499999999994</v>
      </c>
    </row>
    <row r="10" spans="1:8">
      <c r="A10" s="66" t="s">
        <v>248</v>
      </c>
      <c r="B10" s="66">
        <f>'M2'!B10-'M1'!B10</f>
        <v>-1.819199999999995</v>
      </c>
      <c r="C10" s="66">
        <f>'M2'!C10-'M1'!C10</f>
        <v>0.8424400000000003</v>
      </c>
      <c r="D10" s="66">
        <f>'M2'!D10-'M1'!D10</f>
        <v>1.1587000000000005</v>
      </c>
      <c r="E10" s="66">
        <f>'M2'!E10-'M1'!E10</f>
        <v>0</v>
      </c>
      <c r="F10" s="66">
        <f>'M2'!F10-'M1'!F10</f>
        <v>-2.5000000000005684E-2</v>
      </c>
      <c r="G10" s="66">
        <f>'M2'!G10-'M1'!G10</f>
        <v>0</v>
      </c>
      <c r="H10" s="66">
        <f>'M2'!H10-'M1'!H10</f>
        <v>-0.73560000000000514</v>
      </c>
    </row>
    <row r="11" spans="1:8">
      <c r="A11" s="66" t="s">
        <v>249</v>
      </c>
      <c r="B11" s="66">
        <f>'M2'!B11-'M1'!B11</f>
        <v>-8.5699999999999221E-2</v>
      </c>
      <c r="C11" s="66">
        <f>'M2'!C11-'M1'!C11</f>
        <v>-1.0814600000000003</v>
      </c>
      <c r="D11" s="66">
        <f>'M2'!D11-'M1'!D11</f>
        <v>-6.6731000000000016</v>
      </c>
      <c r="E11" s="66">
        <f>'M2'!E11-'M1'!E11</f>
        <v>0</v>
      </c>
      <c r="F11" s="66">
        <f>'M2'!F11-'M1'!F11</f>
        <v>2.3441000000000001</v>
      </c>
      <c r="G11" s="66">
        <f>'M2'!G11-'M1'!G11</f>
        <v>0</v>
      </c>
      <c r="H11" s="66">
        <f>'M2'!H11-'M1'!H11</f>
        <v>-3.0001999999999995</v>
      </c>
    </row>
    <row r="12" spans="1:8">
      <c r="A12" s="66" t="s">
        <v>250</v>
      </c>
      <c r="B12" s="66">
        <f>'M2'!B12-'M1'!B12</f>
        <v>-6.1167999999999978</v>
      </c>
      <c r="C12" s="66">
        <f>'M2'!C12-'M1'!C12</f>
        <v>2.6008</v>
      </c>
      <c r="D12" s="66">
        <f>'M2'!D12-'M1'!D12</f>
        <v>4.1627600000000005</v>
      </c>
      <c r="E12" s="66">
        <f>'M2'!E12-'M1'!E12</f>
        <v>0</v>
      </c>
      <c r="F12" s="66">
        <f>'M2'!F12-'M1'!F12</f>
        <v>-18.341700000000003</v>
      </c>
      <c r="G12" s="66">
        <f>'M2'!G12-'M1'!G12</f>
        <v>0</v>
      </c>
      <c r="H12" s="66">
        <f>'M2'!H12-'M1'!H12</f>
        <v>-6.1925000000000097</v>
      </c>
    </row>
    <row r="13" spans="1:8">
      <c r="A13" s="66" t="s">
        <v>251</v>
      </c>
      <c r="B13" s="66">
        <f>'M2'!B13-'M1'!B13</f>
        <v>-3.4676000000000009</v>
      </c>
      <c r="C13" s="66">
        <f>'M2'!C13-'M1'!C13</f>
        <v>-2.4648400000000001</v>
      </c>
      <c r="D13" s="66">
        <f>'M2'!D13-'M1'!D13</f>
        <v>-9.9638999999999989</v>
      </c>
      <c r="E13" s="66">
        <f>'M2'!E13-'M1'!E13</f>
        <v>0</v>
      </c>
      <c r="F13" s="66">
        <f>'M2'!F13-'M1'!F13</f>
        <v>-0.36589999999999989</v>
      </c>
      <c r="G13" s="66">
        <f>'M2'!G13-'M1'!G13</f>
        <v>0</v>
      </c>
      <c r="H13" s="66">
        <f>'M2'!H13-'M1'!H13</f>
        <v>-12.347999999999999</v>
      </c>
    </row>
    <row r="14" spans="1:8">
      <c r="A14" s="66" t="s">
        <v>252</v>
      </c>
      <c r="B14" s="66">
        <f>'M2'!B14-'M1'!B14</f>
        <v>-24.648399999999999</v>
      </c>
      <c r="C14" s="66">
        <f>'M2'!C14-'M1'!C14</f>
        <v>9.9800000000001887E-2</v>
      </c>
      <c r="D14" s="66">
        <f>'M2'!D14-'M1'!D14</f>
        <v>36.202499999999993</v>
      </c>
      <c r="E14" s="66">
        <f>'M2'!E14-'M1'!E14</f>
        <v>0</v>
      </c>
      <c r="F14" s="66">
        <f>'M2'!F14-'M1'!F14</f>
        <v>2.4868430000000004</v>
      </c>
      <c r="G14" s="66">
        <f>'M2'!G14-'M1'!G14</f>
        <v>0</v>
      </c>
      <c r="H14" s="66">
        <f>'M2'!H14-'M1'!H14</f>
        <v>-4.3436999999999983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0.13815500000000003</v>
      </c>
      <c r="C18" s="66">
        <f>'M2'!C18-'M1'!C18</f>
        <v>1.6199700000000001E-2</v>
      </c>
      <c r="D18" s="66">
        <f>'M2'!D18-'M1'!D18</f>
        <v>2.7460700000000001E-2</v>
      </c>
      <c r="E18" s="66">
        <f>'M2'!E18-'M1'!E18</f>
        <v>0</v>
      </c>
      <c r="F18" s="66">
        <f>'M2'!F18-'M1'!F18</f>
        <v>0.57372400000000001</v>
      </c>
      <c r="G18" s="66">
        <f>'M2'!G18-'M1'!G18</f>
        <v>0</v>
      </c>
      <c r="H18" s="66">
        <f>'M2'!H18-'M1'!H18</f>
        <v>0.606124</v>
      </c>
    </row>
    <row r="19" spans="1:8">
      <c r="A19" s="66" t="s">
        <v>256</v>
      </c>
      <c r="B19" s="66">
        <f>'M2'!B19-'M1'!B19</f>
        <v>2.6876000000000011E-2</v>
      </c>
      <c r="C19" s="66">
        <f>'M2'!C19-'M1'!C19</f>
        <v>1.5935700000000001E-2</v>
      </c>
      <c r="D19" s="66">
        <f>'M2'!D19-'M1'!D19</f>
        <v>2.3096999999999999E-2</v>
      </c>
      <c r="E19" s="66">
        <f>'M2'!E19-'M1'!E19</f>
        <v>0</v>
      </c>
      <c r="F19" s="66">
        <f>'M2'!F19-'M1'!F19</f>
        <v>0.67401100000000003</v>
      </c>
      <c r="G19" s="66">
        <f>'M2'!G19-'M1'!G19</f>
        <v>0</v>
      </c>
      <c r="H19" s="66">
        <f>'M2'!H19-'M1'!H19</f>
        <v>0.70588200000000001</v>
      </c>
    </row>
    <row r="20" spans="1:8">
      <c r="A20" s="66" t="s">
        <v>63</v>
      </c>
      <c r="B20" s="66">
        <f>'M2'!B20-'M1'!B20</f>
        <v>-4.1640900000000002E-4</v>
      </c>
      <c r="C20" s="66">
        <f>'M2'!C20-'M1'!C20</f>
        <v>-5.3362900000000005E-2</v>
      </c>
      <c r="D20" s="66">
        <f>'M2'!D20-'M1'!D20</f>
        <v>-15.869</v>
      </c>
      <c r="E20" s="66">
        <f>'M2'!E20-'M1'!E20</f>
        <v>0</v>
      </c>
      <c r="F20" s="66">
        <f>'M2'!F20-'M1'!F20</f>
        <v>-2.1253000000000001E-5</v>
      </c>
      <c r="G20" s="66">
        <f>'M2'!G20-'M1'!G20</f>
        <v>0</v>
      </c>
      <c r="H20" s="66">
        <f>'M2'!H20-'M1'!H20</f>
        <v>-0.37693500000000002</v>
      </c>
    </row>
    <row r="21" spans="1:8">
      <c r="A21" s="66" t="s">
        <v>64</v>
      </c>
      <c r="B21" s="66">
        <f>'M2'!B21-'M1'!B21</f>
        <v>-6.4537199999999989E-2</v>
      </c>
      <c r="C21" s="66">
        <f>'M2'!C21-'M1'!C21</f>
        <v>-0.40641000000000005</v>
      </c>
      <c r="D21" s="66">
        <f>'M2'!D21-'M1'!D21</f>
        <v>6.1194399999999991</v>
      </c>
      <c r="E21" s="66">
        <f>'M2'!E21-'M1'!E21</f>
        <v>0</v>
      </c>
      <c r="F21" s="66">
        <f>'M2'!F21-'M1'!F21</f>
        <v>-8.1010000000000012E-5</v>
      </c>
      <c r="G21" s="66">
        <f>'M2'!G21-'M1'!G21</f>
        <v>0</v>
      </c>
      <c r="H21" s="66">
        <f>'M2'!H21-'M1'!H21</f>
        <v>-0.84977999999999998</v>
      </c>
    </row>
    <row r="22" spans="1:8">
      <c r="A22" s="66" t="s">
        <v>65</v>
      </c>
      <c r="B22" s="66">
        <f>'M2'!B22-'M1'!B22</f>
        <v>-11.328199999999999</v>
      </c>
      <c r="C22" s="66">
        <f>'M2'!C22-'M1'!C22</f>
        <v>-5.4974999999999987</v>
      </c>
      <c r="D22" s="66">
        <f>'M2'!D22-'M1'!D22</f>
        <v>4.7853999999999952E-2</v>
      </c>
      <c r="E22" s="66">
        <f>'M2'!E22-'M1'!E22</f>
        <v>0</v>
      </c>
      <c r="F22" s="66">
        <f>'M2'!F22-'M1'!F22</f>
        <v>-0.93260000000000076</v>
      </c>
      <c r="G22" s="66">
        <f>'M2'!G22-'M1'!G22</f>
        <v>0</v>
      </c>
      <c r="H22" s="66">
        <f>'M2'!H22-'M1'!H22</f>
        <v>-14.356000000000009</v>
      </c>
    </row>
    <row r="23" spans="1:8">
      <c r="A23" s="66" t="s">
        <v>66</v>
      </c>
      <c r="B23" s="66">
        <f>'M2'!B23-'M1'!B23</f>
        <v>-3.8263999999999996</v>
      </c>
      <c r="C23" s="66">
        <f>'M2'!C23-'M1'!C23</f>
        <v>-2.4358100000000005</v>
      </c>
      <c r="D23" s="66">
        <f>'M2'!D23-'M1'!D23</f>
        <v>-7.9923000000000022E-2</v>
      </c>
      <c r="E23" s="66">
        <f>'M2'!E23-'M1'!E23</f>
        <v>0</v>
      </c>
      <c r="F23" s="66">
        <f>'M2'!F23-'M1'!F23</f>
        <v>2.5237299999999996</v>
      </c>
      <c r="G23" s="66">
        <f>'M2'!G23-'M1'!G23</f>
        <v>0</v>
      </c>
      <c r="H23" s="66">
        <f>'M2'!H23-'M1'!H23</f>
        <v>-6.128700000000002</v>
      </c>
    </row>
    <row r="24" spans="1:8">
      <c r="A24" s="66" t="s">
        <v>67</v>
      </c>
      <c r="B24" s="66">
        <f>'M2'!B24-'M1'!B24</f>
        <v>-1.6340770000000001E-3</v>
      </c>
      <c r="C24" s="66">
        <f>'M2'!C24-'M1'!C24</f>
        <v>-4.1002899999999995E-2</v>
      </c>
      <c r="D24" s="66">
        <f>'M2'!D24-'M1'!D24</f>
        <v>48.790500000000002</v>
      </c>
      <c r="E24" s="66">
        <f>'M2'!E24-'M1'!E24</f>
        <v>0</v>
      </c>
      <c r="F24" s="66">
        <f>'M2'!F24-'M1'!F24</f>
        <v>-1.0291E-5</v>
      </c>
      <c r="G24" s="66">
        <f>'M2'!G24-'M1'!G24</f>
        <v>0</v>
      </c>
      <c r="H24" s="66">
        <f>'M2'!H24-'M1'!H24</f>
        <v>-0.213392</v>
      </c>
    </row>
    <row r="25" spans="1:8">
      <c r="A25" s="66" t="s">
        <v>68</v>
      </c>
      <c r="B25" s="66">
        <f>'M2'!B25-'M1'!B25</f>
        <v>-7.83605E-2</v>
      </c>
      <c r="C25" s="66">
        <f>'M2'!C25-'M1'!C25</f>
        <v>-0.14095099999999999</v>
      </c>
      <c r="D25" s="66">
        <f>'M2'!D25-'M1'!D25</f>
        <v>4.8492599999999992</v>
      </c>
      <c r="E25" s="66">
        <f>'M2'!E25-'M1'!E25</f>
        <v>0</v>
      </c>
      <c r="F25" s="66">
        <f>'M2'!F25-'M1'!F25</f>
        <v>-6.5146000000000041E-4</v>
      </c>
      <c r="G25" s="66">
        <f>'M2'!G25-'M1'!G25</f>
        <v>0</v>
      </c>
      <c r="H25" s="66">
        <f>'M2'!H25-'M1'!H25</f>
        <v>-0.21072000000000002</v>
      </c>
    </row>
    <row r="26" spans="1:8">
      <c r="A26" s="66" t="s">
        <v>69</v>
      </c>
      <c r="B26" s="66">
        <f>'M2'!B26-'M1'!B26</f>
        <v>-1.263786E-4</v>
      </c>
      <c r="C26" s="66">
        <f>'M2'!C26-'M1'!C26</f>
        <v>-5.3302599999999999E-3</v>
      </c>
      <c r="D26" s="66">
        <f>'M2'!D26-'M1'!D26</f>
        <v>7.7406999999999968</v>
      </c>
      <c r="E26" s="66">
        <f>'M2'!E26-'M1'!E26</f>
        <v>0</v>
      </c>
      <c r="F26" s="66">
        <f>'M2'!F26-'M1'!F26</f>
        <v>-3.2825699999999997E-6</v>
      </c>
      <c r="G26" s="66">
        <f>'M2'!G26-'M1'!G26</f>
        <v>0</v>
      </c>
      <c r="H26" s="66">
        <f>'M2'!H26-'M1'!H26</f>
        <v>-5.6860500000000001E-2</v>
      </c>
    </row>
    <row r="27" spans="1:8">
      <c r="A27" s="66" t="s">
        <v>70</v>
      </c>
      <c r="B27" s="66">
        <f>'M2'!B27-'M1'!B27</f>
        <v>-3.2825599999999999E-6</v>
      </c>
      <c r="C27" s="66">
        <f>'M2'!C27-'M1'!C27</f>
        <v>-3.9856450000000003E-3</v>
      </c>
      <c r="D27" s="66">
        <f>'M2'!D27-'M1'!D27</f>
        <v>-255.29900000000001</v>
      </c>
      <c r="E27" s="66">
        <f>'M2'!E27-'M1'!E27</f>
        <v>0</v>
      </c>
      <c r="F27" s="66">
        <f>'M2'!F27-'M1'!F27</f>
        <v>7.6529699999999992E-2</v>
      </c>
      <c r="G27" s="66">
        <f>'M2'!G27-'M1'!G27</f>
        <v>0</v>
      </c>
      <c r="H27" s="66">
        <f>'M2'!H27-'M1'!H27</f>
        <v>-7.8876719999999997E-2</v>
      </c>
    </row>
    <row r="28" spans="1:8">
      <c r="A28" s="66" t="s">
        <v>71</v>
      </c>
      <c r="B28" s="66">
        <f>'M2'!B28-'M1'!B28</f>
        <v>-7.1191200000000005E-3</v>
      </c>
      <c r="C28" s="66">
        <f>'M2'!C28-'M1'!C28</f>
        <v>-1.8648500000000002E-2</v>
      </c>
      <c r="D28" s="66">
        <f>'M2'!D28-'M1'!D28</f>
        <v>0.75200999999999985</v>
      </c>
      <c r="E28" s="66">
        <f>'M2'!E28-'M1'!E28</f>
        <v>0</v>
      </c>
      <c r="F28" s="66">
        <f>'M2'!F28-'M1'!F28</f>
        <v>-3.2552399999999997E-5</v>
      </c>
      <c r="G28" s="66">
        <f>'M2'!G28-'M1'!G28</f>
        <v>0</v>
      </c>
      <c r="H28" s="66">
        <f>'M2'!H28-'M1'!H28</f>
        <v>-2.0443000000000017E-2</v>
      </c>
    </row>
    <row r="29" spans="1:8">
      <c r="A29" s="66" t="s">
        <v>72</v>
      </c>
      <c r="B29" s="66">
        <f>'M2'!B29-'M1'!B29</f>
        <v>1.9516999999999882</v>
      </c>
      <c r="C29" s="66">
        <f>'M2'!C29-'M1'!C29</f>
        <v>1.2530999999999999</v>
      </c>
      <c r="D29" s="66">
        <f>'M2'!D29-'M1'!D29</f>
        <v>1.3302999999999982E-2</v>
      </c>
      <c r="E29" s="66">
        <f>'M2'!E29-'M1'!E29</f>
        <v>0</v>
      </c>
      <c r="F29" s="66">
        <f>'M2'!F29-'M1'!F29</f>
        <v>-8.072499999999998</v>
      </c>
      <c r="G29" s="66">
        <f>'M2'!G29-'M1'!G29</f>
        <v>0</v>
      </c>
      <c r="H29" s="66">
        <f>'M2'!H29-'M1'!H29</f>
        <v>-4.7476999999999947</v>
      </c>
    </row>
    <row r="30" spans="1:8">
      <c r="A30" s="66" t="s">
        <v>73</v>
      </c>
      <c r="B30" s="66">
        <f>'M2'!B30-'M1'!B30</f>
        <v>-3.020500000000002</v>
      </c>
      <c r="C30" s="66">
        <f>'M2'!C30-'M1'!C30</f>
        <v>-3.3835300000000004</v>
      </c>
      <c r="D30" s="66">
        <f>'M2'!D30-'M1'!D30</f>
        <v>-0.14559839999999999</v>
      </c>
      <c r="E30" s="66">
        <f>'M2'!E30-'M1'!E30</f>
        <v>0</v>
      </c>
      <c r="F30" s="66">
        <f>'M2'!F30-'M1'!F30</f>
        <v>4.44252</v>
      </c>
      <c r="G30" s="66">
        <f>'M2'!G30-'M1'!G30</f>
        <v>0</v>
      </c>
      <c r="H30" s="66">
        <f>'M2'!H30-'M1'!H30</f>
        <v>-4.5682000000000009</v>
      </c>
    </row>
    <row r="31" spans="1:8">
      <c r="A31" s="66" t="s">
        <v>74</v>
      </c>
      <c r="B31" s="66">
        <f>'M2'!B31-'M1'!B31</f>
        <v>-17.340999999999994</v>
      </c>
      <c r="C31" s="66">
        <f>'M2'!C31-'M1'!C31</f>
        <v>-11.327799999999996</v>
      </c>
      <c r="D31" s="66">
        <f>'M2'!D31-'M1'!D31</f>
        <v>-5.7793000000000039E-2</v>
      </c>
      <c r="E31" s="66">
        <f>'M2'!E31-'M1'!E31</f>
        <v>0</v>
      </c>
      <c r="F31" s="66">
        <f>'M2'!F31-'M1'!F31</f>
        <v>14.945999999999998</v>
      </c>
      <c r="G31" s="66">
        <f>'M2'!G31-'M1'!G31</f>
        <v>0</v>
      </c>
      <c r="H31" s="66">
        <f>'M2'!H31-'M1'!H31</f>
        <v>-25.098000000000013</v>
      </c>
    </row>
    <row r="32" spans="1:8">
      <c r="A32" s="66" t="s">
        <v>75</v>
      </c>
      <c r="B32" s="66">
        <f>'M2'!B32-'M1'!B32</f>
        <v>-6.2139999999999973E-3</v>
      </c>
      <c r="C32" s="66">
        <f>'M2'!C32-'M1'!C32</f>
        <v>-3.2874399999999984E-2</v>
      </c>
      <c r="D32" s="66">
        <f>'M2'!D32-'M1'!D32</f>
        <v>-0.125753</v>
      </c>
      <c r="E32" s="66">
        <f>'M2'!E32-'M1'!E32</f>
        <v>0</v>
      </c>
      <c r="F32" s="66">
        <f>'M2'!F32-'M1'!F32</f>
        <v>3.9261000000000018E-3</v>
      </c>
      <c r="G32" s="66">
        <f>'M2'!G32-'M1'!G32</f>
        <v>0</v>
      </c>
      <c r="H32" s="66">
        <f>'M2'!H32-'M1'!H32</f>
        <v>-2.627000000000046E-3</v>
      </c>
    </row>
    <row r="33" spans="1:8">
      <c r="A33" s="66" t="s">
        <v>76</v>
      </c>
      <c r="B33" s="66">
        <f>'M2'!B33-'M1'!B33</f>
        <v>-4.7203999999999968E-2</v>
      </c>
      <c r="C33" s="66">
        <f>'M2'!C33-'M1'!C33</f>
        <v>2.3100000000005061E-5</v>
      </c>
      <c r="D33" s="66">
        <f>'M2'!D33-'M1'!D33</f>
        <v>3.7947000000000009E-2</v>
      </c>
      <c r="E33" s="66">
        <f>'M2'!E33-'M1'!E33</f>
        <v>0</v>
      </c>
      <c r="F33" s="66">
        <f>'M2'!F33-'M1'!F33</f>
        <v>1.2350000000000139E-3</v>
      </c>
      <c r="G33" s="66">
        <f>'M2'!G33-'M1'!G33</f>
        <v>0</v>
      </c>
      <c r="H33" s="66">
        <f>'M2'!H33-'M1'!H33</f>
        <v>-1.3030999999999959E-2</v>
      </c>
    </row>
    <row r="34" spans="1:8">
      <c r="A34" s="66" t="s">
        <v>77</v>
      </c>
      <c r="B34" s="66">
        <f>'M2'!B34-'M1'!B34</f>
        <v>-3.4675999999999985E-2</v>
      </c>
      <c r="C34" s="66">
        <f>'M2'!C34-'M1'!C34</f>
        <v>-2.4648400000000001E-2</v>
      </c>
      <c r="D34" s="66">
        <f>'M2'!D34-'M1'!D34</f>
        <v>-9.9639000000000005E-2</v>
      </c>
      <c r="E34" s="66">
        <f>'M2'!E34-'M1'!E34</f>
        <v>0</v>
      </c>
      <c r="F34" s="66">
        <f>'M2'!F34-'M1'!F34</f>
        <v>-3.6589999999999956E-3</v>
      </c>
      <c r="G34" s="66">
        <f>'M2'!G34-'M1'!G34</f>
        <v>0</v>
      </c>
      <c r="H34" s="66">
        <f>'M2'!H34-'M1'!H34</f>
        <v>-0.12347999999999998</v>
      </c>
    </row>
    <row r="35" spans="1:8">
      <c r="A35" s="66" t="s">
        <v>78</v>
      </c>
      <c r="B35" s="66">
        <f>'M2'!B35-'M1'!B35</f>
        <v>-1.03071E-2</v>
      </c>
      <c r="C35" s="66">
        <f>'M2'!C35-'M1'!C35</f>
        <v>-1.406E-2</v>
      </c>
      <c r="D35" s="66">
        <f>'M2'!D35-'M1'!D35</f>
        <v>-0.15205600000000002</v>
      </c>
      <c r="E35" s="66">
        <f>'M2'!E35-'M1'!E35</f>
        <v>0</v>
      </c>
      <c r="F35" s="66">
        <f>'M2'!F35-'M1'!F35</f>
        <v>-2.2363999999999995E-3</v>
      </c>
      <c r="G35" s="66">
        <f>'M2'!G35-'M1'!G35</f>
        <v>0</v>
      </c>
      <c r="H35" s="66">
        <f>'M2'!H35-'M1'!H35</f>
        <v>-7.9094000000000012E-2</v>
      </c>
    </row>
    <row r="36" spans="1:8">
      <c r="A36" s="66" t="s">
        <v>79</v>
      </c>
      <c r="B36" s="66">
        <f>'M2'!B36-'M1'!B36</f>
        <v>-2.3217999999999989E-2</v>
      </c>
      <c r="C36" s="66">
        <f>'M2'!C36-'M1'!C36</f>
        <v>-3.1771800000000003E-2</v>
      </c>
      <c r="D36" s="66">
        <f>'M2'!D36-'M1'!D36</f>
        <v>-0.12016800000000005</v>
      </c>
      <c r="E36" s="66">
        <f>'M2'!E36-'M1'!E36</f>
        <v>0</v>
      </c>
      <c r="F36" s="66">
        <f>'M2'!F36-'M1'!F36</f>
        <v>2.5076999999999947E-3</v>
      </c>
      <c r="G36" s="66">
        <f>'M2'!G36-'M1'!G36</f>
        <v>0</v>
      </c>
      <c r="H36" s="66">
        <f>'M2'!H36-'M1'!H36</f>
        <v>-0.186946</v>
      </c>
    </row>
    <row r="37" spans="1:8">
      <c r="A37" s="66" t="s">
        <v>80</v>
      </c>
      <c r="B37" s="66">
        <f>'M2'!B37-'M1'!B37</f>
        <v>-0.24648399999999998</v>
      </c>
      <c r="C37" s="66">
        <f>'M2'!C37-'M1'!C37</f>
        <v>9.9799999999999889E-4</v>
      </c>
      <c r="D37" s="66">
        <f>'M2'!D37-'M1'!D37</f>
        <v>0.36202500000000004</v>
      </c>
      <c r="E37" s="66">
        <f>'M2'!E37-'M1'!E37</f>
        <v>0</v>
      </c>
      <c r="F37" s="66">
        <f>'M2'!F37-'M1'!F37</f>
        <v>2.486843E-2</v>
      </c>
      <c r="G37" s="66">
        <f>'M2'!G37-'M1'!G37</f>
        <v>0</v>
      </c>
      <c r="H37" s="66">
        <f>'M2'!H37-'M1'!H37</f>
        <v>-4.3436999999999948E-2</v>
      </c>
    </row>
    <row r="38" spans="1:8">
      <c r="A38" s="66" t="s">
        <v>81</v>
      </c>
      <c r="B38" s="66">
        <f>'M2'!B38-'M1'!B38</f>
        <v>1.4667000000000012</v>
      </c>
      <c r="C38" s="66">
        <f>'M2'!C38-'M1'!C38</f>
        <v>-12.120400000000004</v>
      </c>
      <c r="D38" s="66">
        <f>'M2'!D38-'M1'!D38</f>
        <v>0.51745999999999981</v>
      </c>
      <c r="E38" s="66">
        <f>'M2'!E38-'M1'!E38</f>
        <v>0</v>
      </c>
      <c r="F38" s="66">
        <f>'M2'!F38-'M1'!F38</f>
        <v>101.18859999999999</v>
      </c>
      <c r="G38" s="66">
        <f>'M2'!G38-'M1'!G38</f>
        <v>0</v>
      </c>
      <c r="H38" s="66">
        <f>'M2'!H38-'M1'!H38</f>
        <v>-24.187999999999988</v>
      </c>
    </row>
    <row r="39" spans="1:8">
      <c r="A39" s="66" t="s">
        <v>82</v>
      </c>
      <c r="B39" s="66">
        <f>'M2'!B39-'M1'!B39</f>
        <v>-1.0355800000000004</v>
      </c>
      <c r="C39" s="66">
        <f>'M2'!C39-'M1'!C39</f>
        <v>0.42690000000000072</v>
      </c>
      <c r="D39" s="66">
        <f>'M2'!D39-'M1'!D39</f>
        <v>0.16739000000000015</v>
      </c>
      <c r="E39" s="66">
        <f>'M2'!E39-'M1'!E39</f>
        <v>0</v>
      </c>
      <c r="F39" s="66">
        <f>'M2'!F39-'M1'!F39</f>
        <v>2.0080999999999989</v>
      </c>
      <c r="G39" s="66">
        <f>'M2'!G39-'M1'!G39</f>
        <v>0</v>
      </c>
      <c r="H39" s="66">
        <f>'M2'!H39-'M1'!H39</f>
        <v>17.9069</v>
      </c>
    </row>
    <row r="40" spans="1:8">
      <c r="A40" s="66" t="s">
        <v>83</v>
      </c>
      <c r="B40" s="66">
        <f>'M2'!B40-'M1'!B40</f>
        <v>0.75268699999999999</v>
      </c>
      <c r="C40" s="66">
        <f>'M2'!C40-'M1'!C40</f>
        <v>0.5861200000000002</v>
      </c>
      <c r="D40" s="66">
        <f>'M2'!D40-'M1'!D40</f>
        <v>-0.63251999999999997</v>
      </c>
      <c r="E40" s="66">
        <f>'M2'!E40-'M1'!E40</f>
        <v>0</v>
      </c>
      <c r="F40" s="66">
        <f>'M2'!F40-'M1'!F40</f>
        <v>-4.5240000000000169E-2</v>
      </c>
      <c r="G40" s="66">
        <f>'M2'!G40-'M1'!G40</f>
        <v>0</v>
      </c>
      <c r="H40" s="66">
        <f>'M2'!H40-'M1'!H40</f>
        <v>0.15284000000000031</v>
      </c>
    </row>
    <row r="41" spans="1:8">
      <c r="A41" s="66" t="s">
        <v>84</v>
      </c>
      <c r="B41" s="66">
        <f>'M2'!B41-'M1'!B41</f>
        <v>-3.7173999999999985E-2</v>
      </c>
      <c r="C41" s="66">
        <f>'M2'!C41-'M1'!C41</f>
        <v>5.7504E-2</v>
      </c>
      <c r="D41" s="66">
        <f>'M2'!D41-'M1'!D41</f>
        <v>0.2221700000000002</v>
      </c>
      <c r="E41" s="66">
        <f>'M2'!E41-'M1'!E41</f>
        <v>0</v>
      </c>
      <c r="F41" s="66">
        <f>'M2'!F41-'M1'!F41</f>
        <v>-0.33177599999999996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-9.0504000000000001E-2</v>
      </c>
      <c r="C42" s="66">
        <f>'M2'!C42-'M1'!C42</f>
        <v>-1.4570000000000138E-3</v>
      </c>
      <c r="D42" s="66">
        <f>'M2'!D42-'M1'!D42</f>
        <v>0.44782499999999992</v>
      </c>
      <c r="E42" s="66">
        <f>'M2'!E42-'M1'!E42</f>
        <v>0</v>
      </c>
      <c r="F42" s="66">
        <f>'M2'!F42-'M1'!F42</f>
        <v>-7.5333999999999957E-2</v>
      </c>
      <c r="G42" s="66">
        <f>'M2'!G42-'M1'!G42</f>
        <v>0</v>
      </c>
      <c r="H42" s="66">
        <f>'M2'!H42-'M1'!H42</f>
        <v>-1.9120999999999971E-2</v>
      </c>
    </row>
    <row r="43" spans="1:8">
      <c r="A43" s="66" t="s">
        <v>86</v>
      </c>
      <c r="B43" s="66">
        <f>'M2'!B43-'M1'!B43</f>
        <v>8.8361099999999998E-2</v>
      </c>
      <c r="C43" s="66">
        <f>'M2'!C43-'M1'!C43</f>
        <v>5.3271699999999998E-2</v>
      </c>
      <c r="D43" s="66">
        <f>'M2'!D43-'M1'!D43</f>
        <v>6.6760300000000008</v>
      </c>
      <c r="E43" s="66">
        <f>'M2'!E43-'M1'!E43</f>
        <v>0</v>
      </c>
      <c r="F43" s="66">
        <f>'M2'!F43-'M1'!F43</f>
        <v>-1.3969000000000009E-2</v>
      </c>
      <c r="G43" s="66">
        <f>'M2'!G43-'M1'!G43</f>
        <v>0</v>
      </c>
      <c r="H43" s="66">
        <f>'M2'!H43-'M1'!H43</f>
        <v>0.129494</v>
      </c>
    </row>
    <row r="44" spans="1:8">
      <c r="A44" s="66" t="s">
        <v>87</v>
      </c>
      <c r="B44" s="66">
        <f>'M2'!B44-'M1'!B44</f>
        <v>-3.3581300000000001</v>
      </c>
      <c r="C44" s="66">
        <f>'M2'!C44-'M1'!C44</f>
        <v>-4.9864799999999994</v>
      </c>
      <c r="D44" s="66">
        <f>'M2'!D44-'M1'!D44</f>
        <v>0.15354999999999985</v>
      </c>
      <c r="E44" s="66">
        <f>'M2'!E44-'M1'!E44</f>
        <v>0</v>
      </c>
      <c r="F44" s="66">
        <f>'M2'!F44-'M1'!F44</f>
        <v>-1.2530000000000001</v>
      </c>
      <c r="G44" s="66">
        <f>'M2'!G44-'M1'!G44</f>
        <v>0</v>
      </c>
      <c r="H44" s="66">
        <f>'M2'!H44-'M1'!H44</f>
        <v>-26.252800000000001</v>
      </c>
    </row>
    <row r="45" spans="1:8">
      <c r="A45" s="66" t="s">
        <v>88</v>
      </c>
      <c r="B45" s="66">
        <f>'M2'!B45-'M1'!B45</f>
        <v>1.9404000000000039</v>
      </c>
      <c r="C45" s="66">
        <f>'M2'!C45-'M1'!C45</f>
        <v>1.6713800000000001</v>
      </c>
      <c r="D45" s="66">
        <f>'M2'!D45-'M1'!D45</f>
        <v>2.613E-2</v>
      </c>
      <c r="E45" s="66">
        <f>'M2'!E45-'M1'!E45</f>
        <v>0</v>
      </c>
      <c r="F45" s="66">
        <f>'M2'!F45-'M1'!F45</f>
        <v>-1.9953999999999965</v>
      </c>
      <c r="G45" s="66">
        <f>'M2'!G45-'M1'!G45</f>
        <v>0</v>
      </c>
      <c r="H45" s="66">
        <f>'M2'!H45-'M1'!H45</f>
        <v>-4.1600000000002524E-2</v>
      </c>
    </row>
    <row r="46" spans="1:8">
      <c r="A46" s="66" t="s">
        <v>89</v>
      </c>
      <c r="B46" s="66">
        <f>'M2'!B46-'M1'!B46</f>
        <v>3.3172999999999995</v>
      </c>
      <c r="C46" s="66">
        <f>'M2'!C46-'M1'!C46</f>
        <v>-2.9218799999999998</v>
      </c>
      <c r="D46" s="66">
        <f>'M2'!D46-'M1'!D46</f>
        <v>-0.1187841</v>
      </c>
      <c r="E46" s="66">
        <f>'M2'!E46-'M1'!E46</f>
        <v>0</v>
      </c>
      <c r="F46" s="66">
        <f>'M2'!F46-'M1'!F46</f>
        <v>15.877799999999999</v>
      </c>
      <c r="G46" s="66">
        <f>'M2'!G46-'M1'!G46</f>
        <v>0</v>
      </c>
      <c r="H46" s="66">
        <f>'M2'!H46-'M1'!H46</f>
        <v>3.3556000000000026</v>
      </c>
    </row>
    <row r="47" spans="1:8">
      <c r="A47" s="66" t="s">
        <v>90</v>
      </c>
      <c r="B47" s="66">
        <f>'M2'!B47-'M1'!B47</f>
        <v>-0.24574499999999999</v>
      </c>
      <c r="C47" s="66">
        <f>'M2'!C47-'M1'!C47</f>
        <v>-8.388400000000007E-2</v>
      </c>
      <c r="D47" s="66">
        <f>'M2'!D47-'M1'!D47</f>
        <v>0.12513800000000008</v>
      </c>
      <c r="E47" s="66">
        <f>'M2'!E47-'M1'!E47</f>
        <v>0</v>
      </c>
      <c r="F47" s="66">
        <f>'M2'!F47-'M1'!F47</f>
        <v>-0.173542</v>
      </c>
      <c r="G47" s="66">
        <f>'M2'!G47-'M1'!G47</f>
        <v>0</v>
      </c>
      <c r="H47" s="66">
        <f>'M2'!H47-'M1'!H47</f>
        <v>-0.55709000000000009</v>
      </c>
    </row>
    <row r="48" spans="1:8">
      <c r="A48" s="66" t="s">
        <v>91</v>
      </c>
      <c r="B48" s="66">
        <f>'M2'!B48-'M1'!B48</f>
        <v>-0.10060599999999997</v>
      </c>
      <c r="C48" s="66">
        <f>'M2'!C48-'M1'!C48</f>
        <v>-0.119089</v>
      </c>
      <c r="D48" s="66">
        <f>'M2'!D48-'M1'!D48</f>
        <v>-0.14361300000000002</v>
      </c>
      <c r="E48" s="66">
        <f>'M2'!E48-'M1'!E48</f>
        <v>0</v>
      </c>
      <c r="F48" s="66">
        <f>'M2'!F48-'M1'!F48</f>
        <v>-8.9251999999999998E-2</v>
      </c>
      <c r="G48" s="66">
        <f>'M2'!G48-'M1'!G48</f>
        <v>0</v>
      </c>
      <c r="H48" s="66">
        <f>'M2'!H48-'M1'!H48</f>
        <v>-0.41134199999999987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31.427700000000002</v>
      </c>
      <c r="C5" s="66">
        <v>6.1901299999999999</v>
      </c>
      <c r="D5" s="66">
        <v>19.696400000000001</v>
      </c>
      <c r="E5" s="66">
        <v>20</v>
      </c>
      <c r="F5" s="66">
        <v>11.723699999999999</v>
      </c>
      <c r="G5" s="66">
        <v>50</v>
      </c>
      <c r="H5" s="66">
        <v>40.459099999999999</v>
      </c>
    </row>
    <row r="6" spans="1:8">
      <c r="A6" s="66" t="s">
        <v>358</v>
      </c>
      <c r="B6" s="66">
        <v>23.845400000000001</v>
      </c>
      <c r="C6" s="66">
        <v>1.3746499999999999</v>
      </c>
      <c r="D6" s="66">
        <v>5.7648299999999999</v>
      </c>
      <c r="E6" s="66">
        <v>20</v>
      </c>
      <c r="F6" s="66">
        <v>21.746300000000002</v>
      </c>
      <c r="G6" s="66">
        <v>40</v>
      </c>
      <c r="H6" s="66">
        <v>28.947199999999999</v>
      </c>
    </row>
    <row r="7" spans="1:8">
      <c r="A7" s="66" t="s">
        <v>359</v>
      </c>
      <c r="B7" s="66">
        <v>24.069700000000001</v>
      </c>
      <c r="C7" s="66">
        <v>13.1204</v>
      </c>
      <c r="D7" s="66">
        <v>54.51</v>
      </c>
      <c r="E7" s="66">
        <v>15</v>
      </c>
      <c r="F7" s="66">
        <v>3.74749</v>
      </c>
      <c r="G7" s="66">
        <v>40</v>
      </c>
      <c r="H7" s="66">
        <v>49.985199999999999</v>
      </c>
    </row>
    <row r="8" spans="1:8">
      <c r="A8" s="66" t="s">
        <v>360</v>
      </c>
      <c r="B8" s="66">
        <v>27.066199999999998</v>
      </c>
      <c r="C8" s="66">
        <v>3.2970199999999998</v>
      </c>
      <c r="D8" s="66">
        <v>12.1814</v>
      </c>
      <c r="E8" s="66">
        <v>20</v>
      </c>
      <c r="F8" s="66">
        <v>19.553000000000001</v>
      </c>
      <c r="G8" s="66">
        <v>50</v>
      </c>
      <c r="H8" s="66">
        <v>31.673400000000001</v>
      </c>
    </row>
    <row r="9" spans="1:8">
      <c r="A9" s="66" t="s">
        <v>361</v>
      </c>
      <c r="B9" s="66">
        <v>67.516400000000004</v>
      </c>
      <c r="C9" s="66">
        <v>7.6393599999999999</v>
      </c>
      <c r="D9" s="66">
        <v>11.3148</v>
      </c>
      <c r="E9" s="66">
        <v>50</v>
      </c>
      <c r="F9" s="66">
        <v>56.012599999999999</v>
      </c>
      <c r="G9" s="66">
        <v>100</v>
      </c>
      <c r="H9" s="66">
        <v>84.428399999999996</v>
      </c>
    </row>
    <row r="10" spans="1:8">
      <c r="A10" s="66" t="s">
        <v>362</v>
      </c>
      <c r="B10" s="66">
        <v>81.227099999999993</v>
      </c>
      <c r="C10" s="66">
        <v>3.46705</v>
      </c>
      <c r="D10" s="66">
        <v>4.2683299999999997</v>
      </c>
      <c r="E10" s="66">
        <v>40</v>
      </c>
      <c r="F10" s="66">
        <v>68.887799999999999</v>
      </c>
      <c r="G10" s="66">
        <v>100</v>
      </c>
      <c r="H10" s="66">
        <v>85.009200000000007</v>
      </c>
    </row>
    <row r="11" spans="1:8">
      <c r="A11" s="66" t="s">
        <v>363</v>
      </c>
      <c r="B11" s="66">
        <v>16.023399999999999</v>
      </c>
      <c r="C11" s="66">
        <v>3.3516300000000001</v>
      </c>
      <c r="D11" s="66">
        <v>20.917100000000001</v>
      </c>
      <c r="E11" s="66">
        <v>10</v>
      </c>
      <c r="F11" s="66">
        <v>6.6634599999999997</v>
      </c>
      <c r="G11" s="66">
        <v>50</v>
      </c>
      <c r="H11" s="66">
        <v>20.4254</v>
      </c>
    </row>
    <row r="12" spans="1:8">
      <c r="A12" s="66" t="s">
        <v>364</v>
      </c>
      <c r="B12" s="66">
        <v>74.059600000000003</v>
      </c>
      <c r="C12" s="66">
        <v>2.7545199999999999</v>
      </c>
      <c r="D12" s="66">
        <v>3.7193299999999998</v>
      </c>
      <c r="E12" s="66">
        <v>50</v>
      </c>
      <c r="F12" s="66">
        <v>67.382800000000003</v>
      </c>
      <c r="G12" s="66">
        <v>100</v>
      </c>
      <c r="H12" s="66">
        <v>80.183800000000005</v>
      </c>
    </row>
    <row r="13" spans="1:8">
      <c r="A13" s="66" t="s">
        <v>365</v>
      </c>
      <c r="B13" s="66">
        <v>18.952100000000002</v>
      </c>
      <c r="C13" s="66">
        <v>5.0390600000000001</v>
      </c>
      <c r="D13" s="66">
        <v>26.5884</v>
      </c>
      <c r="E13" s="66">
        <v>10</v>
      </c>
      <c r="F13" s="66">
        <v>12.3833</v>
      </c>
      <c r="G13" s="66">
        <v>25</v>
      </c>
      <c r="H13" s="66">
        <v>36.8658</v>
      </c>
    </row>
    <row r="14" spans="1:8">
      <c r="A14" s="66" t="s">
        <v>366</v>
      </c>
      <c r="B14" s="66">
        <v>50.390599999999999</v>
      </c>
      <c r="C14" s="66">
        <v>18.848099999999999</v>
      </c>
      <c r="D14" s="66">
        <v>37.4039</v>
      </c>
      <c r="E14" s="66">
        <v>10</v>
      </c>
      <c r="F14" s="66">
        <v>0.355437</v>
      </c>
      <c r="G14" s="66">
        <v>50</v>
      </c>
      <c r="H14" s="66">
        <v>54.719099999999997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0.45176899999999998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0.66307099999999997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6.3317400000000002E-4</v>
      </c>
      <c r="C20" s="66">
        <v>7.59108E-2</v>
      </c>
      <c r="D20" s="66">
        <v>119.889</v>
      </c>
      <c r="E20" s="66">
        <v>0</v>
      </c>
      <c r="F20" s="196">
        <v>3.6430000000000002E-5</v>
      </c>
      <c r="G20" s="66">
        <v>0</v>
      </c>
      <c r="H20" s="66">
        <v>0.668265</v>
      </c>
    </row>
    <row r="21" spans="1:8">
      <c r="A21" s="66" t="s">
        <v>373</v>
      </c>
      <c r="B21" s="66">
        <v>8.6100899999999994E-2</v>
      </c>
      <c r="C21" s="66">
        <v>0.71825000000000006</v>
      </c>
      <c r="D21" s="66">
        <v>8.3419600000000003</v>
      </c>
      <c r="E21" s="66">
        <v>0</v>
      </c>
      <c r="F21" s="66">
        <v>3.15168E-4</v>
      </c>
      <c r="G21" s="66">
        <v>0</v>
      </c>
      <c r="H21" s="66">
        <v>4.0922700000000001</v>
      </c>
    </row>
    <row r="22" spans="1:8">
      <c r="A22" s="66" t="s">
        <v>374</v>
      </c>
      <c r="B22" s="66">
        <v>42.535499999999999</v>
      </c>
      <c r="C22" s="66">
        <v>26.2498</v>
      </c>
      <c r="D22" s="66">
        <v>0.61712800000000001</v>
      </c>
      <c r="E22" s="66">
        <v>0</v>
      </c>
      <c r="F22" s="66">
        <v>14.4101</v>
      </c>
      <c r="G22" s="66">
        <v>0</v>
      </c>
      <c r="H22" s="66">
        <v>134.60900000000001</v>
      </c>
    </row>
    <row r="23" spans="1:8">
      <c r="A23" s="66" t="s">
        <v>375</v>
      </c>
      <c r="B23" s="66">
        <v>22.4758</v>
      </c>
      <c r="C23" s="66">
        <v>5.5525200000000003</v>
      </c>
      <c r="D23" s="66">
        <v>0.24704400000000001</v>
      </c>
      <c r="E23" s="66">
        <v>0</v>
      </c>
      <c r="F23" s="66">
        <v>7.7431700000000001</v>
      </c>
      <c r="G23" s="66">
        <v>0</v>
      </c>
      <c r="H23" s="66">
        <v>25.7559</v>
      </c>
    </row>
    <row r="24" spans="1:8">
      <c r="A24" s="66" t="s">
        <v>376</v>
      </c>
      <c r="B24" s="66">
        <v>1.8827500000000001E-3</v>
      </c>
      <c r="C24" s="66">
        <v>6.1221999999999999E-2</v>
      </c>
      <c r="D24" s="66">
        <v>32.517400000000002</v>
      </c>
      <c r="E24" s="66">
        <v>0</v>
      </c>
      <c r="F24" s="66">
        <v>1.3350699999999999E-4</v>
      </c>
      <c r="G24" s="66">
        <v>0</v>
      </c>
      <c r="H24" s="66">
        <v>0.39984500000000001</v>
      </c>
    </row>
    <row r="25" spans="1:8">
      <c r="A25" s="66" t="s">
        <v>377</v>
      </c>
      <c r="B25" s="66">
        <v>0.11386599999999999</v>
      </c>
      <c r="C25" s="66">
        <v>0.45500499999999999</v>
      </c>
      <c r="D25" s="66">
        <v>3.9959600000000002</v>
      </c>
      <c r="E25" s="66">
        <v>0</v>
      </c>
      <c r="F25" s="66">
        <v>4.8854500000000004E-3</v>
      </c>
      <c r="G25" s="66">
        <v>0</v>
      </c>
      <c r="H25" s="66">
        <v>1.8321499999999999</v>
      </c>
    </row>
    <row r="26" spans="1:8">
      <c r="A26" s="66" t="s">
        <v>378</v>
      </c>
      <c r="B26" s="66">
        <v>1.7561700000000001E-4</v>
      </c>
      <c r="C26" s="66">
        <v>7.9366200000000001E-3</v>
      </c>
      <c r="D26" s="66">
        <v>45.192700000000002</v>
      </c>
      <c r="E26" s="66">
        <v>0</v>
      </c>
      <c r="F26" s="196">
        <v>6.5651299999999996E-6</v>
      </c>
      <c r="G26" s="66">
        <v>0</v>
      </c>
      <c r="H26" s="66">
        <v>8.8383000000000003E-2</v>
      </c>
    </row>
    <row r="27" spans="1:8">
      <c r="A27" s="66" t="s">
        <v>379</v>
      </c>
      <c r="B27" s="66">
        <v>0</v>
      </c>
      <c r="C27" s="66">
        <v>4.8236800000000003E-3</v>
      </c>
      <c r="D27" s="66">
        <v>0</v>
      </c>
      <c r="E27" s="66">
        <v>0</v>
      </c>
      <c r="F27" s="66">
        <v>-8.8241899999999998E-2</v>
      </c>
      <c r="G27" s="66">
        <v>0</v>
      </c>
      <c r="H27" s="66">
        <v>8.7972700000000001E-2</v>
      </c>
    </row>
    <row r="28" spans="1:8">
      <c r="A28" s="66" t="s">
        <v>380</v>
      </c>
      <c r="B28" s="66">
        <v>1.0921200000000001E-2</v>
      </c>
      <c r="C28" s="66">
        <v>3.2994200000000001E-2</v>
      </c>
      <c r="D28" s="66">
        <v>3.0211000000000001</v>
      </c>
      <c r="E28" s="66">
        <v>0</v>
      </c>
      <c r="F28" s="66">
        <v>1.0416699999999999E-4</v>
      </c>
      <c r="G28" s="66">
        <v>0</v>
      </c>
      <c r="H28" s="66">
        <v>0.15068400000000001</v>
      </c>
    </row>
    <row r="29" spans="1:8">
      <c r="A29" s="66" t="s">
        <v>381</v>
      </c>
      <c r="B29" s="66">
        <v>70.772000000000006</v>
      </c>
      <c r="C29" s="66">
        <v>10.3573</v>
      </c>
      <c r="D29" s="66">
        <v>0.14634800000000001</v>
      </c>
      <c r="E29" s="66">
        <v>0</v>
      </c>
      <c r="F29" s="66">
        <v>51.5321</v>
      </c>
      <c r="G29" s="66">
        <v>0</v>
      </c>
      <c r="H29" s="66">
        <v>102.16</v>
      </c>
    </row>
    <row r="30" spans="1:8">
      <c r="A30" s="66" t="s">
        <v>382</v>
      </c>
      <c r="B30" s="66">
        <v>21.848700000000001</v>
      </c>
      <c r="C30" s="66">
        <v>4.6452200000000001</v>
      </c>
      <c r="D30" s="66">
        <v>0.21260899999999999</v>
      </c>
      <c r="E30" s="66">
        <v>0</v>
      </c>
      <c r="F30" s="66">
        <v>9.1244800000000001</v>
      </c>
      <c r="G30" s="66">
        <v>0</v>
      </c>
      <c r="H30" s="66">
        <v>26.152699999999999</v>
      </c>
    </row>
    <row r="31" spans="1:8">
      <c r="A31" s="66" t="s">
        <v>383</v>
      </c>
      <c r="B31" s="66">
        <v>130.274</v>
      </c>
      <c r="C31" s="66">
        <v>36.067999999999998</v>
      </c>
      <c r="D31" s="66">
        <v>0.27686300000000003</v>
      </c>
      <c r="E31" s="66">
        <v>0</v>
      </c>
      <c r="F31" s="66">
        <v>38.7866</v>
      </c>
      <c r="G31" s="66">
        <v>0</v>
      </c>
      <c r="H31" s="66">
        <v>172.875</v>
      </c>
    </row>
    <row r="32" spans="1:8">
      <c r="A32" s="66" t="s">
        <v>384</v>
      </c>
      <c r="B32" s="66">
        <v>0.24069699999999999</v>
      </c>
      <c r="C32" s="66">
        <v>0.13120399999999999</v>
      </c>
      <c r="D32" s="66">
        <v>0.54510000000000003</v>
      </c>
      <c r="E32" s="66">
        <v>0.15</v>
      </c>
      <c r="F32" s="66">
        <v>3.7474899999999998E-2</v>
      </c>
      <c r="G32" s="66">
        <v>0.4</v>
      </c>
      <c r="H32" s="66">
        <v>0.49985200000000002</v>
      </c>
    </row>
    <row r="33" spans="1:8">
      <c r="A33" s="66" t="s">
        <v>385</v>
      </c>
      <c r="B33" s="66">
        <v>0.28197299999999997</v>
      </c>
      <c r="C33" s="66">
        <v>5.3079599999999998E-2</v>
      </c>
      <c r="D33" s="66">
        <v>0.18824399999999999</v>
      </c>
      <c r="E33" s="66">
        <v>0</v>
      </c>
      <c r="F33" s="66">
        <v>0.200043</v>
      </c>
      <c r="G33" s="66">
        <v>0</v>
      </c>
      <c r="H33" s="66">
        <v>0.43848199999999998</v>
      </c>
    </row>
    <row r="34" spans="1:8">
      <c r="A34" s="66" t="s">
        <v>386</v>
      </c>
      <c r="B34" s="66">
        <v>0.189521</v>
      </c>
      <c r="C34" s="66">
        <v>5.0390600000000001E-2</v>
      </c>
      <c r="D34" s="66">
        <v>0.26588400000000001</v>
      </c>
      <c r="E34" s="66">
        <v>0.1</v>
      </c>
      <c r="F34" s="66">
        <v>0.123833</v>
      </c>
      <c r="G34" s="66">
        <v>0.25</v>
      </c>
      <c r="H34" s="66">
        <v>0.36865799999999999</v>
      </c>
    </row>
    <row r="35" spans="1:8">
      <c r="A35" s="66" t="s">
        <v>387</v>
      </c>
      <c r="B35" s="66">
        <v>7.59243E-2</v>
      </c>
      <c r="C35" s="66">
        <v>3.00722E-2</v>
      </c>
      <c r="D35" s="66">
        <v>0.39608100000000002</v>
      </c>
      <c r="E35" s="66">
        <v>0</v>
      </c>
      <c r="F35" s="66">
        <v>4.0171400000000003E-2</v>
      </c>
      <c r="G35" s="66">
        <v>0</v>
      </c>
      <c r="H35" s="66">
        <v>0.18273700000000001</v>
      </c>
    </row>
    <row r="36" spans="1:8">
      <c r="A36" s="66" t="s">
        <v>388</v>
      </c>
      <c r="B36" s="66">
        <v>0.170817</v>
      </c>
      <c r="C36" s="66">
        <v>0.10326</v>
      </c>
      <c r="D36" s="66">
        <v>0.60450800000000005</v>
      </c>
      <c r="E36" s="66">
        <v>0</v>
      </c>
      <c r="F36" s="66">
        <v>3.6150500000000002E-2</v>
      </c>
      <c r="G36" s="66">
        <v>0</v>
      </c>
      <c r="H36" s="66">
        <v>0.61399700000000001</v>
      </c>
    </row>
    <row r="37" spans="1:8">
      <c r="A37" s="66" t="s">
        <v>389</v>
      </c>
      <c r="B37" s="66">
        <v>0.50390599999999997</v>
      </c>
      <c r="C37" s="66">
        <v>0.18848100000000001</v>
      </c>
      <c r="D37" s="66">
        <v>0.37403900000000001</v>
      </c>
      <c r="E37" s="66">
        <v>0.1</v>
      </c>
      <c r="F37" s="66">
        <v>3.5543699999999998E-3</v>
      </c>
      <c r="G37" s="66">
        <v>0.5</v>
      </c>
      <c r="H37" s="66">
        <v>0.54719099999999998</v>
      </c>
    </row>
    <row r="38" spans="1:8">
      <c r="A38" s="66" t="s">
        <v>390</v>
      </c>
      <c r="B38" s="66">
        <v>-14.822100000000001</v>
      </c>
      <c r="C38" s="66">
        <v>52.643700000000003</v>
      </c>
      <c r="D38" s="66">
        <v>-3.5516999999999999</v>
      </c>
      <c r="E38" s="66">
        <v>0</v>
      </c>
      <c r="F38" s="66">
        <v>-199.428</v>
      </c>
      <c r="G38" s="66">
        <v>0</v>
      </c>
      <c r="H38" s="66">
        <v>160.36799999999999</v>
      </c>
    </row>
    <row r="39" spans="1:8">
      <c r="A39" s="66" t="s">
        <v>391</v>
      </c>
      <c r="B39" s="66">
        <v>-5.3319099999999997</v>
      </c>
      <c r="C39" s="66">
        <v>7.6858300000000002</v>
      </c>
      <c r="D39" s="66">
        <v>-1.4414800000000001</v>
      </c>
      <c r="E39" s="66">
        <v>0</v>
      </c>
      <c r="F39" s="66">
        <v>-20.99</v>
      </c>
      <c r="G39" s="66">
        <v>0</v>
      </c>
      <c r="H39" s="66">
        <v>13.7354</v>
      </c>
    </row>
    <row r="40" spans="1:8">
      <c r="A40" s="66" t="s">
        <v>392</v>
      </c>
      <c r="B40" s="66">
        <v>0.65823299999999996</v>
      </c>
      <c r="C40" s="66">
        <v>1.2930299999999999</v>
      </c>
      <c r="D40" s="66">
        <v>1.9643900000000001</v>
      </c>
      <c r="E40" s="66">
        <v>0</v>
      </c>
      <c r="F40" s="66">
        <v>-3.0716999999999999</v>
      </c>
      <c r="G40" s="66">
        <v>0</v>
      </c>
      <c r="H40" s="66">
        <v>4.04758</v>
      </c>
    </row>
    <row r="41" spans="1:8">
      <c r="A41" s="66" t="s">
        <v>393</v>
      </c>
      <c r="B41" s="66">
        <v>-0.129805</v>
      </c>
      <c r="C41" s="66">
        <v>0.33033000000000001</v>
      </c>
      <c r="D41" s="66">
        <v>-2.5448200000000001</v>
      </c>
      <c r="E41" s="66">
        <v>0</v>
      </c>
      <c r="F41" s="66">
        <v>-0.66822400000000004</v>
      </c>
      <c r="G41" s="66">
        <v>0</v>
      </c>
      <c r="H41" s="66">
        <v>1</v>
      </c>
    </row>
    <row r="42" spans="1:8">
      <c r="A42" s="66" t="s">
        <v>394</v>
      </c>
      <c r="B42" s="66">
        <v>-0.128521</v>
      </c>
      <c r="C42" s="66">
        <v>0.13721900000000001</v>
      </c>
      <c r="D42" s="66">
        <v>-1.0676699999999999</v>
      </c>
      <c r="E42" s="66">
        <v>0</v>
      </c>
      <c r="F42" s="66">
        <v>-0.40971600000000002</v>
      </c>
      <c r="G42" s="66">
        <v>0</v>
      </c>
      <c r="H42" s="66">
        <v>0.26546399999999998</v>
      </c>
    </row>
    <row r="43" spans="1:8">
      <c r="A43" s="66" t="s">
        <v>395</v>
      </c>
      <c r="B43" s="66">
        <v>-1.16901E-2</v>
      </c>
      <c r="C43" s="66">
        <v>6.0670300000000003E-2</v>
      </c>
      <c r="D43" s="66">
        <v>-5.1899100000000002</v>
      </c>
      <c r="E43" s="66">
        <v>0</v>
      </c>
      <c r="F43" s="66">
        <v>-0.199348</v>
      </c>
      <c r="G43" s="66">
        <v>0</v>
      </c>
      <c r="H43" s="66">
        <v>9.3979999999999994E-2</v>
      </c>
    </row>
    <row r="44" spans="1:8">
      <c r="A44" s="66" t="s">
        <v>396</v>
      </c>
      <c r="B44" s="66">
        <v>7.2860300000000002</v>
      </c>
      <c r="C44" s="66">
        <v>12.127599999999999</v>
      </c>
      <c r="D44" s="66">
        <v>1.6645000000000001</v>
      </c>
      <c r="E44" s="66">
        <v>0</v>
      </c>
      <c r="F44" s="66">
        <v>-11.2111</v>
      </c>
      <c r="G44" s="66">
        <v>0</v>
      </c>
      <c r="H44" s="66">
        <v>41.505000000000003</v>
      </c>
    </row>
    <row r="45" spans="1:8">
      <c r="A45" s="66" t="s">
        <v>397</v>
      </c>
      <c r="B45" s="66">
        <v>53.323999999999998</v>
      </c>
      <c r="C45" s="66">
        <v>6.2473000000000001</v>
      </c>
      <c r="D45" s="66">
        <v>0.117157</v>
      </c>
      <c r="E45" s="66">
        <v>0</v>
      </c>
      <c r="F45" s="66">
        <v>34.923999999999999</v>
      </c>
      <c r="G45" s="66">
        <v>0</v>
      </c>
      <c r="H45" s="66">
        <v>72.325100000000006</v>
      </c>
    </row>
    <row r="46" spans="1:8">
      <c r="A46" s="66" t="s">
        <v>398</v>
      </c>
      <c r="B46" s="66">
        <v>26.956900000000001</v>
      </c>
      <c r="C46" s="66">
        <v>5.4787499999999998</v>
      </c>
      <c r="D46" s="66">
        <v>0.203241</v>
      </c>
      <c r="E46" s="66">
        <v>0</v>
      </c>
      <c r="F46" s="66">
        <v>9.6745000000000001</v>
      </c>
      <c r="G46" s="66">
        <v>0</v>
      </c>
      <c r="H46" s="66">
        <v>31.915900000000001</v>
      </c>
    </row>
    <row r="47" spans="1:8">
      <c r="A47" s="66" t="s">
        <v>399</v>
      </c>
      <c r="B47" s="66">
        <v>0.90563300000000002</v>
      </c>
      <c r="C47" s="66">
        <v>0.61345000000000005</v>
      </c>
      <c r="D47" s="66">
        <v>0.67737099999999995</v>
      </c>
      <c r="E47" s="66">
        <v>0</v>
      </c>
      <c r="F47" s="66">
        <v>0.332812</v>
      </c>
      <c r="G47" s="66">
        <v>0</v>
      </c>
      <c r="H47" s="66">
        <v>3.7067800000000002</v>
      </c>
    </row>
    <row r="48" spans="1:8">
      <c r="A48" s="66" t="s">
        <v>400</v>
      </c>
      <c r="B48" s="66">
        <v>0.67983899999999997</v>
      </c>
      <c r="C48" s="66">
        <v>0.242617</v>
      </c>
      <c r="D48" s="66">
        <v>0.35687400000000002</v>
      </c>
      <c r="E48" s="66">
        <v>0</v>
      </c>
      <c r="F48" s="66">
        <v>0.41290100000000002</v>
      </c>
      <c r="G48" s="66">
        <v>0</v>
      </c>
      <c r="H48" s="66">
        <v>1.2308699999999999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37.667900000000003</v>
      </c>
      <c r="C5" s="66">
        <v>4.3474599999999999</v>
      </c>
      <c r="D5" s="66">
        <v>11.541600000000001</v>
      </c>
      <c r="E5" s="66">
        <v>20</v>
      </c>
      <c r="F5" s="66">
        <v>29.139900000000001</v>
      </c>
      <c r="G5" s="66">
        <v>50</v>
      </c>
      <c r="H5" s="66">
        <v>46.065899999999999</v>
      </c>
    </row>
    <row r="6" spans="1:8">
      <c r="A6" s="66" t="s">
        <v>358</v>
      </c>
      <c r="B6" s="66">
        <v>29.676600000000001</v>
      </c>
      <c r="C6" s="66">
        <v>3.5735600000000001</v>
      </c>
      <c r="D6" s="66">
        <v>12.041700000000001</v>
      </c>
      <c r="E6" s="66">
        <v>20</v>
      </c>
      <c r="F6" s="66">
        <v>23.568899999999999</v>
      </c>
      <c r="G6" s="66">
        <v>40</v>
      </c>
      <c r="H6" s="66">
        <v>37.984200000000001</v>
      </c>
    </row>
    <row r="7" spans="1:8">
      <c r="A7" s="66" t="s">
        <v>359</v>
      </c>
      <c r="B7" s="66">
        <v>23.4483</v>
      </c>
      <c r="C7" s="66">
        <v>9.8329599999999999</v>
      </c>
      <c r="D7" s="66">
        <v>41.934699999999999</v>
      </c>
      <c r="E7" s="66">
        <v>15</v>
      </c>
      <c r="F7" s="66">
        <v>4.1401000000000003</v>
      </c>
      <c r="G7" s="66">
        <v>40</v>
      </c>
      <c r="H7" s="66">
        <v>49.722499999999997</v>
      </c>
    </row>
    <row r="8" spans="1:8">
      <c r="A8" s="66" t="s">
        <v>360</v>
      </c>
      <c r="B8" s="66">
        <v>30.908999999999999</v>
      </c>
      <c r="C8" s="66">
        <v>5.1953500000000004</v>
      </c>
      <c r="D8" s="66">
        <v>16.808499999999999</v>
      </c>
      <c r="E8" s="66">
        <v>20</v>
      </c>
      <c r="F8" s="66">
        <v>19.652100000000001</v>
      </c>
      <c r="G8" s="66">
        <v>50</v>
      </c>
      <c r="H8" s="66">
        <v>38.140599999999999</v>
      </c>
    </row>
    <row r="9" spans="1:8">
      <c r="A9" s="66" t="s">
        <v>361</v>
      </c>
      <c r="B9" s="66">
        <v>56.503999999999998</v>
      </c>
      <c r="C9" s="66">
        <v>7.3931800000000001</v>
      </c>
      <c r="D9" s="66">
        <v>13.084300000000001</v>
      </c>
      <c r="E9" s="66">
        <v>50</v>
      </c>
      <c r="F9" s="66">
        <v>28.561</v>
      </c>
      <c r="G9" s="66">
        <v>100</v>
      </c>
      <c r="H9" s="66">
        <v>64.390900000000002</v>
      </c>
    </row>
    <row r="10" spans="1:8">
      <c r="A10" s="66" t="s">
        <v>362</v>
      </c>
      <c r="B10" s="66">
        <v>79.407899999999998</v>
      </c>
      <c r="C10" s="66">
        <v>4.3094900000000003</v>
      </c>
      <c r="D10" s="66">
        <v>5.4270300000000002</v>
      </c>
      <c r="E10" s="66">
        <v>40</v>
      </c>
      <c r="F10" s="66">
        <v>68.862799999999993</v>
      </c>
      <c r="G10" s="66">
        <v>100</v>
      </c>
      <c r="H10" s="66">
        <v>84.273600000000002</v>
      </c>
    </row>
    <row r="11" spans="1:8">
      <c r="A11" s="66" t="s">
        <v>363</v>
      </c>
      <c r="B11" s="66">
        <v>15.9377</v>
      </c>
      <c r="C11" s="66">
        <v>2.2701699999999998</v>
      </c>
      <c r="D11" s="66">
        <v>14.244</v>
      </c>
      <c r="E11" s="66">
        <v>10</v>
      </c>
      <c r="F11" s="66">
        <v>9.0075599999999998</v>
      </c>
      <c r="G11" s="66">
        <v>50</v>
      </c>
      <c r="H11" s="66">
        <v>17.4252</v>
      </c>
    </row>
    <row r="12" spans="1:8">
      <c r="A12" s="66" t="s">
        <v>364</v>
      </c>
      <c r="B12" s="66">
        <v>67.942800000000005</v>
      </c>
      <c r="C12" s="66">
        <v>5.3553199999999999</v>
      </c>
      <c r="D12" s="66">
        <v>7.8820899999999998</v>
      </c>
      <c r="E12" s="66">
        <v>50</v>
      </c>
      <c r="F12" s="66">
        <v>49.0411</v>
      </c>
      <c r="G12" s="66">
        <v>100</v>
      </c>
      <c r="H12" s="66">
        <v>73.991299999999995</v>
      </c>
    </row>
    <row r="13" spans="1:8">
      <c r="A13" s="66" t="s">
        <v>365</v>
      </c>
      <c r="B13" s="66">
        <v>15.484500000000001</v>
      </c>
      <c r="C13" s="66">
        <v>2.57422</v>
      </c>
      <c r="D13" s="66">
        <v>16.624500000000001</v>
      </c>
      <c r="E13" s="66">
        <v>10</v>
      </c>
      <c r="F13" s="66">
        <v>12.0174</v>
      </c>
      <c r="G13" s="66">
        <v>25</v>
      </c>
      <c r="H13" s="66">
        <v>24.517800000000001</v>
      </c>
    </row>
    <row r="14" spans="1:8">
      <c r="A14" s="66" t="s">
        <v>366</v>
      </c>
      <c r="B14" s="66">
        <v>25.7422</v>
      </c>
      <c r="C14" s="66">
        <v>18.947900000000001</v>
      </c>
      <c r="D14" s="66">
        <v>73.606399999999994</v>
      </c>
      <c r="E14" s="66">
        <v>10</v>
      </c>
      <c r="F14" s="66">
        <v>2.8422800000000001</v>
      </c>
      <c r="G14" s="66">
        <v>50</v>
      </c>
      <c r="H14" s="66">
        <v>50.375399999999999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0.589924</v>
      </c>
      <c r="C18" s="66">
        <v>1.6199700000000001E-2</v>
      </c>
      <c r="D18" s="66">
        <v>2.7460700000000001E-2</v>
      </c>
      <c r="E18" s="66">
        <v>0</v>
      </c>
      <c r="F18" s="66">
        <v>0.57372400000000001</v>
      </c>
      <c r="G18" s="66">
        <v>0</v>
      </c>
      <c r="H18" s="66">
        <v>0.606124</v>
      </c>
    </row>
    <row r="19" spans="1:8">
      <c r="A19" s="66" t="s">
        <v>371</v>
      </c>
      <c r="B19" s="66">
        <v>0.68994699999999998</v>
      </c>
      <c r="C19" s="66">
        <v>1.5935700000000001E-2</v>
      </c>
      <c r="D19" s="66">
        <v>2.3096999999999999E-2</v>
      </c>
      <c r="E19" s="66">
        <v>0</v>
      </c>
      <c r="F19" s="66">
        <v>0.67401100000000003</v>
      </c>
      <c r="G19" s="66">
        <v>0</v>
      </c>
      <c r="H19" s="66">
        <v>0.70588200000000001</v>
      </c>
    </row>
    <row r="20" spans="1:8">
      <c r="A20" s="66" t="s">
        <v>372</v>
      </c>
      <c r="B20" s="66">
        <v>2.16765E-4</v>
      </c>
      <c r="C20" s="66">
        <v>2.2547899999999999E-2</v>
      </c>
      <c r="D20" s="66">
        <v>104.02</v>
      </c>
      <c r="E20" s="66">
        <v>0</v>
      </c>
      <c r="F20" s="196">
        <v>1.5177000000000001E-5</v>
      </c>
      <c r="G20" s="66">
        <v>0</v>
      </c>
      <c r="H20" s="66">
        <v>0.29132999999999998</v>
      </c>
    </row>
    <row r="21" spans="1:8">
      <c r="A21" s="66" t="s">
        <v>373</v>
      </c>
      <c r="B21" s="66">
        <v>2.1563700000000002E-2</v>
      </c>
      <c r="C21" s="66">
        <v>0.31184000000000001</v>
      </c>
      <c r="D21" s="66">
        <v>14.461399999999999</v>
      </c>
      <c r="E21" s="66">
        <v>0</v>
      </c>
      <c r="F21" s="66">
        <v>2.3415799999999999E-4</v>
      </c>
      <c r="G21" s="66">
        <v>0</v>
      </c>
      <c r="H21" s="66">
        <v>3.2424900000000001</v>
      </c>
    </row>
    <row r="22" spans="1:8">
      <c r="A22" s="66" t="s">
        <v>374</v>
      </c>
      <c r="B22" s="66">
        <v>31.2073</v>
      </c>
      <c r="C22" s="66">
        <v>20.752300000000002</v>
      </c>
      <c r="D22" s="66">
        <v>0.66498199999999996</v>
      </c>
      <c r="E22" s="66">
        <v>0</v>
      </c>
      <c r="F22" s="66">
        <v>13.477499999999999</v>
      </c>
      <c r="G22" s="66">
        <v>0</v>
      </c>
      <c r="H22" s="66">
        <v>120.253</v>
      </c>
    </row>
    <row r="23" spans="1:8">
      <c r="A23" s="66" t="s">
        <v>375</v>
      </c>
      <c r="B23" s="66">
        <v>18.6494</v>
      </c>
      <c r="C23" s="66">
        <v>3.1167099999999999</v>
      </c>
      <c r="D23" s="66">
        <v>0.16712099999999999</v>
      </c>
      <c r="E23" s="66">
        <v>0</v>
      </c>
      <c r="F23" s="66">
        <v>10.2669</v>
      </c>
      <c r="G23" s="66">
        <v>0</v>
      </c>
      <c r="H23" s="66">
        <v>19.627199999999998</v>
      </c>
    </row>
    <row r="24" spans="1:8">
      <c r="A24" s="66" t="s">
        <v>376</v>
      </c>
      <c r="B24" s="66">
        <v>2.4867299999999998E-4</v>
      </c>
      <c r="C24" s="66">
        <v>2.02191E-2</v>
      </c>
      <c r="D24" s="66">
        <v>81.307900000000004</v>
      </c>
      <c r="E24" s="66">
        <v>0</v>
      </c>
      <c r="F24" s="66">
        <v>1.2321599999999999E-4</v>
      </c>
      <c r="G24" s="66">
        <v>0</v>
      </c>
      <c r="H24" s="66">
        <v>0.18645300000000001</v>
      </c>
    </row>
    <row r="25" spans="1:8">
      <c r="A25" s="66" t="s">
        <v>377</v>
      </c>
      <c r="B25" s="66">
        <v>3.5505500000000002E-2</v>
      </c>
      <c r="C25" s="66">
        <v>0.314054</v>
      </c>
      <c r="D25" s="66">
        <v>8.8452199999999994</v>
      </c>
      <c r="E25" s="66">
        <v>0</v>
      </c>
      <c r="F25" s="66">
        <v>4.23399E-3</v>
      </c>
      <c r="G25" s="66">
        <v>0</v>
      </c>
      <c r="H25" s="66">
        <v>1.6214299999999999</v>
      </c>
    </row>
    <row r="26" spans="1:8">
      <c r="A26" s="66" t="s">
        <v>378</v>
      </c>
      <c r="B26" s="196">
        <v>4.9238399999999999E-5</v>
      </c>
      <c r="C26" s="66">
        <v>2.6063599999999998E-3</v>
      </c>
      <c r="D26" s="66">
        <v>52.933399999999999</v>
      </c>
      <c r="E26" s="66">
        <v>0</v>
      </c>
      <c r="F26" s="196">
        <v>3.2825599999999999E-6</v>
      </c>
      <c r="G26" s="66">
        <v>0</v>
      </c>
      <c r="H26" s="66">
        <v>3.1522500000000002E-2</v>
      </c>
    </row>
    <row r="27" spans="1:8">
      <c r="A27" s="66" t="s">
        <v>379</v>
      </c>
      <c r="B27" s="196">
        <v>-3.2825599999999999E-6</v>
      </c>
      <c r="C27" s="66">
        <v>8.38035E-4</v>
      </c>
      <c r="D27" s="66">
        <v>-255.29900000000001</v>
      </c>
      <c r="E27" s="66">
        <v>0</v>
      </c>
      <c r="F27" s="66">
        <v>-1.1712200000000001E-2</v>
      </c>
      <c r="G27" s="66">
        <v>0</v>
      </c>
      <c r="H27" s="66">
        <v>9.09598E-3</v>
      </c>
    </row>
    <row r="28" spans="1:8">
      <c r="A28" s="66" t="s">
        <v>380</v>
      </c>
      <c r="B28" s="66">
        <v>3.8020800000000002E-3</v>
      </c>
      <c r="C28" s="66">
        <v>1.4345699999999999E-2</v>
      </c>
      <c r="D28" s="66">
        <v>3.77311</v>
      </c>
      <c r="E28" s="66">
        <v>0</v>
      </c>
      <c r="F28" s="196">
        <v>7.1614599999999997E-5</v>
      </c>
      <c r="G28" s="66">
        <v>0</v>
      </c>
      <c r="H28" s="66">
        <v>0.130241</v>
      </c>
    </row>
    <row r="29" spans="1:8">
      <c r="A29" s="66" t="s">
        <v>381</v>
      </c>
      <c r="B29" s="66">
        <v>72.723699999999994</v>
      </c>
      <c r="C29" s="66">
        <v>11.6104</v>
      </c>
      <c r="D29" s="66">
        <v>0.15965099999999999</v>
      </c>
      <c r="E29" s="66">
        <v>0</v>
      </c>
      <c r="F29" s="66">
        <v>43.459600000000002</v>
      </c>
      <c r="G29" s="66">
        <v>0</v>
      </c>
      <c r="H29" s="66">
        <v>97.412300000000002</v>
      </c>
    </row>
    <row r="30" spans="1:8">
      <c r="A30" s="66" t="s">
        <v>382</v>
      </c>
      <c r="B30" s="66">
        <v>18.828199999999999</v>
      </c>
      <c r="C30" s="66">
        <v>1.26169</v>
      </c>
      <c r="D30" s="66">
        <v>6.7010600000000003E-2</v>
      </c>
      <c r="E30" s="66">
        <v>0</v>
      </c>
      <c r="F30" s="66">
        <v>13.567</v>
      </c>
      <c r="G30" s="66">
        <v>0</v>
      </c>
      <c r="H30" s="66">
        <v>21.584499999999998</v>
      </c>
    </row>
    <row r="31" spans="1:8">
      <c r="A31" s="66" t="s">
        <v>383</v>
      </c>
      <c r="B31" s="66">
        <v>112.93300000000001</v>
      </c>
      <c r="C31" s="66">
        <v>24.740200000000002</v>
      </c>
      <c r="D31" s="66">
        <v>0.21906999999999999</v>
      </c>
      <c r="E31" s="66">
        <v>0</v>
      </c>
      <c r="F31" s="66">
        <v>53.732599999999998</v>
      </c>
      <c r="G31" s="66">
        <v>0</v>
      </c>
      <c r="H31" s="66">
        <v>147.77699999999999</v>
      </c>
    </row>
    <row r="32" spans="1:8">
      <c r="A32" s="66" t="s">
        <v>384</v>
      </c>
      <c r="B32" s="66">
        <v>0.234483</v>
      </c>
      <c r="C32" s="66">
        <v>9.8329600000000003E-2</v>
      </c>
      <c r="D32" s="66">
        <v>0.41934700000000003</v>
      </c>
      <c r="E32" s="66">
        <v>0.15</v>
      </c>
      <c r="F32" s="66">
        <v>4.1401E-2</v>
      </c>
      <c r="G32" s="66">
        <v>0.4</v>
      </c>
      <c r="H32" s="66">
        <v>0.49722499999999997</v>
      </c>
    </row>
    <row r="33" spans="1:8">
      <c r="A33" s="66" t="s">
        <v>385</v>
      </c>
      <c r="B33" s="66">
        <v>0.23476900000000001</v>
      </c>
      <c r="C33" s="66">
        <v>5.3102700000000003E-2</v>
      </c>
      <c r="D33" s="66">
        <v>0.226191</v>
      </c>
      <c r="E33" s="66">
        <v>0</v>
      </c>
      <c r="F33" s="66">
        <v>0.20127800000000001</v>
      </c>
      <c r="G33" s="66">
        <v>0</v>
      </c>
      <c r="H33" s="66">
        <v>0.42545100000000002</v>
      </c>
    </row>
    <row r="34" spans="1:8">
      <c r="A34" s="66" t="s">
        <v>386</v>
      </c>
      <c r="B34" s="66">
        <v>0.15484500000000001</v>
      </c>
      <c r="C34" s="66">
        <v>2.57422E-2</v>
      </c>
      <c r="D34" s="66">
        <v>0.166245</v>
      </c>
      <c r="E34" s="66">
        <v>0.1</v>
      </c>
      <c r="F34" s="66">
        <v>0.120174</v>
      </c>
      <c r="G34" s="66">
        <v>0.25</v>
      </c>
      <c r="H34" s="66">
        <v>0.24517800000000001</v>
      </c>
    </row>
    <row r="35" spans="1:8">
      <c r="A35" s="66" t="s">
        <v>387</v>
      </c>
      <c r="B35" s="66">
        <v>6.5617200000000001E-2</v>
      </c>
      <c r="C35" s="66">
        <v>1.6012200000000001E-2</v>
      </c>
      <c r="D35" s="66">
        <v>0.24402499999999999</v>
      </c>
      <c r="E35" s="66">
        <v>0</v>
      </c>
      <c r="F35" s="66">
        <v>3.7935000000000003E-2</v>
      </c>
      <c r="G35" s="66">
        <v>0</v>
      </c>
      <c r="H35" s="66">
        <v>0.103643</v>
      </c>
    </row>
    <row r="36" spans="1:8">
      <c r="A36" s="66" t="s">
        <v>388</v>
      </c>
      <c r="B36" s="66">
        <v>0.14759900000000001</v>
      </c>
      <c r="C36" s="66">
        <v>7.1488200000000002E-2</v>
      </c>
      <c r="D36" s="66">
        <v>0.48433999999999999</v>
      </c>
      <c r="E36" s="66">
        <v>0</v>
      </c>
      <c r="F36" s="66">
        <v>3.8658199999999997E-2</v>
      </c>
      <c r="G36" s="66">
        <v>0</v>
      </c>
      <c r="H36" s="66">
        <v>0.42705100000000001</v>
      </c>
    </row>
    <row r="37" spans="1:8">
      <c r="A37" s="66" t="s">
        <v>389</v>
      </c>
      <c r="B37" s="66">
        <v>0.25742199999999998</v>
      </c>
      <c r="C37" s="66">
        <v>0.18947900000000001</v>
      </c>
      <c r="D37" s="66">
        <v>0.73606400000000005</v>
      </c>
      <c r="E37" s="66">
        <v>0.1</v>
      </c>
      <c r="F37" s="66">
        <v>2.8422800000000002E-2</v>
      </c>
      <c r="G37" s="66">
        <v>0.5</v>
      </c>
      <c r="H37" s="66">
        <v>0.50375400000000004</v>
      </c>
    </row>
    <row r="38" spans="1:8">
      <c r="A38" s="66" t="s">
        <v>390</v>
      </c>
      <c r="B38" s="66">
        <v>-13.355399999999999</v>
      </c>
      <c r="C38" s="66">
        <v>40.523299999999999</v>
      </c>
      <c r="D38" s="66">
        <v>-3.03424</v>
      </c>
      <c r="E38" s="66">
        <v>0</v>
      </c>
      <c r="F38" s="66">
        <v>-98.239400000000003</v>
      </c>
      <c r="G38" s="66">
        <v>0</v>
      </c>
      <c r="H38" s="66">
        <v>136.18</v>
      </c>
    </row>
    <row r="39" spans="1:8">
      <c r="A39" s="66" t="s">
        <v>391</v>
      </c>
      <c r="B39" s="66">
        <v>-6.3674900000000001</v>
      </c>
      <c r="C39" s="66">
        <v>8.1127300000000009</v>
      </c>
      <c r="D39" s="66">
        <v>-1.2740899999999999</v>
      </c>
      <c r="E39" s="66">
        <v>0</v>
      </c>
      <c r="F39" s="66">
        <v>-18.9819</v>
      </c>
      <c r="G39" s="66">
        <v>0</v>
      </c>
      <c r="H39" s="66">
        <v>31.642299999999999</v>
      </c>
    </row>
    <row r="40" spans="1:8">
      <c r="A40" s="66" t="s">
        <v>392</v>
      </c>
      <c r="B40" s="66">
        <v>1.41092</v>
      </c>
      <c r="C40" s="66">
        <v>1.8791500000000001</v>
      </c>
      <c r="D40" s="66">
        <v>1.3318700000000001</v>
      </c>
      <c r="E40" s="66">
        <v>0</v>
      </c>
      <c r="F40" s="66">
        <v>-3.11694</v>
      </c>
      <c r="G40" s="66">
        <v>0</v>
      </c>
      <c r="H40" s="66">
        <v>4.2004200000000003</v>
      </c>
    </row>
    <row r="41" spans="1:8">
      <c r="A41" s="66" t="s">
        <v>393</v>
      </c>
      <c r="B41" s="66">
        <v>-0.16697899999999999</v>
      </c>
      <c r="C41" s="66">
        <v>0.38783400000000001</v>
      </c>
      <c r="D41" s="66">
        <v>-2.3226499999999999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-0.219025</v>
      </c>
      <c r="C42" s="66">
        <v>0.13576199999999999</v>
      </c>
      <c r="D42" s="66">
        <v>-0.61984499999999998</v>
      </c>
      <c r="E42" s="66">
        <v>0</v>
      </c>
      <c r="F42" s="66">
        <v>-0.48504999999999998</v>
      </c>
      <c r="G42" s="66">
        <v>0</v>
      </c>
      <c r="H42" s="66">
        <v>0.24634300000000001</v>
      </c>
    </row>
    <row r="43" spans="1:8">
      <c r="A43" s="66" t="s">
        <v>395</v>
      </c>
      <c r="B43" s="66">
        <v>7.6671000000000003E-2</v>
      </c>
      <c r="C43" s="66">
        <v>0.113942</v>
      </c>
      <c r="D43" s="66">
        <v>1.4861200000000001</v>
      </c>
      <c r="E43" s="66">
        <v>0</v>
      </c>
      <c r="F43" s="66">
        <v>-0.21331700000000001</v>
      </c>
      <c r="G43" s="66">
        <v>0</v>
      </c>
      <c r="H43" s="66">
        <v>0.22347400000000001</v>
      </c>
    </row>
    <row r="44" spans="1:8">
      <c r="A44" s="66" t="s">
        <v>396</v>
      </c>
      <c r="B44" s="66">
        <v>3.9279000000000002</v>
      </c>
      <c r="C44" s="66">
        <v>7.1411199999999999</v>
      </c>
      <c r="D44" s="66">
        <v>1.8180499999999999</v>
      </c>
      <c r="E44" s="66">
        <v>0</v>
      </c>
      <c r="F44" s="66">
        <v>-12.4641</v>
      </c>
      <c r="G44" s="66">
        <v>0</v>
      </c>
      <c r="H44" s="66">
        <v>15.2522</v>
      </c>
    </row>
    <row r="45" spans="1:8">
      <c r="A45" s="66" t="s">
        <v>397</v>
      </c>
      <c r="B45" s="66">
        <v>55.264400000000002</v>
      </c>
      <c r="C45" s="66">
        <v>7.9186800000000002</v>
      </c>
      <c r="D45" s="66">
        <v>0.143287</v>
      </c>
      <c r="E45" s="66">
        <v>0</v>
      </c>
      <c r="F45" s="66">
        <v>32.928600000000003</v>
      </c>
      <c r="G45" s="66">
        <v>0</v>
      </c>
      <c r="H45" s="66">
        <v>72.283500000000004</v>
      </c>
    </row>
    <row r="46" spans="1:8">
      <c r="A46" s="66" t="s">
        <v>398</v>
      </c>
      <c r="B46" s="66">
        <v>30.2742</v>
      </c>
      <c r="C46" s="66">
        <v>2.55687</v>
      </c>
      <c r="D46" s="66">
        <v>8.4456900000000001E-2</v>
      </c>
      <c r="E46" s="66">
        <v>0</v>
      </c>
      <c r="F46" s="66">
        <v>25.552299999999999</v>
      </c>
      <c r="G46" s="66">
        <v>0</v>
      </c>
      <c r="H46" s="66">
        <v>35.271500000000003</v>
      </c>
    </row>
    <row r="47" spans="1:8">
      <c r="A47" s="66" t="s">
        <v>399</v>
      </c>
      <c r="B47" s="66">
        <v>0.65988800000000003</v>
      </c>
      <c r="C47" s="66">
        <v>0.52956599999999998</v>
      </c>
      <c r="D47" s="66">
        <v>0.80250900000000003</v>
      </c>
      <c r="E47" s="66">
        <v>0</v>
      </c>
      <c r="F47" s="66">
        <v>0.15926999999999999</v>
      </c>
      <c r="G47" s="66">
        <v>0</v>
      </c>
      <c r="H47" s="66">
        <v>3.1496900000000001</v>
      </c>
    </row>
    <row r="48" spans="1:8">
      <c r="A48" s="66" t="s">
        <v>400</v>
      </c>
      <c r="B48" s="66">
        <v>0.579233</v>
      </c>
      <c r="C48" s="66">
        <v>0.123528</v>
      </c>
      <c r="D48" s="66">
        <v>0.21326100000000001</v>
      </c>
      <c r="E48" s="66">
        <v>0</v>
      </c>
      <c r="F48" s="66">
        <v>0.32364900000000002</v>
      </c>
      <c r="G48" s="66">
        <v>0</v>
      </c>
      <c r="H48" s="66">
        <v>0.81952800000000003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67.889797139343415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1.3107815926816264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0.57014188255917031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5211</v>
      </c>
      <c r="B8" s="66">
        <v>5211</v>
      </c>
      <c r="D8">
        <f t="shared" si="0"/>
        <v>2.9285975215668641E-2</v>
      </c>
      <c r="E8">
        <f t="shared" si="0"/>
        <v>2.9285975215668641E-2</v>
      </c>
      <c r="G8">
        <f t="shared" ca="1" si="1"/>
        <v>6</v>
      </c>
      <c r="H8">
        <f t="shared" ca="1" si="2"/>
        <v>0.17571585129401185</v>
      </c>
      <c r="I8">
        <f t="shared" ca="1" si="3"/>
        <v>112.17544701505975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7532</v>
      </c>
      <c r="B10" s="66">
        <v>7532</v>
      </c>
      <c r="D10">
        <f t="shared" si="0"/>
        <v>4.233006434934105E-2</v>
      </c>
      <c r="E10">
        <f t="shared" si="0"/>
        <v>4.233006434934105E-2</v>
      </c>
      <c r="G10">
        <f t="shared" ca="1" si="1"/>
        <v>8</v>
      </c>
      <c r="H10">
        <f t="shared" ca="1" si="2"/>
        <v>0.3386405147947284</v>
      </c>
      <c r="I10">
        <f t="shared" ca="1" si="3"/>
        <v>151.82895844034243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14192</v>
      </c>
      <c r="B13" s="66">
        <v>14192</v>
      </c>
      <c r="D13">
        <f t="shared" si="0"/>
        <v>7.9759462725152441E-2</v>
      </c>
      <c r="E13">
        <f t="shared" si="0"/>
        <v>7.9759462725152441E-2</v>
      </c>
      <c r="G13">
        <f t="shared" ca="1" si="1"/>
        <v>11</v>
      </c>
      <c r="H13">
        <f t="shared" ca="1" si="2"/>
        <v>0.87735408997667685</v>
      </c>
      <c r="I13">
        <f t="shared" ca="1" si="3"/>
        <v>258.13743485734523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28988</v>
      </c>
      <c r="B15" s="66">
        <v>28988</v>
      </c>
      <c r="D15">
        <f t="shared" si="0"/>
        <v>0.16291342344114423</v>
      </c>
      <c r="E15">
        <f t="shared" si="0"/>
        <v>0.16291342344114423</v>
      </c>
      <c r="G15">
        <f t="shared" ca="1" si="1"/>
        <v>13</v>
      </c>
      <c r="H15">
        <f t="shared" ca="1" si="2"/>
        <v>2.1178745047348748</v>
      </c>
      <c r="I15">
        <f t="shared" ca="1" si="3"/>
        <v>490.84019665602563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51054</v>
      </c>
      <c r="B18" s="66">
        <v>51054</v>
      </c>
      <c r="D18">
        <f t="shared" si="0"/>
        <v>0.28692500070250371</v>
      </c>
      <c r="E18">
        <f t="shared" si="0"/>
        <v>0.28692500070250371</v>
      </c>
      <c r="G18">
        <f t="shared" ca="1" si="1"/>
        <v>16</v>
      </c>
      <c r="H18">
        <f t="shared" ca="1" si="2"/>
        <v>4.5908000112400593</v>
      </c>
      <c r="I18">
        <f t="shared" ca="1" si="3"/>
        <v>772.56021109854476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61707</v>
      </c>
      <c r="B21" s="66">
        <v>61707</v>
      </c>
      <c r="D21">
        <f t="shared" si="0"/>
        <v>0.34679517801444348</v>
      </c>
      <c r="E21">
        <f t="shared" si="0"/>
        <v>0.34679517801444348</v>
      </c>
      <c r="G21">
        <f t="shared" ca="1" si="1"/>
        <v>19</v>
      </c>
      <c r="H21">
        <f t="shared" ca="1" si="2"/>
        <v>6.5891083822744259</v>
      </c>
      <c r="I21">
        <f t="shared" ca="1" si="3"/>
        <v>828.91408769929376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76854</v>
      </c>
      <c r="B23" s="66">
        <v>76854</v>
      </c>
      <c r="D23">
        <f t="shared" si="0"/>
        <v>0.43192176918537667</v>
      </c>
      <c r="E23">
        <f t="shared" si="0"/>
        <v>0.43192176918537667</v>
      </c>
      <c r="G23">
        <f t="shared" ca="1" si="1"/>
        <v>21</v>
      </c>
      <c r="H23">
        <f t="shared" ca="1" si="2"/>
        <v>9.0703571528929103</v>
      </c>
      <c r="I23">
        <f t="shared" ca="1" si="3"/>
        <v>949.64612631092052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71589</v>
      </c>
      <c r="B26" s="66">
        <v>71589</v>
      </c>
      <c r="D26">
        <f t="shared" si="0"/>
        <v>0.4023323123612555</v>
      </c>
      <c r="E26">
        <f t="shared" si="0"/>
        <v>0.4023323123612555</v>
      </c>
      <c r="G26">
        <f t="shared" ca="1" si="1"/>
        <v>24</v>
      </c>
      <c r="H26">
        <f t="shared" ca="1" si="2"/>
        <v>9.6559754966701323</v>
      </c>
      <c r="I26">
        <f t="shared" ca="1" si="3"/>
        <v>775.01848381015702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73264</v>
      </c>
      <c r="B28" s="66">
        <v>73264</v>
      </c>
      <c r="D28">
        <f t="shared" si="0"/>
        <v>0.41174586225306992</v>
      </c>
      <c r="E28">
        <f t="shared" si="0"/>
        <v>0.41174586225306992</v>
      </c>
      <c r="G28">
        <f t="shared" ca="1" si="1"/>
        <v>26</v>
      </c>
      <c r="H28">
        <f t="shared" ca="1" si="2"/>
        <v>10.705392418579818</v>
      </c>
      <c r="I28">
        <f t="shared" ca="1" si="3"/>
        <v>722.51315349400159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70250</v>
      </c>
      <c r="B31" s="66">
        <v>70250</v>
      </c>
      <c r="D31">
        <f t="shared" si="0"/>
        <v>0.3948070924775901</v>
      </c>
      <c r="E31">
        <f t="shared" si="0"/>
        <v>0.3948070924775901</v>
      </c>
      <c r="G31">
        <f t="shared" ca="1" si="1"/>
        <v>29</v>
      </c>
      <c r="H31">
        <f t="shared" ca="1" si="2"/>
        <v>11.449405681850113</v>
      </c>
      <c r="I31">
        <f t="shared" ca="1" si="3"/>
        <v>597.11269052257649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75644</v>
      </c>
      <c r="B33" s="66">
        <v>75644</v>
      </c>
      <c r="D33">
        <f t="shared" si="0"/>
        <v>0.42512153314412565</v>
      </c>
      <c r="E33">
        <f t="shared" si="0"/>
        <v>0.42512153314412565</v>
      </c>
      <c r="G33">
        <f t="shared" ca="1" si="1"/>
        <v>31</v>
      </c>
      <c r="H33">
        <f t="shared" ca="1" si="2"/>
        <v>13.178767527467896</v>
      </c>
      <c r="I33">
        <f t="shared" ca="1" si="3"/>
        <v>578.52967076338871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81246</v>
      </c>
      <c r="B36" s="66">
        <v>81246</v>
      </c>
      <c r="D36">
        <f t="shared" si="0"/>
        <v>0.45660494000618201</v>
      </c>
      <c r="E36">
        <f t="shared" si="0"/>
        <v>0.45660494000618201</v>
      </c>
      <c r="G36">
        <f t="shared" ca="1" si="1"/>
        <v>34</v>
      </c>
      <c r="H36">
        <f t="shared" ca="1" si="2"/>
        <v>15.524567960210188</v>
      </c>
      <c r="I36">
        <f t="shared" ca="1" si="3"/>
        <v>524.41915236434454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92825</v>
      </c>
      <c r="B39" s="66">
        <v>92825</v>
      </c>
      <c r="D39">
        <f t="shared" si="0"/>
        <v>0.52167926490010397</v>
      </c>
      <c r="E39">
        <f t="shared" si="0"/>
        <v>0.52167926490010397</v>
      </c>
      <c r="G39">
        <f t="shared" ca="1" si="1"/>
        <v>37</v>
      </c>
      <c r="H39">
        <f t="shared" ca="1" si="2"/>
        <v>19.302132801303848</v>
      </c>
      <c r="I39">
        <f t="shared" ca="1" si="3"/>
        <v>497.77569525686977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91203</v>
      </c>
      <c r="B41" s="66">
        <v>91203</v>
      </c>
      <c r="D41">
        <f t="shared" si="0"/>
        <v>0.51256357658695595</v>
      </c>
      <c r="E41">
        <f t="shared" si="0"/>
        <v>0.51256357658695595</v>
      </c>
      <c r="G41">
        <f t="shared" ca="1" si="1"/>
        <v>39</v>
      </c>
      <c r="H41">
        <f t="shared" ca="1" si="2"/>
        <v>19.989979486891283</v>
      </c>
      <c r="I41">
        <f t="shared" ca="1" si="3"/>
        <v>427.79600642569761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99302</v>
      </c>
      <c r="B44" s="66">
        <v>99302</v>
      </c>
      <c r="D44">
        <f t="shared" si="0"/>
        <v>0.55808019782504847</v>
      </c>
      <c r="E44">
        <f t="shared" si="0"/>
        <v>0.55808019782504847</v>
      </c>
      <c r="G44">
        <f t="shared" ca="1" si="1"/>
        <v>42</v>
      </c>
      <c r="H44">
        <f t="shared" ca="1" si="2"/>
        <v>23.439368308652035</v>
      </c>
      <c r="I44">
        <f t="shared" ca="1" si="3"/>
        <v>374.0708856474883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115157</v>
      </c>
      <c r="B46" s="66">
        <v>115157</v>
      </c>
      <c r="D46">
        <f t="shared" si="0"/>
        <v>0.64718577008458145</v>
      </c>
      <c r="E46">
        <f t="shared" si="0"/>
        <v>0.64718577008458145</v>
      </c>
      <c r="G46">
        <f t="shared" ca="1" si="1"/>
        <v>44</v>
      </c>
      <c r="H46">
        <f t="shared" ca="1" si="2"/>
        <v>28.476173883721582</v>
      </c>
      <c r="I46">
        <f t="shared" ca="1" si="3"/>
        <v>369.36342071114819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133935</v>
      </c>
      <c r="B49" s="66">
        <v>133935</v>
      </c>
      <c r="D49">
        <f t="shared" si="0"/>
        <v>0.75271868940905384</v>
      </c>
      <c r="E49">
        <f t="shared" si="0"/>
        <v>0.75271868940905384</v>
      </c>
      <c r="G49">
        <f t="shared" ca="1" si="1"/>
        <v>47</v>
      </c>
      <c r="H49">
        <f t="shared" ca="1" si="2"/>
        <v>35.37777840222553</v>
      </c>
      <c r="I49">
        <f t="shared" ca="1" si="3"/>
        <v>328.47410993046526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143590</v>
      </c>
      <c r="B51" s="66">
        <v>143590</v>
      </c>
      <c r="D51">
        <f t="shared" si="0"/>
        <v>0.8069800769944081</v>
      </c>
      <c r="E51">
        <f t="shared" si="0"/>
        <v>0.8069800769944081</v>
      </c>
      <c r="G51">
        <f t="shared" ca="1" si="1"/>
        <v>49</v>
      </c>
      <c r="H51">
        <f t="shared" ca="1" si="2"/>
        <v>39.542023772725997</v>
      </c>
      <c r="I51">
        <f t="shared" ca="1" si="3"/>
        <v>287.95021080896311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138366</v>
      </c>
      <c r="B54" s="66">
        <v>138366</v>
      </c>
      <c r="D54">
        <f t="shared" si="0"/>
        <v>0.77762104139151933</v>
      </c>
      <c r="E54">
        <f t="shared" si="0"/>
        <v>0.77762104139151933</v>
      </c>
      <c r="G54">
        <f t="shared" ca="1" si="1"/>
        <v>52</v>
      </c>
      <c r="H54">
        <f t="shared" ca="1" si="2"/>
        <v>40.436294152359004</v>
      </c>
      <c r="I54">
        <f t="shared" ca="1" si="3"/>
        <v>196.33815652296894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167171</v>
      </c>
      <c r="B57" s="66">
        <v>167171</v>
      </c>
      <c r="D57">
        <f t="shared" si="0"/>
        <v>0.93950599938179669</v>
      </c>
      <c r="E57">
        <f t="shared" si="0"/>
        <v>0.93950599938179669</v>
      </c>
      <c r="G57">
        <f t="shared" ca="1" si="1"/>
        <v>55</v>
      </c>
      <c r="H57">
        <f t="shared" ca="1" si="2"/>
        <v>51.672829965998815</v>
      </c>
      <c r="I57">
        <f t="shared" ca="1" si="3"/>
        <v>156.09598141918264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177545</v>
      </c>
      <c r="B59" s="66">
        <v>177545</v>
      </c>
      <c r="D59">
        <f t="shared" si="0"/>
        <v>0.99780818838339846</v>
      </c>
      <c r="E59">
        <f t="shared" si="0"/>
        <v>0.99780818838339846</v>
      </c>
      <c r="G59">
        <f t="shared" ca="1" si="1"/>
        <v>57</v>
      </c>
      <c r="H59">
        <f t="shared" ca="1" si="2"/>
        <v>56.875066737853714</v>
      </c>
      <c r="I59">
        <f t="shared" ca="1" si="3"/>
        <v>118.32775987763709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173969</v>
      </c>
      <c r="B62" s="66">
        <v>173969</v>
      </c>
      <c r="D62">
        <f t="shared" si="0"/>
        <v>0.97771096186809792</v>
      </c>
      <c r="E62">
        <f t="shared" si="0"/>
        <v>0.97771096186809792</v>
      </c>
      <c r="G62">
        <f t="shared" ca="1" si="1"/>
        <v>60</v>
      </c>
      <c r="H62">
        <f t="shared" ca="1" si="2"/>
        <v>58.662657712085874</v>
      </c>
      <c r="I62">
        <f t="shared" ca="1" si="3"/>
        <v>60.8614308187407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177207</v>
      </c>
      <c r="B64" s="66">
        <v>177207</v>
      </c>
      <c r="D64">
        <f t="shared" si="0"/>
        <v>0.99590861831567712</v>
      </c>
      <c r="E64">
        <f t="shared" si="0"/>
        <v>0.99590861831567712</v>
      </c>
      <c r="G64">
        <f t="shared" ca="1" si="1"/>
        <v>62</v>
      </c>
      <c r="H64">
        <f t="shared" ca="1" si="2"/>
        <v>61.74633433557198</v>
      </c>
      <c r="I64">
        <f t="shared" ca="1" si="3"/>
        <v>34.54778149708762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177935</v>
      </c>
      <c r="B67" s="66">
        <v>177935</v>
      </c>
      <c r="D67">
        <f t="shared" ref="D67:E130" si="4">IFERROR( A67/MAX(A$2:A$257), 0 )</f>
        <v>1</v>
      </c>
      <c r="E67">
        <f t="shared" si="4"/>
        <v>1</v>
      </c>
      <c r="G67">
        <f t="shared" ref="G67:G130" ca="1" si="5">CELL("row",D67)-2</f>
        <v>65</v>
      </c>
      <c r="H67">
        <f t="shared" ref="H67:H130" ca="1" si="6">D67*G67</f>
        <v>65</v>
      </c>
      <c r="I67">
        <f t="shared" ref="I67:I130" ca="1" si="7">D67*((G67-$L$1)^2)</f>
        <v>8.3509275065573831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156553</v>
      </c>
      <c r="B69" s="66">
        <v>156553</v>
      </c>
      <c r="D69">
        <f t="shared" si="4"/>
        <v>0.87983252311237248</v>
      </c>
      <c r="E69">
        <f t="shared" si="4"/>
        <v>0.87983252311237248</v>
      </c>
      <c r="G69">
        <f t="shared" ca="1" si="5"/>
        <v>67</v>
      </c>
      <c r="H69">
        <f t="shared" ca="1" si="6"/>
        <v>58.948779048528955</v>
      </c>
      <c r="I69">
        <f t="shared" ca="1" si="7"/>
        <v>0.69659767730665456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163032</v>
      </c>
      <c r="B72" s="66">
        <v>163032</v>
      </c>
      <c r="D72">
        <f t="shared" si="4"/>
        <v>0.9162446960968893</v>
      </c>
      <c r="E72">
        <f t="shared" si="4"/>
        <v>0.9162446960968893</v>
      </c>
      <c r="G72">
        <f t="shared" ca="1" si="5"/>
        <v>70</v>
      </c>
      <c r="H72">
        <f t="shared" ca="1" si="6"/>
        <v>64.137128726782251</v>
      </c>
      <c r="I72">
        <f t="shared" ca="1" si="7"/>
        <v>4.0799974206013845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153620</v>
      </c>
      <c r="B75" s="66">
        <v>153620</v>
      </c>
      <c r="D75">
        <f t="shared" si="4"/>
        <v>0.86334897574957148</v>
      </c>
      <c r="E75">
        <f t="shared" si="4"/>
        <v>0.86334897574957148</v>
      </c>
      <c r="G75">
        <f t="shared" ca="1" si="5"/>
        <v>73</v>
      </c>
      <c r="H75">
        <f t="shared" ca="1" si="6"/>
        <v>63.024475229718718</v>
      </c>
      <c r="I75">
        <f t="shared" ca="1" si="7"/>
        <v>22.545644751298955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140441</v>
      </c>
      <c r="B77" s="66">
        <v>140441</v>
      </c>
      <c r="D77">
        <f t="shared" si="4"/>
        <v>0.78928260319779697</v>
      </c>
      <c r="E77">
        <f t="shared" si="4"/>
        <v>0.78928260319779697</v>
      </c>
      <c r="G77">
        <f t="shared" ca="1" si="5"/>
        <v>75</v>
      </c>
      <c r="H77">
        <f t="shared" ca="1" si="6"/>
        <v>59.196195239834772</v>
      </c>
      <c r="I77">
        <f t="shared" ca="1" si="7"/>
        <v>39.902169944181054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130531</v>
      </c>
      <c r="B80" s="66">
        <v>130531</v>
      </c>
      <c r="D80">
        <f t="shared" si="4"/>
        <v>0.7335881080169725</v>
      </c>
      <c r="E80">
        <f t="shared" si="4"/>
        <v>0.7335881080169725</v>
      </c>
      <c r="G80">
        <f t="shared" ca="1" si="5"/>
        <v>78</v>
      </c>
      <c r="H80">
        <f t="shared" ca="1" si="6"/>
        <v>57.219872425323857</v>
      </c>
      <c r="I80">
        <f t="shared" ca="1" si="7"/>
        <v>74.984590148492003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132210</v>
      </c>
      <c r="B82" s="66">
        <v>132210</v>
      </c>
      <c r="D82">
        <f t="shared" si="4"/>
        <v>0.74302413802793155</v>
      </c>
      <c r="E82">
        <f t="shared" si="4"/>
        <v>0.74302413802793155</v>
      </c>
      <c r="G82">
        <f t="shared" ca="1" si="5"/>
        <v>80</v>
      </c>
      <c r="H82">
        <f t="shared" ca="1" si="6"/>
        <v>59.441931042234522</v>
      </c>
      <c r="I82">
        <f t="shared" ca="1" si="7"/>
        <v>108.96970091249145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121443</v>
      </c>
      <c r="B85" s="66">
        <v>121443</v>
      </c>
      <c r="D85">
        <f t="shared" si="4"/>
        <v>0.68251327732036982</v>
      </c>
      <c r="E85">
        <f t="shared" si="4"/>
        <v>0.68251327732036982</v>
      </c>
      <c r="G85">
        <f t="shared" ca="1" si="5"/>
        <v>83</v>
      </c>
      <c r="H85">
        <f t="shared" ca="1" si="6"/>
        <v>56.648602017590697</v>
      </c>
      <c r="I85">
        <f t="shared" ca="1" si="7"/>
        <v>155.8302237638502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110756</v>
      </c>
      <c r="B88" s="66">
        <v>110756</v>
      </c>
      <c r="D88">
        <f t="shared" si="4"/>
        <v>0.62245201899570068</v>
      </c>
      <c r="E88">
        <f t="shared" si="4"/>
        <v>0.62245201899570068</v>
      </c>
      <c r="G88">
        <f t="shared" ca="1" si="5"/>
        <v>86</v>
      </c>
      <c r="H88">
        <f t="shared" ca="1" si="6"/>
        <v>53.530873633630257</v>
      </c>
      <c r="I88">
        <f t="shared" ca="1" si="7"/>
        <v>204.15146938141044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111508</v>
      </c>
      <c r="B90" s="66">
        <v>111508</v>
      </c>
      <c r="D90">
        <f t="shared" si="4"/>
        <v>0.62667828139489135</v>
      </c>
      <c r="E90">
        <f t="shared" si="4"/>
        <v>0.62667828139489135</v>
      </c>
      <c r="G90">
        <f t="shared" ca="1" si="5"/>
        <v>88</v>
      </c>
      <c r="H90">
        <f t="shared" ca="1" si="6"/>
        <v>55.147688762750441</v>
      </c>
      <c r="I90">
        <f t="shared" ca="1" si="7"/>
        <v>253.44139293203443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103109</v>
      </c>
      <c r="B93" s="66">
        <v>103109</v>
      </c>
      <c r="D93">
        <f t="shared" si="4"/>
        <v>0.57947565122095146</v>
      </c>
      <c r="E93">
        <f t="shared" si="4"/>
        <v>0.57947565122095146</v>
      </c>
      <c r="G93">
        <f t="shared" ca="1" si="5"/>
        <v>91</v>
      </c>
      <c r="H93">
        <f t="shared" ca="1" si="6"/>
        <v>52.732284261106585</v>
      </c>
      <c r="I93">
        <f t="shared" ca="1" si="7"/>
        <v>309.48721126121615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103489</v>
      </c>
      <c r="B95" s="66">
        <v>103489</v>
      </c>
      <c r="D95">
        <f t="shared" si="4"/>
        <v>0.58161126253969142</v>
      </c>
      <c r="E95">
        <f t="shared" si="4"/>
        <v>0.58161126253969142</v>
      </c>
      <c r="G95">
        <f t="shared" ca="1" si="5"/>
        <v>93</v>
      </c>
      <c r="H95">
        <f t="shared" ca="1" si="6"/>
        <v>54.089847416191304</v>
      </c>
      <c r="I95">
        <f t="shared" ca="1" si="7"/>
        <v>366.71886381054605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88973</v>
      </c>
      <c r="B98" s="66">
        <v>88973</v>
      </c>
      <c r="D98">
        <f t="shared" si="4"/>
        <v>0.50003091016382384</v>
      </c>
      <c r="E98">
        <f t="shared" si="4"/>
        <v>0.50003091016382384</v>
      </c>
      <c r="G98">
        <f t="shared" ca="1" si="5"/>
        <v>96</v>
      </c>
      <c r="H98">
        <f t="shared" ca="1" si="6"/>
        <v>48.002967375727088</v>
      </c>
      <c r="I98">
        <f t="shared" ca="1" si="7"/>
        <v>395.11617713521917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75719</v>
      </c>
      <c r="B100" s="66">
        <v>75719</v>
      </c>
      <c r="D100">
        <f t="shared" si="4"/>
        <v>0.42554303537808752</v>
      </c>
      <c r="E100">
        <f t="shared" si="4"/>
        <v>0.42554303537808752</v>
      </c>
      <c r="G100">
        <f t="shared" ca="1" si="5"/>
        <v>98</v>
      </c>
      <c r="H100">
        <f t="shared" ca="1" si="6"/>
        <v>41.703217467052575</v>
      </c>
      <c r="I100">
        <f t="shared" ca="1" si="7"/>
        <v>385.80766351009481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73565</v>
      </c>
      <c r="B103" s="66">
        <v>73565</v>
      </c>
      <c r="D103">
        <f t="shared" si="4"/>
        <v>0.41343749121870343</v>
      </c>
      <c r="E103">
        <f t="shared" si="4"/>
        <v>0.41343749121870343</v>
      </c>
      <c r="G103">
        <f t="shared" ca="1" si="5"/>
        <v>101</v>
      </c>
      <c r="H103">
        <f t="shared" ca="1" si="6"/>
        <v>41.757186613089047</v>
      </c>
      <c r="I103">
        <f t="shared" ca="1" si="7"/>
        <v>453.24554061877882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58528</v>
      </c>
      <c r="B106" s="66">
        <v>58528</v>
      </c>
      <c r="D106">
        <f t="shared" si="4"/>
        <v>0.32892910332424763</v>
      </c>
      <c r="E106">
        <f t="shared" si="4"/>
        <v>0.32892910332424763</v>
      </c>
      <c r="G106">
        <f t="shared" ca="1" si="5"/>
        <v>104</v>
      </c>
      <c r="H106">
        <f t="shared" ca="1" si="6"/>
        <v>34.208626745721752</v>
      </c>
      <c r="I106">
        <f t="shared" ca="1" si="7"/>
        <v>428.90603546984829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48470</v>
      </c>
      <c r="B108" s="66">
        <v>48470</v>
      </c>
      <c r="D108">
        <f t="shared" si="4"/>
        <v>0.27240284373507179</v>
      </c>
      <c r="E108">
        <f t="shared" si="4"/>
        <v>0.27240284373507179</v>
      </c>
      <c r="G108">
        <f t="shared" ca="1" si="5"/>
        <v>106</v>
      </c>
      <c r="H108">
        <f t="shared" ca="1" si="6"/>
        <v>28.874701435917608</v>
      </c>
      <c r="I108">
        <f t="shared" ca="1" si="7"/>
        <v>395.63450211614838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51151</v>
      </c>
      <c r="B111" s="66">
        <v>51151</v>
      </c>
      <c r="D111">
        <f t="shared" si="4"/>
        <v>0.28747014359176104</v>
      </c>
      <c r="E111">
        <f t="shared" si="4"/>
        <v>0.28747014359176104</v>
      </c>
      <c r="G111">
        <f t="shared" ca="1" si="5"/>
        <v>109</v>
      </c>
      <c r="H111">
        <f t="shared" ca="1" si="6"/>
        <v>31.334245651501952</v>
      </c>
      <c r="I111">
        <f t="shared" ca="1" si="7"/>
        <v>485.83856524644995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46648</v>
      </c>
      <c r="B113" s="66">
        <v>46648</v>
      </c>
      <c r="D113">
        <f t="shared" si="4"/>
        <v>0.26216314946469216</v>
      </c>
      <c r="E113">
        <f t="shared" si="4"/>
        <v>0.26216314946469216</v>
      </c>
      <c r="G113">
        <f t="shared" ca="1" si="5"/>
        <v>111</v>
      </c>
      <c r="H113">
        <f t="shared" ca="1" si="6"/>
        <v>29.100109590580828</v>
      </c>
      <c r="I113">
        <f t="shared" ca="1" si="7"/>
        <v>487.22748434184092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36940</v>
      </c>
      <c r="B116" s="66">
        <v>36940</v>
      </c>
      <c r="D116">
        <f t="shared" si="4"/>
        <v>0.20760390030067161</v>
      </c>
      <c r="E116">
        <f t="shared" si="4"/>
        <v>0.20760390030067161</v>
      </c>
      <c r="G116">
        <f t="shared" ca="1" si="5"/>
        <v>114</v>
      </c>
      <c r="H116">
        <f t="shared" ca="1" si="6"/>
        <v>23.666844634276565</v>
      </c>
      <c r="I116">
        <f t="shared" ca="1" si="7"/>
        <v>441.39720033727122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36370</v>
      </c>
      <c r="B118" s="66">
        <v>36370</v>
      </c>
      <c r="D118">
        <f t="shared" si="4"/>
        <v>0.20440048332256161</v>
      </c>
      <c r="E118">
        <f t="shared" si="4"/>
        <v>0.20440048332256161</v>
      </c>
      <c r="G118">
        <f t="shared" ca="1" si="5"/>
        <v>116</v>
      </c>
      <c r="H118">
        <f t="shared" ca="1" si="6"/>
        <v>23.710456065417148</v>
      </c>
      <c r="I118">
        <f t="shared" ca="1" si="7"/>
        <v>473.1036456779479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31397</v>
      </c>
      <c r="B121" s="66">
        <v>31397</v>
      </c>
      <c r="D121">
        <f t="shared" si="4"/>
        <v>0.17645207519599854</v>
      </c>
      <c r="E121">
        <f t="shared" si="4"/>
        <v>0.17645207519599854</v>
      </c>
      <c r="G121">
        <f t="shared" ca="1" si="5"/>
        <v>119</v>
      </c>
      <c r="H121">
        <f t="shared" ca="1" si="6"/>
        <v>20.997796948323828</v>
      </c>
      <c r="I121">
        <f t="shared" ca="1" si="7"/>
        <v>460.93743392955372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28666</v>
      </c>
      <c r="B124" s="66">
        <v>28666</v>
      </c>
      <c r="D124">
        <f t="shared" si="4"/>
        <v>0.16110377385000141</v>
      </c>
      <c r="E124">
        <f t="shared" si="4"/>
        <v>0.16110377385000141</v>
      </c>
      <c r="G124">
        <f t="shared" ca="1" si="5"/>
        <v>122</v>
      </c>
      <c r="H124">
        <f t="shared" ca="1" si="6"/>
        <v>19.65466040970017</v>
      </c>
      <c r="I124">
        <f t="shared" ca="1" si="7"/>
        <v>471.69800354686424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23737</v>
      </c>
      <c r="B126" s="66">
        <v>23737</v>
      </c>
      <c r="D126">
        <f t="shared" si="4"/>
        <v>0.13340264703402929</v>
      </c>
      <c r="E126">
        <f t="shared" si="4"/>
        <v>0.13340264703402929</v>
      </c>
      <c r="G126">
        <f t="shared" ca="1" si="5"/>
        <v>124</v>
      </c>
      <c r="H126">
        <f t="shared" ca="1" si="6"/>
        <v>16.541928232219632</v>
      </c>
      <c r="I126">
        <f t="shared" ca="1" si="7"/>
        <v>419.9988728020063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23270</v>
      </c>
      <c r="B129" s="66">
        <v>23270</v>
      </c>
      <c r="D129">
        <f t="shared" si="4"/>
        <v>0.13077809312389355</v>
      </c>
      <c r="E129">
        <f t="shared" si="4"/>
        <v>0.13077809312389355</v>
      </c>
      <c r="G129">
        <f t="shared" ca="1" si="5"/>
        <v>127</v>
      </c>
      <c r="H129">
        <f t="shared" ca="1" si="6"/>
        <v>16.60881782673448</v>
      </c>
      <c r="I129">
        <f t="shared" ca="1" si="7"/>
        <v>456.94076057799168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20860</v>
      </c>
      <c r="B131" s="66">
        <v>20860</v>
      </c>
      <c r="D131">
        <f t="shared" ref="D131:E194" si="8">IFERROR( A131/MAX(A$2:A$257), 0 )</f>
        <v>0.1172338213392531</v>
      </c>
      <c r="E131">
        <f t="shared" si="8"/>
        <v>0.1172338213392531</v>
      </c>
      <c r="G131">
        <f t="shared" ref="G131:G194" ca="1" si="9">CELL("row",D131)-2</f>
        <v>129</v>
      </c>
      <c r="H131">
        <f t="shared" ref="H131:H194" ca="1" si="10">D131*G131</f>
        <v>15.12316295276365</v>
      </c>
      <c r="I131">
        <f t="shared" ref="I131:I194" ca="1" si="11">D131*((G131-$L$1)^2)</f>
        <v>437.8046522717213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19101</v>
      </c>
      <c r="B134" s="66">
        <v>19101</v>
      </c>
      <c r="D134">
        <f t="shared" si="8"/>
        <v>0.10734818894540141</v>
      </c>
      <c r="E134">
        <f t="shared" si="8"/>
        <v>0.10734818894540141</v>
      </c>
      <c r="G134">
        <f t="shared" ca="1" si="9"/>
        <v>132</v>
      </c>
      <c r="H134">
        <f t="shared" ca="1" si="10"/>
        <v>14.169960940792986</v>
      </c>
      <c r="I134">
        <f t="shared" ca="1" si="11"/>
        <v>441.21373554978248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16859</v>
      </c>
      <c r="B136" s="66">
        <v>16859</v>
      </c>
      <c r="D136">
        <f t="shared" si="8"/>
        <v>9.4748082164835476E-2</v>
      </c>
      <c r="E136">
        <f t="shared" si="8"/>
        <v>9.4748082164835476E-2</v>
      </c>
      <c r="G136">
        <f t="shared" ca="1" si="9"/>
        <v>134</v>
      </c>
      <c r="H136">
        <f t="shared" ca="1" si="10"/>
        <v>12.696243010087954</v>
      </c>
      <c r="I136">
        <f t="shared" ca="1" si="11"/>
        <v>414.1020758741717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13962</v>
      </c>
      <c r="B139" s="66">
        <v>13962</v>
      </c>
      <c r="D139">
        <f t="shared" si="8"/>
        <v>7.8466855874336133E-2</v>
      </c>
      <c r="E139">
        <f t="shared" si="8"/>
        <v>7.8466855874336133E-2</v>
      </c>
      <c r="G139">
        <f t="shared" ca="1" si="9"/>
        <v>137</v>
      </c>
      <c r="H139">
        <f t="shared" ca="1" si="10"/>
        <v>10.74995925478405</v>
      </c>
      <c r="I139">
        <f t="shared" ca="1" si="11"/>
        <v>374.77497730562686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10844</v>
      </c>
      <c r="B142" s="66">
        <v>10844</v>
      </c>
      <c r="D142">
        <f t="shared" si="8"/>
        <v>6.0943603001095907E-2</v>
      </c>
      <c r="E142">
        <f t="shared" si="8"/>
        <v>6.0943603001095907E-2</v>
      </c>
      <c r="G142">
        <f t="shared" ca="1" si="9"/>
        <v>140</v>
      </c>
      <c r="H142">
        <f t="shared" ca="1" si="10"/>
        <v>8.5321044201534271</v>
      </c>
      <c r="I142">
        <f t="shared" ca="1" si="11"/>
        <v>316.89950504973785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8911</v>
      </c>
      <c r="B144" s="66">
        <v>8911</v>
      </c>
      <c r="D144">
        <f t="shared" si="8"/>
        <v>5.0080085424452747E-2</v>
      </c>
      <c r="E144">
        <f t="shared" si="8"/>
        <v>5.0080085424452747E-2</v>
      </c>
      <c r="G144">
        <f t="shared" ca="1" si="9"/>
        <v>142</v>
      </c>
      <c r="H144">
        <f t="shared" ca="1" si="10"/>
        <v>7.1113721302722901</v>
      </c>
      <c r="I144">
        <f t="shared" ca="1" si="11"/>
        <v>275.05596335444289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7441</v>
      </c>
      <c r="B147" s="66">
        <v>7441</v>
      </c>
      <c r="D147">
        <f t="shared" si="8"/>
        <v>4.1818641638800683E-2</v>
      </c>
      <c r="E147">
        <f t="shared" si="8"/>
        <v>4.1818641638800683E-2</v>
      </c>
      <c r="G147">
        <f t="shared" ca="1" si="9"/>
        <v>145</v>
      </c>
      <c r="H147">
        <f t="shared" ca="1" si="10"/>
        <v>6.063703037626099</v>
      </c>
      <c r="I147">
        <f t="shared" ca="1" si="11"/>
        <v>248.6529483764273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6032</v>
      </c>
      <c r="B149" s="66">
        <v>6032</v>
      </c>
      <c r="D149">
        <f t="shared" si="8"/>
        <v>3.3900019670104253E-2</v>
      </c>
      <c r="E149">
        <f t="shared" si="8"/>
        <v>3.3900019670104253E-2</v>
      </c>
      <c r="G149">
        <f t="shared" ca="1" si="9"/>
        <v>147</v>
      </c>
      <c r="H149">
        <f t="shared" ca="1" si="10"/>
        <v>4.9833028915053248</v>
      </c>
      <c r="I149">
        <f t="shared" ca="1" si="11"/>
        <v>212.16070337043507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5526</v>
      </c>
      <c r="B152" s="66">
        <v>5526</v>
      </c>
      <c r="D152">
        <f t="shared" si="8"/>
        <v>3.1056284598308372E-2</v>
      </c>
      <c r="E152">
        <f t="shared" si="8"/>
        <v>3.1056284598308372E-2</v>
      </c>
      <c r="G152">
        <f t="shared" ca="1" si="9"/>
        <v>150</v>
      </c>
      <c r="H152">
        <f t="shared" ca="1" si="10"/>
        <v>4.6584426897462556</v>
      </c>
      <c r="I152">
        <f t="shared" ca="1" si="11"/>
        <v>209.38412339764096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6227</v>
      </c>
      <c r="B154" s="66">
        <v>6227</v>
      </c>
      <c r="D154">
        <f t="shared" si="8"/>
        <v>3.4995925478405035E-2</v>
      </c>
      <c r="E154">
        <f t="shared" si="8"/>
        <v>3.4995925478405035E-2</v>
      </c>
      <c r="G154">
        <f t="shared" ca="1" si="9"/>
        <v>152</v>
      </c>
      <c r="H154">
        <f t="shared" ca="1" si="10"/>
        <v>5.319380672717565</v>
      </c>
      <c r="I154">
        <f t="shared" ca="1" si="11"/>
        <v>247.57959257424915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6944</v>
      </c>
      <c r="B157" s="66">
        <v>6944</v>
      </c>
      <c r="D157">
        <f t="shared" si="8"/>
        <v>3.9025486835080225E-2</v>
      </c>
      <c r="E157">
        <f t="shared" si="8"/>
        <v>3.9025486835080225E-2</v>
      </c>
      <c r="G157">
        <f t="shared" ca="1" si="9"/>
        <v>155</v>
      </c>
      <c r="H157">
        <f t="shared" ca="1" si="10"/>
        <v>6.0489504594374353</v>
      </c>
      <c r="I157">
        <f t="shared" ca="1" si="11"/>
        <v>296.13270913646789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9517</v>
      </c>
      <c r="B160" s="66">
        <v>9517</v>
      </c>
      <c r="D160">
        <f t="shared" si="8"/>
        <v>5.3485823474864413E-2</v>
      </c>
      <c r="E160">
        <f t="shared" si="8"/>
        <v>5.3485823474864413E-2</v>
      </c>
      <c r="G160">
        <f t="shared" ca="1" si="9"/>
        <v>158</v>
      </c>
      <c r="H160">
        <f t="shared" ca="1" si="10"/>
        <v>8.4507601090285771</v>
      </c>
      <c r="I160">
        <f t="shared" ca="1" si="11"/>
        <v>434.29679204937469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8337</v>
      </c>
      <c r="B162" s="66">
        <v>8337</v>
      </c>
      <c r="D162">
        <f t="shared" si="8"/>
        <v>4.6854188327198135E-2</v>
      </c>
      <c r="E162">
        <f t="shared" si="8"/>
        <v>4.6854188327198135E-2</v>
      </c>
      <c r="G162">
        <f t="shared" ca="1" si="9"/>
        <v>160</v>
      </c>
      <c r="H162">
        <f t="shared" ca="1" si="10"/>
        <v>7.4966701323517011</v>
      </c>
      <c r="I162">
        <f t="shared" ca="1" si="11"/>
        <v>397.52449669816519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6197</v>
      </c>
      <c r="B165" s="66">
        <v>6197</v>
      </c>
      <c r="D165">
        <f t="shared" si="8"/>
        <v>3.4827324584820296E-2</v>
      </c>
      <c r="E165">
        <f t="shared" si="8"/>
        <v>3.4827324584820296E-2</v>
      </c>
      <c r="G165">
        <f t="shared" ca="1" si="9"/>
        <v>163</v>
      </c>
      <c r="H165">
        <f t="shared" ca="1" si="10"/>
        <v>5.6768539073257083</v>
      </c>
      <c r="I165">
        <f t="shared" ca="1" si="11"/>
        <v>315.04626079605441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5045</v>
      </c>
      <c r="B167" s="66">
        <v>5045</v>
      </c>
      <c r="D167">
        <f t="shared" si="8"/>
        <v>2.8353050271166438E-2</v>
      </c>
      <c r="E167">
        <f t="shared" si="8"/>
        <v>2.8353050271166438E-2</v>
      </c>
      <c r="G167">
        <f t="shared" ca="1" si="9"/>
        <v>165</v>
      </c>
      <c r="H167">
        <f t="shared" ca="1" si="10"/>
        <v>4.6782532947424622</v>
      </c>
      <c r="I167">
        <f t="shared" ca="1" si="11"/>
        <v>267.38036426601332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2831</v>
      </c>
      <c r="B170" s="66">
        <v>2831</v>
      </c>
      <c r="D170">
        <f t="shared" si="8"/>
        <v>1.591030432461292E-2</v>
      </c>
      <c r="E170">
        <f t="shared" si="8"/>
        <v>1.591030432461292E-2</v>
      </c>
      <c r="G170">
        <f t="shared" ca="1" si="9"/>
        <v>168</v>
      </c>
      <c r="H170">
        <f t="shared" ca="1" si="10"/>
        <v>2.6729311265349707</v>
      </c>
      <c r="I170">
        <f t="shared" ca="1" si="11"/>
        <v>159.45390868163057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1360</v>
      </c>
      <c r="B173" s="66">
        <v>1360</v>
      </c>
      <c r="D173">
        <f t="shared" si="8"/>
        <v>7.6432405091746989E-3</v>
      </c>
      <c r="E173">
        <f t="shared" si="8"/>
        <v>7.6432405091746989E-3</v>
      </c>
      <c r="G173">
        <f t="shared" ca="1" si="9"/>
        <v>171</v>
      </c>
      <c r="H173">
        <f t="shared" ca="1" si="10"/>
        <v>1.3069941270688734</v>
      </c>
      <c r="I173">
        <f t="shared" ca="1" si="11"/>
        <v>81.260746622044138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708</v>
      </c>
      <c r="B175" s="66">
        <v>708</v>
      </c>
      <c r="D175">
        <f t="shared" si="8"/>
        <v>3.9789810885997694E-3</v>
      </c>
      <c r="E175">
        <f t="shared" si="8"/>
        <v>3.9789810885997694E-3</v>
      </c>
      <c r="G175">
        <f t="shared" ca="1" si="9"/>
        <v>173</v>
      </c>
      <c r="H175">
        <f t="shared" ca="1" si="10"/>
        <v>0.68836372832776005</v>
      </c>
      <c r="I175">
        <f t="shared" ca="1" si="11"/>
        <v>43.960398795903743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386</v>
      </c>
      <c r="B178" s="66">
        <v>386</v>
      </c>
      <c r="D178">
        <f t="shared" si="8"/>
        <v>2.1693314974569364E-3</v>
      </c>
      <c r="E178">
        <f t="shared" si="8"/>
        <v>2.1693314974569364E-3</v>
      </c>
      <c r="G178">
        <f t="shared" ca="1" si="9"/>
        <v>176</v>
      </c>
      <c r="H178">
        <f t="shared" ca="1" si="10"/>
        <v>0.38180234355242082</v>
      </c>
      <c r="I178">
        <f t="shared" ca="1" si="11"/>
        <v>25.354747304088097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66.460484749558432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1.2831851577287194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0.53203129468245658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2800</v>
      </c>
      <c r="B8" s="66">
        <v>2800</v>
      </c>
      <c r="D8">
        <f t="shared" si="0"/>
        <v>2.6150383383299243</v>
      </c>
      <c r="E8">
        <f t="shared" si="1"/>
        <v>2.6150383383299243</v>
      </c>
      <c r="G8">
        <f t="shared" ca="1" si="2"/>
        <v>6</v>
      </c>
      <c r="H8">
        <f t="shared" ca="1" si="3"/>
        <v>15.690230029979546</v>
      </c>
      <c r="I8">
        <f t="shared" ca="1" si="4"/>
        <v>9559.194759859578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3662</v>
      </c>
      <c r="B10" s="66">
        <v>3662</v>
      </c>
      <c r="D10">
        <f t="shared" si="0"/>
        <v>3.4200965696300654</v>
      </c>
      <c r="E10">
        <f t="shared" si="1"/>
        <v>3.4200965696300654</v>
      </c>
      <c r="G10">
        <f t="shared" ca="1" si="2"/>
        <v>8</v>
      </c>
      <c r="H10">
        <f t="shared" ca="1" si="3"/>
        <v>27.360772557040523</v>
      </c>
      <c r="I10">
        <f t="shared" ca="1" si="4"/>
        <v>11688.618746962897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8167</v>
      </c>
      <c r="B13" s="66">
        <v>8167</v>
      </c>
      <c r="D13">
        <f t="shared" si="0"/>
        <v>7.6275064675501758</v>
      </c>
      <c r="E13">
        <f t="shared" si="1"/>
        <v>7.6275064675501758</v>
      </c>
      <c r="G13">
        <f t="shared" ca="1" si="2"/>
        <v>11</v>
      </c>
      <c r="H13">
        <f t="shared" ca="1" si="3"/>
        <v>83.902571143051929</v>
      </c>
      <c r="I13">
        <f t="shared" ca="1" si="4"/>
        <v>23461.182992737271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14889</v>
      </c>
      <c r="B15" s="66">
        <v>14889</v>
      </c>
      <c r="D15">
        <f t="shared" si="0"/>
        <v>13.905466364069373</v>
      </c>
      <c r="E15">
        <f t="shared" si="1"/>
        <v>13.905466364069373</v>
      </c>
      <c r="G15">
        <f t="shared" ca="1" si="2"/>
        <v>13</v>
      </c>
      <c r="H15">
        <f t="shared" ca="1" si="3"/>
        <v>180.77106273290184</v>
      </c>
      <c r="I15">
        <f t="shared" ca="1" si="4"/>
        <v>39742.148668828304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23216</v>
      </c>
      <c r="B18" s="66">
        <v>23216</v>
      </c>
      <c r="D18">
        <f t="shared" si="0"/>
        <v>21.682403593809831</v>
      </c>
      <c r="E18">
        <f t="shared" si="1"/>
        <v>21.682403593809831</v>
      </c>
      <c r="G18">
        <f t="shared" ca="1" si="2"/>
        <v>16</v>
      </c>
      <c r="H18">
        <f t="shared" ca="1" si="3"/>
        <v>346.91845750095729</v>
      </c>
      <c r="I18">
        <f t="shared" ca="1" si="4"/>
        <v>55209.048274784764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26233</v>
      </c>
      <c r="B21" s="66">
        <v>26233</v>
      </c>
      <c r="D21">
        <f t="shared" si="0"/>
        <v>24.500107403360325</v>
      </c>
      <c r="E21">
        <f t="shared" si="1"/>
        <v>24.500107403360325</v>
      </c>
      <c r="G21">
        <f t="shared" ca="1" si="2"/>
        <v>19</v>
      </c>
      <c r="H21">
        <f t="shared" ca="1" si="3"/>
        <v>465.50204066384617</v>
      </c>
      <c r="I21">
        <f t="shared" ca="1" si="4"/>
        <v>55186.433436057901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35315</v>
      </c>
      <c r="B23" s="66">
        <v>35315</v>
      </c>
      <c r="D23">
        <f t="shared" si="0"/>
        <v>32.982171042186174</v>
      </c>
      <c r="E23">
        <f t="shared" si="1"/>
        <v>32.982171042186174</v>
      </c>
      <c r="G23">
        <f t="shared" ca="1" si="2"/>
        <v>21</v>
      </c>
      <c r="H23">
        <f t="shared" ca="1" si="3"/>
        <v>692.62559188590967</v>
      </c>
      <c r="I23">
        <f t="shared" ca="1" si="4"/>
        <v>68162.790914118072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38076</v>
      </c>
      <c r="B26" s="66">
        <v>38076</v>
      </c>
      <c r="D26">
        <f t="shared" si="0"/>
        <v>35.560785632232218</v>
      </c>
      <c r="E26">
        <f t="shared" si="1"/>
        <v>35.560785632232218</v>
      </c>
      <c r="G26">
        <f t="shared" ca="1" si="2"/>
        <v>24</v>
      </c>
      <c r="H26">
        <f t="shared" ca="1" si="3"/>
        <v>853.45885517357328</v>
      </c>
      <c r="I26">
        <f t="shared" ca="1" si="4"/>
        <v>64112.283140023283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37382</v>
      </c>
      <c r="B28" s="66">
        <v>37382</v>
      </c>
      <c r="D28">
        <f t="shared" si="0"/>
        <v>34.912629701231872</v>
      </c>
      <c r="E28">
        <f t="shared" si="1"/>
        <v>34.912629701231872</v>
      </c>
      <c r="G28">
        <f t="shared" ca="1" si="2"/>
        <v>26</v>
      </c>
      <c r="H28">
        <f t="shared" ca="1" si="3"/>
        <v>907.72837223202862</v>
      </c>
      <c r="I28">
        <f t="shared" ca="1" si="4"/>
        <v>57153.749296142749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33351</v>
      </c>
      <c r="B31" s="66">
        <v>33351</v>
      </c>
      <c r="D31">
        <f t="shared" si="0"/>
        <v>31.147908436300469</v>
      </c>
      <c r="E31">
        <f t="shared" si="1"/>
        <v>31.147908436300469</v>
      </c>
      <c r="G31">
        <f t="shared" ca="1" si="2"/>
        <v>29</v>
      </c>
      <c r="H31">
        <f t="shared" ca="1" si="3"/>
        <v>903.28934465271357</v>
      </c>
      <c r="I31">
        <f t="shared" ca="1" si="4"/>
        <v>43709.483569411088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38054</v>
      </c>
      <c r="B33" s="66">
        <v>38054</v>
      </c>
      <c r="D33">
        <f t="shared" si="0"/>
        <v>35.540238902431049</v>
      </c>
      <c r="E33">
        <f t="shared" si="1"/>
        <v>35.540238902431049</v>
      </c>
      <c r="G33">
        <f t="shared" ca="1" si="2"/>
        <v>31</v>
      </c>
      <c r="H33">
        <f t="shared" ca="1" si="3"/>
        <v>1101.7474059753624</v>
      </c>
      <c r="I33">
        <f t="shared" ca="1" si="4"/>
        <v>44689.930488963313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42762</v>
      </c>
      <c r="B36" s="66">
        <v>42762</v>
      </c>
      <c r="D36">
        <f t="shared" si="0"/>
        <v>39.937239079880079</v>
      </c>
      <c r="E36">
        <f t="shared" si="1"/>
        <v>39.937239079880079</v>
      </c>
      <c r="G36">
        <f t="shared" ca="1" si="2"/>
        <v>34</v>
      </c>
      <c r="H36">
        <f t="shared" ca="1" si="3"/>
        <v>1357.8661287159227</v>
      </c>
      <c r="I36">
        <f t="shared" ca="1" si="4"/>
        <v>42081.192688053576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52331</v>
      </c>
      <c r="B39" s="66">
        <v>52331</v>
      </c>
      <c r="D39">
        <f t="shared" si="0"/>
        <v>48.874132601122596</v>
      </c>
      <c r="E39">
        <f t="shared" si="1"/>
        <v>48.874132601122596</v>
      </c>
      <c r="G39">
        <f t="shared" ca="1" si="2"/>
        <v>37</v>
      </c>
      <c r="H39">
        <f t="shared" ca="1" si="3"/>
        <v>1808.3429062415362</v>
      </c>
      <c r="I39">
        <f t="shared" ca="1" si="4"/>
        <v>42418.845069085495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50858</v>
      </c>
      <c r="B41" s="66">
        <v>50858</v>
      </c>
      <c r="D41">
        <f t="shared" si="0"/>
        <v>47.498435646708323</v>
      </c>
      <c r="E41">
        <f t="shared" si="1"/>
        <v>47.498435646708323</v>
      </c>
      <c r="G41">
        <f t="shared" ca="1" si="2"/>
        <v>39</v>
      </c>
      <c r="H41">
        <f t="shared" ca="1" si="3"/>
        <v>1852.4389902216246</v>
      </c>
      <c r="I41">
        <f t="shared" ca="1" si="4"/>
        <v>35817.535932584899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59174</v>
      </c>
      <c r="B44" s="66">
        <v>59174</v>
      </c>
      <c r="D44">
        <f t="shared" si="0"/>
        <v>55.265099511548193</v>
      </c>
      <c r="E44">
        <f t="shared" si="1"/>
        <v>55.265099511548193</v>
      </c>
      <c r="G44">
        <f t="shared" ca="1" si="2"/>
        <v>42</v>
      </c>
      <c r="H44">
        <f t="shared" ca="1" si="3"/>
        <v>2321.1341794850241</v>
      </c>
      <c r="I44">
        <f t="shared" ca="1" si="4"/>
        <v>33065.955377627753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61200</v>
      </c>
      <c r="B46" s="66">
        <v>61200</v>
      </c>
      <c r="D46">
        <f t="shared" si="0"/>
        <v>57.157266537782633</v>
      </c>
      <c r="E46">
        <f t="shared" si="1"/>
        <v>57.157266537782633</v>
      </c>
      <c r="G46">
        <f t="shared" ca="1" si="2"/>
        <v>44</v>
      </c>
      <c r="H46">
        <f t="shared" ca="1" si="3"/>
        <v>2514.9197276624359</v>
      </c>
      <c r="I46">
        <f t="shared" ca="1" si="4"/>
        <v>28834.31916667226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79017</v>
      </c>
      <c r="B49" s="66">
        <v>79017</v>
      </c>
      <c r="D49">
        <f t="shared" si="0"/>
        <v>73.797315849934151</v>
      </c>
      <c r="E49">
        <f t="shared" si="1"/>
        <v>73.797315849934151</v>
      </c>
      <c r="G49">
        <f t="shared" ca="1" si="2"/>
        <v>47</v>
      </c>
      <c r="H49">
        <f t="shared" ca="1" si="3"/>
        <v>3468.473844946905</v>
      </c>
      <c r="I49">
        <f t="shared" ca="1" si="4"/>
        <v>27947.815925835272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83124</v>
      </c>
      <c r="B51" s="66">
        <v>83124</v>
      </c>
      <c r="D51">
        <f t="shared" si="0"/>
        <v>77.633016726905936</v>
      </c>
      <c r="E51">
        <f t="shared" si="1"/>
        <v>77.633016726905936</v>
      </c>
      <c r="G51">
        <f t="shared" ca="1" si="2"/>
        <v>49</v>
      </c>
      <c r="H51">
        <f t="shared" ca="1" si="3"/>
        <v>3804.0178196183911</v>
      </c>
      <c r="I51">
        <f t="shared" ca="1" si="4"/>
        <v>23667.863509630999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77291</v>
      </c>
      <c r="B54" s="66">
        <v>77291</v>
      </c>
      <c r="D54">
        <f t="shared" si="0"/>
        <v>72.185331502806491</v>
      </c>
      <c r="E54">
        <f t="shared" si="1"/>
        <v>72.185331502806491</v>
      </c>
      <c r="G54">
        <f t="shared" ca="1" si="2"/>
        <v>52</v>
      </c>
      <c r="H54">
        <f t="shared" ca="1" si="3"/>
        <v>3753.6372381459378</v>
      </c>
      <c r="I54">
        <f t="shared" ca="1" si="4"/>
        <v>15094.358440489439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95776</v>
      </c>
      <c r="B57" s="66">
        <v>95776</v>
      </c>
      <c r="D57">
        <f t="shared" si="0"/>
        <v>89.449254247102445</v>
      </c>
      <c r="E57">
        <f t="shared" si="1"/>
        <v>89.449254247102445</v>
      </c>
      <c r="G57">
        <f t="shared" ca="1" si="2"/>
        <v>55</v>
      </c>
      <c r="H57">
        <f t="shared" ca="1" si="3"/>
        <v>4919.7089835906345</v>
      </c>
      <c r="I57">
        <f t="shared" ca="1" si="4"/>
        <v>11748.507522448279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102962</v>
      </c>
      <c r="B59" s="66">
        <v>102962</v>
      </c>
      <c r="D59">
        <f t="shared" si="0"/>
        <v>96.160563353973458</v>
      </c>
      <c r="E59">
        <f t="shared" si="1"/>
        <v>96.160563353973458</v>
      </c>
      <c r="G59">
        <f t="shared" ca="1" si="2"/>
        <v>57</v>
      </c>
      <c r="H59">
        <f t="shared" ca="1" si="3"/>
        <v>5481.1521111764869</v>
      </c>
      <c r="I59">
        <f t="shared" ca="1" si="4"/>
        <v>8606.4446269630807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107073</v>
      </c>
      <c r="B62" s="66">
        <v>107073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4173.7863199277081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103844</v>
      </c>
      <c r="B64" s="66">
        <v>103844</v>
      </c>
      <c r="D64">
        <f t="shared" si="0"/>
        <v>96.984300430547378</v>
      </c>
      <c r="E64">
        <f t="shared" si="1"/>
        <v>96.984300430547378</v>
      </c>
      <c r="G64">
        <f t="shared" ca="1" si="2"/>
        <v>62</v>
      </c>
      <c r="H64">
        <f t="shared" ca="1" si="3"/>
        <v>6013.026626693937</v>
      </c>
      <c r="I64">
        <f t="shared" ca="1" si="4"/>
        <v>1929.5922900573867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102583</v>
      </c>
      <c r="B67" s="66">
        <v>102583</v>
      </c>
      <c r="D67">
        <f t="shared" ref="D67:D130" si="5">IFERROR( 100*A67/MAX(A$2:A$257), 0 )</f>
        <v>95.806599236035225</v>
      </c>
      <c r="E67">
        <f t="shared" ref="E67:E130" si="6">IFERROR( 100*B67/MAX(B$2:B$257), 0 )</f>
        <v>95.806599236035225</v>
      </c>
      <c r="G67">
        <f t="shared" ref="G67:G130" ca="1" si="7">CELL("row",D67)-2</f>
        <v>65</v>
      </c>
      <c r="H67">
        <f t="shared" ref="H67:H130" ca="1" si="8">D67*G67</f>
        <v>6227.4289503422897</v>
      </c>
      <c r="I67">
        <f t="shared" ref="I67:I130" ca="1" si="9">D67*((G67-$L$1)^2)</f>
        <v>204.35698068786161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81893</v>
      </c>
      <c r="B69" s="66">
        <v>81893</v>
      </c>
      <c r="D69">
        <f t="shared" si="5"/>
        <v>76.483333800304464</v>
      </c>
      <c r="E69">
        <f t="shared" si="6"/>
        <v>76.483333800304464</v>
      </c>
      <c r="G69">
        <f t="shared" ca="1" si="7"/>
        <v>67</v>
      </c>
      <c r="H69">
        <f t="shared" ca="1" si="8"/>
        <v>5124.3833646203993</v>
      </c>
      <c r="I69">
        <f t="shared" ca="1" si="9"/>
        <v>22.262516825115704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83515</v>
      </c>
      <c r="B72" s="66">
        <v>83515</v>
      </c>
      <c r="D72">
        <f t="shared" si="5"/>
        <v>77.998188152008439</v>
      </c>
      <c r="E72">
        <f t="shared" si="6"/>
        <v>77.998188152008439</v>
      </c>
      <c r="G72">
        <f t="shared" ca="1" si="7"/>
        <v>70</v>
      </c>
      <c r="H72">
        <f t="shared" ca="1" si="8"/>
        <v>5459.8731706405906</v>
      </c>
      <c r="I72">
        <f t="shared" ca="1" si="9"/>
        <v>977.1744210960519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73600</v>
      </c>
      <c r="B75" s="66">
        <v>73600</v>
      </c>
      <c r="D75">
        <f t="shared" si="5"/>
        <v>68.738150607529448</v>
      </c>
      <c r="E75">
        <f t="shared" si="6"/>
        <v>68.738150607529448</v>
      </c>
      <c r="G75">
        <f t="shared" ca="1" si="7"/>
        <v>73</v>
      </c>
      <c r="H75">
        <f t="shared" ca="1" si="8"/>
        <v>5017.8849943496498</v>
      </c>
      <c r="I75">
        <f t="shared" ca="1" si="9"/>
        <v>2939.6048627681835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69341</v>
      </c>
      <c r="B77" s="66">
        <v>69341</v>
      </c>
      <c r="D77">
        <f t="shared" si="5"/>
        <v>64.760490506476884</v>
      </c>
      <c r="E77">
        <f t="shared" si="6"/>
        <v>64.760490506476884</v>
      </c>
      <c r="G77">
        <f t="shared" ca="1" si="7"/>
        <v>75</v>
      </c>
      <c r="H77">
        <f t="shared" ca="1" si="8"/>
        <v>4857.0367879857668</v>
      </c>
      <c r="I77">
        <f t="shared" ca="1" si="9"/>
        <v>4722.5500187041871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67775</v>
      </c>
      <c r="B80" s="66">
        <v>67775</v>
      </c>
      <c r="D80">
        <f t="shared" si="5"/>
        <v>63.29793692153951</v>
      </c>
      <c r="E80">
        <f t="shared" si="6"/>
        <v>63.29793692153951</v>
      </c>
      <c r="G80">
        <f t="shared" ca="1" si="7"/>
        <v>78</v>
      </c>
      <c r="H80">
        <f t="shared" ca="1" si="8"/>
        <v>4937.2390798800816</v>
      </c>
      <c r="I80">
        <f t="shared" ca="1" si="9"/>
        <v>8428.779372842253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67733</v>
      </c>
      <c r="B82" s="66">
        <v>67733</v>
      </c>
      <c r="D82">
        <f t="shared" si="5"/>
        <v>63.258711346464558</v>
      </c>
      <c r="E82">
        <f t="shared" si="6"/>
        <v>63.258711346464558</v>
      </c>
      <c r="G82">
        <f t="shared" ca="1" si="7"/>
        <v>80</v>
      </c>
      <c r="H82">
        <f t="shared" ca="1" si="8"/>
        <v>5060.6969077171643</v>
      </c>
      <c r="I82">
        <f t="shared" ca="1" si="9"/>
        <v>11596.490381704989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64356</v>
      </c>
      <c r="B85" s="66">
        <v>64356</v>
      </c>
      <c r="D85">
        <f t="shared" si="5"/>
        <v>60.104788321985936</v>
      </c>
      <c r="E85">
        <f t="shared" si="6"/>
        <v>60.104788321985936</v>
      </c>
      <c r="G85">
        <f t="shared" ca="1" si="7"/>
        <v>83</v>
      </c>
      <c r="H85">
        <f t="shared" ca="1" si="8"/>
        <v>4988.6974307248329</v>
      </c>
      <c r="I85">
        <f t="shared" ca="1" si="9"/>
        <v>16441.999311772233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60393</v>
      </c>
      <c r="B88" s="66">
        <v>60393</v>
      </c>
      <c r="D88">
        <f t="shared" si="5"/>
        <v>56.403575130985402</v>
      </c>
      <c r="E88">
        <f t="shared" si="6"/>
        <v>56.403575130985402</v>
      </c>
      <c r="G88">
        <f t="shared" ca="1" si="7"/>
        <v>86</v>
      </c>
      <c r="H88">
        <f t="shared" ca="1" si="8"/>
        <v>4850.7074612647448</v>
      </c>
      <c r="I88">
        <f t="shared" ca="1" si="9"/>
        <v>21534.470769689517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60712</v>
      </c>
      <c r="B90" s="66">
        <v>60712</v>
      </c>
      <c r="D90">
        <f t="shared" si="5"/>
        <v>56.701502713102279</v>
      </c>
      <c r="E90">
        <f t="shared" si="6"/>
        <v>56.701502713102279</v>
      </c>
      <c r="G90">
        <f t="shared" ca="1" si="7"/>
        <v>88</v>
      </c>
      <c r="H90">
        <f t="shared" ca="1" si="8"/>
        <v>4989.7322387530003</v>
      </c>
      <c r="I90">
        <f t="shared" ca="1" si="9"/>
        <v>26306.702851422659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49963</v>
      </c>
      <c r="B93" s="66">
        <v>49963</v>
      </c>
      <c r="D93">
        <f t="shared" si="5"/>
        <v>46.662557320706433</v>
      </c>
      <c r="E93">
        <f t="shared" si="6"/>
        <v>46.662557320706433</v>
      </c>
      <c r="G93">
        <f t="shared" ca="1" si="7"/>
        <v>91</v>
      </c>
      <c r="H93">
        <f t="shared" ca="1" si="8"/>
        <v>4246.2927161842854</v>
      </c>
      <c r="I93">
        <f t="shared" ca="1" si="9"/>
        <v>28099.623142538105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53075</v>
      </c>
      <c r="B95" s="66">
        <v>53075</v>
      </c>
      <c r="D95">
        <f t="shared" si="5"/>
        <v>49.568985645307407</v>
      </c>
      <c r="E95">
        <f t="shared" si="6"/>
        <v>49.568985645307407</v>
      </c>
      <c r="G95">
        <f t="shared" ca="1" si="7"/>
        <v>93</v>
      </c>
      <c r="H95">
        <f t="shared" ca="1" si="8"/>
        <v>4609.9156650135892</v>
      </c>
      <c r="I95">
        <f t="shared" ca="1" si="9"/>
        <v>34913.710305899636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45334</v>
      </c>
      <c r="B98" s="66">
        <v>45334</v>
      </c>
      <c r="D98">
        <f t="shared" si="5"/>
        <v>42.339338582088857</v>
      </c>
      <c r="E98">
        <f t="shared" si="6"/>
        <v>42.339338582088857</v>
      </c>
      <c r="G98">
        <f t="shared" ca="1" si="7"/>
        <v>96</v>
      </c>
      <c r="H98">
        <f t="shared" ca="1" si="8"/>
        <v>4064.5765038805303</v>
      </c>
      <c r="I98">
        <f t="shared" ca="1" si="9"/>
        <v>36944.585436523987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33018</v>
      </c>
      <c r="B100" s="66">
        <v>33018</v>
      </c>
      <c r="D100">
        <f t="shared" si="5"/>
        <v>30.836905662491944</v>
      </c>
      <c r="E100">
        <f t="shared" si="6"/>
        <v>30.836905662491944</v>
      </c>
      <c r="G100">
        <f t="shared" ca="1" si="7"/>
        <v>98</v>
      </c>
      <c r="H100">
        <f t="shared" ca="1" si="8"/>
        <v>3022.0167549242105</v>
      </c>
      <c r="I100">
        <f t="shared" ca="1" si="9"/>
        <v>30674.735061204774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35698</v>
      </c>
      <c r="B103" s="66">
        <v>35698</v>
      </c>
      <c r="D103">
        <f t="shared" si="5"/>
        <v>33.339870929179156</v>
      </c>
      <c r="E103">
        <f t="shared" si="6"/>
        <v>33.339870929179156</v>
      </c>
      <c r="G103">
        <f t="shared" ca="1" si="7"/>
        <v>101</v>
      </c>
      <c r="H103">
        <f t="shared" ca="1" si="8"/>
        <v>3367.3269638470947</v>
      </c>
      <c r="I103">
        <f t="shared" ca="1" si="9"/>
        <v>39773.736333276698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27788</v>
      </c>
      <c r="B106" s="66">
        <v>27788</v>
      </c>
      <c r="D106">
        <f t="shared" si="5"/>
        <v>25.952387623397122</v>
      </c>
      <c r="E106">
        <f t="shared" si="6"/>
        <v>25.952387623397122</v>
      </c>
      <c r="G106">
        <f t="shared" ca="1" si="7"/>
        <v>104</v>
      </c>
      <c r="H106">
        <f t="shared" ca="1" si="8"/>
        <v>2699.0483128333008</v>
      </c>
      <c r="I106">
        <f t="shared" ca="1" si="9"/>
        <v>36572.499251125213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22562</v>
      </c>
      <c r="B108" s="66">
        <v>22562</v>
      </c>
      <c r="D108">
        <f t="shared" si="5"/>
        <v>21.071605353357054</v>
      </c>
      <c r="E108">
        <f t="shared" si="6"/>
        <v>21.071605353357054</v>
      </c>
      <c r="G108">
        <f t="shared" ca="1" si="7"/>
        <v>106</v>
      </c>
      <c r="H108">
        <f t="shared" ca="1" si="8"/>
        <v>2233.5901674558477</v>
      </c>
      <c r="I108">
        <f t="shared" ca="1" si="9"/>
        <v>32942.784486196011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29541</v>
      </c>
      <c r="B111" s="66">
        <v>29541</v>
      </c>
      <c r="D111">
        <f t="shared" si="5"/>
        <v>27.589588411644392</v>
      </c>
      <c r="E111">
        <f t="shared" si="6"/>
        <v>27.589588411644392</v>
      </c>
      <c r="G111">
        <f t="shared" ca="1" si="7"/>
        <v>109</v>
      </c>
      <c r="H111">
        <f t="shared" ca="1" si="8"/>
        <v>3007.2651368692386</v>
      </c>
      <c r="I111">
        <f t="shared" ca="1" si="9"/>
        <v>49926.404955565537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28584</v>
      </c>
      <c r="B113" s="66">
        <v>28584</v>
      </c>
      <c r="D113">
        <f t="shared" si="5"/>
        <v>26.695805665293772</v>
      </c>
      <c r="E113">
        <f t="shared" si="6"/>
        <v>26.695805665293772</v>
      </c>
      <c r="G113">
        <f t="shared" ca="1" si="7"/>
        <v>111</v>
      </c>
      <c r="H113">
        <f t="shared" ca="1" si="8"/>
        <v>2963.2344288476088</v>
      </c>
      <c r="I113">
        <f t="shared" ca="1" si="9"/>
        <v>52958.296191745401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20769</v>
      </c>
      <c r="B116" s="66">
        <v>20769</v>
      </c>
      <c r="D116">
        <f t="shared" si="5"/>
        <v>19.397046874562214</v>
      </c>
      <c r="E116">
        <f t="shared" si="6"/>
        <v>19.397046874562214</v>
      </c>
      <c r="G116">
        <f t="shared" ca="1" si="7"/>
        <v>114</v>
      </c>
      <c r="H116">
        <f t="shared" ca="1" si="8"/>
        <v>2211.2633437000923</v>
      </c>
      <c r="I116">
        <f t="shared" ca="1" si="9"/>
        <v>43837.432819029302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21119</v>
      </c>
      <c r="B118" s="66">
        <v>21119</v>
      </c>
      <c r="D118">
        <f t="shared" si="5"/>
        <v>19.723926666853455</v>
      </c>
      <c r="E118">
        <f t="shared" si="6"/>
        <v>19.723926666853455</v>
      </c>
      <c r="G118">
        <f t="shared" ca="1" si="7"/>
        <v>116</v>
      </c>
      <c r="H118">
        <f t="shared" ca="1" si="8"/>
        <v>2287.9754933550007</v>
      </c>
      <c r="I118">
        <f t="shared" ca="1" si="9"/>
        <v>48405.742307773187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16191</v>
      </c>
      <c r="B121" s="66">
        <v>16191</v>
      </c>
      <c r="D121">
        <f t="shared" si="5"/>
        <v>15.121459191392788</v>
      </c>
      <c r="E121">
        <f t="shared" si="6"/>
        <v>15.121459191392788</v>
      </c>
      <c r="G121">
        <f t="shared" ca="1" si="7"/>
        <v>119</v>
      </c>
      <c r="H121">
        <f t="shared" ca="1" si="8"/>
        <v>1799.4536437757417</v>
      </c>
      <c r="I121">
        <f t="shared" ca="1" si="9"/>
        <v>41741.285973688631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13357</v>
      </c>
      <c r="B124" s="66">
        <v>13357</v>
      </c>
      <c r="D124">
        <f t="shared" si="5"/>
        <v>12.474666816097429</v>
      </c>
      <c r="E124">
        <f t="shared" si="6"/>
        <v>12.474666816097429</v>
      </c>
      <c r="G124">
        <f t="shared" ca="1" si="7"/>
        <v>122</v>
      </c>
      <c r="H124">
        <f t="shared" ca="1" si="8"/>
        <v>1521.9093515638863</v>
      </c>
      <c r="I124">
        <f t="shared" ca="1" si="9"/>
        <v>38479.828232674059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11391</v>
      </c>
      <c r="B126" s="66">
        <v>11391</v>
      </c>
      <c r="D126">
        <f t="shared" si="5"/>
        <v>10.638536325684345</v>
      </c>
      <c r="E126">
        <f t="shared" si="6"/>
        <v>10.638536325684345</v>
      </c>
      <c r="G126">
        <f t="shared" ca="1" si="7"/>
        <v>124</v>
      </c>
      <c r="H126">
        <f t="shared" ca="1" si="8"/>
        <v>1319.1785043848588</v>
      </c>
      <c r="I126">
        <f t="shared" ca="1" si="9"/>
        <v>35222.02154752252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10238</v>
      </c>
      <c r="B129" s="66">
        <v>10238</v>
      </c>
      <c r="D129">
        <f t="shared" si="5"/>
        <v>9.5617008956506311</v>
      </c>
      <c r="E129">
        <f t="shared" si="6"/>
        <v>9.5617008956506311</v>
      </c>
      <c r="G129">
        <f t="shared" ca="1" si="7"/>
        <v>127</v>
      </c>
      <c r="H129">
        <f t="shared" ca="1" si="8"/>
        <v>1214.3360137476302</v>
      </c>
      <c r="I129">
        <f t="shared" ca="1" si="9"/>
        <v>35043.94842714128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10245</v>
      </c>
      <c r="B131" s="66">
        <v>10245</v>
      </c>
      <c r="D131">
        <f t="shared" ref="D131:D194" si="10">IFERROR( 100*A131/MAX(A$2:A$257), 0 )</f>
        <v>9.5682384914964551</v>
      </c>
      <c r="E131">
        <f t="shared" ref="E131:E194" si="11">IFERROR( 100*B131/MAX(B$2:B$257), 0 )</f>
        <v>9.5682384914964551</v>
      </c>
      <c r="G131">
        <f t="shared" ref="G131:G194" ca="1" si="12">CELL("row",D131)-2</f>
        <v>129</v>
      </c>
      <c r="H131">
        <f t="shared" ref="H131:H194" ca="1" si="13">D131*G131</f>
        <v>1234.3027654030427</v>
      </c>
      <c r="I131">
        <f t="shared" ref="I131:I194" ca="1" si="14">D131*((G131-$L$1)^2)</f>
        <v>37423.207965316542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8857</v>
      </c>
      <c r="B134" s="66">
        <v>8857</v>
      </c>
      <c r="D134">
        <f t="shared" si="10"/>
        <v>8.2719266294957645</v>
      </c>
      <c r="E134">
        <f t="shared" si="11"/>
        <v>8.2719266294957645</v>
      </c>
      <c r="G134">
        <f t="shared" ca="1" si="12"/>
        <v>132</v>
      </c>
      <c r="H134">
        <f t="shared" ca="1" si="13"/>
        <v>1091.8943150934408</v>
      </c>
      <c r="I134">
        <f t="shared" ca="1" si="14"/>
        <v>35531.465748499788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5856</v>
      </c>
      <c r="B136" s="66">
        <v>5856</v>
      </c>
      <c r="D136">
        <f t="shared" si="10"/>
        <v>5.4691658961642995</v>
      </c>
      <c r="E136">
        <f t="shared" si="11"/>
        <v>5.4691658961642995</v>
      </c>
      <c r="G136">
        <f t="shared" ca="1" si="12"/>
        <v>134</v>
      </c>
      <c r="H136">
        <f t="shared" ca="1" si="13"/>
        <v>732.86823008601618</v>
      </c>
      <c r="I136">
        <f t="shared" ca="1" si="14"/>
        <v>24948.071241367732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5554</v>
      </c>
      <c r="B139" s="66">
        <v>5554</v>
      </c>
      <c r="D139">
        <f t="shared" si="10"/>
        <v>5.1871153325301433</v>
      </c>
      <c r="E139">
        <f t="shared" si="11"/>
        <v>5.1871153325301433</v>
      </c>
      <c r="G139">
        <f t="shared" ca="1" si="12"/>
        <v>137</v>
      </c>
      <c r="H139">
        <f t="shared" ca="1" si="13"/>
        <v>710.63480055662967</v>
      </c>
      <c r="I139">
        <f t="shared" ca="1" si="14"/>
        <v>25810.168873717434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3660</v>
      </c>
      <c r="B142" s="66">
        <v>3660</v>
      </c>
      <c r="D142">
        <f t="shared" si="10"/>
        <v>3.4182286851026871</v>
      </c>
      <c r="E142">
        <f t="shared" si="11"/>
        <v>3.4182286851026871</v>
      </c>
      <c r="G142">
        <f t="shared" ca="1" si="12"/>
        <v>140</v>
      </c>
      <c r="H142">
        <f t="shared" ca="1" si="13"/>
        <v>478.55201591437617</v>
      </c>
      <c r="I142">
        <f t="shared" ca="1" si="14"/>
        <v>18485.986859402405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2506</v>
      </c>
      <c r="B144" s="66">
        <v>2506</v>
      </c>
      <c r="D144">
        <f t="shared" si="10"/>
        <v>2.3404593128052822</v>
      </c>
      <c r="E144">
        <f t="shared" si="11"/>
        <v>2.3404593128052822</v>
      </c>
      <c r="G144">
        <f t="shared" ca="1" si="12"/>
        <v>142</v>
      </c>
      <c r="H144">
        <f t="shared" ca="1" si="13"/>
        <v>332.34522241835009</v>
      </c>
      <c r="I144">
        <f t="shared" ca="1" si="14"/>
        <v>13355.171911560212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1776</v>
      </c>
      <c r="B147" s="66">
        <v>1776</v>
      </c>
      <c r="D147">
        <f t="shared" si="10"/>
        <v>1.6586814603121236</v>
      </c>
      <c r="E147">
        <f t="shared" si="11"/>
        <v>1.6586814603121236</v>
      </c>
      <c r="G147">
        <f t="shared" ca="1" si="12"/>
        <v>145</v>
      </c>
      <c r="H147">
        <f t="shared" ca="1" si="13"/>
        <v>240.50881174525793</v>
      </c>
      <c r="I147">
        <f t="shared" ca="1" si="14"/>
        <v>10231.502703254073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2346</v>
      </c>
      <c r="B149" s="66">
        <v>2346</v>
      </c>
      <c r="D149">
        <f t="shared" si="10"/>
        <v>2.1910285506150009</v>
      </c>
      <c r="E149">
        <f t="shared" si="11"/>
        <v>2.1910285506150009</v>
      </c>
      <c r="G149">
        <f t="shared" ca="1" si="12"/>
        <v>147</v>
      </c>
      <c r="H149">
        <f t="shared" ca="1" si="13"/>
        <v>322.08119694040511</v>
      </c>
      <c r="I149">
        <f t="shared" ca="1" si="14"/>
        <v>14212.355412061634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1959</v>
      </c>
      <c r="B152" s="66">
        <v>1959</v>
      </c>
      <c r="D152">
        <f t="shared" si="10"/>
        <v>1.8295928945672579</v>
      </c>
      <c r="E152">
        <f t="shared" si="11"/>
        <v>1.8295928945672579</v>
      </c>
      <c r="G152">
        <f t="shared" ca="1" si="12"/>
        <v>150</v>
      </c>
      <c r="H152">
        <f t="shared" ca="1" si="13"/>
        <v>274.43893418508867</v>
      </c>
      <c r="I152">
        <f t="shared" ca="1" si="14"/>
        <v>12768.455485153203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1891</v>
      </c>
      <c r="B154" s="66">
        <v>1891</v>
      </c>
      <c r="D154">
        <f t="shared" si="10"/>
        <v>1.7660848206363882</v>
      </c>
      <c r="E154">
        <f t="shared" si="11"/>
        <v>1.7660848206363882</v>
      </c>
      <c r="G154">
        <f t="shared" ca="1" si="12"/>
        <v>152</v>
      </c>
      <c r="H154">
        <f t="shared" ca="1" si="13"/>
        <v>268.44489273673099</v>
      </c>
      <c r="I154">
        <f t="shared" ca="1" si="14"/>
        <v>12922.457943281193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1589</v>
      </c>
      <c r="B157" s="66">
        <v>1589</v>
      </c>
      <c r="D157">
        <f t="shared" si="10"/>
        <v>1.484034257002232</v>
      </c>
      <c r="E157">
        <f t="shared" si="11"/>
        <v>1.484034257002232</v>
      </c>
      <c r="G157">
        <f t="shared" ca="1" si="12"/>
        <v>155</v>
      </c>
      <c r="H157">
        <f t="shared" ca="1" si="13"/>
        <v>230.02530983534595</v>
      </c>
      <c r="I157">
        <f t="shared" ca="1" si="14"/>
        <v>11633.709258061755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1310</v>
      </c>
      <c r="B160" s="66">
        <v>1310</v>
      </c>
      <c r="D160">
        <f t="shared" si="10"/>
        <v>1.2234643654329289</v>
      </c>
      <c r="E160">
        <f t="shared" si="11"/>
        <v>1.2234643654329289</v>
      </c>
      <c r="G160">
        <f t="shared" ca="1" si="12"/>
        <v>158</v>
      </c>
      <c r="H160">
        <f t="shared" ca="1" si="13"/>
        <v>193.30736973840277</v>
      </c>
      <c r="I160">
        <f t="shared" ca="1" si="14"/>
        <v>10251.998670527984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1003</v>
      </c>
      <c r="B162" s="66">
        <v>1003</v>
      </c>
      <c r="D162">
        <f t="shared" si="10"/>
        <v>0.93674409048032647</v>
      </c>
      <c r="E162">
        <f t="shared" si="11"/>
        <v>0.93674409048032647</v>
      </c>
      <c r="G162">
        <f t="shared" ca="1" si="12"/>
        <v>160</v>
      </c>
      <c r="H162">
        <f t="shared" ca="1" si="13"/>
        <v>149.87905447685225</v>
      </c>
      <c r="I162">
        <f t="shared" ca="1" si="14"/>
        <v>8196.1744193470367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914</v>
      </c>
      <c r="B165" s="66">
        <v>914</v>
      </c>
      <c r="D165">
        <f t="shared" si="10"/>
        <v>0.85362322901198251</v>
      </c>
      <c r="E165">
        <f t="shared" si="11"/>
        <v>0.85362322901198251</v>
      </c>
      <c r="G165">
        <f t="shared" ca="1" si="12"/>
        <v>163</v>
      </c>
      <c r="H165">
        <f t="shared" ca="1" si="13"/>
        <v>139.14058632895316</v>
      </c>
      <c r="I165">
        <f t="shared" ca="1" si="14"/>
        <v>7955.6643564467977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832</v>
      </c>
      <c r="B167" s="66">
        <v>832</v>
      </c>
      <c r="D167">
        <f t="shared" si="10"/>
        <v>0.77703996338946324</v>
      </c>
      <c r="E167">
        <f t="shared" si="11"/>
        <v>0.77703996338946324</v>
      </c>
      <c r="G167">
        <f t="shared" ca="1" si="12"/>
        <v>165</v>
      </c>
      <c r="H167">
        <f t="shared" ca="1" si="13"/>
        <v>128.21159395926142</v>
      </c>
      <c r="I167">
        <f t="shared" ca="1" si="14"/>
        <v>7545.086069073388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717</v>
      </c>
      <c r="B170" s="66">
        <v>717</v>
      </c>
      <c r="D170">
        <f t="shared" si="10"/>
        <v>0.66963660306519845</v>
      </c>
      <c r="E170">
        <f t="shared" si="11"/>
        <v>0.66963660306519845</v>
      </c>
      <c r="G170">
        <f t="shared" ca="1" si="12"/>
        <v>168</v>
      </c>
      <c r="H170">
        <f t="shared" ca="1" si="13"/>
        <v>112.49894931495334</v>
      </c>
      <c r="I170">
        <f t="shared" ca="1" si="14"/>
        <v>6904.1362937250915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158</v>
      </c>
      <c r="B173" s="66">
        <v>158</v>
      </c>
      <c r="D173">
        <f t="shared" si="10"/>
        <v>0.14756287766290288</v>
      </c>
      <c r="E173">
        <f t="shared" si="11"/>
        <v>0.14756287766290288</v>
      </c>
      <c r="G173">
        <f t="shared" ca="1" si="12"/>
        <v>171</v>
      </c>
      <c r="H173">
        <f t="shared" ca="1" si="13"/>
        <v>25.233252080356394</v>
      </c>
      <c r="I173">
        <f t="shared" ca="1" si="14"/>
        <v>1612.6424208810572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69.415333915844741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1.3402358790376827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0.60782065942827002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2416</v>
      </c>
      <c r="B8" s="66">
        <v>2416</v>
      </c>
      <c r="D8">
        <f t="shared" si="0"/>
        <v>3.008267755752565</v>
      </c>
      <c r="E8">
        <f t="shared" si="1"/>
        <v>3.008267755752565</v>
      </c>
      <c r="G8">
        <f t="shared" ca="1" si="2"/>
        <v>6</v>
      </c>
      <c r="H8">
        <f t="shared" ca="1" si="3"/>
        <v>18.049606534515391</v>
      </c>
      <c r="I8">
        <f t="shared" ca="1" si="4"/>
        <v>12097.762544563629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3877</v>
      </c>
      <c r="B10" s="66">
        <v>3877</v>
      </c>
      <c r="D10">
        <f t="shared" si="0"/>
        <v>4.8274230501045921</v>
      </c>
      <c r="E10">
        <f t="shared" si="1"/>
        <v>4.8274230501045921</v>
      </c>
      <c r="G10">
        <f t="shared" ca="1" si="2"/>
        <v>8</v>
      </c>
      <c r="H10">
        <f t="shared" ca="1" si="3"/>
        <v>38.619384400836736</v>
      </c>
      <c r="I10">
        <f t="shared" ca="1" si="4"/>
        <v>18208.282998131646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6099</v>
      </c>
      <c r="B13" s="66">
        <v>6099</v>
      </c>
      <c r="D13">
        <f t="shared" si="0"/>
        <v>7.5941328817611318</v>
      </c>
      <c r="E13">
        <f t="shared" si="1"/>
        <v>7.5941328817611318</v>
      </c>
      <c r="G13">
        <f t="shared" ca="1" si="2"/>
        <v>11</v>
      </c>
      <c r="H13">
        <f t="shared" ca="1" si="3"/>
        <v>83.535461699372448</v>
      </c>
      <c r="I13">
        <f t="shared" ca="1" si="4"/>
        <v>25913.848729220179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14292</v>
      </c>
      <c r="B15" s="66">
        <v>14292</v>
      </c>
      <c r="D15">
        <f t="shared" si="0"/>
        <v>17.79559717103297</v>
      </c>
      <c r="E15">
        <f t="shared" si="1"/>
        <v>17.79559717103297</v>
      </c>
      <c r="G15">
        <f t="shared" ca="1" si="2"/>
        <v>13</v>
      </c>
      <c r="H15">
        <f t="shared" ca="1" si="3"/>
        <v>231.34276322342862</v>
      </c>
      <c r="I15">
        <f t="shared" ca="1" si="4"/>
        <v>56637.867395596986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27932</v>
      </c>
      <c r="B18" s="66">
        <v>27932</v>
      </c>
      <c r="D18">
        <f t="shared" si="0"/>
        <v>34.779360494073117</v>
      </c>
      <c r="E18">
        <f t="shared" si="1"/>
        <v>34.779360494073117</v>
      </c>
      <c r="G18">
        <f t="shared" ca="1" si="2"/>
        <v>16</v>
      </c>
      <c r="H18">
        <f t="shared" ca="1" si="3"/>
        <v>556.46976790516987</v>
      </c>
      <c r="I18">
        <f t="shared" ca="1" si="4"/>
        <v>99232.398232560779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35681</v>
      </c>
      <c r="B21" s="66">
        <v>35681</v>
      </c>
      <c r="D21">
        <f t="shared" si="0"/>
        <v>44.427980874589103</v>
      </c>
      <c r="E21">
        <f t="shared" si="1"/>
        <v>44.427980874589103</v>
      </c>
      <c r="G21">
        <f t="shared" ca="1" si="2"/>
        <v>19</v>
      </c>
      <c r="H21">
        <f t="shared" ca="1" si="3"/>
        <v>844.13163661719295</v>
      </c>
      <c r="I21">
        <f t="shared" ca="1" si="4"/>
        <v>112922.86084062605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41802</v>
      </c>
      <c r="B23" s="66">
        <v>41802</v>
      </c>
      <c r="D23">
        <f t="shared" si="0"/>
        <v>52.049506923000301</v>
      </c>
      <c r="E23">
        <f t="shared" si="1"/>
        <v>52.049506923000301</v>
      </c>
      <c r="G23">
        <f t="shared" ca="1" si="2"/>
        <v>21</v>
      </c>
      <c r="H23">
        <f t="shared" ca="1" si="3"/>
        <v>1093.0396453830062</v>
      </c>
      <c r="I23">
        <f t="shared" ca="1" si="4"/>
        <v>122006.36345895403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33652</v>
      </c>
      <c r="B26" s="66">
        <v>33652</v>
      </c>
      <c r="D26">
        <f t="shared" si="0"/>
        <v>41.90158382308995</v>
      </c>
      <c r="E26">
        <f t="shared" si="1"/>
        <v>41.90158382308995</v>
      </c>
      <c r="G26">
        <f t="shared" ca="1" si="2"/>
        <v>24</v>
      </c>
      <c r="H26">
        <f t="shared" ca="1" si="3"/>
        <v>1005.6380117541588</v>
      </c>
      <c r="I26">
        <f t="shared" ca="1" si="4"/>
        <v>86424.218759774041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36203</v>
      </c>
      <c r="B28" s="66">
        <v>36203</v>
      </c>
      <c r="D28">
        <f t="shared" si="0"/>
        <v>45.077946010558819</v>
      </c>
      <c r="E28">
        <f t="shared" si="1"/>
        <v>45.077946010558819</v>
      </c>
      <c r="G28">
        <f t="shared" ca="1" si="2"/>
        <v>26</v>
      </c>
      <c r="H28">
        <f t="shared" ca="1" si="3"/>
        <v>1172.0265962745293</v>
      </c>
      <c r="I28">
        <f t="shared" ca="1" si="4"/>
        <v>84967.024606953724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37174</v>
      </c>
      <c r="B31" s="66">
        <v>37174</v>
      </c>
      <c r="D31">
        <f t="shared" si="0"/>
        <v>46.286980774977586</v>
      </c>
      <c r="E31">
        <f t="shared" si="1"/>
        <v>46.286980774977586</v>
      </c>
      <c r="G31">
        <f t="shared" ca="1" si="2"/>
        <v>29</v>
      </c>
      <c r="H31">
        <f t="shared" ca="1" si="3"/>
        <v>1342.3224424743501</v>
      </c>
      <c r="I31">
        <f t="shared" ca="1" si="4"/>
        <v>75605.11808706494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37719</v>
      </c>
      <c r="B33" s="66">
        <v>37719</v>
      </c>
      <c r="D33">
        <f t="shared" si="0"/>
        <v>46.965584221536012</v>
      </c>
      <c r="E33">
        <f t="shared" si="1"/>
        <v>46.965584221536012</v>
      </c>
      <c r="G33">
        <f t="shared" ca="1" si="2"/>
        <v>31</v>
      </c>
      <c r="H33">
        <f t="shared" ca="1" si="3"/>
        <v>1455.9331108676163</v>
      </c>
      <c r="I33">
        <f t="shared" ca="1" si="4"/>
        <v>69308.891685750626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38612</v>
      </c>
      <c r="B36" s="66">
        <v>38612</v>
      </c>
      <c r="D36">
        <f t="shared" si="0"/>
        <v>48.077497758740911</v>
      </c>
      <c r="E36">
        <f t="shared" si="1"/>
        <v>48.077497758740911</v>
      </c>
      <c r="G36">
        <f t="shared" ca="1" si="2"/>
        <v>34</v>
      </c>
      <c r="H36">
        <f t="shared" ca="1" si="3"/>
        <v>1634.634923797191</v>
      </c>
      <c r="I36">
        <f t="shared" ca="1" si="4"/>
        <v>60301.00331012634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40755</v>
      </c>
      <c r="B39" s="66">
        <v>40755</v>
      </c>
      <c r="D39">
        <f t="shared" si="0"/>
        <v>50.745841219244944</v>
      </c>
      <c r="E39">
        <f t="shared" si="1"/>
        <v>50.745841219244944</v>
      </c>
      <c r="G39">
        <f t="shared" ca="1" si="2"/>
        <v>37</v>
      </c>
      <c r="H39">
        <f t="shared" ca="1" si="3"/>
        <v>1877.596125112063</v>
      </c>
      <c r="I39">
        <f t="shared" ca="1" si="4"/>
        <v>53321.389193457682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40850</v>
      </c>
      <c r="B41" s="66">
        <v>40850</v>
      </c>
      <c r="D41">
        <f t="shared" si="0"/>
        <v>50.864129893415679</v>
      </c>
      <c r="E41">
        <f t="shared" si="1"/>
        <v>50.864129893415679</v>
      </c>
      <c r="G41">
        <f t="shared" ca="1" si="2"/>
        <v>39</v>
      </c>
      <c r="H41">
        <f t="shared" ca="1" si="3"/>
        <v>1983.7010658432114</v>
      </c>
      <c r="I41">
        <f t="shared" ca="1" si="4"/>
        <v>47054.026976197703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40887</v>
      </c>
      <c r="B44" s="66">
        <v>40887</v>
      </c>
      <c r="D44">
        <f t="shared" si="0"/>
        <v>50.910200219145331</v>
      </c>
      <c r="E44">
        <f t="shared" si="1"/>
        <v>50.910200219145331</v>
      </c>
      <c r="G44">
        <f t="shared" ca="1" si="2"/>
        <v>42</v>
      </c>
      <c r="H44">
        <f t="shared" ca="1" si="3"/>
        <v>2138.2284092041041</v>
      </c>
      <c r="I44">
        <f t="shared" ca="1" si="4"/>
        <v>38264.133656362552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54684</v>
      </c>
      <c r="B46" s="66">
        <v>54684</v>
      </c>
      <c r="D46">
        <f t="shared" si="0"/>
        <v>68.089451140551844</v>
      </c>
      <c r="E46">
        <f t="shared" si="1"/>
        <v>68.089451140551844</v>
      </c>
      <c r="G46">
        <f t="shared" ca="1" si="2"/>
        <v>44</v>
      </c>
      <c r="H46">
        <f t="shared" ca="1" si="3"/>
        <v>2995.9358501842812</v>
      </c>
      <c r="I46">
        <f t="shared" ca="1" si="4"/>
        <v>43981.645465657442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55961</v>
      </c>
      <c r="B49" s="66">
        <v>55961</v>
      </c>
      <c r="D49">
        <f t="shared" si="0"/>
        <v>69.679499950194241</v>
      </c>
      <c r="E49">
        <f t="shared" si="1"/>
        <v>69.679499950194241</v>
      </c>
      <c r="G49">
        <f t="shared" ca="1" si="2"/>
        <v>47</v>
      </c>
      <c r="H49">
        <f t="shared" ca="1" si="3"/>
        <v>3274.9364976591291</v>
      </c>
      <c r="I49">
        <f t="shared" ca="1" si="4"/>
        <v>35010.269268236501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61185</v>
      </c>
      <c r="B51" s="66">
        <v>61185</v>
      </c>
      <c r="D51">
        <f t="shared" si="0"/>
        <v>76.184131885645982</v>
      </c>
      <c r="E51">
        <f t="shared" si="1"/>
        <v>76.184131885645982</v>
      </c>
      <c r="G51">
        <f t="shared" ca="1" si="2"/>
        <v>49</v>
      </c>
      <c r="H51">
        <f t="shared" ca="1" si="3"/>
        <v>3733.0224623966533</v>
      </c>
      <c r="I51">
        <f t="shared" ca="1" si="4"/>
        <v>31752.468842162481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61816</v>
      </c>
      <c r="B54" s="66">
        <v>61816</v>
      </c>
      <c r="D54">
        <f t="shared" si="0"/>
        <v>76.969817710927387</v>
      </c>
      <c r="E54">
        <f t="shared" si="1"/>
        <v>76.969817710927387</v>
      </c>
      <c r="G54">
        <f t="shared" ca="1" si="2"/>
        <v>52</v>
      </c>
      <c r="H54">
        <f t="shared" ca="1" si="3"/>
        <v>4002.4305209682243</v>
      </c>
      <c r="I54">
        <f t="shared" ca="1" si="4"/>
        <v>23344.472763011014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72031</v>
      </c>
      <c r="B57" s="66">
        <v>72031</v>
      </c>
      <c r="D57">
        <f t="shared" si="0"/>
        <v>89.688963044127902</v>
      </c>
      <c r="E57">
        <f t="shared" si="1"/>
        <v>89.688963044127902</v>
      </c>
      <c r="G57">
        <f t="shared" ca="1" si="2"/>
        <v>55</v>
      </c>
      <c r="H57">
        <f t="shared" ca="1" si="3"/>
        <v>4932.8929674270348</v>
      </c>
      <c r="I57">
        <f t="shared" ca="1" si="4"/>
        <v>18637.532616036118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75176</v>
      </c>
      <c r="B59" s="66">
        <v>75176</v>
      </c>
      <c r="D59">
        <f t="shared" si="0"/>
        <v>93.604940731148517</v>
      </c>
      <c r="E59">
        <f t="shared" si="1"/>
        <v>93.604940731148517</v>
      </c>
      <c r="G59">
        <f t="shared" ca="1" si="2"/>
        <v>57</v>
      </c>
      <c r="H59">
        <f t="shared" ca="1" si="3"/>
        <v>5335.4816216754652</v>
      </c>
      <c r="I59">
        <f t="shared" ca="1" si="4"/>
        <v>14428.313887093997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67590</v>
      </c>
      <c r="B62" s="66">
        <v>67590</v>
      </c>
      <c r="D62">
        <f t="shared" si="0"/>
        <v>84.159278812630745</v>
      </c>
      <c r="E62">
        <f t="shared" si="1"/>
        <v>84.159278812630745</v>
      </c>
      <c r="G62">
        <f t="shared" ca="1" si="2"/>
        <v>60</v>
      </c>
      <c r="H62">
        <f t="shared" ca="1" si="3"/>
        <v>5049.5567287578451</v>
      </c>
      <c r="I62">
        <f t="shared" ca="1" si="4"/>
        <v>7460.5949005877264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74210</v>
      </c>
      <c r="B64" s="66">
        <v>74210</v>
      </c>
      <c r="D64">
        <f t="shared" si="0"/>
        <v>92.402131686422948</v>
      </c>
      <c r="E64">
        <f t="shared" si="1"/>
        <v>92.402131686422948</v>
      </c>
      <c r="G64">
        <f t="shared" ca="1" si="2"/>
        <v>62</v>
      </c>
      <c r="H64">
        <f t="shared" ca="1" si="3"/>
        <v>5728.9321645582231</v>
      </c>
      <c r="I64">
        <f t="shared" ca="1" si="4"/>
        <v>5080.9323779321276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76077</v>
      </c>
      <c r="B67" s="66">
        <v>76077</v>
      </c>
      <c r="D67">
        <f t="shared" ref="D67:D130" si="5">IFERROR(100*A67/MAX(A$2:A$257), 0 )</f>
        <v>94.726815419862533</v>
      </c>
      <c r="E67">
        <f t="shared" ref="E67:E130" si="6">IFERROR(100*B67/MAX(B$2:B$257), 0 )</f>
        <v>94.726815419862533</v>
      </c>
      <c r="G67">
        <f t="shared" ref="G67:G130" ca="1" si="7">CELL("row",D67)-2</f>
        <v>65</v>
      </c>
      <c r="H67">
        <f t="shared" ref="H67:H130" ca="1" si="8">D67*G67</f>
        <v>6157.2430022910648</v>
      </c>
      <c r="I67">
        <f t="shared" ref="I67:I130" ca="1" si="9">D67*((G67-$L$1)^2)</f>
        <v>1846.7157100873847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75301</v>
      </c>
      <c r="B69" s="66">
        <v>75301</v>
      </c>
      <c r="D69">
        <f t="shared" si="5"/>
        <v>93.760583723478433</v>
      </c>
      <c r="E69">
        <f t="shared" si="6"/>
        <v>93.760583723478433</v>
      </c>
      <c r="G69">
        <f t="shared" ca="1" si="7"/>
        <v>67</v>
      </c>
      <c r="H69">
        <f t="shared" ca="1" si="8"/>
        <v>6281.9591094730549</v>
      </c>
      <c r="I69">
        <f t="shared" ca="1" si="9"/>
        <v>546.98404919896871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80076</v>
      </c>
      <c r="B72" s="66">
        <v>80076</v>
      </c>
      <c r="D72">
        <f t="shared" si="5"/>
        <v>99.706146030481122</v>
      </c>
      <c r="E72">
        <f t="shared" si="6"/>
        <v>99.706146030481122</v>
      </c>
      <c r="G72">
        <f t="shared" ca="1" si="7"/>
        <v>70</v>
      </c>
      <c r="H72">
        <f t="shared" ca="1" si="8"/>
        <v>6979.4302221336784</v>
      </c>
      <c r="I72">
        <f t="shared" ca="1" si="9"/>
        <v>34.08299359198206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80312</v>
      </c>
      <c r="B75" s="66">
        <v>80312</v>
      </c>
      <c r="D75">
        <f t="shared" si="5"/>
        <v>100</v>
      </c>
      <c r="E75">
        <f t="shared" si="6"/>
        <v>100</v>
      </c>
      <c r="G75">
        <f t="shared" ca="1" si="7"/>
        <v>73</v>
      </c>
      <c r="H75">
        <f t="shared" ca="1" si="8"/>
        <v>7300</v>
      </c>
      <c r="I75">
        <f t="shared" ca="1" si="9"/>
        <v>1284.9830934893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71290</v>
      </c>
      <c r="B77" s="66">
        <v>71290</v>
      </c>
      <c r="D77">
        <f t="shared" si="5"/>
        <v>88.766311385596168</v>
      </c>
      <c r="E77">
        <f t="shared" si="6"/>
        <v>88.766311385596168</v>
      </c>
      <c r="G77">
        <f t="shared" ca="1" si="7"/>
        <v>75</v>
      </c>
      <c r="H77">
        <f t="shared" ca="1" si="8"/>
        <v>6657.4733539197123</v>
      </c>
      <c r="I77">
        <f t="shared" ca="1" si="9"/>
        <v>2768.4876829194086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62869</v>
      </c>
      <c r="B80" s="66">
        <v>62869</v>
      </c>
      <c r="D80">
        <f t="shared" si="5"/>
        <v>78.280954278314567</v>
      </c>
      <c r="E80">
        <f t="shared" si="6"/>
        <v>78.280954278314567</v>
      </c>
      <c r="G80">
        <f t="shared" ca="1" si="7"/>
        <v>78</v>
      </c>
      <c r="H80">
        <f t="shared" ca="1" si="8"/>
        <v>6105.9144337085363</v>
      </c>
      <c r="I80">
        <f t="shared" ca="1" si="9"/>
        <v>5769.0317032241219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64677</v>
      </c>
      <c r="B82" s="66">
        <v>64677</v>
      </c>
      <c r="D82">
        <f t="shared" si="5"/>
        <v>80.532174519374436</v>
      </c>
      <c r="E82">
        <f t="shared" si="6"/>
        <v>80.532174519374436</v>
      </c>
      <c r="G82">
        <f t="shared" ca="1" si="7"/>
        <v>80</v>
      </c>
      <c r="H82">
        <f t="shared" ca="1" si="8"/>
        <v>6442.5739615499551</v>
      </c>
      <c r="I82">
        <f t="shared" ca="1" si="9"/>
        <v>9022.4347444028408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57326</v>
      </c>
      <c r="B85" s="66">
        <v>57326</v>
      </c>
      <c r="D85">
        <f t="shared" si="5"/>
        <v>71.379121426436896</v>
      </c>
      <c r="E85">
        <f t="shared" si="6"/>
        <v>71.379121426436896</v>
      </c>
      <c r="G85">
        <f t="shared" ca="1" si="7"/>
        <v>83</v>
      </c>
      <c r="H85">
        <f t="shared" ca="1" si="8"/>
        <v>5924.467078394262</v>
      </c>
      <c r="I85">
        <f t="shared" ca="1" si="9"/>
        <v>13172.528099137568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50581</v>
      </c>
      <c r="B88" s="66">
        <v>50581</v>
      </c>
      <c r="D88">
        <f t="shared" si="5"/>
        <v>62.98062556031477</v>
      </c>
      <c r="E88">
        <f t="shared" si="6"/>
        <v>62.98062556031477</v>
      </c>
      <c r="G88">
        <f t="shared" ca="1" si="7"/>
        <v>86</v>
      </c>
      <c r="H88">
        <f t="shared" ca="1" si="8"/>
        <v>5416.33379818707</v>
      </c>
      <c r="I88">
        <f t="shared" ca="1" si="9"/>
        <v>17322.89343284554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51127</v>
      </c>
      <c r="B90" s="66">
        <v>51127</v>
      </c>
      <c r="D90">
        <f t="shared" si="5"/>
        <v>63.660474150811837</v>
      </c>
      <c r="E90">
        <f t="shared" si="6"/>
        <v>63.660474150811837</v>
      </c>
      <c r="G90">
        <f t="shared" ca="1" si="7"/>
        <v>88</v>
      </c>
      <c r="H90">
        <f t="shared" ca="1" si="8"/>
        <v>5602.1217252714414</v>
      </c>
      <c r="I90">
        <f t="shared" ca="1" si="9"/>
        <v>21987.679291695455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53252</v>
      </c>
      <c r="B93" s="66">
        <v>53252</v>
      </c>
      <c r="D93">
        <f t="shared" si="5"/>
        <v>66.306405020420357</v>
      </c>
      <c r="E93">
        <f t="shared" si="6"/>
        <v>66.306405020420357</v>
      </c>
      <c r="G93">
        <f t="shared" ca="1" si="7"/>
        <v>91</v>
      </c>
      <c r="H93">
        <f t="shared" ca="1" si="8"/>
        <v>6033.8828568582521</v>
      </c>
      <c r="I93">
        <f t="shared" ca="1" si="9"/>
        <v>30892.008885631803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50634</v>
      </c>
      <c r="B95" s="66">
        <v>50634</v>
      </c>
      <c r="D95">
        <f t="shared" si="5"/>
        <v>63.046618189062656</v>
      </c>
      <c r="E95">
        <f t="shared" si="6"/>
        <v>63.046618189062656</v>
      </c>
      <c r="G95">
        <f t="shared" ca="1" si="7"/>
        <v>93</v>
      </c>
      <c r="H95">
        <f t="shared" ca="1" si="8"/>
        <v>5863.3354915828268</v>
      </c>
      <c r="I95">
        <f t="shared" ca="1" si="9"/>
        <v>35068.828618092026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43751</v>
      </c>
      <c r="B98" s="66">
        <v>43751</v>
      </c>
      <c r="D98">
        <f t="shared" si="5"/>
        <v>54.476292459408306</v>
      </c>
      <c r="E98">
        <f t="shared" si="6"/>
        <v>54.476292459408306</v>
      </c>
      <c r="G98">
        <f t="shared" ca="1" si="7"/>
        <v>96</v>
      </c>
      <c r="H98">
        <f t="shared" ca="1" si="8"/>
        <v>5229.7240761031971</v>
      </c>
      <c r="I98">
        <f t="shared" ca="1" si="9"/>
        <v>38500.81848569931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42782</v>
      </c>
      <c r="B100" s="66">
        <v>42782</v>
      </c>
      <c r="D100">
        <f t="shared" si="5"/>
        <v>53.269747982866818</v>
      </c>
      <c r="E100">
        <f t="shared" si="6"/>
        <v>53.269747982866818</v>
      </c>
      <c r="G100">
        <f t="shared" ca="1" si="7"/>
        <v>98</v>
      </c>
      <c r="H100">
        <f t="shared" ca="1" si="8"/>
        <v>5220.4353023209478</v>
      </c>
      <c r="I100">
        <f t="shared" ca="1" si="9"/>
        <v>43525.812690099992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38036</v>
      </c>
      <c r="B103" s="66">
        <v>38036</v>
      </c>
      <c r="D103">
        <f t="shared" si="5"/>
        <v>47.360294850084671</v>
      </c>
      <c r="E103">
        <f t="shared" si="6"/>
        <v>47.360294850084671</v>
      </c>
      <c r="G103">
        <f t="shared" ca="1" si="7"/>
        <v>101</v>
      </c>
      <c r="H103">
        <f t="shared" ca="1" si="8"/>
        <v>4783.3897798585522</v>
      </c>
      <c r="I103">
        <f t="shared" ca="1" si="9"/>
        <v>47246.210134659377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30848</v>
      </c>
      <c r="B106" s="66">
        <v>30848</v>
      </c>
      <c r="D106">
        <f t="shared" si="5"/>
        <v>38.410200219145331</v>
      </c>
      <c r="E106">
        <f t="shared" si="6"/>
        <v>38.410200219145331</v>
      </c>
      <c r="G106">
        <f t="shared" ca="1" si="7"/>
        <v>104</v>
      </c>
      <c r="H106">
        <f t="shared" ca="1" si="8"/>
        <v>3994.6608227911142</v>
      </c>
      <c r="I106">
        <f t="shared" ca="1" si="9"/>
        <v>45942.406994283432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26030</v>
      </c>
      <c r="B108" s="66">
        <v>26030</v>
      </c>
      <c r="D108">
        <f t="shared" si="5"/>
        <v>32.411096722781153</v>
      </c>
      <c r="E108">
        <f t="shared" si="6"/>
        <v>32.411096722781153</v>
      </c>
      <c r="G108">
        <f t="shared" ca="1" si="7"/>
        <v>106</v>
      </c>
      <c r="H108">
        <f t="shared" ca="1" si="8"/>
        <v>3435.5762526148023</v>
      </c>
      <c r="I108">
        <f t="shared" ca="1" si="9"/>
        <v>43380.236749791206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21863</v>
      </c>
      <c r="B111" s="66">
        <v>21863</v>
      </c>
      <c r="D111">
        <f t="shared" si="5"/>
        <v>27.222581930471161</v>
      </c>
      <c r="E111">
        <f t="shared" si="6"/>
        <v>27.222581930471161</v>
      </c>
      <c r="G111">
        <f t="shared" ca="1" si="7"/>
        <v>109</v>
      </c>
      <c r="H111">
        <f t="shared" ca="1" si="8"/>
        <v>2967.2614304213566</v>
      </c>
      <c r="I111">
        <f t="shared" ca="1" si="9"/>
        <v>42656.310121497889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18180</v>
      </c>
      <c r="B113" s="66">
        <v>18180</v>
      </c>
      <c r="D113">
        <f t="shared" si="5"/>
        <v>22.636716804462594</v>
      </c>
      <c r="E113">
        <f t="shared" si="6"/>
        <v>22.636716804462594</v>
      </c>
      <c r="G113">
        <f t="shared" ca="1" si="7"/>
        <v>111</v>
      </c>
      <c r="H113">
        <f t="shared" ca="1" si="8"/>
        <v>2512.675565295348</v>
      </c>
      <c r="I113">
        <f t="shared" ca="1" si="9"/>
        <v>39145.322444406804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16171</v>
      </c>
      <c r="B116" s="66">
        <v>16171</v>
      </c>
      <c r="D116">
        <f t="shared" si="5"/>
        <v>20.13522263173623</v>
      </c>
      <c r="E116">
        <f t="shared" si="6"/>
        <v>20.13522263173623</v>
      </c>
      <c r="G116">
        <f t="shared" ca="1" si="7"/>
        <v>114</v>
      </c>
      <c r="H116">
        <f t="shared" ca="1" si="8"/>
        <v>2295.4153800179301</v>
      </c>
      <c r="I116">
        <f t="shared" ca="1" si="9"/>
        <v>40024.643523124665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15283</v>
      </c>
      <c r="B118" s="66">
        <v>15283</v>
      </c>
      <c r="D118">
        <f t="shared" si="5"/>
        <v>19.029534814224526</v>
      </c>
      <c r="E118">
        <f t="shared" si="6"/>
        <v>19.029534814224526</v>
      </c>
      <c r="G118">
        <f t="shared" ca="1" si="7"/>
        <v>116</v>
      </c>
      <c r="H118">
        <f t="shared" ca="1" si="8"/>
        <v>2207.4260384500449</v>
      </c>
      <c r="I118">
        <f t="shared" ca="1" si="9"/>
        <v>41296.585588572605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15258</v>
      </c>
      <c r="B121" s="66">
        <v>15258</v>
      </c>
      <c r="D121">
        <f t="shared" si="5"/>
        <v>18.998406215758543</v>
      </c>
      <c r="E121">
        <f t="shared" si="6"/>
        <v>18.998406215758543</v>
      </c>
      <c r="G121">
        <f t="shared" ca="1" si="7"/>
        <v>119</v>
      </c>
      <c r="H121">
        <f t="shared" ca="1" si="8"/>
        <v>2260.8103396752667</v>
      </c>
      <c r="I121">
        <f t="shared" ca="1" si="9"/>
        <v>46710.224562596326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15375</v>
      </c>
      <c r="B124" s="66">
        <v>15375</v>
      </c>
      <c r="D124">
        <f t="shared" si="5"/>
        <v>19.144088056579342</v>
      </c>
      <c r="E124">
        <f t="shared" si="6"/>
        <v>19.144088056579342</v>
      </c>
      <c r="G124">
        <f t="shared" ca="1" si="7"/>
        <v>122</v>
      </c>
      <c r="H124">
        <f t="shared" ca="1" si="8"/>
        <v>2335.5787429026796</v>
      </c>
      <c r="I124">
        <f t="shared" ca="1" si="9"/>
        <v>52936.219709289915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12373</v>
      </c>
      <c r="B126" s="66">
        <v>12373</v>
      </c>
      <c r="D126">
        <f t="shared" si="5"/>
        <v>15.406165952784141</v>
      </c>
      <c r="E126">
        <f t="shared" si="6"/>
        <v>15.406165952784141</v>
      </c>
      <c r="G126">
        <f t="shared" ca="1" si="7"/>
        <v>124</v>
      </c>
      <c r="H126">
        <f t="shared" ca="1" si="8"/>
        <v>1910.3645781452335</v>
      </c>
      <c r="I126">
        <f t="shared" ca="1" si="9"/>
        <v>45902.452249976639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13067</v>
      </c>
      <c r="B129" s="66">
        <v>13067</v>
      </c>
      <c r="D129">
        <f t="shared" si="5"/>
        <v>16.270295846199822</v>
      </c>
      <c r="E129">
        <f t="shared" si="6"/>
        <v>16.270295846199822</v>
      </c>
      <c r="G129">
        <f t="shared" ca="1" si="7"/>
        <v>127</v>
      </c>
      <c r="H129">
        <f t="shared" ca="1" si="8"/>
        <v>2066.3275724673772</v>
      </c>
      <c r="I129">
        <f t="shared" ca="1" si="9"/>
        <v>53952.199629899864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10615</v>
      </c>
      <c r="B131" s="66">
        <v>10615</v>
      </c>
      <c r="D131">
        <f t="shared" ref="D131:D194" si="10">IFERROR(100*A131/MAX(A$2:A$257), 0 )</f>
        <v>13.21720290865624</v>
      </c>
      <c r="E131">
        <f t="shared" ref="E131:E194" si="11">IFERROR(100*B131/MAX(B$2:B$257), 0 )</f>
        <v>13.21720290865624</v>
      </c>
      <c r="G131">
        <f t="shared" ref="G131:G194" ca="1" si="12">CELL("row",D131)-2</f>
        <v>129</v>
      </c>
      <c r="H131">
        <f t="shared" ref="H131:H194" ca="1" si="13">D131*G131</f>
        <v>1705.019175216655</v>
      </c>
      <c r="I131">
        <f t="shared" ref="I131:I194" ca="1" si="14">D131*((G131-$L$1)^2)</f>
        <v>46925.464151688902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10262</v>
      </c>
      <c r="B134" s="66">
        <v>10262</v>
      </c>
      <c r="D134">
        <f t="shared" si="10"/>
        <v>12.777667098316565</v>
      </c>
      <c r="E134">
        <f t="shared" si="11"/>
        <v>12.777667098316565</v>
      </c>
      <c r="G134">
        <f t="shared" ca="1" si="12"/>
        <v>132</v>
      </c>
      <c r="H134">
        <f t="shared" ca="1" si="13"/>
        <v>1686.6520569777865</v>
      </c>
      <c r="I134">
        <f t="shared" ca="1" si="14"/>
        <v>50048.083077267183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11003</v>
      </c>
      <c r="B136" s="66">
        <v>11003</v>
      </c>
      <c r="D136">
        <f t="shared" si="10"/>
        <v>13.700318756848292</v>
      </c>
      <c r="E136">
        <f t="shared" si="11"/>
        <v>13.700318756848292</v>
      </c>
      <c r="G136">
        <f t="shared" ca="1" si="12"/>
        <v>134</v>
      </c>
      <c r="H136">
        <f t="shared" ca="1" si="13"/>
        <v>1835.8427134176711</v>
      </c>
      <c r="I136">
        <f t="shared" ca="1" si="14"/>
        <v>57146.48316876655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8408</v>
      </c>
      <c r="B139" s="66">
        <v>8408</v>
      </c>
      <c r="D139">
        <f t="shared" si="10"/>
        <v>10.469170236079291</v>
      </c>
      <c r="E139">
        <f t="shared" si="11"/>
        <v>10.469170236079291</v>
      </c>
      <c r="G139">
        <f t="shared" ca="1" si="12"/>
        <v>137</v>
      </c>
      <c r="H139">
        <f t="shared" ca="1" si="13"/>
        <v>1434.2763223428628</v>
      </c>
      <c r="I139">
        <f t="shared" ca="1" si="14"/>
        <v>47819.89372728172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7215</v>
      </c>
      <c r="B142" s="66">
        <v>7215</v>
      </c>
      <c r="D142">
        <f t="shared" si="10"/>
        <v>8.983713517282597</v>
      </c>
      <c r="E142">
        <f t="shared" si="11"/>
        <v>8.983713517282597</v>
      </c>
      <c r="G142">
        <f t="shared" ca="1" si="12"/>
        <v>140</v>
      </c>
      <c r="H142">
        <f t="shared" ca="1" si="13"/>
        <v>1257.7198924195636</v>
      </c>
      <c r="I142">
        <f t="shared" ca="1" si="14"/>
        <v>44758.613341738957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6450</v>
      </c>
      <c r="B144" s="66">
        <v>6450</v>
      </c>
      <c r="D144">
        <f t="shared" si="10"/>
        <v>8.0311784042235281</v>
      </c>
      <c r="E144">
        <f t="shared" si="11"/>
        <v>8.0311784042235281</v>
      </c>
      <c r="G144">
        <f t="shared" ca="1" si="12"/>
        <v>142</v>
      </c>
      <c r="H144">
        <f t="shared" ca="1" si="13"/>
        <v>1140.427333399741</v>
      </c>
      <c r="I144">
        <f t="shared" ca="1" si="14"/>
        <v>42312.534479326445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5665</v>
      </c>
      <c r="B147" s="66">
        <v>5665</v>
      </c>
      <c r="D147">
        <f t="shared" si="10"/>
        <v>7.0537404123916723</v>
      </c>
      <c r="E147">
        <f t="shared" si="11"/>
        <v>7.0537404123916723</v>
      </c>
      <c r="G147">
        <f t="shared" ca="1" si="12"/>
        <v>145</v>
      </c>
      <c r="H147">
        <f t="shared" ca="1" si="13"/>
        <v>1022.7923597967924</v>
      </c>
      <c r="I147">
        <f t="shared" ca="1" si="14"/>
        <v>40298.313448870234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3739</v>
      </c>
      <c r="B149" s="66">
        <v>3739</v>
      </c>
      <c r="D149">
        <f t="shared" si="10"/>
        <v>4.6555931865723679</v>
      </c>
      <c r="E149">
        <f t="shared" si="11"/>
        <v>4.6555931865723679</v>
      </c>
      <c r="G149">
        <f t="shared" ca="1" si="12"/>
        <v>147</v>
      </c>
      <c r="H149">
        <f t="shared" ca="1" si="13"/>
        <v>684.37219842613808</v>
      </c>
      <c r="I149">
        <f t="shared" ca="1" si="14"/>
        <v>28023.786430653861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3613</v>
      </c>
      <c r="B152" s="66">
        <v>3613</v>
      </c>
      <c r="D152">
        <f t="shared" si="10"/>
        <v>4.4987050503038155</v>
      </c>
      <c r="E152">
        <f t="shared" si="11"/>
        <v>4.4987050503038155</v>
      </c>
      <c r="G152">
        <f t="shared" ca="1" si="12"/>
        <v>150</v>
      </c>
      <c r="H152">
        <f t="shared" ca="1" si="13"/>
        <v>674.80575754557231</v>
      </c>
      <c r="I152">
        <f t="shared" ca="1" si="14"/>
        <v>29214.088576705755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4357</v>
      </c>
      <c r="B154" s="66">
        <v>4357</v>
      </c>
      <c r="D154">
        <f t="shared" si="10"/>
        <v>5.4250921406514596</v>
      </c>
      <c r="E154">
        <f t="shared" si="11"/>
        <v>5.4250921406514596</v>
      </c>
      <c r="G154">
        <f t="shared" ca="1" si="12"/>
        <v>152</v>
      </c>
      <c r="H154">
        <f t="shared" ca="1" si="13"/>
        <v>824.61400537902182</v>
      </c>
      <c r="I154">
        <f t="shared" ca="1" si="14"/>
        <v>37000.360287021016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5397</v>
      </c>
      <c r="B157" s="66">
        <v>5397</v>
      </c>
      <c r="D157">
        <f t="shared" si="10"/>
        <v>6.7200418368363382</v>
      </c>
      <c r="E157">
        <f t="shared" si="11"/>
        <v>6.7200418368363382</v>
      </c>
      <c r="G157">
        <f t="shared" ca="1" si="12"/>
        <v>155</v>
      </c>
      <c r="H157">
        <f t="shared" ca="1" si="13"/>
        <v>1041.6064847096325</v>
      </c>
      <c r="I157">
        <f t="shared" ca="1" si="14"/>
        <v>49222.526105650599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8207</v>
      </c>
      <c r="B160" s="66">
        <v>8207</v>
      </c>
      <c r="D160">
        <f t="shared" si="10"/>
        <v>10.218896304412791</v>
      </c>
      <c r="E160">
        <f t="shared" si="11"/>
        <v>10.218896304412791</v>
      </c>
      <c r="G160">
        <f t="shared" ca="1" si="12"/>
        <v>158</v>
      </c>
      <c r="H160">
        <f t="shared" ca="1" si="13"/>
        <v>1614.585616097221</v>
      </c>
      <c r="I160">
        <f t="shared" ca="1" si="14"/>
        <v>80190.163159223084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7334</v>
      </c>
      <c r="B162" s="66">
        <v>7334</v>
      </c>
      <c r="D162">
        <f t="shared" si="10"/>
        <v>9.1318856459806756</v>
      </c>
      <c r="E162">
        <f t="shared" si="11"/>
        <v>9.1318856459806756</v>
      </c>
      <c r="G162">
        <f t="shared" ca="1" si="12"/>
        <v>160</v>
      </c>
      <c r="H162">
        <f t="shared" ca="1" si="13"/>
        <v>1461.101703356908</v>
      </c>
      <c r="I162">
        <f t="shared" ca="1" si="14"/>
        <v>74932.434013253791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5283</v>
      </c>
      <c r="B165" s="66">
        <v>5283</v>
      </c>
      <c r="D165">
        <f t="shared" si="10"/>
        <v>6.5780954278314576</v>
      </c>
      <c r="E165">
        <f t="shared" si="11"/>
        <v>6.5780954278314576</v>
      </c>
      <c r="G165">
        <f t="shared" ca="1" si="12"/>
        <v>163</v>
      </c>
      <c r="H165">
        <f t="shared" ca="1" si="13"/>
        <v>1072.2295547365277</v>
      </c>
      <c r="I165">
        <f t="shared" ca="1" si="14"/>
        <v>57611.549983683188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4213</v>
      </c>
      <c r="B167" s="66">
        <v>4213</v>
      </c>
      <c r="D167">
        <f t="shared" si="10"/>
        <v>5.2457914134873995</v>
      </c>
      <c r="E167">
        <f t="shared" si="11"/>
        <v>5.2457914134873995</v>
      </c>
      <c r="G167">
        <f t="shared" ca="1" si="12"/>
        <v>165</v>
      </c>
      <c r="H167">
        <f t="shared" ca="1" si="13"/>
        <v>865.55558322542095</v>
      </c>
      <c r="I167">
        <f t="shared" ca="1" si="14"/>
        <v>47927.797600404905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2114</v>
      </c>
      <c r="B170" s="66">
        <v>2114</v>
      </c>
      <c r="D170">
        <f t="shared" si="10"/>
        <v>2.6322342862834942</v>
      </c>
      <c r="E170">
        <f t="shared" si="11"/>
        <v>2.6322342862834942</v>
      </c>
      <c r="G170">
        <f t="shared" ca="1" si="12"/>
        <v>168</v>
      </c>
      <c r="H170">
        <f t="shared" ca="1" si="13"/>
        <v>442.21536009562703</v>
      </c>
      <c r="I170">
        <f t="shared" ca="1" si="14"/>
        <v>25582.517583870609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1202</v>
      </c>
      <c r="B173" s="66">
        <v>1202</v>
      </c>
      <c r="D173">
        <f t="shared" si="10"/>
        <v>1.4966630142444466</v>
      </c>
      <c r="E173">
        <f t="shared" si="11"/>
        <v>1.4966630142444466</v>
      </c>
      <c r="G173">
        <f t="shared" ca="1" si="12"/>
        <v>171</v>
      </c>
      <c r="H173">
        <f t="shared" ca="1" si="13"/>
        <v>255.92937543580035</v>
      </c>
      <c r="I173">
        <f t="shared" ca="1" si="14"/>
        <v>15444.730736231255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708</v>
      </c>
      <c r="B175" s="66">
        <v>708</v>
      </c>
      <c r="D175">
        <f t="shared" si="10"/>
        <v>0.88156190855662919</v>
      </c>
      <c r="E175">
        <f t="shared" si="11"/>
        <v>0.88156190855662919</v>
      </c>
      <c r="G175">
        <f t="shared" ca="1" si="12"/>
        <v>173</v>
      </c>
      <c r="H175">
        <f t="shared" ca="1" si="13"/>
        <v>152.51021018029684</v>
      </c>
      <c r="I175">
        <f t="shared" ca="1" si="14"/>
        <v>9458.9680219871116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386</v>
      </c>
      <c r="B178" s="66">
        <v>386</v>
      </c>
      <c r="D178">
        <f t="shared" si="10"/>
        <v>0.48062556031477238</v>
      </c>
      <c r="E178">
        <f t="shared" si="11"/>
        <v>0.48062556031477238</v>
      </c>
      <c r="G178">
        <f t="shared" ca="1" si="12"/>
        <v>176</v>
      </c>
      <c r="H178">
        <f t="shared" ca="1" si="13"/>
        <v>84.590098615399938</v>
      </c>
      <c r="I178">
        <f t="shared" ca="1" si="14"/>
        <v>5460.0462484915806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0.21335899999999999</v>
      </c>
      <c r="B2" s="68">
        <v>0.57410399999999995</v>
      </c>
      <c r="C2" s="68">
        <v>0</v>
      </c>
      <c r="D2" s="68">
        <v>1</v>
      </c>
      <c r="E2" s="68" t="s">
        <v>408</v>
      </c>
    </row>
    <row r="3" spans="1:5">
      <c r="A3" s="68">
        <v>0.22002099999999999</v>
      </c>
      <c r="B3" s="68">
        <v>0.56966300000000003</v>
      </c>
      <c r="C3" s="68">
        <v>0.399501</v>
      </c>
      <c r="D3" s="89">
        <v>1</v>
      </c>
      <c r="E3" s="68" t="s">
        <v>409</v>
      </c>
    </row>
    <row r="4" spans="1:5">
      <c r="A4" s="68">
        <v>0.22634000000000001</v>
      </c>
      <c r="B4" s="68">
        <v>0.56535599999999997</v>
      </c>
      <c r="C4" s="68">
        <v>0.81328299999999998</v>
      </c>
      <c r="D4" s="89">
        <v>1</v>
      </c>
      <c r="E4" s="68" t="s">
        <v>410</v>
      </c>
    </row>
    <row r="5" spans="1:5">
      <c r="A5" s="89">
        <v>0.23230999999999999</v>
      </c>
      <c r="B5" s="89">
        <v>0.56100499999999998</v>
      </c>
      <c r="C5" s="89">
        <v>1.2192499999999999</v>
      </c>
      <c r="D5" s="89">
        <v>1</v>
      </c>
      <c r="E5" s="68" t="s">
        <v>411</v>
      </c>
    </row>
    <row r="6" spans="1:5">
      <c r="A6" s="68">
        <v>0.23791399999999999</v>
      </c>
      <c r="B6" s="68">
        <v>0.55655399999999999</v>
      </c>
      <c r="C6" s="68">
        <v>1.6231500000000001</v>
      </c>
      <c r="D6" s="68">
        <v>1</v>
      </c>
      <c r="E6" s="68" t="s">
        <v>412</v>
      </c>
    </row>
    <row r="7" spans="1:5">
      <c r="A7" s="68">
        <v>0.24330399999999999</v>
      </c>
      <c r="B7" s="68">
        <v>0.55116699999999996</v>
      </c>
      <c r="C7" s="68">
        <v>2.0301999999999998</v>
      </c>
      <c r="D7" s="68">
        <v>1</v>
      </c>
      <c r="E7" s="68" t="s">
        <v>413</v>
      </c>
    </row>
    <row r="8" spans="1:5">
      <c r="A8" s="68">
        <v>0.248447</v>
      </c>
      <c r="B8" s="68">
        <v>0.54555699999999996</v>
      </c>
      <c r="C8" s="68">
        <v>2.4350399999999999</v>
      </c>
      <c r="D8" s="68">
        <v>1</v>
      </c>
      <c r="E8" s="68" t="s">
        <v>414</v>
      </c>
    </row>
    <row r="9" spans="1:5">
      <c r="A9" s="68">
        <v>0.25342100000000001</v>
      </c>
      <c r="B9" s="68">
        <v>0.53899600000000003</v>
      </c>
      <c r="C9" s="68">
        <v>2.8439800000000002</v>
      </c>
      <c r="D9" s="68">
        <v>1</v>
      </c>
      <c r="E9" s="68" t="s">
        <v>415</v>
      </c>
    </row>
    <row r="10" spans="1:5">
      <c r="A10" s="68">
        <v>0.25816800000000001</v>
      </c>
      <c r="B10" s="68">
        <v>0.533273</v>
      </c>
      <c r="C10" s="68">
        <v>3.2497199999999999</v>
      </c>
      <c r="D10" s="68">
        <v>1</v>
      </c>
      <c r="E10" s="68" t="s">
        <v>416</v>
      </c>
    </row>
    <row r="11" spans="1:5">
      <c r="A11" s="68">
        <v>0.26266099999999998</v>
      </c>
      <c r="B11" s="68">
        <v>0.52822899999999995</v>
      </c>
      <c r="C11" s="68">
        <v>3.6508799999999999</v>
      </c>
      <c r="D11" s="68">
        <v>1</v>
      </c>
      <c r="E11" s="68" t="s">
        <v>417</v>
      </c>
    </row>
    <row r="12" spans="1:5">
      <c r="A12" s="68">
        <v>0.26699800000000001</v>
      </c>
      <c r="B12" s="68">
        <v>0.52376500000000004</v>
      </c>
      <c r="C12" s="68">
        <v>4.0616199999999996</v>
      </c>
      <c r="D12" s="68">
        <v>1</v>
      </c>
      <c r="E12" s="68" t="s">
        <v>418</v>
      </c>
    </row>
    <row r="13" spans="1:5">
      <c r="A13" s="68">
        <v>0.27117200000000002</v>
      </c>
      <c r="B13" s="68">
        <v>0.51975000000000005</v>
      </c>
      <c r="C13" s="68">
        <v>4.4685699999999997</v>
      </c>
      <c r="D13" s="68">
        <v>1</v>
      </c>
      <c r="E13" s="68" t="s">
        <v>419</v>
      </c>
    </row>
    <row r="14" spans="1:5">
      <c r="A14" s="68">
        <v>0.27518700000000001</v>
      </c>
      <c r="B14" s="68">
        <v>0.51613799999999999</v>
      </c>
      <c r="C14" s="68">
        <v>4.8704200000000002</v>
      </c>
      <c r="D14" s="68">
        <v>1</v>
      </c>
      <c r="E14" s="68" t="s">
        <v>420</v>
      </c>
    </row>
    <row r="15" spans="1:5">
      <c r="A15" s="68">
        <v>0.27904899999999999</v>
      </c>
      <c r="B15" s="68">
        <v>0.51198600000000005</v>
      </c>
      <c r="C15" s="68">
        <v>5.2824099999999996</v>
      </c>
      <c r="D15" s="68">
        <v>1</v>
      </c>
      <c r="E15" s="68" t="s">
        <v>421</v>
      </c>
    </row>
    <row r="16" spans="1:5">
      <c r="A16" s="68">
        <v>0.2828</v>
      </c>
      <c r="B16" s="68">
        <v>0.50716000000000006</v>
      </c>
      <c r="C16" s="68">
        <v>5.6823600000000001</v>
      </c>
      <c r="D16" s="68">
        <v>1</v>
      </c>
      <c r="E16" s="68" t="s">
        <v>422</v>
      </c>
    </row>
    <row r="17" spans="1:5">
      <c r="A17" s="68">
        <v>0.28634999999999999</v>
      </c>
      <c r="B17" s="68">
        <v>0.50219599999999998</v>
      </c>
      <c r="C17" s="68">
        <v>6.0931800000000003</v>
      </c>
      <c r="D17" s="68">
        <v>1</v>
      </c>
      <c r="E17" s="68" t="s">
        <v>423</v>
      </c>
    </row>
    <row r="18" spans="1:5">
      <c r="A18" s="68">
        <v>0.28931400000000002</v>
      </c>
      <c r="B18" s="68">
        <v>0.49710300000000002</v>
      </c>
      <c r="C18" s="68">
        <v>6.5020499999999997</v>
      </c>
      <c r="D18" s="68">
        <v>1</v>
      </c>
      <c r="E18" s="68" t="s">
        <v>424</v>
      </c>
    </row>
    <row r="19" spans="1:5">
      <c r="A19" s="68">
        <v>0.29124800000000001</v>
      </c>
      <c r="B19" s="68">
        <v>0.49191600000000002</v>
      </c>
      <c r="C19" s="68">
        <v>6.9049800000000001</v>
      </c>
      <c r="D19" s="68">
        <v>1</v>
      </c>
      <c r="E19" s="68" t="s">
        <v>425</v>
      </c>
    </row>
    <row r="20" spans="1:5">
      <c r="A20" s="68">
        <v>0.292661</v>
      </c>
      <c r="B20" s="68">
        <v>0.48732399999999998</v>
      </c>
      <c r="C20" s="68">
        <v>7.3134199999999998</v>
      </c>
      <c r="D20" s="68">
        <v>1</v>
      </c>
      <c r="E20" s="68" t="s">
        <v>426</v>
      </c>
    </row>
    <row r="21" spans="1:5">
      <c r="A21" s="68">
        <v>0.29403299999999999</v>
      </c>
      <c r="B21" s="68">
        <v>0.48314099999999999</v>
      </c>
      <c r="C21" s="68">
        <v>7.7168999999999999</v>
      </c>
      <c r="D21" s="68">
        <v>1</v>
      </c>
      <c r="E21" s="68" t="s">
        <v>427</v>
      </c>
    </row>
    <row r="22" spans="1:5">
      <c r="A22" s="68">
        <v>0.295074</v>
      </c>
      <c r="B22" s="68">
        <v>0.47960900000000001</v>
      </c>
      <c r="C22" s="68">
        <v>8.1257699999999993</v>
      </c>
      <c r="D22" s="68">
        <v>1</v>
      </c>
      <c r="E22" s="68" t="s">
        <v>428</v>
      </c>
    </row>
    <row r="23" spans="1:5">
      <c r="A23" s="68">
        <v>0.29597200000000001</v>
      </c>
      <c r="B23" s="68">
        <v>0.47613299999999997</v>
      </c>
      <c r="C23" s="68">
        <v>8.5296000000000003</v>
      </c>
      <c r="D23" s="68">
        <v>1</v>
      </c>
      <c r="E23" s="68" t="s">
        <v>429</v>
      </c>
    </row>
    <row r="24" spans="1:5">
      <c r="A24" s="68">
        <v>0.29681999999999997</v>
      </c>
      <c r="B24" s="68">
        <v>0.47249000000000002</v>
      </c>
      <c r="C24" s="68">
        <v>8.9375300000000006</v>
      </c>
      <c r="D24" s="68">
        <v>1</v>
      </c>
      <c r="E24" s="68" t="s">
        <v>430</v>
      </c>
    </row>
    <row r="25" spans="1:5">
      <c r="A25" s="68">
        <v>0.297541</v>
      </c>
      <c r="B25" s="68">
        <v>0.46851100000000001</v>
      </c>
      <c r="C25" s="68">
        <v>9.3404299999999996</v>
      </c>
      <c r="D25" s="68">
        <v>1</v>
      </c>
      <c r="E25" s="68" t="s">
        <v>431</v>
      </c>
    </row>
    <row r="26" spans="1:5">
      <c r="A26" s="68">
        <v>0.29805700000000002</v>
      </c>
      <c r="B26" s="68">
        <v>0.46432099999999998</v>
      </c>
      <c r="C26" s="68">
        <v>9.7495499999999993</v>
      </c>
      <c r="D26" s="68">
        <v>1</v>
      </c>
      <c r="E26" s="68" t="s">
        <v>432</v>
      </c>
    </row>
    <row r="27" spans="1:5">
      <c r="A27" s="68">
        <v>0.29848599999999997</v>
      </c>
      <c r="B27" s="68">
        <v>0.46042699999999998</v>
      </c>
      <c r="C27" s="68">
        <v>10.1553</v>
      </c>
      <c r="D27" s="68">
        <v>1</v>
      </c>
      <c r="E27" s="68" t="s">
        <v>433</v>
      </c>
    </row>
    <row r="28" spans="1:5">
      <c r="A28" s="68">
        <v>0.298628</v>
      </c>
      <c r="B28" s="68">
        <v>0.45683000000000001</v>
      </c>
      <c r="C28" s="68">
        <v>10.564299999999999</v>
      </c>
      <c r="D28" s="68">
        <v>1</v>
      </c>
      <c r="E28" s="68" t="s">
        <v>434</v>
      </c>
    </row>
    <row r="29" spans="1:5">
      <c r="A29" s="68">
        <v>0.29847000000000001</v>
      </c>
      <c r="B29" s="68">
        <v>0.45383299999999999</v>
      </c>
      <c r="C29" s="68">
        <v>10.963800000000001</v>
      </c>
      <c r="D29" s="68">
        <v>1</v>
      </c>
      <c r="E29" s="68" t="s">
        <v>435</v>
      </c>
    </row>
    <row r="30" spans="1:5">
      <c r="A30" s="68">
        <v>0.29787000000000002</v>
      </c>
      <c r="B30" s="68">
        <v>0.45118900000000001</v>
      </c>
      <c r="C30" s="68">
        <v>11.372</v>
      </c>
      <c r="D30" s="68">
        <v>1</v>
      </c>
      <c r="E30" s="68" t="s">
        <v>436</v>
      </c>
    </row>
    <row r="31" spans="1:5">
      <c r="A31" s="68">
        <v>0.29711100000000001</v>
      </c>
      <c r="B31" s="68">
        <v>0.44828099999999999</v>
      </c>
      <c r="C31" s="68">
        <v>11.781000000000001</v>
      </c>
      <c r="D31" s="68">
        <v>1</v>
      </c>
      <c r="E31" s="68" t="s">
        <v>437</v>
      </c>
    </row>
    <row r="32" spans="1:5">
      <c r="A32" s="68">
        <v>0.296041</v>
      </c>
      <c r="B32" s="68">
        <v>0.44565900000000003</v>
      </c>
      <c r="C32" s="68">
        <v>12.1839</v>
      </c>
      <c r="D32" s="68">
        <v>1</v>
      </c>
      <c r="E32" s="68" t="s">
        <v>438</v>
      </c>
    </row>
    <row r="33" spans="1:5">
      <c r="A33" s="68">
        <v>0.29470299999999999</v>
      </c>
      <c r="B33" s="68">
        <v>0.44301200000000002</v>
      </c>
      <c r="C33" s="68">
        <v>12.591799999999999</v>
      </c>
      <c r="D33" s="68">
        <v>1</v>
      </c>
      <c r="E33" s="68" t="s">
        <v>439</v>
      </c>
    </row>
    <row r="34" spans="1:5">
      <c r="A34" s="68">
        <v>0.29322100000000001</v>
      </c>
      <c r="B34" s="68">
        <v>0.44128800000000001</v>
      </c>
      <c r="C34" s="68">
        <v>13.0037</v>
      </c>
      <c r="D34" s="68">
        <v>1</v>
      </c>
      <c r="E34" s="68" t="s">
        <v>440</v>
      </c>
    </row>
    <row r="35" spans="1:5">
      <c r="A35" s="68">
        <v>0.29162900000000003</v>
      </c>
      <c r="B35" s="68">
        <v>0.43993500000000002</v>
      </c>
      <c r="C35" s="68">
        <v>13.403600000000001</v>
      </c>
      <c r="D35" s="68">
        <v>1</v>
      </c>
      <c r="E35" s="68" t="s">
        <v>441</v>
      </c>
    </row>
    <row r="36" spans="1:5">
      <c r="A36" s="68">
        <v>0.28992200000000001</v>
      </c>
      <c r="B36" s="68">
        <v>0.43881199999999998</v>
      </c>
      <c r="C36" s="68">
        <v>13.8096</v>
      </c>
      <c r="D36" s="68">
        <v>1</v>
      </c>
      <c r="E36" s="68" t="s">
        <v>442</v>
      </c>
    </row>
    <row r="37" spans="1:5">
      <c r="A37" s="68">
        <v>0.28805900000000001</v>
      </c>
      <c r="B37" s="68">
        <v>0.43818000000000001</v>
      </c>
      <c r="C37" s="68">
        <v>14.2204</v>
      </c>
      <c r="D37" s="68">
        <v>1</v>
      </c>
      <c r="E37" s="68" t="s">
        <v>443</v>
      </c>
    </row>
    <row r="38" spans="1:5">
      <c r="A38" s="68">
        <v>0.286078</v>
      </c>
      <c r="B38" s="68">
        <v>0.43778899999999998</v>
      </c>
      <c r="C38" s="68">
        <v>14.6273</v>
      </c>
      <c r="D38" s="68">
        <v>1</v>
      </c>
      <c r="E38" s="68" t="s">
        <v>444</v>
      </c>
    </row>
    <row r="39" spans="1:5">
      <c r="A39" s="68">
        <v>0.28399999999999997</v>
      </c>
      <c r="B39" s="68">
        <v>0.437884</v>
      </c>
      <c r="C39" s="68">
        <v>15.03</v>
      </c>
      <c r="D39" s="68">
        <v>1</v>
      </c>
      <c r="E39" s="68" t="s">
        <v>445</v>
      </c>
    </row>
    <row r="40" spans="1:5">
      <c r="A40" s="68">
        <v>0.28156999999999999</v>
      </c>
      <c r="B40" s="68">
        <v>0.43877699999999997</v>
      </c>
      <c r="C40" s="68">
        <v>15.432399999999999</v>
      </c>
      <c r="D40" s="68">
        <v>1</v>
      </c>
      <c r="E40" s="68" t="s">
        <v>446</v>
      </c>
    </row>
    <row r="41" spans="1:5">
      <c r="A41" s="68">
        <v>0.27877299999999999</v>
      </c>
      <c r="B41" s="68">
        <v>0.44034299999999998</v>
      </c>
      <c r="C41" s="68">
        <v>15.8414</v>
      </c>
      <c r="D41" s="68">
        <v>1</v>
      </c>
      <c r="E41" s="68" t="s">
        <v>447</v>
      </c>
    </row>
    <row r="42" spans="1:5">
      <c r="A42" s="68">
        <v>0.275727</v>
      </c>
      <c r="B42" s="68">
        <v>0.44269399999999998</v>
      </c>
      <c r="C42" s="68">
        <v>16.248999999999999</v>
      </c>
      <c r="D42" s="68">
        <v>1</v>
      </c>
      <c r="E42" s="68" t="s">
        <v>448</v>
      </c>
    </row>
    <row r="43" spans="1:5">
      <c r="A43" s="68">
        <v>0.27269500000000002</v>
      </c>
      <c r="B43" s="68">
        <v>0.44520199999999999</v>
      </c>
      <c r="C43" s="68">
        <v>16.657900000000001</v>
      </c>
      <c r="D43" s="68">
        <v>1</v>
      </c>
      <c r="E43" s="68" t="s">
        <v>449</v>
      </c>
    </row>
    <row r="44" spans="1:5">
      <c r="A44" s="68">
        <v>0.26977699999999999</v>
      </c>
      <c r="B44" s="68">
        <v>0.446608</v>
      </c>
      <c r="C44" s="68">
        <v>17.062799999999999</v>
      </c>
      <c r="D44" s="68">
        <v>1</v>
      </c>
      <c r="E44" s="68" t="s">
        <v>450</v>
      </c>
    </row>
    <row r="45" spans="1:5">
      <c r="A45" s="68">
        <v>0.26698499999999997</v>
      </c>
      <c r="B45" s="68">
        <v>0.44771300000000003</v>
      </c>
      <c r="C45" s="68">
        <v>17.466999999999999</v>
      </c>
      <c r="D45" s="68">
        <v>1</v>
      </c>
      <c r="E45" s="68" t="s">
        <v>451</v>
      </c>
    </row>
    <row r="46" spans="1:5">
      <c r="A46" s="68">
        <v>0.26415499999999997</v>
      </c>
      <c r="B46" s="68">
        <v>0.448467</v>
      </c>
      <c r="C46" s="68">
        <v>17.8749</v>
      </c>
      <c r="D46" s="68">
        <v>1</v>
      </c>
      <c r="E46" s="68" t="s">
        <v>452</v>
      </c>
    </row>
    <row r="47" spans="1:5">
      <c r="A47" s="68">
        <v>0.26155299999999998</v>
      </c>
      <c r="B47" s="68">
        <v>0.44904100000000002</v>
      </c>
      <c r="C47" s="68">
        <v>18.281600000000001</v>
      </c>
      <c r="D47" s="68">
        <v>1</v>
      </c>
      <c r="E47" s="68" t="s">
        <v>453</v>
      </c>
    </row>
    <row r="48" spans="1:5">
      <c r="A48" s="68">
        <v>0.259015</v>
      </c>
      <c r="B48" s="68">
        <v>0.44993100000000003</v>
      </c>
      <c r="C48" s="68">
        <v>18.682700000000001</v>
      </c>
      <c r="D48" s="68">
        <v>1</v>
      </c>
      <c r="E48" s="68" t="s">
        <v>454</v>
      </c>
    </row>
    <row r="49" spans="1:5">
      <c r="A49" s="68">
        <v>0.256496</v>
      </c>
      <c r="B49" s="68">
        <v>0.45174700000000001</v>
      </c>
      <c r="C49" s="68">
        <v>19.093299999999999</v>
      </c>
      <c r="D49" s="68">
        <v>1</v>
      </c>
      <c r="E49" s="68" t="s">
        <v>455</v>
      </c>
    </row>
    <row r="50" spans="1:5">
      <c r="A50" s="68">
        <v>0.25395200000000001</v>
      </c>
      <c r="B50" s="68">
        <v>0.454569</v>
      </c>
      <c r="C50" s="68">
        <v>19.499400000000001</v>
      </c>
      <c r="D50" s="68">
        <v>1</v>
      </c>
      <c r="E50" s="68" t="s">
        <v>456</v>
      </c>
    </row>
    <row r="51" spans="1:5">
      <c r="A51" s="68">
        <v>0.25140000000000001</v>
      </c>
      <c r="B51" s="68">
        <v>0.45840199999999998</v>
      </c>
      <c r="C51" s="68">
        <v>19.901199999999999</v>
      </c>
      <c r="D51" s="68">
        <v>1</v>
      </c>
      <c r="E51" s="68" t="s">
        <v>457</v>
      </c>
    </row>
    <row r="52" spans="1:5">
      <c r="A52" s="68">
        <v>0.249107</v>
      </c>
      <c r="B52" s="68">
        <v>0.46250999999999998</v>
      </c>
      <c r="C52" s="68">
        <v>20.3111</v>
      </c>
      <c r="D52" s="68">
        <v>1</v>
      </c>
      <c r="E52" s="68" t="s">
        <v>458</v>
      </c>
    </row>
    <row r="53" spans="1:5">
      <c r="A53" s="68">
        <v>0.24690300000000001</v>
      </c>
      <c r="B53" s="68">
        <v>0.467476</v>
      </c>
      <c r="C53" s="68">
        <v>20.719100000000001</v>
      </c>
      <c r="D53" s="68">
        <v>1</v>
      </c>
      <c r="E53" s="68" t="s">
        <v>459</v>
      </c>
    </row>
    <row r="54" spans="1:5">
      <c r="A54" s="68">
        <v>0.24510799999999999</v>
      </c>
      <c r="B54" s="68">
        <v>0.47166400000000003</v>
      </c>
      <c r="C54" s="68">
        <v>21.123000000000001</v>
      </c>
      <c r="D54" s="68">
        <v>1</v>
      </c>
      <c r="E54" s="68" t="s">
        <v>460</v>
      </c>
    </row>
    <row r="55" spans="1:5">
      <c r="A55" s="68">
        <v>0.244149</v>
      </c>
      <c r="B55" s="68">
        <v>0.47434100000000001</v>
      </c>
      <c r="C55" s="68">
        <v>21.530899999999999</v>
      </c>
      <c r="D55" s="68">
        <v>1</v>
      </c>
      <c r="E55" s="68" t="s">
        <v>461</v>
      </c>
    </row>
    <row r="56" spans="1:5">
      <c r="A56" s="68">
        <v>0.24346899999999999</v>
      </c>
      <c r="B56" s="68">
        <v>0.47701700000000002</v>
      </c>
      <c r="C56" s="68">
        <v>21.934100000000001</v>
      </c>
      <c r="D56" s="68">
        <v>1</v>
      </c>
      <c r="E56" s="68" t="s">
        <v>462</v>
      </c>
    </row>
    <row r="57" spans="1:5">
      <c r="A57" s="68">
        <v>0.243032</v>
      </c>
      <c r="B57" s="68">
        <v>0.47953899999999999</v>
      </c>
      <c r="C57" s="68">
        <v>22.337900000000001</v>
      </c>
      <c r="D57" s="68">
        <v>1</v>
      </c>
      <c r="E57" s="68" t="s">
        <v>463</v>
      </c>
    </row>
    <row r="58" spans="1:5">
      <c r="A58" s="68">
        <v>0.24315899999999999</v>
      </c>
      <c r="B58" s="68">
        <v>0.48219899999999999</v>
      </c>
      <c r="C58" s="68">
        <v>22.750800000000002</v>
      </c>
      <c r="D58" s="68">
        <v>1</v>
      </c>
      <c r="E58" s="68" t="s">
        <v>464</v>
      </c>
    </row>
    <row r="59" spans="1:5">
      <c r="A59" s="68">
        <v>0.242754</v>
      </c>
      <c r="B59" s="68">
        <v>0.48367199999999999</v>
      </c>
      <c r="C59" s="68">
        <v>23.155100000000001</v>
      </c>
      <c r="D59" s="68">
        <v>1</v>
      </c>
      <c r="E59" s="68" t="s">
        <v>465</v>
      </c>
    </row>
    <row r="60" spans="1:5">
      <c r="A60" s="68">
        <v>0.242954</v>
      </c>
      <c r="B60" s="68">
        <v>0.48468499999999998</v>
      </c>
      <c r="C60" s="68">
        <v>23.5594</v>
      </c>
      <c r="D60" s="68">
        <v>1</v>
      </c>
      <c r="E60" s="68" t="s">
        <v>466</v>
      </c>
    </row>
    <row r="61" spans="1:5">
      <c r="A61" s="68">
        <v>0.24335899999999999</v>
      </c>
      <c r="B61" s="68">
        <v>0.48544100000000001</v>
      </c>
      <c r="C61" s="68">
        <v>23.963100000000001</v>
      </c>
      <c r="D61" s="68">
        <v>1</v>
      </c>
      <c r="E61" s="68" t="s">
        <v>467</v>
      </c>
    </row>
    <row r="62" spans="1:5">
      <c r="A62" s="68">
        <v>0.24413199999999999</v>
      </c>
      <c r="B62" s="68">
        <v>0.48529299999999997</v>
      </c>
      <c r="C62" s="68">
        <v>24.369900000000001</v>
      </c>
      <c r="D62" s="68">
        <v>1</v>
      </c>
      <c r="E62" s="68" t="s">
        <v>468</v>
      </c>
    </row>
    <row r="63" spans="1:5">
      <c r="A63" s="68">
        <v>0.24568999999999999</v>
      </c>
      <c r="B63" s="68">
        <v>0.48485699999999998</v>
      </c>
      <c r="C63" s="68">
        <v>24.782399999999999</v>
      </c>
      <c r="D63" s="68">
        <v>1</v>
      </c>
      <c r="E63" s="68" t="s">
        <v>469</v>
      </c>
    </row>
    <row r="64" spans="1:5">
      <c r="A64" s="68">
        <v>0.24602499999999999</v>
      </c>
      <c r="B64" s="68">
        <v>0.48486899999999999</v>
      </c>
      <c r="C64" s="68">
        <v>25.1861</v>
      </c>
      <c r="D64" s="68">
        <v>1</v>
      </c>
      <c r="E64" s="68" t="s">
        <v>470</v>
      </c>
    </row>
    <row r="65" spans="1:5">
      <c r="A65" s="68">
        <v>0.24732199999999999</v>
      </c>
      <c r="B65" s="68">
        <v>0.483321</v>
      </c>
      <c r="C65" s="68">
        <v>25.589099999999998</v>
      </c>
      <c r="D65" s="68">
        <v>1</v>
      </c>
      <c r="E65" s="68" t="s">
        <v>471</v>
      </c>
    </row>
    <row r="66" spans="1:5">
      <c r="A66" s="68">
        <v>0.24876599999999999</v>
      </c>
      <c r="B66" s="68">
        <v>0.48146699999999998</v>
      </c>
      <c r="C66" s="68">
        <v>25.995899999999999</v>
      </c>
      <c r="D66" s="68">
        <v>1</v>
      </c>
      <c r="E66" s="68" t="s">
        <v>472</v>
      </c>
    </row>
    <row r="67" spans="1:5">
      <c r="A67" s="68">
        <v>0.25092199999999998</v>
      </c>
      <c r="B67" s="68">
        <v>0.47841400000000001</v>
      </c>
      <c r="C67" s="68">
        <v>26.4069</v>
      </c>
      <c r="D67" s="68">
        <v>1</v>
      </c>
      <c r="E67" s="68" t="s">
        <v>473</v>
      </c>
    </row>
    <row r="68" spans="1:5">
      <c r="A68" s="68">
        <v>0.25214199999999998</v>
      </c>
      <c r="B68" s="68">
        <v>0.476852</v>
      </c>
      <c r="C68" s="68">
        <v>26.808499999999999</v>
      </c>
      <c r="D68" s="68">
        <v>1</v>
      </c>
      <c r="E68" s="68" t="s">
        <v>474</v>
      </c>
    </row>
    <row r="69" spans="1:5">
      <c r="A69" s="68">
        <v>0.25476900000000002</v>
      </c>
      <c r="B69" s="68">
        <v>0.47422999999999998</v>
      </c>
      <c r="C69" s="68">
        <v>27.216999999999999</v>
      </c>
      <c r="D69" s="68">
        <v>1</v>
      </c>
      <c r="E69" s="68" t="s">
        <v>475</v>
      </c>
    </row>
    <row r="70" spans="1:5">
      <c r="A70" s="68">
        <v>0.25695099999999998</v>
      </c>
      <c r="B70" s="68">
        <v>0.47274300000000002</v>
      </c>
      <c r="C70" s="68">
        <v>27.619599999999998</v>
      </c>
      <c r="D70" s="68">
        <v>1</v>
      </c>
      <c r="E70" s="68" t="s">
        <v>476</v>
      </c>
    </row>
    <row r="71" spans="1:5">
      <c r="A71" s="68">
        <v>0.25920399999999999</v>
      </c>
      <c r="B71" s="68">
        <v>0.47178599999999998</v>
      </c>
      <c r="C71" s="68">
        <v>28.029499999999999</v>
      </c>
      <c r="D71" s="68">
        <v>1</v>
      </c>
      <c r="E71" s="68" t="s">
        <v>477</v>
      </c>
    </row>
    <row r="72" spans="1:5">
      <c r="A72" s="68">
        <v>0.26151099999999999</v>
      </c>
      <c r="B72" s="68">
        <v>0.47018399999999999</v>
      </c>
      <c r="C72" s="68">
        <v>28.435500000000001</v>
      </c>
      <c r="D72" s="68">
        <v>1</v>
      </c>
      <c r="E72" s="68" t="s">
        <v>478</v>
      </c>
    </row>
    <row r="73" spans="1:5">
      <c r="A73" s="68">
        <v>0.26380100000000001</v>
      </c>
      <c r="B73" s="68">
        <v>0.46827999999999997</v>
      </c>
      <c r="C73" s="68">
        <v>28.8446</v>
      </c>
      <c r="D73" s="68">
        <v>1</v>
      </c>
      <c r="E73" s="68" t="s">
        <v>479</v>
      </c>
    </row>
    <row r="74" spans="1:5">
      <c r="A74" s="68">
        <v>0.26557599999999998</v>
      </c>
      <c r="B74" s="68">
        <v>0.46770099999999998</v>
      </c>
      <c r="C74" s="68">
        <v>29.251200000000001</v>
      </c>
      <c r="D74" s="68">
        <v>1</v>
      </c>
      <c r="E74" s="68" t="s">
        <v>480</v>
      </c>
    </row>
    <row r="75" spans="1:5">
      <c r="A75" s="68">
        <v>0.26834200000000002</v>
      </c>
      <c r="B75" s="68">
        <v>0.463063</v>
      </c>
      <c r="C75" s="68">
        <v>29.659300000000002</v>
      </c>
      <c r="D75" s="68">
        <v>1</v>
      </c>
      <c r="E75" s="68" t="s">
        <v>481</v>
      </c>
    </row>
    <row r="76" spans="1:5">
      <c r="A76" s="68">
        <v>0.27056799999999998</v>
      </c>
      <c r="B76" s="68">
        <v>0.45987499999999998</v>
      </c>
      <c r="C76" s="68">
        <v>30.251899999999999</v>
      </c>
      <c r="D76" s="68">
        <v>2</v>
      </c>
      <c r="E76" s="68" t="s">
        <v>482</v>
      </c>
    </row>
    <row r="77" spans="1:5">
      <c r="A77" s="68">
        <v>0.27263999999999999</v>
      </c>
      <c r="B77" s="68">
        <v>0.45650800000000002</v>
      </c>
      <c r="C77" s="68">
        <v>30.627500000000001</v>
      </c>
      <c r="D77" s="68">
        <v>2</v>
      </c>
      <c r="E77" s="68" t="s">
        <v>483</v>
      </c>
    </row>
    <row r="78" spans="1:5">
      <c r="A78" s="68">
        <v>0.27465099999999998</v>
      </c>
      <c r="B78" s="68">
        <v>0.45227800000000001</v>
      </c>
      <c r="C78" s="68">
        <v>31.0002</v>
      </c>
      <c r="D78" s="68">
        <v>2</v>
      </c>
      <c r="E78" s="68" t="s">
        <v>484</v>
      </c>
    </row>
    <row r="79" spans="1:5">
      <c r="A79" s="68">
        <v>0.27653</v>
      </c>
      <c r="B79" s="68">
        <v>0.44774199999999997</v>
      </c>
      <c r="C79" s="68">
        <v>31.3749</v>
      </c>
      <c r="D79" s="68">
        <v>2</v>
      </c>
      <c r="E79" s="68" t="s">
        <v>485</v>
      </c>
    </row>
    <row r="80" spans="1:5">
      <c r="A80" s="68">
        <v>0.27837200000000001</v>
      </c>
      <c r="B80" s="68">
        <v>0.44223000000000001</v>
      </c>
      <c r="C80" s="68">
        <v>31.7498</v>
      </c>
      <c r="D80" s="68">
        <v>2</v>
      </c>
      <c r="E80" s="68" t="s">
        <v>486</v>
      </c>
    </row>
    <row r="81" spans="1:5">
      <c r="A81" s="68">
        <v>0.280196</v>
      </c>
      <c r="B81" s="68">
        <v>0.436141</v>
      </c>
      <c r="C81" s="68">
        <v>32.137500000000003</v>
      </c>
      <c r="D81" s="68">
        <v>2</v>
      </c>
      <c r="E81" s="68" t="s">
        <v>487</v>
      </c>
    </row>
    <row r="82" spans="1:5">
      <c r="A82" s="68">
        <v>0.28193400000000002</v>
      </c>
      <c r="B82" s="68">
        <v>0.43001400000000001</v>
      </c>
      <c r="C82" s="68">
        <v>32.546599999999998</v>
      </c>
      <c r="D82" s="68">
        <v>2</v>
      </c>
      <c r="E82" s="68" t="s">
        <v>488</v>
      </c>
    </row>
    <row r="83" spans="1:5">
      <c r="A83" s="68">
        <v>0.28352100000000002</v>
      </c>
      <c r="B83" s="68">
        <v>0.42444599999999999</v>
      </c>
      <c r="C83" s="68">
        <v>32.953400000000002</v>
      </c>
      <c r="D83" s="68">
        <v>2</v>
      </c>
      <c r="E83" s="68" t="s">
        <v>489</v>
      </c>
    </row>
    <row r="84" spans="1:5">
      <c r="A84" s="68">
        <v>0.28470800000000002</v>
      </c>
      <c r="B84" s="68">
        <v>0.41948299999999999</v>
      </c>
      <c r="C84" s="68">
        <v>33.362200000000001</v>
      </c>
      <c r="D84" s="68">
        <v>2</v>
      </c>
      <c r="E84" s="68" t="s">
        <v>490</v>
      </c>
    </row>
    <row r="85" spans="1:5">
      <c r="A85" s="68">
        <v>0.285746</v>
      </c>
      <c r="B85" s="68">
        <v>0.41466399999999998</v>
      </c>
      <c r="C85" s="68">
        <v>33.764200000000002</v>
      </c>
      <c r="D85" s="68">
        <v>2</v>
      </c>
      <c r="E85" s="68" t="s">
        <v>491</v>
      </c>
    </row>
    <row r="86" spans="1:5">
      <c r="A86" s="68">
        <v>0.28683900000000001</v>
      </c>
      <c r="B86" s="68">
        <v>0.40916999999999998</v>
      </c>
      <c r="C86" s="68">
        <v>34.171100000000003</v>
      </c>
      <c r="D86" s="68">
        <v>2</v>
      </c>
      <c r="E86" s="68" t="s">
        <v>492</v>
      </c>
    </row>
    <row r="87" spans="1:5">
      <c r="A87" s="68">
        <v>0.28786699999999998</v>
      </c>
      <c r="B87" s="68">
        <v>0.40325499999999997</v>
      </c>
      <c r="C87" s="68">
        <v>34.575099999999999</v>
      </c>
      <c r="D87" s="68">
        <v>2</v>
      </c>
      <c r="E87" s="68" t="s">
        <v>493</v>
      </c>
    </row>
    <row r="88" spans="1:5">
      <c r="A88" s="68">
        <v>0.28890900000000003</v>
      </c>
      <c r="B88" s="68">
        <v>0.39705499999999999</v>
      </c>
      <c r="C88" s="68">
        <v>34.986899999999999</v>
      </c>
      <c r="D88" s="68">
        <v>2</v>
      </c>
      <c r="E88" s="68" t="s">
        <v>494</v>
      </c>
    </row>
    <row r="89" spans="1:5">
      <c r="A89" s="68">
        <v>0.28995300000000002</v>
      </c>
      <c r="B89" s="68">
        <v>0.391069</v>
      </c>
      <c r="C89" s="68">
        <v>35.39</v>
      </c>
      <c r="D89" s="68">
        <v>2</v>
      </c>
      <c r="E89" s="68" t="s">
        <v>495</v>
      </c>
    </row>
    <row r="90" spans="1:5">
      <c r="A90" s="68">
        <v>0.29104799999999997</v>
      </c>
      <c r="B90" s="68">
        <v>0.38511800000000002</v>
      </c>
      <c r="C90" s="68">
        <v>35.794699999999999</v>
      </c>
      <c r="D90" s="68">
        <v>2</v>
      </c>
      <c r="E90" s="68" t="s">
        <v>496</v>
      </c>
    </row>
    <row r="91" spans="1:5">
      <c r="A91" s="68">
        <v>0.29224499999999998</v>
      </c>
      <c r="B91" s="68">
        <v>0.37931700000000002</v>
      </c>
      <c r="C91" s="68">
        <v>36.200000000000003</v>
      </c>
      <c r="D91" s="68">
        <v>2</v>
      </c>
      <c r="E91" s="68" t="s">
        <v>497</v>
      </c>
    </row>
    <row r="92" spans="1:5">
      <c r="A92" s="68">
        <v>0.29348200000000002</v>
      </c>
      <c r="B92" s="68">
        <v>0.37360599999999999</v>
      </c>
      <c r="C92" s="68">
        <v>36.607700000000001</v>
      </c>
      <c r="D92" s="68">
        <v>2</v>
      </c>
      <c r="E92" s="68" t="s">
        <v>498</v>
      </c>
    </row>
    <row r="93" spans="1:5">
      <c r="A93" s="68">
        <v>0.29455500000000001</v>
      </c>
      <c r="B93" s="68">
        <v>0.36900300000000003</v>
      </c>
      <c r="C93" s="68">
        <v>37.017600000000002</v>
      </c>
      <c r="D93" s="68">
        <v>2</v>
      </c>
      <c r="E93" s="68" t="s">
        <v>499</v>
      </c>
    </row>
    <row r="94" spans="1:5">
      <c r="A94" s="68">
        <v>0.29543700000000001</v>
      </c>
      <c r="B94" s="68">
        <v>0.36520900000000001</v>
      </c>
      <c r="C94" s="68">
        <v>37.419499999999999</v>
      </c>
      <c r="D94" s="68">
        <v>2</v>
      </c>
      <c r="E94" s="68" t="s">
        <v>500</v>
      </c>
    </row>
    <row r="95" spans="1:5">
      <c r="A95" s="68">
        <v>0.296126</v>
      </c>
      <c r="B95" s="68">
        <v>0.36195699999999997</v>
      </c>
      <c r="C95" s="68">
        <v>37.827199999999998</v>
      </c>
      <c r="D95" s="68">
        <v>2</v>
      </c>
      <c r="E95" s="68" t="s">
        <v>501</v>
      </c>
    </row>
    <row r="96" spans="1:5">
      <c r="A96" s="68">
        <v>0.29651</v>
      </c>
      <c r="B96" s="68">
        <v>0.35897000000000001</v>
      </c>
      <c r="C96" s="68">
        <v>38.231200000000001</v>
      </c>
      <c r="D96" s="68">
        <v>2</v>
      </c>
      <c r="E96" s="68" t="s">
        <v>502</v>
      </c>
    </row>
    <row r="97" spans="1:5">
      <c r="A97" s="68">
        <v>0.29646899999999998</v>
      </c>
      <c r="B97" s="68">
        <v>0.356437</v>
      </c>
      <c r="C97" s="68">
        <v>38.639200000000002</v>
      </c>
      <c r="D97" s="68">
        <v>2</v>
      </c>
      <c r="E97" s="68" t="s">
        <v>503</v>
      </c>
    </row>
    <row r="98" spans="1:5">
      <c r="A98" s="68">
        <v>0.29608800000000002</v>
      </c>
      <c r="B98" s="68">
        <v>0.352765</v>
      </c>
      <c r="C98" s="68">
        <v>39.048999999999999</v>
      </c>
      <c r="D98" s="68">
        <v>2</v>
      </c>
      <c r="E98" s="68" t="s">
        <v>504</v>
      </c>
    </row>
    <row r="99" spans="1:5">
      <c r="A99" s="68">
        <v>0.29537400000000003</v>
      </c>
      <c r="B99" s="68">
        <v>0.34851500000000002</v>
      </c>
      <c r="C99" s="68">
        <v>39.454300000000003</v>
      </c>
      <c r="D99" s="68">
        <v>2</v>
      </c>
      <c r="E99" s="68" t="s">
        <v>505</v>
      </c>
    </row>
    <row r="100" spans="1:5">
      <c r="A100" s="68">
        <v>0.294655</v>
      </c>
      <c r="B100" s="68">
        <v>0.34438400000000002</v>
      </c>
      <c r="C100" s="68">
        <v>39.860799999999998</v>
      </c>
      <c r="D100" s="68">
        <v>2</v>
      </c>
      <c r="E100" s="68" t="s">
        <v>506</v>
      </c>
    </row>
    <row r="101" spans="1:5">
      <c r="A101" s="68">
        <v>0.29381099999999999</v>
      </c>
      <c r="B101" s="68">
        <v>0.34134700000000001</v>
      </c>
      <c r="C101" s="68">
        <v>40.2637</v>
      </c>
      <c r="D101" s="68">
        <v>2</v>
      </c>
      <c r="E101" s="68" t="s">
        <v>507</v>
      </c>
    </row>
    <row r="102" spans="1:5">
      <c r="A102" s="68">
        <v>0.29231600000000002</v>
      </c>
      <c r="B102" s="68">
        <v>0.33874900000000002</v>
      </c>
      <c r="C102" s="68">
        <v>40.671900000000001</v>
      </c>
      <c r="D102" s="68">
        <v>2</v>
      </c>
      <c r="E102" s="68" t="s">
        <v>508</v>
      </c>
    </row>
    <row r="103" spans="1:5">
      <c r="A103" s="68">
        <v>0.29078199999999998</v>
      </c>
      <c r="B103" s="68">
        <v>0.336891</v>
      </c>
      <c r="C103" s="68">
        <v>41.074800000000003</v>
      </c>
      <c r="D103" s="68">
        <v>2</v>
      </c>
      <c r="E103" s="68" t="s">
        <v>509</v>
      </c>
    </row>
    <row r="104" spans="1:5">
      <c r="A104" s="68">
        <v>0.28917799999999999</v>
      </c>
      <c r="B104" s="68">
        <v>0.33532099999999998</v>
      </c>
      <c r="C104" s="68">
        <v>41.485500000000002</v>
      </c>
      <c r="D104" s="68">
        <v>2</v>
      </c>
      <c r="E104" s="68" t="s">
        <v>510</v>
      </c>
    </row>
    <row r="105" spans="1:5">
      <c r="A105" s="68">
        <v>0.28748600000000002</v>
      </c>
      <c r="B105" s="68">
        <v>0.33526</v>
      </c>
      <c r="C105" s="68">
        <v>41.891399999999997</v>
      </c>
      <c r="D105" s="68">
        <v>2</v>
      </c>
      <c r="E105" s="68" t="s">
        <v>511</v>
      </c>
    </row>
    <row r="106" spans="1:5">
      <c r="A106" s="68">
        <v>0.28588999999999998</v>
      </c>
      <c r="B106" s="68">
        <v>0.33681100000000003</v>
      </c>
      <c r="C106" s="68">
        <v>42.294499999999999</v>
      </c>
      <c r="D106" s="68">
        <v>2</v>
      </c>
      <c r="E106" s="68" t="s">
        <v>512</v>
      </c>
    </row>
    <row r="107" spans="1:5">
      <c r="A107" s="68">
        <v>0.28436899999999998</v>
      </c>
      <c r="B107" s="68">
        <v>0.338258</v>
      </c>
      <c r="C107" s="68">
        <v>42.698300000000003</v>
      </c>
      <c r="D107" s="68">
        <v>2</v>
      </c>
      <c r="E107" s="68" t="s">
        <v>513</v>
      </c>
    </row>
    <row r="108" spans="1:5">
      <c r="A108" s="68">
        <v>0.283078</v>
      </c>
      <c r="B108" s="68">
        <v>0.33926099999999998</v>
      </c>
      <c r="C108" s="68">
        <v>43.107300000000002</v>
      </c>
      <c r="D108" s="68">
        <v>2</v>
      </c>
      <c r="E108" s="68" t="s">
        <v>514</v>
      </c>
    </row>
    <row r="109" spans="1:5">
      <c r="A109" s="68">
        <v>0.28176400000000001</v>
      </c>
      <c r="B109" s="68">
        <v>0.34075</v>
      </c>
      <c r="C109" s="68">
        <v>43.516300000000001</v>
      </c>
      <c r="D109" s="68">
        <v>2</v>
      </c>
      <c r="E109" s="68" t="s">
        <v>515</v>
      </c>
    </row>
    <row r="110" spans="1:5">
      <c r="A110" s="68">
        <v>0.28051799999999999</v>
      </c>
      <c r="B110" s="68">
        <v>0.34178500000000001</v>
      </c>
      <c r="C110" s="68">
        <v>43.920099999999998</v>
      </c>
      <c r="D110" s="68">
        <v>2</v>
      </c>
      <c r="E110" s="68" t="s">
        <v>516</v>
      </c>
    </row>
    <row r="111" spans="1:5">
      <c r="A111" s="68">
        <v>0.27898299999999998</v>
      </c>
      <c r="B111" s="68">
        <v>0.34361399999999998</v>
      </c>
      <c r="C111" s="68">
        <v>44.3249</v>
      </c>
      <c r="D111" s="68">
        <v>2</v>
      </c>
      <c r="E111" s="68" t="s">
        <v>517</v>
      </c>
    </row>
    <row r="112" spans="1:5">
      <c r="A112" s="68">
        <v>0.27726600000000001</v>
      </c>
      <c r="B112" s="68">
        <v>0.34601999999999999</v>
      </c>
      <c r="C112" s="68">
        <v>44.731900000000003</v>
      </c>
      <c r="D112" s="68">
        <v>2</v>
      </c>
      <c r="E112" s="68" t="s">
        <v>518</v>
      </c>
    </row>
    <row r="113" spans="1:5">
      <c r="A113" s="68">
        <v>0.27539799999999998</v>
      </c>
      <c r="B113" s="68">
        <v>0.34909600000000002</v>
      </c>
      <c r="C113" s="68">
        <v>45.136000000000003</v>
      </c>
      <c r="D113" s="68">
        <v>2</v>
      </c>
      <c r="E113" s="68" t="s">
        <v>519</v>
      </c>
    </row>
    <row r="114" spans="1:5">
      <c r="A114" s="68">
        <v>0.27335300000000001</v>
      </c>
      <c r="B114" s="68">
        <v>0.35238599999999998</v>
      </c>
      <c r="C114" s="68">
        <v>45.547699999999999</v>
      </c>
      <c r="D114" s="68">
        <v>2</v>
      </c>
      <c r="E114" s="68" t="s">
        <v>520</v>
      </c>
    </row>
    <row r="115" spans="1:5">
      <c r="A115" s="68">
        <v>0.27099000000000001</v>
      </c>
      <c r="B115" s="68">
        <v>0.355576</v>
      </c>
      <c r="C115" s="68">
        <v>45.951599999999999</v>
      </c>
      <c r="D115" s="68">
        <v>2</v>
      </c>
      <c r="E115" s="68" t="s">
        <v>521</v>
      </c>
    </row>
    <row r="116" spans="1:5">
      <c r="A116" s="68">
        <v>0.26846900000000001</v>
      </c>
      <c r="B116" s="68">
        <v>0.358761</v>
      </c>
      <c r="C116" s="68">
        <v>46.360500000000002</v>
      </c>
      <c r="D116" s="68">
        <v>2</v>
      </c>
      <c r="E116" s="68" t="s">
        <v>522</v>
      </c>
    </row>
    <row r="117" spans="1:5">
      <c r="A117" s="68">
        <v>0.265851</v>
      </c>
      <c r="B117" s="68">
        <v>0.36217899999999997</v>
      </c>
      <c r="C117" s="68">
        <v>46.7624</v>
      </c>
      <c r="D117" s="68">
        <v>2</v>
      </c>
      <c r="E117" s="68" t="s">
        <v>523</v>
      </c>
    </row>
    <row r="118" spans="1:5">
      <c r="A118" s="68">
        <v>0.26333400000000001</v>
      </c>
      <c r="B118" s="68">
        <v>0.36527399999999999</v>
      </c>
      <c r="C118" s="68">
        <v>47.170400000000001</v>
      </c>
      <c r="D118" s="68">
        <v>2</v>
      </c>
      <c r="E118" s="68" t="s">
        <v>524</v>
      </c>
    </row>
    <row r="119" spans="1:5">
      <c r="A119" s="68">
        <v>0.26060100000000003</v>
      </c>
      <c r="B119" s="68">
        <v>0.36817100000000003</v>
      </c>
      <c r="C119" s="68">
        <v>47.573</v>
      </c>
      <c r="D119" s="68">
        <v>2</v>
      </c>
      <c r="E119" s="68" t="s">
        <v>525</v>
      </c>
    </row>
    <row r="120" spans="1:5">
      <c r="A120" s="68">
        <v>0.25804899999999997</v>
      </c>
      <c r="B120" s="68">
        <v>0.36974099999999999</v>
      </c>
      <c r="C120" s="68">
        <v>47.984299999999998</v>
      </c>
      <c r="D120" s="68">
        <v>2</v>
      </c>
      <c r="E120" s="68" t="s">
        <v>526</v>
      </c>
    </row>
    <row r="121" spans="1:5">
      <c r="A121" s="68">
        <v>0.25611699999999998</v>
      </c>
      <c r="B121" s="68">
        <v>0.36812299999999998</v>
      </c>
      <c r="C121" s="68">
        <v>48.39</v>
      </c>
      <c r="D121" s="68">
        <v>2</v>
      </c>
      <c r="E121" s="68" t="s">
        <v>527</v>
      </c>
    </row>
    <row r="122" spans="1:5">
      <c r="A122" s="68">
        <v>0.25453799999999999</v>
      </c>
      <c r="B122" s="68">
        <v>0.36573</v>
      </c>
      <c r="C122" s="68">
        <v>48.795000000000002</v>
      </c>
      <c r="D122" s="68">
        <v>2</v>
      </c>
      <c r="E122" s="68" t="s">
        <v>528</v>
      </c>
    </row>
    <row r="123" spans="1:5">
      <c r="A123" s="68">
        <v>0.25335800000000003</v>
      </c>
      <c r="B123" s="68">
        <v>0.36313099999999998</v>
      </c>
      <c r="C123" s="68">
        <v>49.201300000000003</v>
      </c>
      <c r="D123" s="68">
        <v>2</v>
      </c>
      <c r="E123" s="68" t="s">
        <v>529</v>
      </c>
    </row>
    <row r="124" spans="1:5">
      <c r="A124" s="68">
        <v>0.25242799999999999</v>
      </c>
      <c r="B124" s="68">
        <v>0.36019000000000001</v>
      </c>
      <c r="C124" s="68">
        <v>49.6068</v>
      </c>
      <c r="D124" s="68">
        <v>2</v>
      </c>
      <c r="E124" s="68" t="s">
        <v>530</v>
      </c>
    </row>
    <row r="125" spans="1:5">
      <c r="A125" s="68">
        <v>0.25161</v>
      </c>
      <c r="B125" s="68">
        <v>0.360489</v>
      </c>
      <c r="C125" s="68">
        <v>50.014800000000001</v>
      </c>
      <c r="D125" s="68">
        <v>2</v>
      </c>
      <c r="E125" s="68" t="s">
        <v>531</v>
      </c>
    </row>
    <row r="126" spans="1:5">
      <c r="A126" s="68">
        <v>0.25119399999999997</v>
      </c>
      <c r="B126" s="68">
        <v>0.36164600000000002</v>
      </c>
      <c r="C126" s="68">
        <v>50.418700000000001</v>
      </c>
      <c r="D126" s="68">
        <v>2</v>
      </c>
      <c r="E126" s="68" t="s">
        <v>532</v>
      </c>
    </row>
    <row r="127" spans="1:5">
      <c r="A127" s="68">
        <v>0.25118000000000001</v>
      </c>
      <c r="B127" s="68">
        <v>0.36140600000000001</v>
      </c>
      <c r="C127" s="68">
        <v>50.827599999999997</v>
      </c>
      <c r="D127" s="68">
        <v>2</v>
      </c>
      <c r="E127" s="68" t="s">
        <v>533</v>
      </c>
    </row>
    <row r="128" spans="1:5">
      <c r="A128" s="68">
        <v>0.25109999999999999</v>
      </c>
      <c r="B128" s="68">
        <v>0.36084899999999998</v>
      </c>
      <c r="C128" s="68">
        <v>51.234499999999997</v>
      </c>
      <c r="D128" s="68">
        <v>2</v>
      </c>
      <c r="E128" s="68" t="s">
        <v>534</v>
      </c>
    </row>
    <row r="129" spans="1:5">
      <c r="A129" s="68">
        <v>0.25099500000000002</v>
      </c>
      <c r="B129" s="68">
        <v>0.36031999999999997</v>
      </c>
      <c r="C129" s="68">
        <v>51.6374</v>
      </c>
      <c r="D129" s="68">
        <v>2</v>
      </c>
      <c r="E129" s="68" t="s">
        <v>535</v>
      </c>
    </row>
    <row r="130" spans="1:5">
      <c r="A130" s="68">
        <v>0.25073299999999998</v>
      </c>
      <c r="B130" s="68">
        <v>0.35908499999999999</v>
      </c>
      <c r="C130" s="68">
        <v>52.0413</v>
      </c>
      <c r="D130" s="68">
        <v>2</v>
      </c>
      <c r="E130" s="68" t="s">
        <v>536</v>
      </c>
    </row>
    <row r="131" spans="1:5">
      <c r="A131" s="68">
        <v>0.25020500000000001</v>
      </c>
      <c r="B131" s="68">
        <v>0.35682900000000001</v>
      </c>
      <c r="C131" s="68">
        <v>52.448399999999999</v>
      </c>
      <c r="D131" s="68">
        <v>2</v>
      </c>
      <c r="E131" s="68" t="s">
        <v>537</v>
      </c>
    </row>
    <row r="132" spans="1:5">
      <c r="A132" s="68">
        <v>0.24951400000000001</v>
      </c>
      <c r="B132" s="68">
        <v>0.35474899999999998</v>
      </c>
      <c r="C132" s="68">
        <v>52.856200000000001</v>
      </c>
      <c r="D132" s="68">
        <v>2</v>
      </c>
      <c r="E132" s="68" t="s">
        <v>538</v>
      </c>
    </row>
    <row r="133" spans="1:5">
      <c r="A133" s="68">
        <v>0.24860599999999999</v>
      </c>
      <c r="B133" s="68">
        <v>0.35302499999999998</v>
      </c>
      <c r="C133" s="68">
        <v>53.266300000000001</v>
      </c>
      <c r="D133" s="68">
        <v>2</v>
      </c>
      <c r="E133" s="68" t="s">
        <v>539</v>
      </c>
    </row>
    <row r="134" spans="1:5">
      <c r="A134" s="68">
        <v>0.24776699999999999</v>
      </c>
      <c r="B134" s="68">
        <v>0.34965000000000002</v>
      </c>
      <c r="C134" s="68">
        <v>53.668999999999997</v>
      </c>
      <c r="D134" s="68">
        <v>2</v>
      </c>
      <c r="E134" s="68" t="s">
        <v>540</v>
      </c>
    </row>
    <row r="135" spans="1:5">
      <c r="A135" s="68">
        <v>0.24676200000000001</v>
      </c>
      <c r="B135" s="68">
        <v>0.34671000000000002</v>
      </c>
      <c r="C135" s="68">
        <v>54.073999999999998</v>
      </c>
      <c r="D135" s="68">
        <v>2</v>
      </c>
      <c r="E135" s="68" t="s">
        <v>541</v>
      </c>
    </row>
    <row r="136" spans="1:5">
      <c r="A136" s="68">
        <v>0.24559600000000001</v>
      </c>
      <c r="B136" s="68">
        <v>0.34338400000000002</v>
      </c>
      <c r="C136" s="68">
        <v>54.483899999999998</v>
      </c>
      <c r="D136" s="68">
        <v>2</v>
      </c>
      <c r="E136" s="68" t="s">
        <v>542</v>
      </c>
    </row>
    <row r="137" spans="1:5">
      <c r="A137" s="68">
        <v>0.24442700000000001</v>
      </c>
      <c r="B137" s="68">
        <v>0.33927000000000002</v>
      </c>
      <c r="C137" s="68">
        <v>54.890700000000002</v>
      </c>
      <c r="D137" s="68">
        <v>2</v>
      </c>
      <c r="E137" s="68" t="s">
        <v>543</v>
      </c>
    </row>
    <row r="138" spans="1:5">
      <c r="A138" s="68">
        <v>0.24324100000000001</v>
      </c>
      <c r="B138" s="68">
        <v>0.33385399999999998</v>
      </c>
      <c r="C138" s="68">
        <v>55.292299999999997</v>
      </c>
      <c r="D138" s="68">
        <v>2</v>
      </c>
      <c r="E138" s="68" t="s">
        <v>544</v>
      </c>
    </row>
    <row r="139" spans="1:5">
      <c r="A139" s="68">
        <v>0.242032</v>
      </c>
      <c r="B139" s="68">
        <v>0.327843</v>
      </c>
      <c r="C139" s="68">
        <v>55.699800000000003</v>
      </c>
      <c r="D139" s="68">
        <v>2</v>
      </c>
      <c r="E139" s="68" t="s">
        <v>545</v>
      </c>
    </row>
    <row r="140" spans="1:5">
      <c r="A140" s="68">
        <v>0.24122099999999999</v>
      </c>
      <c r="B140" s="68">
        <v>0.32198599999999999</v>
      </c>
      <c r="C140" s="68">
        <v>56.107500000000002</v>
      </c>
      <c r="D140" s="68">
        <v>2</v>
      </c>
      <c r="E140" s="68" t="s">
        <v>546</v>
      </c>
    </row>
    <row r="141" spans="1:5">
      <c r="A141" s="68">
        <v>0.240478</v>
      </c>
      <c r="B141" s="68">
        <v>0.31574999999999998</v>
      </c>
      <c r="C141" s="68">
        <v>56.512599999999999</v>
      </c>
      <c r="D141" s="68">
        <v>2</v>
      </c>
      <c r="E141" s="68" t="s">
        <v>547</v>
      </c>
    </row>
    <row r="142" spans="1:5">
      <c r="A142" s="68">
        <v>0.239676</v>
      </c>
      <c r="B142" s="68">
        <v>0.30898999999999999</v>
      </c>
      <c r="C142" s="68">
        <v>56.921300000000002</v>
      </c>
      <c r="D142" s="68">
        <v>2</v>
      </c>
      <c r="E142" s="68" t="s">
        <v>548</v>
      </c>
    </row>
    <row r="143" spans="1:5">
      <c r="A143" s="68">
        <v>0.239172</v>
      </c>
      <c r="B143" s="68">
        <v>0.298485</v>
      </c>
      <c r="C143" s="68">
        <v>57.3264</v>
      </c>
      <c r="D143" s="68">
        <v>2</v>
      </c>
      <c r="E143" s="68" t="s">
        <v>549</v>
      </c>
    </row>
    <row r="144" spans="1:5">
      <c r="A144" s="68">
        <v>0.240202</v>
      </c>
      <c r="B144" s="68">
        <v>0.28347499999999998</v>
      </c>
      <c r="C144" s="68">
        <v>57.730899999999998</v>
      </c>
      <c r="D144" s="68">
        <v>2</v>
      </c>
      <c r="E144" s="68" t="s">
        <v>550</v>
      </c>
    </row>
    <row r="145" spans="1:5">
      <c r="A145" s="68">
        <v>0.241983</v>
      </c>
      <c r="B145" s="68">
        <v>0.26857300000000001</v>
      </c>
      <c r="C145" s="68">
        <v>58.137999999999998</v>
      </c>
      <c r="D145" s="68">
        <v>2</v>
      </c>
      <c r="E145" s="68" t="s">
        <v>551</v>
      </c>
    </row>
    <row r="146" spans="1:5">
      <c r="A146" s="68">
        <v>0.24249100000000001</v>
      </c>
      <c r="B146" s="68">
        <v>0.26211800000000002</v>
      </c>
      <c r="C146" s="68">
        <v>58.545299999999997</v>
      </c>
      <c r="D146" s="68">
        <v>2</v>
      </c>
      <c r="E146" s="68" t="s">
        <v>552</v>
      </c>
    </row>
    <row r="147" spans="1:5">
      <c r="A147" s="68">
        <v>0.243058</v>
      </c>
      <c r="B147" s="68">
        <v>0.25173000000000001</v>
      </c>
      <c r="C147" s="68">
        <v>58.948</v>
      </c>
      <c r="D147" s="68">
        <v>2</v>
      </c>
      <c r="E147" s="68" t="s">
        <v>553</v>
      </c>
    </row>
    <row r="148" spans="1:5">
      <c r="A148" s="68">
        <v>0.24185999999999999</v>
      </c>
      <c r="B148" s="68">
        <v>0.246921</v>
      </c>
      <c r="C148" s="68">
        <v>59.358699999999999</v>
      </c>
      <c r="D148" s="68">
        <v>2</v>
      </c>
      <c r="E148" s="68" t="s">
        <v>554</v>
      </c>
    </row>
    <row r="149" spans="1:5">
      <c r="A149" s="68">
        <v>0.23929</v>
      </c>
      <c r="B149" s="68">
        <v>0.25569500000000001</v>
      </c>
      <c r="C149" s="68">
        <v>59.762700000000002</v>
      </c>
      <c r="D149" s="68">
        <v>2</v>
      </c>
      <c r="E149" s="68" t="s">
        <v>555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556</v>
      </c>
      <c r="C1" s="66" t="s">
        <v>558</v>
      </c>
      <c r="D1" s="66" t="s">
        <v>559</v>
      </c>
      <c r="E1" s="66" t="s">
        <v>560</v>
      </c>
      <c r="F1" s="66" t="s">
        <v>348</v>
      </c>
      <c r="G1" s="66" t="s">
        <v>349</v>
      </c>
      <c r="H1" s="66" t="s">
        <v>561</v>
      </c>
      <c r="I1" s="66" t="s">
        <v>562</v>
      </c>
      <c r="J1" s="66" t="s">
        <v>563</v>
      </c>
      <c r="K1" s="66" t="s">
        <v>564</v>
      </c>
      <c r="L1" s="66" t="s">
        <v>565</v>
      </c>
      <c r="M1" s="66" t="s">
        <v>566</v>
      </c>
      <c r="N1" s="66"/>
    </row>
    <row r="2" spans="1:14">
      <c r="A2" s="75">
        <v>43605.700555555559</v>
      </c>
      <c r="B2" s="66" t="s">
        <v>557</v>
      </c>
      <c r="C2" s="66"/>
      <c r="D2" s="66"/>
      <c r="E2" s="66">
        <v>4.9234099999999996</v>
      </c>
      <c r="F2" s="66">
        <v>1.33972</v>
      </c>
      <c r="G2" s="66">
        <v>0.60824500000000004</v>
      </c>
      <c r="H2" s="66">
        <v>0</v>
      </c>
      <c r="I2" s="66">
        <v>80312</v>
      </c>
      <c r="J2" s="66">
        <v>73</v>
      </c>
      <c r="K2" s="66">
        <v>73</v>
      </c>
      <c r="L2" s="66">
        <v>0</v>
      </c>
      <c r="M2" s="66" t="s">
        <v>567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2019-05-20T08:50:28Z</cp:lastPrinted>
  <dcterms:created xsi:type="dcterms:W3CDTF">2010-10-29T12:53:05Z</dcterms:created>
  <dcterms:modified xsi:type="dcterms:W3CDTF">2019-05-20T08:50:52Z</dcterms:modified>
</cp:coreProperties>
</file>