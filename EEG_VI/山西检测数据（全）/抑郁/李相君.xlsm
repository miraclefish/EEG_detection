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<sst xmlns="http://schemas.openxmlformats.org/spreadsheetml/2006/main" count="701" uniqueCount="572">
  <si>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</si>
  <si>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</si>
  <si>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</si>
  <si>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</si>
  <si>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</si>
  <si>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</si>
  <si>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</si>
  <si>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</si>
  <si>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</si>
  <si>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</si>
  <si>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</si>
  <si>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</si>
  <si>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</si>
  <si>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</si>
  <si>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</si>
  <si>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</si>
  <si>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</si>
  <si>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</si>
  <si>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</si>
  <si>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</si>
  <si>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</si>
  <si>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</si>
  <si>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</si>
  <si>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</si>
  <si>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</si>
  <si>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</si>
  <si>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</si>
  <si>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</si>
  <si>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</si>
  <si>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</si>
  <si>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</si>
  <si>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</si>
  <si>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</si>
  <si>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</si>
  <si>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</si>
  <si>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</si>
  <si>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</si>
  <si>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</si>
  <si>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</si>
  <si>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</si>
  <si>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</si>
  <si>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</si>
  <si>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</si>
  <si>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</si>
  <si>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</si>
  <si>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</si>
  <si>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</si>
  <si>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</si>
  <si>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</si>
  <si>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</si>
  <si>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</si>
  <si>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</si>
  <si>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</si>
  <si>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</si>
  <si>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</si>
  <si>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</si>
  <si>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</si>
  <si>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</si>
  <si>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</si>
  <si>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</si>
  <si>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</si>
  <si>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</si>
  <si>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</si>
  <si>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</si>
  <si>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</si>
  <si>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</si>
  <si>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</si>
  <si>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</si>
  <si>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</si>
  <si>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</si>
  <si>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</si>
  <si>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</si>
  <si>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</si>
  <si>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</si>
  <si>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</si>
  <si>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</si>
  <si>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</si>
  <si>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</si>
  <si>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</si>
  <si>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</si>
  <si>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</si>
  <si>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</si>
  <si>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</si>
  <si>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</si>
  <si>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</si>
  <si>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</si>
  <si>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</si>
  <si>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</si>
  <si>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</si>
  <si>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</si>
  <si>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</si>
  <si>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</si>
  <si>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</si>
  <si>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</si>
  <si>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</si>
  <si>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</si>
  <si>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</si>
  <si>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</si>
  <si>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</si>
  <si>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</si>
  <si>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</si>
  <si>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</si>
  <si>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</si>
  <si>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</si>
  <si>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</si>
  <si>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</si>
  <si>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</si>
  <si>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</si>
  <si>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</si>
  <si>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</si>
  <si>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</si>
  <si>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</si>
  <si>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</si>
  <si>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</si>
  <si>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</si>
  <si>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</si>
  <si>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</si>
  <si>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</si>
  <si>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</si>
  <si>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</si>
  <si>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</si>
  <si>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</si>
  <si>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</si>
  <si>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</si>
  <si>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</si>
  <si>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</si>
  <si>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</si>
  <si>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</si>
  <si>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</si>
  <si>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</si>
  <si>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</si>
  <si>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</si>
  <si>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</si>
  <si>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</si>
  <si>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</si>
  <si>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</si>
  <si>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</si>
  <si>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</si>
  <si>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</si>
  <si>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</si>
  <si>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</si>
  <si>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</si>
  <si>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</si>
  <si>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</si>
  <si>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</si>
  <si>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</si>
  <si>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</si>
  <si>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</si>
  <si>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</si>
  <si>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</si>
  <si>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</si>
  <si>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</si>
  <si>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</si>
  <si>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</si>
  <si>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</si>
  <si>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</si>
  <si>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</si>
  <si>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</si>
  <si>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</si>
  <si>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</si>
  <si>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</si>
  <si>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</si>
  <si>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</si>
  <si>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</si>
  <si>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</si>
  <si>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</si>
  <si>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</si>
  <si>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</si>
  <si>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</si>
  <si>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</si>
  <si>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</si>
  <si>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</si>
  <si>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</si>
  <si>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</si>
  <si>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</si>
  <si>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</si>
  <si>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</si>
  <si>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</si>
  <si>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</si>
  <si>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</si>
  <si>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</si>
  <si>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</si>
  <si>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</si>
  <si>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</si>
  <si>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</si>
  <si>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</si>
  <si>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</si>
  <si>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</si>
  <si>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</si>
  <si>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</si>
  <si>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</si>
  <si>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</si>
  <si>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</si>
  <si>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</si>
  <si>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</si>
  <si>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</si>
  <si>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</si>
  <si>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</si>
  <si>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</si>
  <si>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</si>
  <si>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</si>
  <si>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</si>
  <si>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</si>
  <si>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</si>
  <si>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</si>
  <si>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</si>
  <si>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</si>
  <si>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</si>
  <si>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</si>
  <si>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</si>
  <si>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</si>
  <si>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</si>
  <si>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</si>
  <si>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</si>
  <si>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</si>
  <si>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</si>
  <si>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</si>
  <si>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</si>
  <si>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</si>
  <si>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</si>
  <si>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</si>
  <si>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</si>
  <si>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</si>
  <si>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</si>
  <si>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</si>
  <si>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</si>
  <si>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</si>
  <si>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</si>
  <si>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</si>
  <si>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</si>
  <si>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</si>
  <si>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</si>
  <si>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</si>
  <si>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</si>
  <si>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</si>
  <si>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</si>
  <si>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</si>
  <si>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</si>
  <si>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</si>
  <si>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</si>
  <si>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</si>
  <si>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</si>
  <si>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</si>
  <si>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</si>
  <si>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</si>
  <si>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</si>
  <si>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</si>
  <si>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</si>
  <si>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</si>
  <si>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</si>
  <si>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</si>
  <si>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</si>
  <si>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</si>
  <si>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</si>
  <si>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</si>
  <si>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</si>
  <si>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</si>
  <si>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</si>
  <si>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</si>
  <si>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</si>
  <si>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</si>
  <si>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</si>
  <si>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</si>
  <si>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</si>
  <si>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</si>
  <si>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</si>
  <si>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</si>
  <si>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</si>
  <si>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</si>
  <si>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</si>
  <si>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</si>
  <si>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</si>
  <si>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</si>
  <si>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</si>
  <si>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</si>
  <si>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</si>
  <si>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</si>
  <si>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</si>
  <si>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</si>
  <si>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</si>
  <si>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</si>
  <si>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</si>
  <si>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</si>
  <si>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</si>
  <si>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</si>
  <si>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</si>
  <si>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</si>
  <si>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</si>
  <si>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</si>
  <si>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</si>
  <si>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</si>
  <si>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</si>
  <si>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</si>
  <si>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</si>
  <si>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</si>
  <si>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</si>
  <si>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</si>
  <si>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</si>
  <si>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</si>
  <si>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</si>
  <si>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</si>
  <si>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</si>
  <si>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</si>
  <si>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</si>
  <si>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</si>
  <si>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</si>
  <si>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</si>
  <si>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</si>
  <si>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</si>
  <si>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</si>
  <si>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</si>
  <si>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</si>
  <si>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</si>
  <si>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</si>
  <si>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</si>
  <si>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</si>
  <si>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</si>
  <si>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</si>
  <si>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</si>
  <si>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</si>
  <si>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</si>
  <si>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</si>
  <si>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</si>
  <si>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</si>
  <si>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</si>
  <si>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</si>
  <si>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</si>
  <si>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</si>
  <si>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</si>
  <si>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</si>
  <si>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</si>
  <si>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</si>
  <si>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</si>
  <si>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</si>
  <si>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</si>
  <si>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</si>
  <si>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</si>
  <si>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</si>
  <si>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</si>
  <si>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</si>
  <si>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</si>
  <si>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</si>
  <si>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</si>
  <si>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</si>
  <si>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</si>
  <si>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</si>
  <si>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</si>
  <si>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</si>
  <si>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</si>
  <si>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</si>
  <si>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</si>
  <si>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</si>
  <si>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</si>
  <si>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</si>
  <si>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</si>
  <si>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</si>
  <si>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</si>
  <si>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</si>
  <si>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</si>
  <si>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</si>
  <si>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</si>
  <si>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</si>
  <si>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</si>
  <si>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</si>
  <si>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</si>
  <si>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</si>
  <si>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</si>
  <si>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</si>
  <si>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</si>
  <si>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</si>
  <si>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</si>
  <si>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</si>
  <si>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</si>
  <si>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</si>
  <si>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</si>
  <si>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</si>
  <si>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</si>
  <si>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</si>
  <si>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</si>
  <si>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</si>
  <si>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</si>
  <si>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</si>
  <si>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</si>
  <si>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</si>
  <si>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</si>
  <si>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</si>
  <si>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</si>
  <si>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</si>
  <si>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</si>
  <si>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</si>
  <si>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</si>
  <si>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</si>
  <si>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</si>
  <si>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</si>
  <si>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</si>
  <si>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</si>
  <si>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</si>
  <si>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</si>
  <si>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</si>
  <si>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</si>
  <si>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</si>
  <si>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A1 (fast)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</si>
  <si>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</si>
  <si>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</si>
  <si>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</si>
  <si>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</si>
  <si>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</si>
  <si>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</si>
  <si>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</si>
  <si>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</si>
  <si>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</si>
  <si>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[0.385419]</t>
  </si>
  <si>
    <t>1 [0.793234]</t>
  </si>
  <si>
    <t>1 [1.197894]</t>
  </si>
  <si>
    <t>1 [1.608553]</t>
  </si>
  <si>
    <t>1 [2.014685]</t>
  </si>
  <si>
    <t>1 [2.417031]</t>
  </si>
  <si>
    <t>1 [2.821908]</t>
  </si>
  <si>
    <t>1 [3.233591]</t>
  </si>
  <si>
    <t>1 [3.639886]</t>
  </si>
  <si>
    <t>1 [4.044696]</t>
  </si>
  <si>
    <t>1 [4.447885]</t>
  </si>
  <si>
    <t>1 [4.855586]</t>
  </si>
  <si>
    <t>1 [5.260058]</t>
  </si>
  <si>
    <t>1 [5.671737]</t>
  </si>
  <si>
    <t>1 [6.076762]</t>
  </si>
  <si>
    <t>1 [6.480367]</t>
  </si>
  <si>
    <t>1 [6.886287]</t>
  </si>
  <si>
    <t>1 [7.294527]</t>
  </si>
  <si>
    <t>1 [7.701906]</t>
  </si>
  <si>
    <t>1 [8.108443]</t>
  </si>
  <si>
    <t>1 [8.511418]</t>
  </si>
  <si>
    <t>1 [8.917711]</t>
  </si>
  <si>
    <t>1 [9.326404]</t>
  </si>
  <si>
    <t>1 [9.734206]</t>
  </si>
  <si>
    <t>1 [10.139358]</t>
  </si>
  <si>
    <t>1 [10.545626]</t>
  </si>
  <si>
    <t>1 [10.952134]</t>
  </si>
  <si>
    <t>1 [11.355197]</t>
  </si>
  <si>
    <t>1 [11.765376]</t>
  </si>
  <si>
    <t>1 [12.174068]</t>
  </si>
  <si>
    <t>1 [12.576809]</t>
  </si>
  <si>
    <t>1 [12.980001]</t>
  </si>
  <si>
    <t>1 [13.386705]</t>
  </si>
  <si>
    <t>1 [13.794649]</t>
  </si>
  <si>
    <t>1 [14.200370]</t>
  </si>
  <si>
    <t>1 [14.607323]</t>
  </si>
  <si>
    <t>1 [15.010970]</t>
  </si>
  <si>
    <t>1 [15.420887]</t>
  </si>
  <si>
    <t>1 [15.823420]</t>
  </si>
  <si>
    <t>1 [16.234960]</t>
  </si>
  <si>
    <t>1 [16.637145]</t>
  </si>
  <si>
    <t>1 [17.042498]</t>
  </si>
  <si>
    <t>1 [17.450710]</t>
  </si>
  <si>
    <t>1 [17.854419]</t>
  </si>
  <si>
    <t>1 [18.266140]</t>
  </si>
  <si>
    <t>1 [18.669424]</t>
  </si>
  <si>
    <t>1 [19.072846]</t>
  </si>
  <si>
    <t>1 [19.478269]</t>
  </si>
  <si>
    <t>1 [19.886959]</t>
  </si>
  <si>
    <t>1 [20.295229]</t>
  </si>
  <si>
    <t>1 [20.702255]</t>
  </si>
  <si>
    <t>1 [21.106365]</t>
  </si>
  <si>
    <t>1 [21.516534]</t>
  </si>
  <si>
    <t>1 [21.919572]</t>
  </si>
  <si>
    <t>1 [22.321493]</t>
  </si>
  <si>
    <t>1 [22.728303]</t>
  </si>
  <si>
    <t>1 [23.140408]</t>
  </si>
  <si>
    <t>1 [23.546489]</t>
  </si>
  <si>
    <t>1 [23.951107]</t>
  </si>
  <si>
    <t>1 [24.353746]</t>
  </si>
  <si>
    <t>1 [24.763620]</t>
  </si>
  <si>
    <t>1 [25.170848]</t>
  </si>
  <si>
    <t>1 [25.578161]</t>
  </si>
  <si>
    <t>1 [25.980847]</t>
  </si>
  <si>
    <t>1 [26.388883]</t>
  </si>
  <si>
    <t>1 [26.792868]</t>
  </si>
  <si>
    <t>1 [27.200326]</t>
  </si>
  <si>
    <t>1 [27.604929]</t>
  </si>
  <si>
    <t>1 [28.010983]</t>
  </si>
  <si>
    <t>1 [28.417022]</t>
  </si>
  <si>
    <t>1 [28.822672]</t>
  </si>
  <si>
    <t>1 [29.228856]</t>
  </si>
  <si>
    <t>1 [29.639094]</t>
  </si>
  <si>
    <t>2 [30.044657]</t>
  </si>
  <si>
    <t>2 [30.638257]</t>
  </si>
  <si>
    <t>2 [31.009871]</t>
  </si>
  <si>
    <t>2 [31.386596]</t>
  </si>
  <si>
    <t>2 [31.761985]</t>
  </si>
  <si>
    <t>2 [32.140739]</t>
  </si>
  <si>
    <t>2 [32.543467]</t>
  </si>
  <si>
    <t>2 [32.948832]</t>
  </si>
  <si>
    <t>2 [33.355044]</t>
  </si>
  <si>
    <t>2 [33.763135]</t>
  </si>
  <si>
    <t>2 [34.172006]</t>
  </si>
  <si>
    <t>2 [34.575738]</t>
  </si>
  <si>
    <t>2 [34.980800]</t>
  </si>
  <si>
    <t>2 [35.387295]</t>
  </si>
  <si>
    <t>2 [35.797334]</t>
  </si>
  <si>
    <t>2 [36.198252]</t>
  </si>
  <si>
    <t>2 [36.606394]</t>
  </si>
  <si>
    <t>2 [37.010539]</t>
  </si>
  <si>
    <t>2 [37.416118]</t>
  </si>
  <si>
    <t>2 [37.823214]</t>
  </si>
  <si>
    <t>2 [38.232259]</t>
  </si>
  <si>
    <t>2 [38.638583]</t>
  </si>
  <si>
    <t>2 [39.043297]</t>
  </si>
  <si>
    <t>2 [39.447834]</t>
  </si>
  <si>
    <t>2 [39.857161]</t>
  </si>
  <si>
    <t>2 [40.262974]</t>
  </si>
  <si>
    <t>2 [40.670593]</t>
  </si>
  <si>
    <t>2 [41.074212]</t>
  </si>
  <si>
    <t>2 [41.479828]</t>
  </si>
  <si>
    <t>2 [41.885738]</t>
  </si>
  <si>
    <t>2 [42.293648]</t>
  </si>
  <si>
    <t>2 [42.698652]</t>
  </si>
  <si>
    <t>2 [43.105150]</t>
  </si>
  <si>
    <t>2 [43.516286]</t>
  </si>
  <si>
    <t>2 [43.918879]</t>
  </si>
  <si>
    <t>2 [44.325326]</t>
  </si>
  <si>
    <t>2 [44.731229]</t>
  </si>
  <si>
    <t>2 [45.134751]</t>
  </si>
  <si>
    <t>2 [45.544552]</t>
  </si>
  <si>
    <t>2 [45.951897]</t>
  </si>
  <si>
    <t>2 [46.353606]</t>
  </si>
  <si>
    <t>2 [46.761377]</t>
  </si>
  <si>
    <t>2 [47.168529]</t>
  </si>
  <si>
    <t>2 [47.573650]</t>
  </si>
  <si>
    <t>2 [47.984884]</t>
  </si>
  <si>
    <t>2 [48.385774]</t>
  </si>
  <si>
    <t>2 [48.791671]</t>
  </si>
  <si>
    <t>2 [49.201456]</t>
  </si>
  <si>
    <t>2 [49.608047]</t>
  </si>
  <si>
    <t>2 [50.012870]</t>
  </si>
  <si>
    <t>2 [50.418659]</t>
  </si>
  <si>
    <t>2 [50.824460]</t>
  </si>
  <si>
    <t>2 [51.234036]</t>
  </si>
  <si>
    <t>2 [51.637868]</t>
  </si>
  <si>
    <t>2 [52.044952]</t>
  </si>
  <si>
    <t>2 [52.448181]</t>
  </si>
  <si>
    <t>2 [52.856478]</t>
  </si>
  <si>
    <t>2 [53.261673]</t>
  </si>
  <si>
    <t>2 [53.671929]</t>
  </si>
  <si>
    <t>2 [54.077503]</t>
  </si>
  <si>
    <t>2 [54.480765]</t>
  </si>
  <si>
    <t>2 [54.887385]</t>
  </si>
  <si>
    <t>2 [55.296420]</t>
  </si>
  <si>
    <t>2 [55.700882]</t>
  </si>
  <si>
    <t>2 [56.107065]</t>
  </si>
  <si>
    <t>2 [56.511312]</t>
  </si>
  <si>
    <t>2 [56.916569]</t>
  </si>
  <si>
    <t>2 [57.329573]</t>
  </si>
  <si>
    <t>2 [57.734342]</t>
  </si>
  <si>
    <t>2 [58.140468]</t>
  </si>
  <si>
    <t>2 [58.545100]</t>
  </si>
  <si>
    <t>2 [58.948494]</t>
  </si>
  <si>
    <t>2 [59.356199]</t>
  </si>
  <si>
    <t>2 [59.762641]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</si>
  <si>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</si>
  <si>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</si>
  <si>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</si>
  <si>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</si>
  <si>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</si>
  <si>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</si>
  <si>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</si>
  <si>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</si>
  <si>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</si>
  <si>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</si>
  <si>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</si>
  <si>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</si>
  <si>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</si>
  <si>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李相君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</si>
</sst>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39.0839</c:v>
                </c:pt>
                <c:pt idx="1">
                  <c:v>24.128299999999999</c:v>
                </c:pt>
                <c:pt idx="2">
                  <c:v>15.369199999999999</c:v>
                </c:pt>
                <c:pt idx="3">
                  <c:v>26.579000000000001</c:v>
                </c:pt>
                <c:pt idx="4">
                  <c:v>72.554199999999994</c:v>
                </c:pt>
                <c:pt idx="5">
                  <c:v>81.1631</c:v>
                </c:pt>
                <c:pt idx="6">
                  <c:v>25.423200000000001</c:v>
                </c:pt>
                <c:pt idx="7">
                  <c:v>76.854799999999997</c:v>
                </c:pt>
                <c:pt idx="8">
                  <c:v>22.679200000000002</c:v>
                </c:pt>
                <c:pt idx="9">
                  <c:v>36.724400000000003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0.53336476631839658</c:v>
                </c:pt>
                <c:pt idx="1">
                  <c:v>0.21910110135595898</c:v>
                </c:pt>
                <c:pt idx="2">
                  <c:v>0.24753413232564433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584</c:v>
                </c:pt>
                <c:pt idx="7">
                  <c:v>0</c:v>
                </c:pt>
                <c:pt idx="8">
                  <c:v>606</c:v>
                </c:pt>
                <c:pt idx="9">
                  <c:v>0</c:v>
                </c:pt>
                <c:pt idx="10">
                  <c:v>0</c:v>
                </c:pt>
                <c:pt idx="11">
                  <c:v>390</c:v>
                </c:pt>
                <c:pt idx="12">
                  <c:v>0</c:v>
                </c:pt>
                <c:pt idx="13">
                  <c:v>576</c:v>
                </c:pt>
                <c:pt idx="14">
                  <c:v>0</c:v>
                </c:pt>
                <c:pt idx="15">
                  <c:v>0</c:v>
                </c:pt>
                <c:pt idx="16">
                  <c:v>2272</c:v>
                </c:pt>
                <c:pt idx="17">
                  <c:v>0</c:v>
                </c:pt>
                <c:pt idx="18">
                  <c:v>0</c:v>
                </c:pt>
                <c:pt idx="19">
                  <c:v>4825</c:v>
                </c:pt>
                <c:pt idx="20">
                  <c:v>0</c:v>
                </c:pt>
                <c:pt idx="21">
                  <c:v>6500</c:v>
                </c:pt>
                <c:pt idx="22">
                  <c:v>0</c:v>
                </c:pt>
                <c:pt idx="23">
                  <c:v>0</c:v>
                </c:pt>
                <c:pt idx="24">
                  <c:v>9190</c:v>
                </c:pt>
                <c:pt idx="25">
                  <c:v>0</c:v>
                </c:pt>
                <c:pt idx="26">
                  <c:v>15675</c:v>
                </c:pt>
                <c:pt idx="27">
                  <c:v>0</c:v>
                </c:pt>
                <c:pt idx="28">
                  <c:v>0</c:v>
                </c:pt>
                <c:pt idx="29">
                  <c:v>26060</c:v>
                </c:pt>
                <c:pt idx="30">
                  <c:v>0</c:v>
                </c:pt>
                <c:pt idx="31">
                  <c:v>31815</c:v>
                </c:pt>
                <c:pt idx="32">
                  <c:v>0</c:v>
                </c:pt>
                <c:pt idx="33">
                  <c:v>0</c:v>
                </c:pt>
                <c:pt idx="34">
                  <c:v>35843</c:v>
                </c:pt>
                <c:pt idx="35">
                  <c:v>0</c:v>
                </c:pt>
                <c:pt idx="36">
                  <c:v>0</c:v>
                </c:pt>
                <c:pt idx="37">
                  <c:v>42771</c:v>
                </c:pt>
                <c:pt idx="38">
                  <c:v>0</c:v>
                </c:pt>
                <c:pt idx="39">
                  <c:v>58639</c:v>
                </c:pt>
                <c:pt idx="40">
                  <c:v>0</c:v>
                </c:pt>
                <c:pt idx="41">
                  <c:v>0</c:v>
                </c:pt>
                <c:pt idx="42">
                  <c:v>73566</c:v>
                </c:pt>
                <c:pt idx="43">
                  <c:v>0</c:v>
                </c:pt>
                <c:pt idx="44">
                  <c:v>86539</c:v>
                </c:pt>
                <c:pt idx="45">
                  <c:v>0</c:v>
                </c:pt>
                <c:pt idx="46">
                  <c:v>0</c:v>
                </c:pt>
                <c:pt idx="47">
                  <c:v>94097</c:v>
                </c:pt>
                <c:pt idx="48">
                  <c:v>0</c:v>
                </c:pt>
                <c:pt idx="49">
                  <c:v>111708</c:v>
                </c:pt>
                <c:pt idx="50">
                  <c:v>0</c:v>
                </c:pt>
                <c:pt idx="51">
                  <c:v>0</c:v>
                </c:pt>
                <c:pt idx="52">
                  <c:v>115028</c:v>
                </c:pt>
                <c:pt idx="53">
                  <c:v>0</c:v>
                </c:pt>
                <c:pt idx="54">
                  <c:v>0</c:v>
                </c:pt>
                <c:pt idx="55">
                  <c:v>138995</c:v>
                </c:pt>
                <c:pt idx="56">
                  <c:v>0</c:v>
                </c:pt>
                <c:pt idx="57">
                  <c:v>142152</c:v>
                </c:pt>
                <c:pt idx="58">
                  <c:v>0</c:v>
                </c:pt>
                <c:pt idx="59">
                  <c:v>0</c:v>
                </c:pt>
                <c:pt idx="60">
                  <c:v>151660</c:v>
                </c:pt>
                <c:pt idx="61">
                  <c:v>0</c:v>
                </c:pt>
                <c:pt idx="62">
                  <c:v>150702</c:v>
                </c:pt>
                <c:pt idx="63">
                  <c:v>0</c:v>
                </c:pt>
                <c:pt idx="64">
                  <c:v>0</c:v>
                </c:pt>
                <c:pt idx="65">
                  <c:v>160453</c:v>
                </c:pt>
                <c:pt idx="66">
                  <c:v>0</c:v>
                </c:pt>
                <c:pt idx="67">
                  <c:v>169051</c:v>
                </c:pt>
                <c:pt idx="68">
                  <c:v>0</c:v>
                </c:pt>
                <c:pt idx="69">
                  <c:v>0</c:v>
                </c:pt>
                <c:pt idx="70">
                  <c:v>177778</c:v>
                </c:pt>
                <c:pt idx="71">
                  <c:v>0</c:v>
                </c:pt>
                <c:pt idx="72">
                  <c:v>0</c:v>
                </c:pt>
                <c:pt idx="73">
                  <c:v>185752</c:v>
                </c:pt>
                <c:pt idx="74">
                  <c:v>0</c:v>
                </c:pt>
                <c:pt idx="75">
                  <c:v>185846</c:v>
                </c:pt>
                <c:pt idx="76">
                  <c:v>0</c:v>
                </c:pt>
                <c:pt idx="77">
                  <c:v>0</c:v>
                </c:pt>
                <c:pt idx="78">
                  <c:v>190646</c:v>
                </c:pt>
                <c:pt idx="79">
                  <c:v>0</c:v>
                </c:pt>
                <c:pt idx="80">
                  <c:v>204502</c:v>
                </c:pt>
                <c:pt idx="81">
                  <c:v>0</c:v>
                </c:pt>
                <c:pt idx="82">
                  <c:v>0</c:v>
                </c:pt>
                <c:pt idx="83">
                  <c:v>216487</c:v>
                </c:pt>
                <c:pt idx="84">
                  <c:v>0</c:v>
                </c:pt>
                <c:pt idx="85">
                  <c:v>0</c:v>
                </c:pt>
                <c:pt idx="86">
                  <c:v>217490</c:v>
                </c:pt>
                <c:pt idx="87">
                  <c:v>0</c:v>
                </c:pt>
                <c:pt idx="88">
                  <c:v>233927</c:v>
                </c:pt>
                <c:pt idx="89">
                  <c:v>0</c:v>
                </c:pt>
                <c:pt idx="90">
                  <c:v>0</c:v>
                </c:pt>
                <c:pt idx="91">
                  <c:v>242248</c:v>
                </c:pt>
                <c:pt idx="92">
                  <c:v>0</c:v>
                </c:pt>
                <c:pt idx="93">
                  <c:v>230333</c:v>
                </c:pt>
                <c:pt idx="94">
                  <c:v>0</c:v>
                </c:pt>
                <c:pt idx="95">
                  <c:v>0</c:v>
                </c:pt>
                <c:pt idx="96">
                  <c:v>229274</c:v>
                </c:pt>
                <c:pt idx="97">
                  <c:v>0</c:v>
                </c:pt>
                <c:pt idx="98">
                  <c:v>228013</c:v>
                </c:pt>
                <c:pt idx="99">
                  <c:v>0</c:v>
                </c:pt>
                <c:pt idx="100">
                  <c:v>0</c:v>
                </c:pt>
                <c:pt idx="101">
                  <c:v>242980</c:v>
                </c:pt>
                <c:pt idx="102">
                  <c:v>0</c:v>
                </c:pt>
                <c:pt idx="103">
                  <c:v>0</c:v>
                </c:pt>
                <c:pt idx="104">
                  <c:v>229214</c:v>
                </c:pt>
                <c:pt idx="105">
                  <c:v>0</c:v>
                </c:pt>
                <c:pt idx="106">
                  <c:v>222661</c:v>
                </c:pt>
                <c:pt idx="107">
                  <c:v>0</c:v>
                </c:pt>
                <c:pt idx="108">
                  <c:v>0</c:v>
                </c:pt>
                <c:pt idx="109">
                  <c:v>229719</c:v>
                </c:pt>
                <c:pt idx="110">
                  <c:v>0</c:v>
                </c:pt>
                <c:pt idx="111">
                  <c:v>224373</c:v>
                </c:pt>
                <c:pt idx="112">
                  <c:v>0</c:v>
                </c:pt>
                <c:pt idx="113">
                  <c:v>0</c:v>
                </c:pt>
                <c:pt idx="114">
                  <c:v>217644</c:v>
                </c:pt>
                <c:pt idx="115">
                  <c:v>0</c:v>
                </c:pt>
                <c:pt idx="116">
                  <c:v>200655</c:v>
                </c:pt>
                <c:pt idx="117">
                  <c:v>0</c:v>
                </c:pt>
                <c:pt idx="118">
                  <c:v>0</c:v>
                </c:pt>
                <c:pt idx="119">
                  <c:v>179201</c:v>
                </c:pt>
                <c:pt idx="120">
                  <c:v>0</c:v>
                </c:pt>
                <c:pt idx="121">
                  <c:v>0</c:v>
                </c:pt>
                <c:pt idx="122">
                  <c:v>156897</c:v>
                </c:pt>
                <c:pt idx="123">
                  <c:v>0</c:v>
                </c:pt>
                <c:pt idx="124">
                  <c:v>147537</c:v>
                </c:pt>
                <c:pt idx="125">
                  <c:v>0</c:v>
                </c:pt>
                <c:pt idx="126">
                  <c:v>0</c:v>
                </c:pt>
                <c:pt idx="127">
                  <c:v>127539</c:v>
                </c:pt>
                <c:pt idx="128">
                  <c:v>0</c:v>
                </c:pt>
                <c:pt idx="129">
                  <c:v>107067</c:v>
                </c:pt>
                <c:pt idx="130">
                  <c:v>0</c:v>
                </c:pt>
                <c:pt idx="131">
                  <c:v>0</c:v>
                </c:pt>
                <c:pt idx="132">
                  <c:v>89893</c:v>
                </c:pt>
                <c:pt idx="133">
                  <c:v>0</c:v>
                </c:pt>
                <c:pt idx="134">
                  <c:v>73160</c:v>
                </c:pt>
                <c:pt idx="135">
                  <c:v>0</c:v>
                </c:pt>
                <c:pt idx="136">
                  <c:v>0</c:v>
                </c:pt>
                <c:pt idx="137">
                  <c:v>61075</c:v>
                </c:pt>
                <c:pt idx="138">
                  <c:v>0</c:v>
                </c:pt>
                <c:pt idx="139">
                  <c:v>0</c:v>
                </c:pt>
                <c:pt idx="140">
                  <c:v>56177</c:v>
                </c:pt>
                <c:pt idx="141">
                  <c:v>0</c:v>
                </c:pt>
                <c:pt idx="142">
                  <c:v>48178</c:v>
                </c:pt>
                <c:pt idx="143">
                  <c:v>0</c:v>
                </c:pt>
                <c:pt idx="144">
                  <c:v>0</c:v>
                </c:pt>
                <c:pt idx="145">
                  <c:v>34958</c:v>
                </c:pt>
                <c:pt idx="146">
                  <c:v>0</c:v>
                </c:pt>
                <c:pt idx="147">
                  <c:v>28603</c:v>
                </c:pt>
                <c:pt idx="148">
                  <c:v>0</c:v>
                </c:pt>
                <c:pt idx="149">
                  <c:v>0</c:v>
                </c:pt>
                <c:pt idx="150">
                  <c:v>23649</c:v>
                </c:pt>
                <c:pt idx="151">
                  <c:v>0</c:v>
                </c:pt>
                <c:pt idx="152">
                  <c:v>23913</c:v>
                </c:pt>
                <c:pt idx="153">
                  <c:v>0</c:v>
                </c:pt>
                <c:pt idx="154">
                  <c:v>0</c:v>
                </c:pt>
                <c:pt idx="155">
                  <c:v>17671</c:v>
                </c:pt>
                <c:pt idx="156">
                  <c:v>0</c:v>
                </c:pt>
                <c:pt idx="157">
                  <c:v>0</c:v>
                </c:pt>
                <c:pt idx="158">
                  <c:v>14843</c:v>
                </c:pt>
                <c:pt idx="159">
                  <c:v>0</c:v>
                </c:pt>
                <c:pt idx="160">
                  <c:v>9844</c:v>
                </c:pt>
                <c:pt idx="161">
                  <c:v>0</c:v>
                </c:pt>
                <c:pt idx="162">
                  <c:v>0</c:v>
                </c:pt>
                <c:pt idx="163">
                  <c:v>9122</c:v>
                </c:pt>
                <c:pt idx="164">
                  <c:v>0</c:v>
                </c:pt>
                <c:pt idx="165">
                  <c:v>6984</c:v>
                </c:pt>
                <c:pt idx="166">
                  <c:v>0</c:v>
                </c:pt>
                <c:pt idx="167">
                  <c:v>0</c:v>
                </c:pt>
                <c:pt idx="168">
                  <c:v>3914</c:v>
                </c:pt>
                <c:pt idx="169">
                  <c:v>0</c:v>
                </c:pt>
                <c:pt idx="170">
                  <c:v>0</c:v>
                </c:pt>
                <c:pt idx="171">
                  <c:v>1201</c:v>
                </c:pt>
                <c:pt idx="172">
                  <c:v>0</c:v>
                </c:pt>
                <c:pt idx="173">
                  <c:v>684</c:v>
                </c:pt>
                <c:pt idx="174">
                  <c:v>0</c:v>
                </c:pt>
                <c:pt idx="175">
                  <c:v>0</c:v>
                </c:pt>
                <c:pt idx="176">
                  <c:v>638</c:v>
                </c:pt>
                <c:pt idx="177">
                  <c:v>0</c:v>
                </c:pt>
                <c:pt idx="178">
                  <c:v>322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2.4576199999999999</c:v>
                </c:pt>
                <c:pt idx="1">
                  <c:v>2.52074</c:v>
                </c:pt>
                <c:pt idx="2">
                  <c:v>2.5822000000000003</c:v>
                </c:pt>
                <c:pt idx="3">
                  <c:v>2.6420500000000002</c:v>
                </c:pt>
                <c:pt idx="4">
                  <c:v>2.7014199999999997</c:v>
                </c:pt>
                <c:pt idx="5">
                  <c:v>2.7597500000000004</c:v>
                </c:pt>
                <c:pt idx="6">
                  <c:v>2.8174100000000002</c:v>
                </c:pt>
                <c:pt idx="7">
                  <c:v>2.8734900000000003</c:v>
                </c:pt>
                <c:pt idx="8">
                  <c:v>2.9288500000000002</c:v>
                </c:pt>
                <c:pt idx="9">
                  <c:v>2.9840599999999999</c:v>
                </c:pt>
                <c:pt idx="10">
                  <c:v>3.0392999999999999</c:v>
                </c:pt>
                <c:pt idx="11">
                  <c:v>3.0933600000000001</c:v>
                </c:pt>
                <c:pt idx="12">
                  <c:v>3.14697</c:v>
                </c:pt>
                <c:pt idx="13">
                  <c:v>3.1993800000000001</c:v>
                </c:pt>
                <c:pt idx="14">
                  <c:v>3.2488200000000003</c:v>
                </c:pt>
                <c:pt idx="15">
                  <c:v>3.2941599999999998</c:v>
                </c:pt>
                <c:pt idx="16">
                  <c:v>3.33439</c:v>
                </c:pt>
                <c:pt idx="17">
                  <c:v>3.3710899999999997</c:v>
                </c:pt>
                <c:pt idx="18">
                  <c:v>3.4051900000000002</c:v>
                </c:pt>
                <c:pt idx="19">
                  <c:v>3.4372000000000003</c:v>
                </c:pt>
                <c:pt idx="20">
                  <c:v>3.4665900000000001</c:v>
                </c:pt>
                <c:pt idx="21">
                  <c:v>3.4939499999999999</c:v>
                </c:pt>
                <c:pt idx="22">
                  <c:v>3.5199699999999998</c:v>
                </c:pt>
                <c:pt idx="23">
                  <c:v>3.5431900000000001</c:v>
                </c:pt>
                <c:pt idx="24">
                  <c:v>3.5683500000000001</c:v>
                </c:pt>
                <c:pt idx="25">
                  <c:v>3.5914200000000003</c:v>
                </c:pt>
                <c:pt idx="26">
                  <c:v>3.61029</c:v>
                </c:pt>
                <c:pt idx="27">
                  <c:v>3.62296</c:v>
                </c:pt>
                <c:pt idx="28">
                  <c:v>3.63103</c:v>
                </c:pt>
                <c:pt idx="29">
                  <c:v>3.6370499999999999</c:v>
                </c:pt>
                <c:pt idx="30">
                  <c:v>3.6405599999999998</c:v>
                </c:pt>
                <c:pt idx="31">
                  <c:v>3.6423699999999997</c:v>
                </c:pt>
                <c:pt idx="32">
                  <c:v>3.6416399999999998</c:v>
                </c:pt>
                <c:pt idx="33">
                  <c:v>3.6396699999999997</c:v>
                </c:pt>
                <c:pt idx="34">
                  <c:v>3.6356100000000002</c:v>
                </c:pt>
                <c:pt idx="35">
                  <c:v>3.6303299999999998</c:v>
                </c:pt>
                <c:pt idx="36">
                  <c:v>3.6220799999999995</c:v>
                </c:pt>
                <c:pt idx="37">
                  <c:v>3.6111</c:v>
                </c:pt>
                <c:pt idx="38">
                  <c:v>3.6001100000000004</c:v>
                </c:pt>
                <c:pt idx="39">
                  <c:v>3.59334</c:v>
                </c:pt>
                <c:pt idx="40">
                  <c:v>3.5872199999999999</c:v>
                </c:pt>
                <c:pt idx="41">
                  <c:v>3.5820000000000003</c:v>
                </c:pt>
                <c:pt idx="42">
                  <c:v>3.5800900000000002</c:v>
                </c:pt>
                <c:pt idx="43">
                  <c:v>3.5820499999999997</c:v>
                </c:pt>
                <c:pt idx="44">
                  <c:v>3.5865499999999999</c:v>
                </c:pt>
                <c:pt idx="45">
                  <c:v>3.5952600000000001</c:v>
                </c:pt>
                <c:pt idx="46">
                  <c:v>3.609</c:v>
                </c:pt>
                <c:pt idx="47">
                  <c:v>3.6235400000000002</c:v>
                </c:pt>
                <c:pt idx="48">
                  <c:v>3.6365599999999998</c:v>
                </c:pt>
                <c:pt idx="49">
                  <c:v>3.64846</c:v>
                </c:pt>
                <c:pt idx="50">
                  <c:v>3.6522199999999998</c:v>
                </c:pt>
                <c:pt idx="51">
                  <c:v>3.66689</c:v>
                </c:pt>
                <c:pt idx="52">
                  <c:v>3.68858</c:v>
                </c:pt>
                <c:pt idx="53">
                  <c:v>3.7134099999999997</c:v>
                </c:pt>
                <c:pt idx="54">
                  <c:v>3.7364700000000002</c:v>
                </c:pt>
                <c:pt idx="55">
                  <c:v>3.76119</c:v>
                </c:pt>
                <c:pt idx="56">
                  <c:v>3.7854999999999999</c:v>
                </c:pt>
                <c:pt idx="57">
                  <c:v>3.8102100000000001</c:v>
                </c:pt>
                <c:pt idx="58">
                  <c:v>3.8348</c:v>
                </c:pt>
                <c:pt idx="59">
                  <c:v>3.85826</c:v>
                </c:pt>
                <c:pt idx="60">
                  <c:v>3.8828499999999999</c:v>
                </c:pt>
                <c:pt idx="61">
                  <c:v>3.91086</c:v>
                </c:pt>
                <c:pt idx="62">
                  <c:v>3.94028</c:v>
                </c:pt>
                <c:pt idx="63">
                  <c:v>3.9681800000000003</c:v>
                </c:pt>
                <c:pt idx="64">
                  <c:v>3.9916400000000003</c:v>
                </c:pt>
                <c:pt idx="65">
                  <c:v>4.0133999999999999</c:v>
                </c:pt>
                <c:pt idx="66">
                  <c:v>4.0321199999999999</c:v>
                </c:pt>
                <c:pt idx="67">
                  <c:v>4.04582</c:v>
                </c:pt>
                <c:pt idx="68">
                  <c:v>4.05185</c:v>
                </c:pt>
                <c:pt idx="69">
                  <c:v>4.0541400000000003</c:v>
                </c:pt>
                <c:pt idx="70">
                  <c:v>4.0536499999999993</c:v>
                </c:pt>
                <c:pt idx="71">
                  <c:v>4.0486599999999999</c:v>
                </c:pt>
                <c:pt idx="72">
                  <c:v>4.0431099999999995</c:v>
                </c:pt>
                <c:pt idx="73">
                  <c:v>4.0381800000000005</c:v>
                </c:pt>
                <c:pt idx="74">
                  <c:v>4.0283199999999999</c:v>
                </c:pt>
                <c:pt idx="75">
                  <c:v>4.0136500000000002</c:v>
                </c:pt>
                <c:pt idx="76">
                  <c:v>4.0044899999999997</c:v>
                </c:pt>
                <c:pt idx="77">
                  <c:v>3.9939299999999998</c:v>
                </c:pt>
                <c:pt idx="78">
                  <c:v>3.9864100000000002</c:v>
                </c:pt>
                <c:pt idx="79">
                  <c:v>3.9809000000000001</c:v>
                </c:pt>
                <c:pt idx="80">
                  <c:v>3.9758</c:v>
                </c:pt>
                <c:pt idx="81">
                  <c:v>3.9719300000000004</c:v>
                </c:pt>
                <c:pt idx="82">
                  <c:v>3.9674199999999997</c:v>
                </c:pt>
                <c:pt idx="83">
                  <c:v>3.9630000000000001</c:v>
                </c:pt>
                <c:pt idx="84">
                  <c:v>3.9574799999999999</c:v>
                </c:pt>
                <c:pt idx="85">
                  <c:v>3.9479199999999999</c:v>
                </c:pt>
                <c:pt idx="86">
                  <c:v>3.9393699999999998</c:v>
                </c:pt>
                <c:pt idx="87">
                  <c:v>3.9325100000000002</c:v>
                </c:pt>
                <c:pt idx="88">
                  <c:v>3.92536</c:v>
                </c:pt>
                <c:pt idx="89">
                  <c:v>3.9140299999999999</c:v>
                </c:pt>
                <c:pt idx="90">
                  <c:v>3.90367</c:v>
                </c:pt>
                <c:pt idx="91">
                  <c:v>3.89337</c:v>
                </c:pt>
                <c:pt idx="92">
                  <c:v>3.8832699999999996</c:v>
                </c:pt>
                <c:pt idx="93">
                  <c:v>3.8737700000000004</c:v>
                </c:pt>
                <c:pt idx="94">
                  <c:v>3.8633800000000003</c:v>
                </c:pt>
                <c:pt idx="95">
                  <c:v>3.8528800000000003</c:v>
                </c:pt>
                <c:pt idx="96">
                  <c:v>3.8414700000000002</c:v>
                </c:pt>
                <c:pt idx="97">
                  <c:v>3.8270500000000003</c:v>
                </c:pt>
                <c:pt idx="98">
                  <c:v>3.8155299999999999</c:v>
                </c:pt>
                <c:pt idx="99">
                  <c:v>3.8052999999999999</c:v>
                </c:pt>
                <c:pt idx="100">
                  <c:v>3.7922899999999999</c:v>
                </c:pt>
                <c:pt idx="101">
                  <c:v>3.7745600000000001</c:v>
                </c:pt>
                <c:pt idx="102">
                  <c:v>3.7563999999999997</c:v>
                </c:pt>
                <c:pt idx="103">
                  <c:v>3.73732</c:v>
                </c:pt>
                <c:pt idx="104">
                  <c:v>3.7141800000000003</c:v>
                </c:pt>
                <c:pt idx="105">
                  <c:v>3.6905199999999998</c:v>
                </c:pt>
                <c:pt idx="106">
                  <c:v>3.6675499999999999</c:v>
                </c:pt>
                <c:pt idx="107">
                  <c:v>3.6469899999999997</c:v>
                </c:pt>
                <c:pt idx="108">
                  <c:v>3.6274099999999998</c:v>
                </c:pt>
                <c:pt idx="109">
                  <c:v>3.6090400000000002</c:v>
                </c:pt>
                <c:pt idx="110">
                  <c:v>3.5918299999999999</c:v>
                </c:pt>
                <c:pt idx="111">
                  <c:v>3.5708299999999999</c:v>
                </c:pt>
                <c:pt idx="112">
                  <c:v>3.5464000000000002</c:v>
                </c:pt>
                <c:pt idx="113">
                  <c:v>3.5259800000000001</c:v>
                </c:pt>
                <c:pt idx="114">
                  <c:v>3.5120400000000003</c:v>
                </c:pt>
                <c:pt idx="115">
                  <c:v>3.4996999999999998</c:v>
                </c:pt>
                <c:pt idx="116">
                  <c:v>3.4896199999999999</c:v>
                </c:pt>
                <c:pt idx="117">
                  <c:v>3.4843299999999999</c:v>
                </c:pt>
                <c:pt idx="118">
                  <c:v>3.4839399999999996</c:v>
                </c:pt>
                <c:pt idx="119">
                  <c:v>3.4832700000000001</c:v>
                </c:pt>
                <c:pt idx="120">
                  <c:v>3.4824799999999998</c:v>
                </c:pt>
                <c:pt idx="121">
                  <c:v>3.4825499999999998</c:v>
                </c:pt>
                <c:pt idx="122">
                  <c:v>3.4839599999999997</c:v>
                </c:pt>
                <c:pt idx="123">
                  <c:v>3.4864000000000002</c:v>
                </c:pt>
                <c:pt idx="124">
                  <c:v>3.4886499999999998</c:v>
                </c:pt>
                <c:pt idx="125">
                  <c:v>3.4926600000000003</c:v>
                </c:pt>
                <c:pt idx="126">
                  <c:v>3.4995099999999999</c:v>
                </c:pt>
                <c:pt idx="127">
                  <c:v>3.5059100000000001</c:v>
                </c:pt>
                <c:pt idx="128">
                  <c:v>3.5114800000000002</c:v>
                </c:pt>
                <c:pt idx="129">
                  <c:v>3.5196199999999997</c:v>
                </c:pt>
                <c:pt idx="130">
                  <c:v>3.5269400000000002</c:v>
                </c:pt>
                <c:pt idx="131">
                  <c:v>3.5331700000000001</c:v>
                </c:pt>
                <c:pt idx="132">
                  <c:v>3.5365400000000005</c:v>
                </c:pt>
                <c:pt idx="133">
                  <c:v>3.5380799999999999</c:v>
                </c:pt>
                <c:pt idx="134">
                  <c:v>3.5387499999999998</c:v>
                </c:pt>
                <c:pt idx="135">
                  <c:v>3.5382699999999998</c:v>
                </c:pt>
                <c:pt idx="136">
                  <c:v>3.5409000000000002</c:v>
                </c:pt>
                <c:pt idx="137">
                  <c:v>3.5433300000000001</c:v>
                </c:pt>
                <c:pt idx="138">
                  <c:v>3.54209</c:v>
                </c:pt>
                <c:pt idx="139">
                  <c:v>3.5385800000000001</c:v>
                </c:pt>
                <c:pt idx="140">
                  <c:v>3.5341800000000001</c:v>
                </c:pt>
                <c:pt idx="141">
                  <c:v>3.52929</c:v>
                </c:pt>
                <c:pt idx="142">
                  <c:v>3.5208499999999998</c:v>
                </c:pt>
                <c:pt idx="143">
                  <c:v>3.5010699999999999</c:v>
                </c:pt>
                <c:pt idx="144">
                  <c:v>3.4841499999999996</c:v>
                </c:pt>
                <c:pt idx="145">
                  <c:v>3.4705699999999999</c:v>
                </c:pt>
                <c:pt idx="146">
                  <c:v>3.4695199999999997</c:v>
                </c:pt>
                <c:pt idx="147">
                  <c:v>3.48977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61.433000000000007</c:v>
                </c:pt>
                <c:pt idx="1">
                  <c:v>60.867599999999996</c:v>
                </c:pt>
                <c:pt idx="2">
                  <c:v>60.282899999999998</c:v>
                </c:pt>
                <c:pt idx="3">
                  <c:v>59.647099999999995</c:v>
                </c:pt>
                <c:pt idx="4">
                  <c:v>59.056100000000001</c:v>
                </c:pt>
                <c:pt idx="5">
                  <c:v>58.4758</c:v>
                </c:pt>
                <c:pt idx="6">
                  <c:v>57.9375</c:v>
                </c:pt>
                <c:pt idx="7">
                  <c:v>57.324399999999997</c:v>
                </c:pt>
                <c:pt idx="8">
                  <c:v>56.704600000000006</c:v>
                </c:pt>
                <c:pt idx="9">
                  <c:v>55.9392</c:v>
                </c:pt>
                <c:pt idx="10">
                  <c:v>55.145699999999998</c:v>
                </c:pt>
                <c:pt idx="11">
                  <c:v>54.313699999999997</c:v>
                </c:pt>
                <c:pt idx="12">
                  <c:v>53.511800000000001</c:v>
                </c:pt>
                <c:pt idx="13">
                  <c:v>52.770300000000006</c:v>
                </c:pt>
                <c:pt idx="14">
                  <c:v>52.211399999999998</c:v>
                </c:pt>
                <c:pt idx="15">
                  <c:v>51.716799999999999</c:v>
                </c:pt>
                <c:pt idx="16">
                  <c:v>51.276500000000006</c:v>
                </c:pt>
                <c:pt idx="17">
                  <c:v>50.877399999999994</c:v>
                </c:pt>
                <c:pt idx="18">
                  <c:v>50.528600000000004</c:v>
                </c:pt>
                <c:pt idx="19">
                  <c:v>50.227599999999995</c:v>
                </c:pt>
                <c:pt idx="20">
                  <c:v>49.999500000000005</c:v>
                </c:pt>
                <c:pt idx="21">
                  <c:v>49.839199999999998</c:v>
                </c:pt>
                <c:pt idx="22">
                  <c:v>49.647799999999997</c:v>
                </c:pt>
                <c:pt idx="23">
                  <c:v>49.405000000000001</c:v>
                </c:pt>
                <c:pt idx="24">
                  <c:v>49.152699999999996</c:v>
                </c:pt>
                <c:pt idx="25">
                  <c:v>48.949100000000001</c:v>
                </c:pt>
                <c:pt idx="26">
                  <c:v>48.758899999999997</c:v>
                </c:pt>
                <c:pt idx="27">
                  <c:v>48.621499999999997</c:v>
                </c:pt>
                <c:pt idx="28">
                  <c:v>48.524299999999997</c:v>
                </c:pt>
                <c:pt idx="29">
                  <c:v>48.433700000000002</c:v>
                </c:pt>
                <c:pt idx="30">
                  <c:v>48.345199999999998</c:v>
                </c:pt>
                <c:pt idx="31">
                  <c:v>48.281199999999998</c:v>
                </c:pt>
                <c:pt idx="32">
                  <c:v>48.241399999999999</c:v>
                </c:pt>
                <c:pt idx="33">
                  <c:v>48.211799999999997</c:v>
                </c:pt>
                <c:pt idx="34">
                  <c:v>48.193399999999997</c:v>
                </c:pt>
                <c:pt idx="35">
                  <c:v>48.191499999999998</c:v>
                </c:pt>
                <c:pt idx="36">
                  <c:v>48.281500000000001</c:v>
                </c:pt>
                <c:pt idx="37">
                  <c:v>48.440899999999999</c:v>
                </c:pt>
                <c:pt idx="38">
                  <c:v>48.629600000000003</c:v>
                </c:pt>
                <c:pt idx="39">
                  <c:v>48.772599999999997</c:v>
                </c:pt>
                <c:pt idx="40">
                  <c:v>48.959699999999998</c:v>
                </c:pt>
                <c:pt idx="41">
                  <c:v>49.176600000000001</c:v>
                </c:pt>
                <c:pt idx="42">
                  <c:v>49.4041</c:v>
                </c:pt>
                <c:pt idx="43">
                  <c:v>49.576799999999999</c:v>
                </c:pt>
                <c:pt idx="44">
                  <c:v>49.691000000000003</c:v>
                </c:pt>
                <c:pt idx="45">
                  <c:v>49.734699999999997</c:v>
                </c:pt>
                <c:pt idx="46">
                  <c:v>49.659700000000001</c:v>
                </c:pt>
                <c:pt idx="47">
                  <c:v>49.589100000000002</c:v>
                </c:pt>
                <c:pt idx="48">
                  <c:v>49.515000000000001</c:v>
                </c:pt>
                <c:pt idx="49">
                  <c:v>49.366399999999999</c:v>
                </c:pt>
                <c:pt idx="50">
                  <c:v>49.345599999999997</c:v>
                </c:pt>
                <c:pt idx="51">
                  <c:v>49.106999999999999</c:v>
                </c:pt>
                <c:pt idx="52">
                  <c:v>48.808800000000005</c:v>
                </c:pt>
                <c:pt idx="53">
                  <c:v>48.516100000000002</c:v>
                </c:pt>
                <c:pt idx="54">
                  <c:v>48.282000000000004</c:v>
                </c:pt>
                <c:pt idx="55">
                  <c:v>48.0794</c:v>
                </c:pt>
                <c:pt idx="56">
                  <c:v>47.941800000000001</c:v>
                </c:pt>
                <c:pt idx="57">
                  <c:v>47.891600000000004</c:v>
                </c:pt>
                <c:pt idx="58">
                  <c:v>47.883800000000001</c:v>
                </c:pt>
                <c:pt idx="59">
                  <c:v>47.924700000000001</c:v>
                </c:pt>
                <c:pt idx="60">
                  <c:v>48.011700000000005</c:v>
                </c:pt>
                <c:pt idx="61">
                  <c:v>48.092600000000004</c:v>
                </c:pt>
                <c:pt idx="62">
                  <c:v>48.167400000000001</c:v>
                </c:pt>
                <c:pt idx="63">
                  <c:v>48.2712</c:v>
                </c:pt>
                <c:pt idx="64">
                  <c:v>48.421300000000002</c:v>
                </c:pt>
                <c:pt idx="65">
                  <c:v>48.574600000000004</c:v>
                </c:pt>
                <c:pt idx="66">
                  <c:v>48.734000000000002</c:v>
                </c:pt>
                <c:pt idx="67">
                  <c:v>48.8536</c:v>
                </c:pt>
                <c:pt idx="68">
                  <c:v>48.958100000000002</c:v>
                </c:pt>
                <c:pt idx="69">
                  <c:v>49.018000000000001</c:v>
                </c:pt>
                <c:pt idx="70">
                  <c:v>49.056800000000003</c:v>
                </c:pt>
                <c:pt idx="71">
                  <c:v>49.0837</c:v>
                </c:pt>
                <c:pt idx="72">
                  <c:v>49.1389</c:v>
                </c:pt>
                <c:pt idx="73">
                  <c:v>49.215800000000002</c:v>
                </c:pt>
                <c:pt idx="74">
                  <c:v>49.293399999999998</c:v>
                </c:pt>
                <c:pt idx="75">
                  <c:v>49.364699999999999</c:v>
                </c:pt>
                <c:pt idx="76">
                  <c:v>49.4816</c:v>
                </c:pt>
                <c:pt idx="77">
                  <c:v>49.597000000000001</c:v>
                </c:pt>
                <c:pt idx="78">
                  <c:v>49.684800000000003</c:v>
                </c:pt>
                <c:pt idx="79">
                  <c:v>49.776199999999996</c:v>
                </c:pt>
                <c:pt idx="80">
                  <c:v>49.8598</c:v>
                </c:pt>
                <c:pt idx="81">
                  <c:v>49.9009</c:v>
                </c:pt>
                <c:pt idx="82">
                  <c:v>49.896900000000002</c:v>
                </c:pt>
                <c:pt idx="83">
                  <c:v>49.889299999999999</c:v>
                </c:pt>
                <c:pt idx="84">
                  <c:v>49.849800000000002</c:v>
                </c:pt>
                <c:pt idx="85">
                  <c:v>49.816099999999999</c:v>
                </c:pt>
                <c:pt idx="86">
                  <c:v>49.758800000000001</c:v>
                </c:pt>
                <c:pt idx="87">
                  <c:v>49.693199999999997</c:v>
                </c:pt>
                <c:pt idx="88">
                  <c:v>49.607800000000005</c:v>
                </c:pt>
                <c:pt idx="89">
                  <c:v>49.591499999999996</c:v>
                </c:pt>
                <c:pt idx="90">
                  <c:v>49.551200000000001</c:v>
                </c:pt>
                <c:pt idx="91">
                  <c:v>49.502000000000002</c:v>
                </c:pt>
                <c:pt idx="92">
                  <c:v>49.415900000000001</c:v>
                </c:pt>
                <c:pt idx="93">
                  <c:v>49.2973</c:v>
                </c:pt>
                <c:pt idx="94">
                  <c:v>49.192300000000003</c:v>
                </c:pt>
                <c:pt idx="95">
                  <c:v>49.076500000000003</c:v>
                </c:pt>
                <c:pt idx="96">
                  <c:v>48.967399999999998</c:v>
                </c:pt>
                <c:pt idx="97">
                  <c:v>48.838300000000004</c:v>
                </c:pt>
                <c:pt idx="98">
                  <c:v>48.7239</c:v>
                </c:pt>
                <c:pt idx="99">
                  <c:v>48.631799999999998</c:v>
                </c:pt>
                <c:pt idx="100">
                  <c:v>48.513500000000001</c:v>
                </c:pt>
                <c:pt idx="101">
                  <c:v>48.389099999999999</c:v>
                </c:pt>
                <c:pt idx="102">
                  <c:v>48.295100000000005</c:v>
                </c:pt>
                <c:pt idx="103">
                  <c:v>48.229799999999997</c:v>
                </c:pt>
                <c:pt idx="104">
                  <c:v>48.178199999999997</c:v>
                </c:pt>
                <c:pt idx="105">
                  <c:v>48.1524</c:v>
                </c:pt>
                <c:pt idx="106">
                  <c:v>48.128999999999998</c:v>
                </c:pt>
                <c:pt idx="107">
                  <c:v>48.104500000000002</c:v>
                </c:pt>
                <c:pt idx="108">
                  <c:v>48.1</c:v>
                </c:pt>
                <c:pt idx="109">
                  <c:v>48.089799999999997</c:v>
                </c:pt>
                <c:pt idx="110">
                  <c:v>48.023800000000001</c:v>
                </c:pt>
                <c:pt idx="111">
                  <c:v>48.043700000000001</c:v>
                </c:pt>
                <c:pt idx="112">
                  <c:v>48.193100000000001</c:v>
                </c:pt>
                <c:pt idx="113">
                  <c:v>48.239599999999996</c:v>
                </c:pt>
                <c:pt idx="114">
                  <c:v>48.101599999999998</c:v>
                </c:pt>
                <c:pt idx="115">
                  <c:v>47.929899999999996</c:v>
                </c:pt>
                <c:pt idx="116">
                  <c:v>47.715699999999998</c:v>
                </c:pt>
                <c:pt idx="117">
                  <c:v>47.414899999999996</c:v>
                </c:pt>
                <c:pt idx="118">
                  <c:v>47.031500000000001</c:v>
                </c:pt>
                <c:pt idx="119">
                  <c:v>46.7121</c:v>
                </c:pt>
                <c:pt idx="120">
                  <c:v>46.445900000000002</c:v>
                </c:pt>
                <c:pt idx="121">
                  <c:v>46.203400000000002</c:v>
                </c:pt>
                <c:pt idx="122">
                  <c:v>45.972000000000001</c:v>
                </c:pt>
                <c:pt idx="123">
                  <c:v>45.763999999999996</c:v>
                </c:pt>
                <c:pt idx="124">
                  <c:v>45.587600000000002</c:v>
                </c:pt>
                <c:pt idx="125">
                  <c:v>45.3996</c:v>
                </c:pt>
                <c:pt idx="126">
                  <c:v>45.196899999999999</c:v>
                </c:pt>
                <c:pt idx="127">
                  <c:v>44.991999999999997</c:v>
                </c:pt>
                <c:pt idx="128">
                  <c:v>44.790400000000005</c:v>
                </c:pt>
                <c:pt idx="129">
                  <c:v>44.557200000000002</c:v>
                </c:pt>
                <c:pt idx="130">
                  <c:v>44.286900000000003</c:v>
                </c:pt>
                <c:pt idx="131">
                  <c:v>44.020299999999999</c:v>
                </c:pt>
                <c:pt idx="132">
                  <c:v>43.769500000000001</c:v>
                </c:pt>
                <c:pt idx="133">
                  <c:v>43.523299999999999</c:v>
                </c:pt>
                <c:pt idx="134">
                  <c:v>43.268799999999999</c:v>
                </c:pt>
                <c:pt idx="135">
                  <c:v>43.089399999999998</c:v>
                </c:pt>
                <c:pt idx="136">
                  <c:v>42.9041</c:v>
                </c:pt>
                <c:pt idx="137">
                  <c:v>42.731499999999997</c:v>
                </c:pt>
                <c:pt idx="138">
                  <c:v>42.6539</c:v>
                </c:pt>
                <c:pt idx="139">
                  <c:v>42.632300000000001</c:v>
                </c:pt>
                <c:pt idx="140">
                  <c:v>42.610100000000003</c:v>
                </c:pt>
                <c:pt idx="141">
                  <c:v>42.572900000000004</c:v>
                </c:pt>
                <c:pt idx="142">
                  <c:v>42.653300000000002</c:v>
                </c:pt>
                <c:pt idx="143">
                  <c:v>43.0685</c:v>
                </c:pt>
                <c:pt idx="144">
                  <c:v>43.476500000000001</c:v>
                </c:pt>
                <c:pt idx="145">
                  <c:v>43.7926</c:v>
                </c:pt>
                <c:pt idx="146">
                  <c:v>43.861499999999999</c:v>
                </c:pt>
                <c:pt idx="147">
                  <c:v>43.431899999999999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2.4576199999999999</c:v>
                </c:pt>
                <c:pt idx="1">
                  <c:v>2.52074</c:v>
                </c:pt>
                <c:pt idx="2">
                  <c:v>2.5822000000000003</c:v>
                </c:pt>
                <c:pt idx="3">
                  <c:v>2.6420500000000002</c:v>
                </c:pt>
                <c:pt idx="4">
                  <c:v>2.7014199999999997</c:v>
                </c:pt>
                <c:pt idx="5">
                  <c:v>2.7597500000000004</c:v>
                </c:pt>
                <c:pt idx="6">
                  <c:v>2.8174100000000002</c:v>
                </c:pt>
                <c:pt idx="7">
                  <c:v>2.8734900000000003</c:v>
                </c:pt>
                <c:pt idx="8">
                  <c:v>2.9288500000000002</c:v>
                </c:pt>
                <c:pt idx="9">
                  <c:v>2.9840599999999999</c:v>
                </c:pt>
                <c:pt idx="10">
                  <c:v>3.0392999999999999</c:v>
                </c:pt>
                <c:pt idx="11">
                  <c:v>3.0933600000000001</c:v>
                </c:pt>
                <c:pt idx="12">
                  <c:v>3.14697</c:v>
                </c:pt>
                <c:pt idx="13">
                  <c:v>3.1993800000000001</c:v>
                </c:pt>
                <c:pt idx="14">
                  <c:v>3.2488200000000003</c:v>
                </c:pt>
                <c:pt idx="15">
                  <c:v>3.2941599999999998</c:v>
                </c:pt>
                <c:pt idx="16">
                  <c:v>3.33439</c:v>
                </c:pt>
                <c:pt idx="17">
                  <c:v>3.3710899999999997</c:v>
                </c:pt>
                <c:pt idx="18">
                  <c:v>3.4051900000000002</c:v>
                </c:pt>
                <c:pt idx="19">
                  <c:v>3.4372000000000003</c:v>
                </c:pt>
                <c:pt idx="20">
                  <c:v>3.4665900000000001</c:v>
                </c:pt>
                <c:pt idx="21">
                  <c:v>3.4939499999999999</c:v>
                </c:pt>
                <c:pt idx="22">
                  <c:v>3.5199699999999998</c:v>
                </c:pt>
                <c:pt idx="23">
                  <c:v>3.5431900000000001</c:v>
                </c:pt>
                <c:pt idx="24">
                  <c:v>3.5683500000000001</c:v>
                </c:pt>
                <c:pt idx="25">
                  <c:v>3.5914200000000003</c:v>
                </c:pt>
                <c:pt idx="26">
                  <c:v>3.61029</c:v>
                </c:pt>
                <c:pt idx="27">
                  <c:v>3.62296</c:v>
                </c:pt>
                <c:pt idx="28">
                  <c:v>3.63103</c:v>
                </c:pt>
                <c:pt idx="29">
                  <c:v>3.6370499999999999</c:v>
                </c:pt>
                <c:pt idx="30">
                  <c:v>3.6405599999999998</c:v>
                </c:pt>
                <c:pt idx="31">
                  <c:v>3.6423699999999997</c:v>
                </c:pt>
                <c:pt idx="32">
                  <c:v>3.6416399999999998</c:v>
                </c:pt>
                <c:pt idx="33">
                  <c:v>3.6396699999999997</c:v>
                </c:pt>
                <c:pt idx="34">
                  <c:v>3.6356100000000002</c:v>
                </c:pt>
                <c:pt idx="35">
                  <c:v>3.6303299999999998</c:v>
                </c:pt>
                <c:pt idx="36">
                  <c:v>3.6220799999999995</c:v>
                </c:pt>
                <c:pt idx="37">
                  <c:v>3.6111</c:v>
                </c:pt>
                <c:pt idx="38">
                  <c:v>3.6001100000000004</c:v>
                </c:pt>
                <c:pt idx="39">
                  <c:v>3.59334</c:v>
                </c:pt>
                <c:pt idx="40">
                  <c:v>3.5872199999999999</c:v>
                </c:pt>
                <c:pt idx="41">
                  <c:v>3.5820000000000003</c:v>
                </c:pt>
                <c:pt idx="42">
                  <c:v>3.5800900000000002</c:v>
                </c:pt>
                <c:pt idx="43">
                  <c:v>3.5820499999999997</c:v>
                </c:pt>
                <c:pt idx="44">
                  <c:v>3.5865499999999999</c:v>
                </c:pt>
                <c:pt idx="45">
                  <c:v>3.5952600000000001</c:v>
                </c:pt>
                <c:pt idx="46">
                  <c:v>3.609</c:v>
                </c:pt>
                <c:pt idx="47">
                  <c:v>3.6235400000000002</c:v>
                </c:pt>
                <c:pt idx="48">
                  <c:v>3.6365599999999998</c:v>
                </c:pt>
                <c:pt idx="49">
                  <c:v>3.64846</c:v>
                </c:pt>
                <c:pt idx="50">
                  <c:v>3.6522199999999998</c:v>
                </c:pt>
                <c:pt idx="51">
                  <c:v>3.66689</c:v>
                </c:pt>
                <c:pt idx="52">
                  <c:v>3.68858</c:v>
                </c:pt>
                <c:pt idx="53">
                  <c:v>3.7134099999999997</c:v>
                </c:pt>
                <c:pt idx="54">
                  <c:v>3.7364700000000002</c:v>
                </c:pt>
                <c:pt idx="55">
                  <c:v>3.76119</c:v>
                </c:pt>
                <c:pt idx="56">
                  <c:v>3.7854999999999999</c:v>
                </c:pt>
                <c:pt idx="57">
                  <c:v>3.8102100000000001</c:v>
                </c:pt>
                <c:pt idx="58">
                  <c:v>3.8348</c:v>
                </c:pt>
                <c:pt idx="59">
                  <c:v>3.85826</c:v>
                </c:pt>
                <c:pt idx="60">
                  <c:v>3.8828499999999999</c:v>
                </c:pt>
                <c:pt idx="61">
                  <c:v>3.91086</c:v>
                </c:pt>
                <c:pt idx="62">
                  <c:v>3.94028</c:v>
                </c:pt>
                <c:pt idx="63">
                  <c:v>3.9681800000000003</c:v>
                </c:pt>
                <c:pt idx="64">
                  <c:v>3.9916400000000003</c:v>
                </c:pt>
                <c:pt idx="65">
                  <c:v>4.0133999999999999</c:v>
                </c:pt>
                <c:pt idx="66">
                  <c:v>4.0321199999999999</c:v>
                </c:pt>
                <c:pt idx="67">
                  <c:v>4.04582</c:v>
                </c:pt>
                <c:pt idx="68">
                  <c:v>4.05185</c:v>
                </c:pt>
                <c:pt idx="69">
                  <c:v>4.0541400000000003</c:v>
                </c:pt>
                <c:pt idx="70">
                  <c:v>4.0536499999999993</c:v>
                </c:pt>
                <c:pt idx="71">
                  <c:v>4.0486599999999999</c:v>
                </c:pt>
                <c:pt idx="72">
                  <c:v>4.0431099999999995</c:v>
                </c:pt>
                <c:pt idx="73">
                  <c:v>4.0381800000000005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61.433000000000007</c:v>
                </c:pt>
                <c:pt idx="1">
                  <c:v>60.867599999999996</c:v>
                </c:pt>
                <c:pt idx="2">
                  <c:v>60.282899999999998</c:v>
                </c:pt>
                <c:pt idx="3">
                  <c:v>59.647099999999995</c:v>
                </c:pt>
                <c:pt idx="4">
                  <c:v>59.056100000000001</c:v>
                </c:pt>
                <c:pt idx="5">
                  <c:v>58.4758</c:v>
                </c:pt>
                <c:pt idx="6">
                  <c:v>57.9375</c:v>
                </c:pt>
                <c:pt idx="7">
                  <c:v>57.324399999999997</c:v>
                </c:pt>
                <c:pt idx="8">
                  <c:v>56.704600000000006</c:v>
                </c:pt>
                <c:pt idx="9">
                  <c:v>55.9392</c:v>
                </c:pt>
                <c:pt idx="10">
                  <c:v>55.145699999999998</c:v>
                </c:pt>
                <c:pt idx="11">
                  <c:v>54.313699999999997</c:v>
                </c:pt>
                <c:pt idx="12">
                  <c:v>53.511800000000001</c:v>
                </c:pt>
                <c:pt idx="13">
                  <c:v>52.770300000000006</c:v>
                </c:pt>
                <c:pt idx="14">
                  <c:v>52.211399999999998</c:v>
                </c:pt>
                <c:pt idx="15">
                  <c:v>51.716799999999999</c:v>
                </c:pt>
                <c:pt idx="16">
                  <c:v>51.276500000000006</c:v>
                </c:pt>
                <c:pt idx="17">
                  <c:v>50.877399999999994</c:v>
                </c:pt>
                <c:pt idx="18">
                  <c:v>50.528600000000004</c:v>
                </c:pt>
                <c:pt idx="19">
                  <c:v>50.227599999999995</c:v>
                </c:pt>
                <c:pt idx="20">
                  <c:v>49.999500000000005</c:v>
                </c:pt>
                <c:pt idx="21">
                  <c:v>49.839199999999998</c:v>
                </c:pt>
                <c:pt idx="22">
                  <c:v>49.647799999999997</c:v>
                </c:pt>
                <c:pt idx="23">
                  <c:v>49.405000000000001</c:v>
                </c:pt>
                <c:pt idx="24">
                  <c:v>49.152699999999996</c:v>
                </c:pt>
                <c:pt idx="25">
                  <c:v>48.949100000000001</c:v>
                </c:pt>
                <c:pt idx="26">
                  <c:v>48.758899999999997</c:v>
                </c:pt>
                <c:pt idx="27">
                  <c:v>48.621499999999997</c:v>
                </c:pt>
                <c:pt idx="28">
                  <c:v>48.524299999999997</c:v>
                </c:pt>
                <c:pt idx="29">
                  <c:v>48.433700000000002</c:v>
                </c:pt>
                <c:pt idx="30">
                  <c:v>48.345199999999998</c:v>
                </c:pt>
                <c:pt idx="31">
                  <c:v>48.281199999999998</c:v>
                </c:pt>
                <c:pt idx="32">
                  <c:v>48.241399999999999</c:v>
                </c:pt>
                <c:pt idx="33">
                  <c:v>48.211799999999997</c:v>
                </c:pt>
                <c:pt idx="34">
                  <c:v>48.193399999999997</c:v>
                </c:pt>
                <c:pt idx="35">
                  <c:v>48.191499999999998</c:v>
                </c:pt>
                <c:pt idx="36">
                  <c:v>48.281500000000001</c:v>
                </c:pt>
                <c:pt idx="37">
                  <c:v>48.440899999999999</c:v>
                </c:pt>
                <c:pt idx="38">
                  <c:v>48.629600000000003</c:v>
                </c:pt>
                <c:pt idx="39">
                  <c:v>48.772599999999997</c:v>
                </c:pt>
                <c:pt idx="40">
                  <c:v>48.959699999999998</c:v>
                </c:pt>
                <c:pt idx="41">
                  <c:v>49.176600000000001</c:v>
                </c:pt>
                <c:pt idx="42">
                  <c:v>49.4041</c:v>
                </c:pt>
                <c:pt idx="43">
                  <c:v>49.576799999999999</c:v>
                </c:pt>
                <c:pt idx="44">
                  <c:v>49.691000000000003</c:v>
                </c:pt>
                <c:pt idx="45">
                  <c:v>49.734699999999997</c:v>
                </c:pt>
                <c:pt idx="46">
                  <c:v>49.659700000000001</c:v>
                </c:pt>
                <c:pt idx="47">
                  <c:v>49.589100000000002</c:v>
                </c:pt>
                <c:pt idx="48">
                  <c:v>49.515000000000001</c:v>
                </c:pt>
                <c:pt idx="49">
                  <c:v>49.366399999999999</c:v>
                </c:pt>
                <c:pt idx="50">
                  <c:v>49.345599999999997</c:v>
                </c:pt>
                <c:pt idx="51">
                  <c:v>49.106999999999999</c:v>
                </c:pt>
                <c:pt idx="52">
                  <c:v>48.808800000000005</c:v>
                </c:pt>
                <c:pt idx="53">
                  <c:v>48.516100000000002</c:v>
                </c:pt>
                <c:pt idx="54">
                  <c:v>48.282000000000004</c:v>
                </c:pt>
                <c:pt idx="55">
                  <c:v>48.0794</c:v>
                </c:pt>
                <c:pt idx="56">
                  <c:v>47.941800000000001</c:v>
                </c:pt>
                <c:pt idx="57">
                  <c:v>47.891600000000004</c:v>
                </c:pt>
                <c:pt idx="58">
                  <c:v>47.883800000000001</c:v>
                </c:pt>
                <c:pt idx="59">
                  <c:v>47.924700000000001</c:v>
                </c:pt>
                <c:pt idx="60">
                  <c:v>48.011700000000005</c:v>
                </c:pt>
                <c:pt idx="61">
                  <c:v>48.092600000000004</c:v>
                </c:pt>
                <c:pt idx="62">
                  <c:v>48.167400000000001</c:v>
                </c:pt>
                <c:pt idx="63">
                  <c:v>48.2712</c:v>
                </c:pt>
                <c:pt idx="64">
                  <c:v>48.421300000000002</c:v>
                </c:pt>
                <c:pt idx="65">
                  <c:v>48.574600000000004</c:v>
                </c:pt>
                <c:pt idx="66">
                  <c:v>48.734000000000002</c:v>
                </c:pt>
                <c:pt idx="67">
                  <c:v>48.8536</c:v>
                </c:pt>
                <c:pt idx="68">
                  <c:v>48.958100000000002</c:v>
                </c:pt>
                <c:pt idx="69">
                  <c:v>49.018000000000001</c:v>
                </c:pt>
                <c:pt idx="70">
                  <c:v>49.056800000000003</c:v>
                </c:pt>
                <c:pt idx="71">
                  <c:v>49.0837</c:v>
                </c:pt>
                <c:pt idx="72">
                  <c:v>49.1389</c:v>
                </c:pt>
                <c:pt idx="73">
                  <c:v>49.215800000000002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4.0381800000000005</c:v>
                </c:pt>
                <c:pt idx="1">
                  <c:v>4.0283199999999999</c:v>
                </c:pt>
                <c:pt idx="2">
                  <c:v>4.0136500000000002</c:v>
                </c:pt>
                <c:pt idx="3">
                  <c:v>4.0044899999999997</c:v>
                </c:pt>
                <c:pt idx="4">
                  <c:v>3.9939299999999998</c:v>
                </c:pt>
                <c:pt idx="5">
                  <c:v>3.9864100000000002</c:v>
                </c:pt>
                <c:pt idx="6">
                  <c:v>3.9809000000000001</c:v>
                </c:pt>
                <c:pt idx="7">
                  <c:v>3.9758</c:v>
                </c:pt>
                <c:pt idx="8">
                  <c:v>3.9719300000000004</c:v>
                </c:pt>
                <c:pt idx="9">
                  <c:v>3.9674199999999997</c:v>
                </c:pt>
                <c:pt idx="10">
                  <c:v>3.9630000000000001</c:v>
                </c:pt>
                <c:pt idx="11">
                  <c:v>3.9574799999999999</c:v>
                </c:pt>
                <c:pt idx="12">
                  <c:v>3.9479199999999999</c:v>
                </c:pt>
                <c:pt idx="13">
                  <c:v>3.9393699999999998</c:v>
                </c:pt>
                <c:pt idx="14">
                  <c:v>3.9325100000000002</c:v>
                </c:pt>
                <c:pt idx="15">
                  <c:v>3.92536</c:v>
                </c:pt>
                <c:pt idx="16">
                  <c:v>3.9140299999999999</c:v>
                </c:pt>
                <c:pt idx="17">
                  <c:v>3.90367</c:v>
                </c:pt>
                <c:pt idx="18">
                  <c:v>3.89337</c:v>
                </c:pt>
                <c:pt idx="19">
                  <c:v>3.8832699999999996</c:v>
                </c:pt>
                <c:pt idx="20">
                  <c:v>3.8737700000000004</c:v>
                </c:pt>
                <c:pt idx="21">
                  <c:v>3.8633800000000003</c:v>
                </c:pt>
                <c:pt idx="22">
                  <c:v>3.8528800000000003</c:v>
                </c:pt>
                <c:pt idx="23">
                  <c:v>3.8414700000000002</c:v>
                </c:pt>
                <c:pt idx="24">
                  <c:v>3.8270500000000003</c:v>
                </c:pt>
                <c:pt idx="25">
                  <c:v>3.8155299999999999</c:v>
                </c:pt>
                <c:pt idx="26">
                  <c:v>3.8052999999999999</c:v>
                </c:pt>
                <c:pt idx="27">
                  <c:v>3.7922899999999999</c:v>
                </c:pt>
                <c:pt idx="28">
                  <c:v>3.7745600000000001</c:v>
                </c:pt>
                <c:pt idx="29">
                  <c:v>3.7563999999999997</c:v>
                </c:pt>
                <c:pt idx="30">
                  <c:v>3.73732</c:v>
                </c:pt>
                <c:pt idx="31">
                  <c:v>3.7141800000000003</c:v>
                </c:pt>
                <c:pt idx="32">
                  <c:v>3.6905199999999998</c:v>
                </c:pt>
                <c:pt idx="33">
                  <c:v>3.6675499999999999</c:v>
                </c:pt>
                <c:pt idx="34">
                  <c:v>3.6469899999999997</c:v>
                </c:pt>
                <c:pt idx="35">
                  <c:v>3.6274099999999998</c:v>
                </c:pt>
                <c:pt idx="36">
                  <c:v>3.6090400000000002</c:v>
                </c:pt>
                <c:pt idx="37">
                  <c:v>3.5918299999999999</c:v>
                </c:pt>
                <c:pt idx="38">
                  <c:v>3.5708299999999999</c:v>
                </c:pt>
                <c:pt idx="39">
                  <c:v>3.5464000000000002</c:v>
                </c:pt>
                <c:pt idx="40">
                  <c:v>3.5259800000000001</c:v>
                </c:pt>
                <c:pt idx="41">
                  <c:v>3.5120400000000003</c:v>
                </c:pt>
                <c:pt idx="42">
                  <c:v>3.4996999999999998</c:v>
                </c:pt>
                <c:pt idx="43">
                  <c:v>3.4896199999999999</c:v>
                </c:pt>
                <c:pt idx="44">
                  <c:v>3.4843299999999999</c:v>
                </c:pt>
                <c:pt idx="45">
                  <c:v>3.4839399999999996</c:v>
                </c:pt>
                <c:pt idx="46">
                  <c:v>3.4832700000000001</c:v>
                </c:pt>
                <c:pt idx="47">
                  <c:v>3.4824799999999998</c:v>
                </c:pt>
                <c:pt idx="48">
                  <c:v>3.4825499999999998</c:v>
                </c:pt>
                <c:pt idx="49">
                  <c:v>3.4839599999999997</c:v>
                </c:pt>
                <c:pt idx="50">
                  <c:v>3.4864000000000002</c:v>
                </c:pt>
                <c:pt idx="51">
                  <c:v>3.4886499999999998</c:v>
                </c:pt>
                <c:pt idx="52">
                  <c:v>3.4926600000000003</c:v>
                </c:pt>
                <c:pt idx="53">
                  <c:v>3.4995099999999999</c:v>
                </c:pt>
                <c:pt idx="54">
                  <c:v>3.5059100000000001</c:v>
                </c:pt>
                <c:pt idx="55">
                  <c:v>3.5114800000000002</c:v>
                </c:pt>
                <c:pt idx="56">
                  <c:v>3.5196199999999997</c:v>
                </c:pt>
                <c:pt idx="57">
                  <c:v>3.5269400000000002</c:v>
                </c:pt>
                <c:pt idx="58">
                  <c:v>3.5331700000000001</c:v>
                </c:pt>
                <c:pt idx="59">
                  <c:v>3.5365400000000005</c:v>
                </c:pt>
                <c:pt idx="60">
                  <c:v>3.5380799999999999</c:v>
                </c:pt>
                <c:pt idx="61">
                  <c:v>3.5387499999999998</c:v>
                </c:pt>
                <c:pt idx="62">
                  <c:v>3.5382699999999998</c:v>
                </c:pt>
                <c:pt idx="63">
                  <c:v>3.5409000000000002</c:v>
                </c:pt>
                <c:pt idx="64">
                  <c:v>3.5433300000000001</c:v>
                </c:pt>
                <c:pt idx="65">
                  <c:v>3.54209</c:v>
                </c:pt>
                <c:pt idx="66">
                  <c:v>3.5385800000000001</c:v>
                </c:pt>
                <c:pt idx="67">
                  <c:v>3.5341800000000001</c:v>
                </c:pt>
                <c:pt idx="68">
                  <c:v>3.52929</c:v>
                </c:pt>
                <c:pt idx="69">
                  <c:v>3.5208499999999998</c:v>
                </c:pt>
                <c:pt idx="70">
                  <c:v>3.5010699999999999</c:v>
                </c:pt>
                <c:pt idx="71">
                  <c:v>3.4841499999999996</c:v>
                </c:pt>
                <c:pt idx="72">
                  <c:v>3.4705699999999999</c:v>
                </c:pt>
                <c:pt idx="73">
                  <c:v>3.4695199999999997</c:v>
                </c:pt>
                <c:pt idx="74">
                  <c:v>3.48977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49.215800000000002</c:v>
                </c:pt>
                <c:pt idx="1">
                  <c:v>49.293399999999998</c:v>
                </c:pt>
                <c:pt idx="2">
                  <c:v>49.364699999999999</c:v>
                </c:pt>
                <c:pt idx="3">
                  <c:v>49.4816</c:v>
                </c:pt>
                <c:pt idx="4">
                  <c:v>49.597000000000001</c:v>
                </c:pt>
                <c:pt idx="5">
                  <c:v>49.684800000000003</c:v>
                </c:pt>
                <c:pt idx="6">
                  <c:v>49.776199999999996</c:v>
                </c:pt>
                <c:pt idx="7">
                  <c:v>49.8598</c:v>
                </c:pt>
                <c:pt idx="8">
                  <c:v>49.9009</c:v>
                </c:pt>
                <c:pt idx="9">
                  <c:v>49.896900000000002</c:v>
                </c:pt>
                <c:pt idx="10">
                  <c:v>49.889299999999999</c:v>
                </c:pt>
                <c:pt idx="11">
                  <c:v>49.849800000000002</c:v>
                </c:pt>
                <c:pt idx="12">
                  <c:v>49.816099999999999</c:v>
                </c:pt>
                <c:pt idx="13">
                  <c:v>49.758800000000001</c:v>
                </c:pt>
                <c:pt idx="14">
                  <c:v>49.693199999999997</c:v>
                </c:pt>
                <c:pt idx="15">
                  <c:v>49.607800000000005</c:v>
                </c:pt>
                <c:pt idx="16">
                  <c:v>49.591499999999996</c:v>
                </c:pt>
                <c:pt idx="17">
                  <c:v>49.551200000000001</c:v>
                </c:pt>
                <c:pt idx="18">
                  <c:v>49.502000000000002</c:v>
                </c:pt>
                <c:pt idx="19">
                  <c:v>49.415900000000001</c:v>
                </c:pt>
                <c:pt idx="20">
                  <c:v>49.2973</c:v>
                </c:pt>
                <c:pt idx="21">
                  <c:v>49.192300000000003</c:v>
                </c:pt>
                <c:pt idx="22">
                  <c:v>49.076500000000003</c:v>
                </c:pt>
                <c:pt idx="23">
                  <c:v>48.967399999999998</c:v>
                </c:pt>
                <c:pt idx="24">
                  <c:v>48.838300000000004</c:v>
                </c:pt>
                <c:pt idx="25">
                  <c:v>48.7239</c:v>
                </c:pt>
                <c:pt idx="26">
                  <c:v>48.631799999999998</c:v>
                </c:pt>
                <c:pt idx="27">
                  <c:v>48.513500000000001</c:v>
                </c:pt>
                <c:pt idx="28">
                  <c:v>48.389099999999999</c:v>
                </c:pt>
                <c:pt idx="29">
                  <c:v>48.295100000000005</c:v>
                </c:pt>
                <c:pt idx="30">
                  <c:v>48.229799999999997</c:v>
                </c:pt>
                <c:pt idx="31">
                  <c:v>48.178199999999997</c:v>
                </c:pt>
                <c:pt idx="32">
                  <c:v>48.1524</c:v>
                </c:pt>
                <c:pt idx="33">
                  <c:v>48.128999999999998</c:v>
                </c:pt>
                <c:pt idx="34">
                  <c:v>48.104500000000002</c:v>
                </c:pt>
                <c:pt idx="35">
                  <c:v>48.1</c:v>
                </c:pt>
                <c:pt idx="36">
                  <c:v>48.089799999999997</c:v>
                </c:pt>
                <c:pt idx="37">
                  <c:v>48.023800000000001</c:v>
                </c:pt>
                <c:pt idx="38">
                  <c:v>48.043700000000001</c:v>
                </c:pt>
                <c:pt idx="39">
                  <c:v>48.193100000000001</c:v>
                </c:pt>
                <c:pt idx="40">
                  <c:v>48.239599999999996</c:v>
                </c:pt>
                <c:pt idx="41">
                  <c:v>48.101599999999998</c:v>
                </c:pt>
                <c:pt idx="42">
                  <c:v>47.929899999999996</c:v>
                </c:pt>
                <c:pt idx="43">
                  <c:v>47.715699999999998</c:v>
                </c:pt>
                <c:pt idx="44">
                  <c:v>47.414899999999996</c:v>
                </c:pt>
                <c:pt idx="45">
                  <c:v>47.031500000000001</c:v>
                </c:pt>
                <c:pt idx="46">
                  <c:v>46.7121</c:v>
                </c:pt>
                <c:pt idx="47">
                  <c:v>46.445900000000002</c:v>
                </c:pt>
                <c:pt idx="48">
                  <c:v>46.203400000000002</c:v>
                </c:pt>
                <c:pt idx="49">
                  <c:v>45.972000000000001</c:v>
                </c:pt>
                <c:pt idx="50">
                  <c:v>45.763999999999996</c:v>
                </c:pt>
                <c:pt idx="51">
                  <c:v>45.587600000000002</c:v>
                </c:pt>
                <c:pt idx="52">
                  <c:v>45.3996</c:v>
                </c:pt>
                <c:pt idx="53">
                  <c:v>45.196899999999999</c:v>
                </c:pt>
                <c:pt idx="54">
                  <c:v>44.991999999999997</c:v>
                </c:pt>
                <c:pt idx="55">
                  <c:v>44.790400000000005</c:v>
                </c:pt>
                <c:pt idx="56">
                  <c:v>44.557200000000002</c:v>
                </c:pt>
                <c:pt idx="57">
                  <c:v>44.286900000000003</c:v>
                </c:pt>
                <c:pt idx="58">
                  <c:v>44.020299999999999</c:v>
                </c:pt>
                <c:pt idx="59">
                  <c:v>43.769500000000001</c:v>
                </c:pt>
                <c:pt idx="60">
                  <c:v>43.523299999999999</c:v>
                </c:pt>
                <c:pt idx="61">
                  <c:v>43.268799999999999</c:v>
                </c:pt>
                <c:pt idx="62">
                  <c:v>43.089399999999998</c:v>
                </c:pt>
                <c:pt idx="63">
                  <c:v>42.9041</c:v>
                </c:pt>
                <c:pt idx="64">
                  <c:v>42.731499999999997</c:v>
                </c:pt>
                <c:pt idx="65">
                  <c:v>42.6539</c:v>
                </c:pt>
                <c:pt idx="66">
                  <c:v>42.632300000000001</c:v>
                </c:pt>
                <c:pt idx="67">
                  <c:v>42.610100000000003</c:v>
                </c:pt>
                <c:pt idx="68">
                  <c:v>42.572900000000004</c:v>
                </c:pt>
                <c:pt idx="69">
                  <c:v>42.653300000000002</c:v>
                </c:pt>
                <c:pt idx="70">
                  <c:v>43.0685</c:v>
                </c:pt>
                <c:pt idx="71">
                  <c:v>43.476500000000001</c:v>
                </c:pt>
                <c:pt idx="72">
                  <c:v>43.7926</c:v>
                </c:pt>
                <c:pt idx="73">
                  <c:v>43.861499999999999</c:v>
                </c:pt>
                <c:pt idx="74">
                  <c:v>43.431899999999999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3.5323251351351352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50.611086486486492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3.6837254054054061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47.014891891891885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3.6837254054054061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47.014891891891885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0.17984093326796818</c:v>
                </c:pt>
                <c:pt idx="1">
                  <c:v>0.34053709682323896</c:v>
                </c:pt>
                <c:pt idx="2">
                  <c:v>0.47962196990879286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0.38541900000000001</c:v>
                </c:pt>
                <c:pt idx="2">
                  <c:v>0.79323399999999999</c:v>
                </c:pt>
                <c:pt idx="3">
                  <c:v>1.1978899999999999</c:v>
                </c:pt>
                <c:pt idx="4">
                  <c:v>1.6085499999999999</c:v>
                </c:pt>
                <c:pt idx="5">
                  <c:v>2.0146899999999999</c:v>
                </c:pt>
                <c:pt idx="6">
                  <c:v>2.41703</c:v>
                </c:pt>
                <c:pt idx="7">
                  <c:v>2.8219099999999999</c:v>
                </c:pt>
                <c:pt idx="8">
                  <c:v>3.23359</c:v>
                </c:pt>
                <c:pt idx="9">
                  <c:v>3.6398899999999998</c:v>
                </c:pt>
                <c:pt idx="10">
                  <c:v>4.0446999999999997</c:v>
                </c:pt>
                <c:pt idx="11">
                  <c:v>4.4478799999999996</c:v>
                </c:pt>
                <c:pt idx="12">
                  <c:v>4.8555900000000003</c:v>
                </c:pt>
                <c:pt idx="13">
                  <c:v>5.2600600000000002</c:v>
                </c:pt>
                <c:pt idx="14">
                  <c:v>5.6717399999999998</c:v>
                </c:pt>
                <c:pt idx="15">
                  <c:v>6.0767600000000002</c:v>
                </c:pt>
                <c:pt idx="16">
                  <c:v>6.4803699999999997</c:v>
                </c:pt>
                <c:pt idx="17">
                  <c:v>6.8862899999999998</c:v>
                </c:pt>
                <c:pt idx="18">
                  <c:v>7.29453</c:v>
                </c:pt>
                <c:pt idx="19">
                  <c:v>7.7019099999999998</c:v>
                </c:pt>
                <c:pt idx="20">
                  <c:v>8.1084399999999999</c:v>
                </c:pt>
                <c:pt idx="21">
                  <c:v>8.5114199999999993</c:v>
                </c:pt>
                <c:pt idx="22">
                  <c:v>8.9177099999999996</c:v>
                </c:pt>
                <c:pt idx="23">
                  <c:v>9.3263999999999996</c:v>
                </c:pt>
                <c:pt idx="24">
                  <c:v>9.7342099999999991</c:v>
                </c:pt>
                <c:pt idx="25">
                  <c:v>10.1394</c:v>
                </c:pt>
                <c:pt idx="26">
                  <c:v>10.5456</c:v>
                </c:pt>
                <c:pt idx="27">
                  <c:v>10.9521</c:v>
                </c:pt>
                <c:pt idx="28">
                  <c:v>11.3552</c:v>
                </c:pt>
                <c:pt idx="29">
                  <c:v>11.7654</c:v>
                </c:pt>
                <c:pt idx="30">
                  <c:v>12.174099999999999</c:v>
                </c:pt>
                <c:pt idx="31">
                  <c:v>12.5768</c:v>
                </c:pt>
                <c:pt idx="32">
                  <c:v>12.98</c:v>
                </c:pt>
                <c:pt idx="33">
                  <c:v>13.386699999999999</c:v>
                </c:pt>
                <c:pt idx="34">
                  <c:v>13.794600000000001</c:v>
                </c:pt>
                <c:pt idx="35">
                  <c:v>14.2004</c:v>
                </c:pt>
                <c:pt idx="36">
                  <c:v>14.6073</c:v>
                </c:pt>
                <c:pt idx="37">
                  <c:v>15.010999999999999</c:v>
                </c:pt>
                <c:pt idx="38">
                  <c:v>15.4209</c:v>
                </c:pt>
                <c:pt idx="39">
                  <c:v>15.823399999999999</c:v>
                </c:pt>
                <c:pt idx="40">
                  <c:v>16.234999999999999</c:v>
                </c:pt>
                <c:pt idx="41">
                  <c:v>16.6371</c:v>
                </c:pt>
                <c:pt idx="42">
                  <c:v>17.0425</c:v>
                </c:pt>
                <c:pt idx="43">
                  <c:v>17.450700000000001</c:v>
                </c:pt>
                <c:pt idx="44">
                  <c:v>17.854399999999998</c:v>
                </c:pt>
                <c:pt idx="45">
                  <c:v>18.266100000000002</c:v>
                </c:pt>
                <c:pt idx="46">
                  <c:v>18.6694</c:v>
                </c:pt>
                <c:pt idx="47">
                  <c:v>19.072800000000001</c:v>
                </c:pt>
                <c:pt idx="48">
                  <c:v>19.478300000000001</c:v>
                </c:pt>
                <c:pt idx="49">
                  <c:v>19.887</c:v>
                </c:pt>
                <c:pt idx="50">
                  <c:v>20.295200000000001</c:v>
                </c:pt>
                <c:pt idx="51">
                  <c:v>20.702300000000001</c:v>
                </c:pt>
                <c:pt idx="52">
                  <c:v>21.106400000000001</c:v>
                </c:pt>
                <c:pt idx="53">
                  <c:v>21.516500000000001</c:v>
                </c:pt>
                <c:pt idx="54">
                  <c:v>21.919599999999999</c:v>
                </c:pt>
                <c:pt idx="55">
                  <c:v>22.3215</c:v>
                </c:pt>
                <c:pt idx="56">
                  <c:v>22.728300000000001</c:v>
                </c:pt>
                <c:pt idx="57">
                  <c:v>23.1404</c:v>
                </c:pt>
                <c:pt idx="58">
                  <c:v>23.546500000000002</c:v>
                </c:pt>
                <c:pt idx="59">
                  <c:v>23.9511</c:v>
                </c:pt>
                <c:pt idx="60">
                  <c:v>24.3537</c:v>
                </c:pt>
                <c:pt idx="61">
                  <c:v>24.7636</c:v>
                </c:pt>
                <c:pt idx="62">
                  <c:v>25.1708</c:v>
                </c:pt>
                <c:pt idx="63">
                  <c:v>25.578199999999999</c:v>
                </c:pt>
                <c:pt idx="64">
                  <c:v>25.980799999999999</c:v>
                </c:pt>
                <c:pt idx="65">
                  <c:v>26.3889</c:v>
                </c:pt>
                <c:pt idx="66">
                  <c:v>26.792899999999999</c:v>
                </c:pt>
                <c:pt idx="67">
                  <c:v>27.200299999999999</c:v>
                </c:pt>
                <c:pt idx="68">
                  <c:v>27.604900000000001</c:v>
                </c:pt>
                <c:pt idx="69">
                  <c:v>28.010999999999999</c:v>
                </c:pt>
                <c:pt idx="70">
                  <c:v>28.417000000000002</c:v>
                </c:pt>
                <c:pt idx="71">
                  <c:v>28.822700000000001</c:v>
                </c:pt>
                <c:pt idx="72">
                  <c:v>29.228899999999999</c:v>
                </c:pt>
                <c:pt idx="73">
                  <c:v>29.639099999999999</c:v>
                </c:pt>
                <c:pt idx="74">
                  <c:v>30.044699999999999</c:v>
                </c:pt>
                <c:pt idx="75">
                  <c:v>30.638300000000001</c:v>
                </c:pt>
                <c:pt idx="76">
                  <c:v>31.009899999999998</c:v>
                </c:pt>
                <c:pt idx="77">
                  <c:v>31.386600000000001</c:v>
                </c:pt>
                <c:pt idx="78">
                  <c:v>31.762</c:v>
                </c:pt>
                <c:pt idx="79">
                  <c:v>32.140700000000002</c:v>
                </c:pt>
                <c:pt idx="80">
                  <c:v>32.543500000000002</c:v>
                </c:pt>
                <c:pt idx="81">
                  <c:v>32.948799999999999</c:v>
                </c:pt>
                <c:pt idx="82">
                  <c:v>33.354999999999997</c:v>
                </c:pt>
                <c:pt idx="83">
                  <c:v>33.763100000000001</c:v>
                </c:pt>
                <c:pt idx="84">
                  <c:v>34.171999999999997</c:v>
                </c:pt>
                <c:pt idx="85">
                  <c:v>34.575699999999998</c:v>
                </c:pt>
                <c:pt idx="86">
                  <c:v>34.980800000000002</c:v>
                </c:pt>
                <c:pt idx="87">
                  <c:v>35.387300000000003</c:v>
                </c:pt>
                <c:pt idx="88">
                  <c:v>35.7973</c:v>
                </c:pt>
                <c:pt idx="89">
                  <c:v>36.198300000000003</c:v>
                </c:pt>
                <c:pt idx="90">
                  <c:v>36.606400000000001</c:v>
                </c:pt>
                <c:pt idx="91">
                  <c:v>37.0105</c:v>
                </c:pt>
                <c:pt idx="92">
                  <c:v>37.4161</c:v>
                </c:pt>
                <c:pt idx="93">
                  <c:v>37.8232</c:v>
                </c:pt>
                <c:pt idx="94">
                  <c:v>38.232300000000002</c:v>
                </c:pt>
                <c:pt idx="95">
                  <c:v>38.638599999999997</c:v>
                </c:pt>
                <c:pt idx="96">
                  <c:v>39.043300000000002</c:v>
                </c:pt>
                <c:pt idx="97">
                  <c:v>39.447800000000001</c:v>
                </c:pt>
                <c:pt idx="98">
                  <c:v>39.857199999999999</c:v>
                </c:pt>
                <c:pt idx="99">
                  <c:v>40.262999999999998</c:v>
                </c:pt>
                <c:pt idx="100">
                  <c:v>40.6706</c:v>
                </c:pt>
                <c:pt idx="101">
                  <c:v>41.074199999999998</c:v>
                </c:pt>
                <c:pt idx="102">
                  <c:v>41.479799999999997</c:v>
                </c:pt>
                <c:pt idx="103">
                  <c:v>41.8857</c:v>
                </c:pt>
                <c:pt idx="104">
                  <c:v>42.293599999999998</c:v>
                </c:pt>
                <c:pt idx="105">
                  <c:v>42.698700000000002</c:v>
                </c:pt>
                <c:pt idx="106">
                  <c:v>43.105200000000004</c:v>
                </c:pt>
                <c:pt idx="107">
                  <c:v>43.516300000000001</c:v>
                </c:pt>
                <c:pt idx="108">
                  <c:v>43.918900000000001</c:v>
                </c:pt>
                <c:pt idx="109">
                  <c:v>44.325299999999999</c:v>
                </c:pt>
                <c:pt idx="110">
                  <c:v>44.731200000000001</c:v>
                </c:pt>
                <c:pt idx="111">
                  <c:v>45.134799999999998</c:v>
                </c:pt>
                <c:pt idx="112">
                  <c:v>45.544600000000003</c:v>
                </c:pt>
                <c:pt idx="113">
                  <c:v>45.951900000000002</c:v>
                </c:pt>
                <c:pt idx="114">
                  <c:v>46.3536</c:v>
                </c:pt>
                <c:pt idx="115">
                  <c:v>46.761400000000002</c:v>
                </c:pt>
                <c:pt idx="116">
                  <c:v>47.168500000000002</c:v>
                </c:pt>
                <c:pt idx="117">
                  <c:v>47.573700000000002</c:v>
                </c:pt>
                <c:pt idx="118">
                  <c:v>47.984900000000003</c:v>
                </c:pt>
                <c:pt idx="119">
                  <c:v>48.385800000000003</c:v>
                </c:pt>
                <c:pt idx="120">
                  <c:v>48.791699999999999</c:v>
                </c:pt>
                <c:pt idx="121">
                  <c:v>49.201500000000003</c:v>
                </c:pt>
                <c:pt idx="122">
                  <c:v>49.607999999999997</c:v>
                </c:pt>
                <c:pt idx="123">
                  <c:v>50.012900000000002</c:v>
                </c:pt>
                <c:pt idx="124">
                  <c:v>50.418700000000001</c:v>
                </c:pt>
                <c:pt idx="125">
                  <c:v>50.8245</c:v>
                </c:pt>
                <c:pt idx="126">
                  <c:v>51.234000000000002</c:v>
                </c:pt>
                <c:pt idx="127">
                  <c:v>51.637900000000002</c:v>
                </c:pt>
                <c:pt idx="128">
                  <c:v>52.045000000000002</c:v>
                </c:pt>
                <c:pt idx="129">
                  <c:v>52.4482</c:v>
                </c:pt>
                <c:pt idx="130">
                  <c:v>52.856499999999997</c:v>
                </c:pt>
                <c:pt idx="131">
                  <c:v>53.261699999999998</c:v>
                </c:pt>
                <c:pt idx="132">
                  <c:v>53.671900000000001</c:v>
                </c:pt>
                <c:pt idx="133">
                  <c:v>54.077500000000001</c:v>
                </c:pt>
                <c:pt idx="134">
                  <c:v>54.480800000000002</c:v>
                </c:pt>
                <c:pt idx="135">
                  <c:v>54.8874</c:v>
                </c:pt>
                <c:pt idx="136">
                  <c:v>55.296399999999998</c:v>
                </c:pt>
                <c:pt idx="137">
                  <c:v>55.700899999999997</c:v>
                </c:pt>
                <c:pt idx="138">
                  <c:v>56.107100000000003</c:v>
                </c:pt>
                <c:pt idx="139">
                  <c:v>56.511299999999999</c:v>
                </c:pt>
                <c:pt idx="140">
                  <c:v>56.916600000000003</c:v>
                </c:pt>
                <c:pt idx="141">
                  <c:v>57.329599999999999</c:v>
                </c:pt>
                <c:pt idx="142">
                  <c:v>57.734299999999998</c:v>
                </c:pt>
                <c:pt idx="143">
                  <c:v>58.140500000000003</c:v>
                </c:pt>
                <c:pt idx="144">
                  <c:v>58.545099999999998</c:v>
                </c:pt>
                <c:pt idx="145">
                  <c:v>58.948500000000003</c:v>
                </c:pt>
                <c:pt idx="146">
                  <c:v>59.356200000000001</c:v>
                </c:pt>
                <c:pt idx="147">
                  <c:v>59.762599999999999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2.4576199999999999</c:v>
                </c:pt>
                <c:pt idx="1">
                  <c:v>2.52074</c:v>
                </c:pt>
                <c:pt idx="2">
                  <c:v>2.5822000000000003</c:v>
                </c:pt>
                <c:pt idx="3">
                  <c:v>2.6420500000000002</c:v>
                </c:pt>
                <c:pt idx="4">
                  <c:v>2.7014199999999997</c:v>
                </c:pt>
                <c:pt idx="5">
                  <c:v>2.7597500000000004</c:v>
                </c:pt>
                <c:pt idx="6">
                  <c:v>2.8174100000000002</c:v>
                </c:pt>
                <c:pt idx="7">
                  <c:v>2.8734900000000003</c:v>
                </c:pt>
                <c:pt idx="8">
                  <c:v>2.9288500000000002</c:v>
                </c:pt>
                <c:pt idx="9">
                  <c:v>2.9840599999999999</c:v>
                </c:pt>
                <c:pt idx="10">
                  <c:v>3.0392999999999999</c:v>
                </c:pt>
                <c:pt idx="11">
                  <c:v>3.0933600000000001</c:v>
                </c:pt>
                <c:pt idx="12">
                  <c:v>3.14697</c:v>
                </c:pt>
                <c:pt idx="13">
                  <c:v>3.1993800000000001</c:v>
                </c:pt>
                <c:pt idx="14">
                  <c:v>3.2488200000000003</c:v>
                </c:pt>
                <c:pt idx="15">
                  <c:v>3.2941599999999998</c:v>
                </c:pt>
                <c:pt idx="16">
                  <c:v>3.33439</c:v>
                </c:pt>
                <c:pt idx="17">
                  <c:v>3.3710899999999997</c:v>
                </c:pt>
                <c:pt idx="18">
                  <c:v>3.4051900000000002</c:v>
                </c:pt>
                <c:pt idx="19">
                  <c:v>3.4372000000000003</c:v>
                </c:pt>
                <c:pt idx="20">
                  <c:v>3.4665900000000001</c:v>
                </c:pt>
                <c:pt idx="21">
                  <c:v>3.4939499999999999</c:v>
                </c:pt>
                <c:pt idx="22">
                  <c:v>3.5199699999999998</c:v>
                </c:pt>
                <c:pt idx="23">
                  <c:v>3.5431900000000001</c:v>
                </c:pt>
                <c:pt idx="24">
                  <c:v>3.5683500000000001</c:v>
                </c:pt>
                <c:pt idx="25">
                  <c:v>3.5914200000000003</c:v>
                </c:pt>
                <c:pt idx="26">
                  <c:v>3.61029</c:v>
                </c:pt>
                <c:pt idx="27">
                  <c:v>3.62296</c:v>
                </c:pt>
                <c:pt idx="28">
                  <c:v>3.63103</c:v>
                </c:pt>
                <c:pt idx="29">
                  <c:v>3.6370499999999999</c:v>
                </c:pt>
                <c:pt idx="30">
                  <c:v>3.6405599999999998</c:v>
                </c:pt>
                <c:pt idx="31">
                  <c:v>3.6423699999999997</c:v>
                </c:pt>
                <c:pt idx="32">
                  <c:v>3.6416399999999998</c:v>
                </c:pt>
                <c:pt idx="33">
                  <c:v>3.6396699999999997</c:v>
                </c:pt>
                <c:pt idx="34">
                  <c:v>3.6356100000000002</c:v>
                </c:pt>
                <c:pt idx="35">
                  <c:v>3.6303299999999998</c:v>
                </c:pt>
                <c:pt idx="36">
                  <c:v>3.6220799999999995</c:v>
                </c:pt>
                <c:pt idx="37">
                  <c:v>3.6111</c:v>
                </c:pt>
                <c:pt idx="38">
                  <c:v>3.6001100000000004</c:v>
                </c:pt>
                <c:pt idx="39">
                  <c:v>3.59334</c:v>
                </c:pt>
                <c:pt idx="40">
                  <c:v>3.5872199999999999</c:v>
                </c:pt>
                <c:pt idx="41">
                  <c:v>3.5820000000000003</c:v>
                </c:pt>
                <c:pt idx="42">
                  <c:v>3.5800900000000002</c:v>
                </c:pt>
                <c:pt idx="43">
                  <c:v>3.5820499999999997</c:v>
                </c:pt>
                <c:pt idx="44">
                  <c:v>3.5865499999999999</c:v>
                </c:pt>
                <c:pt idx="45">
                  <c:v>3.5952600000000001</c:v>
                </c:pt>
                <c:pt idx="46">
                  <c:v>3.609</c:v>
                </c:pt>
                <c:pt idx="47">
                  <c:v>3.6235400000000002</c:v>
                </c:pt>
                <c:pt idx="48">
                  <c:v>3.6365599999999998</c:v>
                </c:pt>
                <c:pt idx="49">
                  <c:v>3.64846</c:v>
                </c:pt>
                <c:pt idx="50">
                  <c:v>3.6522199999999998</c:v>
                </c:pt>
                <c:pt idx="51">
                  <c:v>3.66689</c:v>
                </c:pt>
                <c:pt idx="52">
                  <c:v>3.68858</c:v>
                </c:pt>
                <c:pt idx="53">
                  <c:v>3.7134099999999997</c:v>
                </c:pt>
                <c:pt idx="54">
                  <c:v>3.7364700000000002</c:v>
                </c:pt>
                <c:pt idx="55">
                  <c:v>3.76119</c:v>
                </c:pt>
                <c:pt idx="56">
                  <c:v>3.7854999999999999</c:v>
                </c:pt>
                <c:pt idx="57">
                  <c:v>3.8102100000000001</c:v>
                </c:pt>
                <c:pt idx="58">
                  <c:v>3.8348</c:v>
                </c:pt>
                <c:pt idx="59">
                  <c:v>3.85826</c:v>
                </c:pt>
                <c:pt idx="60">
                  <c:v>3.8828499999999999</c:v>
                </c:pt>
                <c:pt idx="61">
                  <c:v>3.91086</c:v>
                </c:pt>
                <c:pt idx="62">
                  <c:v>3.94028</c:v>
                </c:pt>
                <c:pt idx="63">
                  <c:v>3.9681800000000003</c:v>
                </c:pt>
                <c:pt idx="64">
                  <c:v>3.9916400000000003</c:v>
                </c:pt>
                <c:pt idx="65">
                  <c:v>4.0133999999999999</c:v>
                </c:pt>
                <c:pt idx="66">
                  <c:v>4.0321199999999999</c:v>
                </c:pt>
                <c:pt idx="67">
                  <c:v>4.04582</c:v>
                </c:pt>
                <c:pt idx="68">
                  <c:v>4.05185</c:v>
                </c:pt>
                <c:pt idx="69">
                  <c:v>4.0541400000000003</c:v>
                </c:pt>
                <c:pt idx="70">
                  <c:v>4.0536499999999993</c:v>
                </c:pt>
                <c:pt idx="71">
                  <c:v>4.0486599999999999</c:v>
                </c:pt>
                <c:pt idx="72">
                  <c:v>4.0431099999999995</c:v>
                </c:pt>
                <c:pt idx="73">
                  <c:v>4.0381800000000005</c:v>
                </c:pt>
                <c:pt idx="74">
                  <c:v>4.0283199999999999</c:v>
                </c:pt>
                <c:pt idx="75">
                  <c:v>4.0136500000000002</c:v>
                </c:pt>
                <c:pt idx="76">
                  <c:v>4.0044899999999997</c:v>
                </c:pt>
                <c:pt idx="77">
                  <c:v>3.9939299999999998</c:v>
                </c:pt>
                <c:pt idx="78">
                  <c:v>3.9864100000000002</c:v>
                </c:pt>
                <c:pt idx="79">
                  <c:v>3.9809000000000001</c:v>
                </c:pt>
                <c:pt idx="80">
                  <c:v>3.9758</c:v>
                </c:pt>
                <c:pt idx="81">
                  <c:v>3.9719300000000004</c:v>
                </c:pt>
                <c:pt idx="82">
                  <c:v>3.9674199999999997</c:v>
                </c:pt>
                <c:pt idx="83">
                  <c:v>3.9630000000000001</c:v>
                </c:pt>
                <c:pt idx="84">
                  <c:v>3.9574799999999999</c:v>
                </c:pt>
                <c:pt idx="85">
                  <c:v>3.9479199999999999</c:v>
                </c:pt>
                <c:pt idx="86">
                  <c:v>3.9393699999999998</c:v>
                </c:pt>
                <c:pt idx="87">
                  <c:v>3.9325100000000002</c:v>
                </c:pt>
                <c:pt idx="88">
                  <c:v>3.92536</c:v>
                </c:pt>
                <c:pt idx="89">
                  <c:v>3.9140299999999999</c:v>
                </c:pt>
                <c:pt idx="90">
                  <c:v>3.90367</c:v>
                </c:pt>
                <c:pt idx="91">
                  <c:v>3.89337</c:v>
                </c:pt>
                <c:pt idx="92">
                  <c:v>3.8832699999999996</c:v>
                </c:pt>
                <c:pt idx="93">
                  <c:v>3.8737700000000004</c:v>
                </c:pt>
                <c:pt idx="94">
                  <c:v>3.8633800000000003</c:v>
                </c:pt>
                <c:pt idx="95">
                  <c:v>3.8528800000000003</c:v>
                </c:pt>
                <c:pt idx="96">
                  <c:v>3.8414700000000002</c:v>
                </c:pt>
                <c:pt idx="97">
                  <c:v>3.8270500000000003</c:v>
                </c:pt>
                <c:pt idx="98">
                  <c:v>3.8155299999999999</c:v>
                </c:pt>
                <c:pt idx="99">
                  <c:v>3.8052999999999999</c:v>
                </c:pt>
                <c:pt idx="100">
                  <c:v>3.7922899999999999</c:v>
                </c:pt>
                <c:pt idx="101">
                  <c:v>3.7745600000000001</c:v>
                </c:pt>
                <c:pt idx="102">
                  <c:v>3.7563999999999997</c:v>
                </c:pt>
                <c:pt idx="103">
                  <c:v>3.73732</c:v>
                </c:pt>
                <c:pt idx="104">
                  <c:v>3.7141800000000003</c:v>
                </c:pt>
                <c:pt idx="105">
                  <c:v>3.6905199999999998</c:v>
                </c:pt>
                <c:pt idx="106">
                  <c:v>3.6675499999999999</c:v>
                </c:pt>
                <c:pt idx="107">
                  <c:v>3.6469899999999997</c:v>
                </c:pt>
                <c:pt idx="108">
                  <c:v>3.6274099999999998</c:v>
                </c:pt>
                <c:pt idx="109">
                  <c:v>3.6090400000000002</c:v>
                </c:pt>
                <c:pt idx="110">
                  <c:v>3.5918299999999999</c:v>
                </c:pt>
                <c:pt idx="111">
                  <c:v>3.5708299999999999</c:v>
                </c:pt>
                <c:pt idx="112">
                  <c:v>3.5464000000000002</c:v>
                </c:pt>
                <c:pt idx="113">
                  <c:v>3.5259800000000001</c:v>
                </c:pt>
                <c:pt idx="114">
                  <c:v>3.5120400000000003</c:v>
                </c:pt>
                <c:pt idx="115">
                  <c:v>3.4996999999999998</c:v>
                </c:pt>
                <c:pt idx="116">
                  <c:v>3.4896199999999999</c:v>
                </c:pt>
                <c:pt idx="117">
                  <c:v>3.4843299999999999</c:v>
                </c:pt>
                <c:pt idx="118">
                  <c:v>3.4839399999999996</c:v>
                </c:pt>
                <c:pt idx="119">
                  <c:v>3.4832700000000001</c:v>
                </c:pt>
                <c:pt idx="120">
                  <c:v>3.4824799999999998</c:v>
                </c:pt>
                <c:pt idx="121">
                  <c:v>3.4825499999999998</c:v>
                </c:pt>
                <c:pt idx="122">
                  <c:v>3.4839599999999997</c:v>
                </c:pt>
                <c:pt idx="123">
                  <c:v>3.4864000000000002</c:v>
                </c:pt>
                <c:pt idx="124">
                  <c:v>3.4886499999999998</c:v>
                </c:pt>
                <c:pt idx="125">
                  <c:v>3.4926600000000003</c:v>
                </c:pt>
                <c:pt idx="126">
                  <c:v>3.4995099999999999</c:v>
                </c:pt>
                <c:pt idx="127">
                  <c:v>3.5059100000000001</c:v>
                </c:pt>
                <c:pt idx="128">
                  <c:v>3.5114800000000002</c:v>
                </c:pt>
                <c:pt idx="129">
                  <c:v>3.5196199999999997</c:v>
                </c:pt>
                <c:pt idx="130">
                  <c:v>3.5269400000000002</c:v>
                </c:pt>
                <c:pt idx="131">
                  <c:v>3.5331700000000001</c:v>
                </c:pt>
                <c:pt idx="132">
                  <c:v>3.5365400000000005</c:v>
                </c:pt>
                <c:pt idx="133">
                  <c:v>3.5380799999999999</c:v>
                </c:pt>
                <c:pt idx="134">
                  <c:v>3.5387499999999998</c:v>
                </c:pt>
                <c:pt idx="135">
                  <c:v>3.5382699999999998</c:v>
                </c:pt>
                <c:pt idx="136">
                  <c:v>3.5409000000000002</c:v>
                </c:pt>
                <c:pt idx="137">
                  <c:v>3.5433300000000001</c:v>
                </c:pt>
                <c:pt idx="138">
                  <c:v>3.54209</c:v>
                </c:pt>
                <c:pt idx="139">
                  <c:v>3.5385800000000001</c:v>
                </c:pt>
                <c:pt idx="140">
                  <c:v>3.5341800000000001</c:v>
                </c:pt>
                <c:pt idx="141">
                  <c:v>3.52929</c:v>
                </c:pt>
                <c:pt idx="142">
                  <c:v>3.5208499999999998</c:v>
                </c:pt>
                <c:pt idx="143">
                  <c:v>3.5010699999999999</c:v>
                </c:pt>
                <c:pt idx="144">
                  <c:v>3.4841499999999996</c:v>
                </c:pt>
                <c:pt idx="145">
                  <c:v>3.4705699999999999</c:v>
                </c:pt>
                <c:pt idx="146">
                  <c:v>3.4695199999999997</c:v>
                </c:pt>
                <c:pt idx="147">
                  <c:v>3.48977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0.38541900000000001</c:v>
                </c:pt>
                <c:pt idx="2">
                  <c:v>0.79323399999999999</c:v>
                </c:pt>
                <c:pt idx="3">
                  <c:v>1.1978899999999999</c:v>
                </c:pt>
                <c:pt idx="4">
                  <c:v>1.6085499999999999</c:v>
                </c:pt>
                <c:pt idx="5">
                  <c:v>2.0146899999999999</c:v>
                </c:pt>
                <c:pt idx="6">
                  <c:v>2.41703</c:v>
                </c:pt>
                <c:pt idx="7">
                  <c:v>2.8219099999999999</c:v>
                </c:pt>
                <c:pt idx="8">
                  <c:v>3.23359</c:v>
                </c:pt>
                <c:pt idx="9">
                  <c:v>3.6398899999999998</c:v>
                </c:pt>
                <c:pt idx="10">
                  <c:v>4.0446999999999997</c:v>
                </c:pt>
                <c:pt idx="11">
                  <c:v>4.4478799999999996</c:v>
                </c:pt>
                <c:pt idx="12">
                  <c:v>4.8555900000000003</c:v>
                </c:pt>
                <c:pt idx="13">
                  <c:v>5.2600600000000002</c:v>
                </c:pt>
                <c:pt idx="14">
                  <c:v>5.6717399999999998</c:v>
                </c:pt>
                <c:pt idx="15">
                  <c:v>6.0767600000000002</c:v>
                </c:pt>
                <c:pt idx="16">
                  <c:v>6.4803699999999997</c:v>
                </c:pt>
                <c:pt idx="17">
                  <c:v>6.8862899999999998</c:v>
                </c:pt>
                <c:pt idx="18">
                  <c:v>7.29453</c:v>
                </c:pt>
                <c:pt idx="19">
                  <c:v>7.7019099999999998</c:v>
                </c:pt>
                <c:pt idx="20">
                  <c:v>8.1084399999999999</c:v>
                </c:pt>
                <c:pt idx="21">
                  <c:v>8.5114199999999993</c:v>
                </c:pt>
                <c:pt idx="22">
                  <c:v>8.9177099999999996</c:v>
                </c:pt>
                <c:pt idx="23">
                  <c:v>9.3263999999999996</c:v>
                </c:pt>
                <c:pt idx="24">
                  <c:v>9.7342099999999991</c:v>
                </c:pt>
                <c:pt idx="25">
                  <c:v>10.1394</c:v>
                </c:pt>
                <c:pt idx="26">
                  <c:v>10.5456</c:v>
                </c:pt>
                <c:pt idx="27">
                  <c:v>10.9521</c:v>
                </c:pt>
                <c:pt idx="28">
                  <c:v>11.3552</c:v>
                </c:pt>
                <c:pt idx="29">
                  <c:v>11.7654</c:v>
                </c:pt>
                <c:pt idx="30">
                  <c:v>12.174099999999999</c:v>
                </c:pt>
                <c:pt idx="31">
                  <c:v>12.5768</c:v>
                </c:pt>
                <c:pt idx="32">
                  <c:v>12.98</c:v>
                </c:pt>
                <c:pt idx="33">
                  <c:v>13.386699999999999</c:v>
                </c:pt>
                <c:pt idx="34">
                  <c:v>13.794600000000001</c:v>
                </c:pt>
                <c:pt idx="35">
                  <c:v>14.2004</c:v>
                </c:pt>
                <c:pt idx="36">
                  <c:v>14.6073</c:v>
                </c:pt>
                <c:pt idx="37">
                  <c:v>15.010999999999999</c:v>
                </c:pt>
                <c:pt idx="38">
                  <c:v>15.4209</c:v>
                </c:pt>
                <c:pt idx="39">
                  <c:v>15.823399999999999</c:v>
                </c:pt>
                <c:pt idx="40">
                  <c:v>16.234999999999999</c:v>
                </c:pt>
                <c:pt idx="41">
                  <c:v>16.6371</c:v>
                </c:pt>
                <c:pt idx="42">
                  <c:v>17.0425</c:v>
                </c:pt>
                <c:pt idx="43">
                  <c:v>17.450700000000001</c:v>
                </c:pt>
                <c:pt idx="44">
                  <c:v>17.854399999999998</c:v>
                </c:pt>
                <c:pt idx="45">
                  <c:v>18.266100000000002</c:v>
                </c:pt>
                <c:pt idx="46">
                  <c:v>18.6694</c:v>
                </c:pt>
                <c:pt idx="47">
                  <c:v>19.072800000000001</c:v>
                </c:pt>
                <c:pt idx="48">
                  <c:v>19.478300000000001</c:v>
                </c:pt>
                <c:pt idx="49">
                  <c:v>19.887</c:v>
                </c:pt>
                <c:pt idx="50">
                  <c:v>20.295200000000001</c:v>
                </c:pt>
                <c:pt idx="51">
                  <c:v>20.702300000000001</c:v>
                </c:pt>
                <c:pt idx="52">
                  <c:v>21.106400000000001</c:v>
                </c:pt>
                <c:pt idx="53">
                  <c:v>21.516500000000001</c:v>
                </c:pt>
                <c:pt idx="54">
                  <c:v>21.919599999999999</c:v>
                </c:pt>
                <c:pt idx="55">
                  <c:v>22.3215</c:v>
                </c:pt>
                <c:pt idx="56">
                  <c:v>22.728300000000001</c:v>
                </c:pt>
                <c:pt idx="57">
                  <c:v>23.1404</c:v>
                </c:pt>
                <c:pt idx="58">
                  <c:v>23.546500000000002</c:v>
                </c:pt>
                <c:pt idx="59">
                  <c:v>23.9511</c:v>
                </c:pt>
                <c:pt idx="60">
                  <c:v>24.3537</c:v>
                </c:pt>
                <c:pt idx="61">
                  <c:v>24.7636</c:v>
                </c:pt>
                <c:pt idx="62">
                  <c:v>25.1708</c:v>
                </c:pt>
                <c:pt idx="63">
                  <c:v>25.578199999999999</c:v>
                </c:pt>
                <c:pt idx="64">
                  <c:v>25.980799999999999</c:v>
                </c:pt>
                <c:pt idx="65">
                  <c:v>26.3889</c:v>
                </c:pt>
                <c:pt idx="66">
                  <c:v>26.792899999999999</c:v>
                </c:pt>
                <c:pt idx="67">
                  <c:v>27.200299999999999</c:v>
                </c:pt>
                <c:pt idx="68">
                  <c:v>27.604900000000001</c:v>
                </c:pt>
                <c:pt idx="69">
                  <c:v>28.010999999999999</c:v>
                </c:pt>
                <c:pt idx="70">
                  <c:v>28.417000000000002</c:v>
                </c:pt>
                <c:pt idx="71">
                  <c:v>28.822700000000001</c:v>
                </c:pt>
                <c:pt idx="72">
                  <c:v>29.228899999999999</c:v>
                </c:pt>
                <c:pt idx="73">
                  <c:v>29.639099999999999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2.4576199999999999</c:v>
                </c:pt>
                <c:pt idx="1">
                  <c:v>2.52074</c:v>
                </c:pt>
                <c:pt idx="2">
                  <c:v>2.5822000000000003</c:v>
                </c:pt>
                <c:pt idx="3">
                  <c:v>2.6420500000000002</c:v>
                </c:pt>
                <c:pt idx="4">
                  <c:v>2.7014199999999997</c:v>
                </c:pt>
                <c:pt idx="5">
                  <c:v>2.7597500000000004</c:v>
                </c:pt>
                <c:pt idx="6">
                  <c:v>2.8174100000000002</c:v>
                </c:pt>
                <c:pt idx="7">
                  <c:v>2.8734900000000003</c:v>
                </c:pt>
                <c:pt idx="8">
                  <c:v>2.9288500000000002</c:v>
                </c:pt>
                <c:pt idx="9">
                  <c:v>2.9840599999999999</c:v>
                </c:pt>
                <c:pt idx="10">
                  <c:v>3.0392999999999999</c:v>
                </c:pt>
                <c:pt idx="11">
                  <c:v>3.0933600000000001</c:v>
                </c:pt>
                <c:pt idx="12">
                  <c:v>3.14697</c:v>
                </c:pt>
                <c:pt idx="13">
                  <c:v>3.1993800000000001</c:v>
                </c:pt>
                <c:pt idx="14">
                  <c:v>3.2488200000000003</c:v>
                </c:pt>
                <c:pt idx="15">
                  <c:v>3.2941599999999998</c:v>
                </c:pt>
                <c:pt idx="16">
                  <c:v>3.33439</c:v>
                </c:pt>
                <c:pt idx="17">
                  <c:v>3.3710899999999997</c:v>
                </c:pt>
                <c:pt idx="18">
                  <c:v>3.4051900000000002</c:v>
                </c:pt>
                <c:pt idx="19">
                  <c:v>3.4372000000000003</c:v>
                </c:pt>
                <c:pt idx="20">
                  <c:v>3.4665900000000001</c:v>
                </c:pt>
                <c:pt idx="21">
                  <c:v>3.4939499999999999</c:v>
                </c:pt>
                <c:pt idx="22">
                  <c:v>3.5199699999999998</c:v>
                </c:pt>
                <c:pt idx="23">
                  <c:v>3.5431900000000001</c:v>
                </c:pt>
                <c:pt idx="24">
                  <c:v>3.5683500000000001</c:v>
                </c:pt>
                <c:pt idx="25">
                  <c:v>3.5914200000000003</c:v>
                </c:pt>
                <c:pt idx="26">
                  <c:v>3.61029</c:v>
                </c:pt>
                <c:pt idx="27">
                  <c:v>3.62296</c:v>
                </c:pt>
                <c:pt idx="28">
                  <c:v>3.63103</c:v>
                </c:pt>
                <c:pt idx="29">
                  <c:v>3.6370499999999999</c:v>
                </c:pt>
                <c:pt idx="30">
                  <c:v>3.6405599999999998</c:v>
                </c:pt>
                <c:pt idx="31">
                  <c:v>3.6423699999999997</c:v>
                </c:pt>
                <c:pt idx="32">
                  <c:v>3.6416399999999998</c:v>
                </c:pt>
                <c:pt idx="33">
                  <c:v>3.6396699999999997</c:v>
                </c:pt>
                <c:pt idx="34">
                  <c:v>3.6356100000000002</c:v>
                </c:pt>
                <c:pt idx="35">
                  <c:v>3.6303299999999998</c:v>
                </c:pt>
                <c:pt idx="36">
                  <c:v>3.6220799999999995</c:v>
                </c:pt>
                <c:pt idx="37">
                  <c:v>3.6111</c:v>
                </c:pt>
                <c:pt idx="38">
                  <c:v>3.6001100000000004</c:v>
                </c:pt>
                <c:pt idx="39">
                  <c:v>3.59334</c:v>
                </c:pt>
                <c:pt idx="40">
                  <c:v>3.5872199999999999</c:v>
                </c:pt>
                <c:pt idx="41">
                  <c:v>3.5820000000000003</c:v>
                </c:pt>
                <c:pt idx="42">
                  <c:v>3.5800900000000002</c:v>
                </c:pt>
                <c:pt idx="43">
                  <c:v>3.5820499999999997</c:v>
                </c:pt>
                <c:pt idx="44">
                  <c:v>3.5865499999999999</c:v>
                </c:pt>
                <c:pt idx="45">
                  <c:v>3.5952600000000001</c:v>
                </c:pt>
                <c:pt idx="46">
                  <c:v>3.609</c:v>
                </c:pt>
                <c:pt idx="47">
                  <c:v>3.6235400000000002</c:v>
                </c:pt>
                <c:pt idx="48">
                  <c:v>3.6365599999999998</c:v>
                </c:pt>
                <c:pt idx="49">
                  <c:v>3.64846</c:v>
                </c:pt>
                <c:pt idx="50">
                  <c:v>3.6522199999999998</c:v>
                </c:pt>
                <c:pt idx="51">
                  <c:v>3.66689</c:v>
                </c:pt>
                <c:pt idx="52">
                  <c:v>3.68858</c:v>
                </c:pt>
                <c:pt idx="53">
                  <c:v>3.7134099999999997</c:v>
                </c:pt>
                <c:pt idx="54">
                  <c:v>3.7364700000000002</c:v>
                </c:pt>
                <c:pt idx="55">
                  <c:v>3.76119</c:v>
                </c:pt>
                <c:pt idx="56">
                  <c:v>3.7854999999999999</c:v>
                </c:pt>
                <c:pt idx="57">
                  <c:v>3.8102100000000001</c:v>
                </c:pt>
                <c:pt idx="58">
                  <c:v>3.8348</c:v>
                </c:pt>
                <c:pt idx="59">
                  <c:v>3.85826</c:v>
                </c:pt>
                <c:pt idx="60">
                  <c:v>3.8828499999999999</c:v>
                </c:pt>
                <c:pt idx="61">
                  <c:v>3.91086</c:v>
                </c:pt>
                <c:pt idx="62">
                  <c:v>3.94028</c:v>
                </c:pt>
                <c:pt idx="63">
                  <c:v>3.9681800000000003</c:v>
                </c:pt>
                <c:pt idx="64">
                  <c:v>3.9916400000000003</c:v>
                </c:pt>
                <c:pt idx="65">
                  <c:v>4.0133999999999999</c:v>
                </c:pt>
                <c:pt idx="66">
                  <c:v>4.0321199999999999</c:v>
                </c:pt>
                <c:pt idx="67">
                  <c:v>4.04582</c:v>
                </c:pt>
                <c:pt idx="68">
                  <c:v>4.05185</c:v>
                </c:pt>
                <c:pt idx="69">
                  <c:v>4.0541400000000003</c:v>
                </c:pt>
                <c:pt idx="70">
                  <c:v>4.0536499999999993</c:v>
                </c:pt>
                <c:pt idx="71">
                  <c:v>4.0486599999999999</c:v>
                </c:pt>
                <c:pt idx="72">
                  <c:v>4.0431099999999995</c:v>
                </c:pt>
                <c:pt idx="73">
                  <c:v>4.0381800000000005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29.639099999999999</c:v>
                </c:pt>
                <c:pt idx="1">
                  <c:v>30.044699999999999</c:v>
                </c:pt>
                <c:pt idx="2">
                  <c:v>30.638300000000001</c:v>
                </c:pt>
                <c:pt idx="3">
                  <c:v>31.009899999999998</c:v>
                </c:pt>
                <c:pt idx="4">
                  <c:v>31.386600000000001</c:v>
                </c:pt>
                <c:pt idx="5">
                  <c:v>31.762</c:v>
                </c:pt>
                <c:pt idx="6">
                  <c:v>32.140700000000002</c:v>
                </c:pt>
                <c:pt idx="7">
                  <c:v>32.543500000000002</c:v>
                </c:pt>
                <c:pt idx="8">
                  <c:v>32.948799999999999</c:v>
                </c:pt>
                <c:pt idx="9">
                  <c:v>33.354999999999997</c:v>
                </c:pt>
                <c:pt idx="10">
                  <c:v>33.763100000000001</c:v>
                </c:pt>
                <c:pt idx="11">
                  <c:v>34.171999999999997</c:v>
                </c:pt>
                <c:pt idx="12">
                  <c:v>34.575699999999998</c:v>
                </c:pt>
                <c:pt idx="13">
                  <c:v>34.980800000000002</c:v>
                </c:pt>
                <c:pt idx="14">
                  <c:v>35.387300000000003</c:v>
                </c:pt>
                <c:pt idx="15">
                  <c:v>35.7973</c:v>
                </c:pt>
                <c:pt idx="16">
                  <c:v>36.198300000000003</c:v>
                </c:pt>
                <c:pt idx="17">
                  <c:v>36.606400000000001</c:v>
                </c:pt>
                <c:pt idx="18">
                  <c:v>37.0105</c:v>
                </c:pt>
                <c:pt idx="19">
                  <c:v>37.4161</c:v>
                </c:pt>
                <c:pt idx="20">
                  <c:v>37.8232</c:v>
                </c:pt>
                <c:pt idx="21">
                  <c:v>38.232300000000002</c:v>
                </c:pt>
                <c:pt idx="22">
                  <c:v>38.638599999999997</c:v>
                </c:pt>
                <c:pt idx="23">
                  <c:v>39.043300000000002</c:v>
                </c:pt>
                <c:pt idx="24">
                  <c:v>39.447800000000001</c:v>
                </c:pt>
                <c:pt idx="25">
                  <c:v>39.857199999999999</c:v>
                </c:pt>
                <c:pt idx="26">
                  <c:v>40.262999999999998</c:v>
                </c:pt>
                <c:pt idx="27">
                  <c:v>40.6706</c:v>
                </c:pt>
                <c:pt idx="28">
                  <c:v>41.074199999999998</c:v>
                </c:pt>
                <c:pt idx="29">
                  <c:v>41.479799999999997</c:v>
                </c:pt>
                <c:pt idx="30">
                  <c:v>41.8857</c:v>
                </c:pt>
                <c:pt idx="31">
                  <c:v>42.293599999999998</c:v>
                </c:pt>
                <c:pt idx="32">
                  <c:v>42.698700000000002</c:v>
                </c:pt>
                <c:pt idx="33">
                  <c:v>43.105200000000004</c:v>
                </c:pt>
                <c:pt idx="34">
                  <c:v>43.516300000000001</c:v>
                </c:pt>
                <c:pt idx="35">
                  <c:v>43.918900000000001</c:v>
                </c:pt>
                <c:pt idx="36">
                  <c:v>44.325299999999999</c:v>
                </c:pt>
                <c:pt idx="37">
                  <c:v>44.731200000000001</c:v>
                </c:pt>
                <c:pt idx="38">
                  <c:v>45.134799999999998</c:v>
                </c:pt>
                <c:pt idx="39">
                  <c:v>45.544600000000003</c:v>
                </c:pt>
                <c:pt idx="40">
                  <c:v>45.951900000000002</c:v>
                </c:pt>
                <c:pt idx="41">
                  <c:v>46.3536</c:v>
                </c:pt>
                <c:pt idx="42">
                  <c:v>46.761400000000002</c:v>
                </c:pt>
                <c:pt idx="43">
                  <c:v>47.168500000000002</c:v>
                </c:pt>
                <c:pt idx="44">
                  <c:v>47.573700000000002</c:v>
                </c:pt>
                <c:pt idx="45">
                  <c:v>47.984900000000003</c:v>
                </c:pt>
                <c:pt idx="46">
                  <c:v>48.385800000000003</c:v>
                </c:pt>
                <c:pt idx="47">
                  <c:v>48.791699999999999</c:v>
                </c:pt>
                <c:pt idx="48">
                  <c:v>49.201500000000003</c:v>
                </c:pt>
                <c:pt idx="49">
                  <c:v>49.607999999999997</c:v>
                </c:pt>
                <c:pt idx="50">
                  <c:v>50.012900000000002</c:v>
                </c:pt>
                <c:pt idx="51">
                  <c:v>50.418700000000001</c:v>
                </c:pt>
                <c:pt idx="52">
                  <c:v>50.8245</c:v>
                </c:pt>
                <c:pt idx="53">
                  <c:v>51.234000000000002</c:v>
                </c:pt>
                <c:pt idx="54">
                  <c:v>51.637900000000002</c:v>
                </c:pt>
                <c:pt idx="55">
                  <c:v>52.045000000000002</c:v>
                </c:pt>
                <c:pt idx="56">
                  <c:v>52.4482</c:v>
                </c:pt>
                <c:pt idx="57">
                  <c:v>52.856499999999997</c:v>
                </c:pt>
                <c:pt idx="58">
                  <c:v>53.261699999999998</c:v>
                </c:pt>
                <c:pt idx="59">
                  <c:v>53.671900000000001</c:v>
                </c:pt>
                <c:pt idx="60">
                  <c:v>54.077500000000001</c:v>
                </c:pt>
                <c:pt idx="61">
                  <c:v>54.480800000000002</c:v>
                </c:pt>
                <c:pt idx="62">
                  <c:v>54.8874</c:v>
                </c:pt>
                <c:pt idx="63">
                  <c:v>55.296399999999998</c:v>
                </c:pt>
                <c:pt idx="64">
                  <c:v>55.700899999999997</c:v>
                </c:pt>
                <c:pt idx="65">
                  <c:v>56.107100000000003</c:v>
                </c:pt>
                <c:pt idx="66">
                  <c:v>56.511299999999999</c:v>
                </c:pt>
                <c:pt idx="67">
                  <c:v>56.916600000000003</c:v>
                </c:pt>
                <c:pt idx="68">
                  <c:v>57.329599999999999</c:v>
                </c:pt>
                <c:pt idx="69">
                  <c:v>57.734299999999998</c:v>
                </c:pt>
                <c:pt idx="70">
                  <c:v>58.140500000000003</c:v>
                </c:pt>
                <c:pt idx="71">
                  <c:v>58.545099999999998</c:v>
                </c:pt>
                <c:pt idx="72">
                  <c:v>58.948500000000003</c:v>
                </c:pt>
                <c:pt idx="73">
                  <c:v>59.356200000000001</c:v>
                </c:pt>
                <c:pt idx="74">
                  <c:v>59.762599999999999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4.0381800000000005</c:v>
                </c:pt>
                <c:pt idx="1">
                  <c:v>4.0283199999999999</c:v>
                </c:pt>
                <c:pt idx="2">
                  <c:v>4.0136500000000002</c:v>
                </c:pt>
                <c:pt idx="3">
                  <c:v>4.0044899999999997</c:v>
                </c:pt>
                <c:pt idx="4">
                  <c:v>3.9939299999999998</c:v>
                </c:pt>
                <c:pt idx="5">
                  <c:v>3.9864100000000002</c:v>
                </c:pt>
                <c:pt idx="6">
                  <c:v>3.9809000000000001</c:v>
                </c:pt>
                <c:pt idx="7">
                  <c:v>3.9758</c:v>
                </c:pt>
                <c:pt idx="8">
                  <c:v>3.9719300000000004</c:v>
                </c:pt>
                <c:pt idx="9">
                  <c:v>3.9674199999999997</c:v>
                </c:pt>
                <c:pt idx="10">
                  <c:v>3.9630000000000001</c:v>
                </c:pt>
                <c:pt idx="11">
                  <c:v>3.9574799999999999</c:v>
                </c:pt>
                <c:pt idx="12">
                  <c:v>3.9479199999999999</c:v>
                </c:pt>
                <c:pt idx="13">
                  <c:v>3.9393699999999998</c:v>
                </c:pt>
                <c:pt idx="14">
                  <c:v>3.9325100000000002</c:v>
                </c:pt>
                <c:pt idx="15">
                  <c:v>3.92536</c:v>
                </c:pt>
                <c:pt idx="16">
                  <c:v>3.9140299999999999</c:v>
                </c:pt>
                <c:pt idx="17">
                  <c:v>3.90367</c:v>
                </c:pt>
                <c:pt idx="18">
                  <c:v>3.89337</c:v>
                </c:pt>
                <c:pt idx="19">
                  <c:v>3.8832699999999996</c:v>
                </c:pt>
                <c:pt idx="20">
                  <c:v>3.8737700000000004</c:v>
                </c:pt>
                <c:pt idx="21">
                  <c:v>3.8633800000000003</c:v>
                </c:pt>
                <c:pt idx="22">
                  <c:v>3.8528800000000003</c:v>
                </c:pt>
                <c:pt idx="23">
                  <c:v>3.8414700000000002</c:v>
                </c:pt>
                <c:pt idx="24">
                  <c:v>3.8270500000000003</c:v>
                </c:pt>
                <c:pt idx="25">
                  <c:v>3.8155299999999999</c:v>
                </c:pt>
                <c:pt idx="26">
                  <c:v>3.8052999999999999</c:v>
                </c:pt>
                <c:pt idx="27">
                  <c:v>3.7922899999999999</c:v>
                </c:pt>
                <c:pt idx="28">
                  <c:v>3.7745600000000001</c:v>
                </c:pt>
                <c:pt idx="29">
                  <c:v>3.7563999999999997</c:v>
                </c:pt>
                <c:pt idx="30">
                  <c:v>3.73732</c:v>
                </c:pt>
                <c:pt idx="31">
                  <c:v>3.7141800000000003</c:v>
                </c:pt>
                <c:pt idx="32">
                  <c:v>3.6905199999999998</c:v>
                </c:pt>
                <c:pt idx="33">
                  <c:v>3.6675499999999999</c:v>
                </c:pt>
                <c:pt idx="34">
                  <c:v>3.6469899999999997</c:v>
                </c:pt>
                <c:pt idx="35">
                  <c:v>3.6274099999999998</c:v>
                </c:pt>
                <c:pt idx="36">
                  <c:v>3.6090400000000002</c:v>
                </c:pt>
                <c:pt idx="37">
                  <c:v>3.5918299999999999</c:v>
                </c:pt>
                <c:pt idx="38">
                  <c:v>3.5708299999999999</c:v>
                </c:pt>
                <c:pt idx="39">
                  <c:v>3.5464000000000002</c:v>
                </c:pt>
                <c:pt idx="40">
                  <c:v>3.5259800000000001</c:v>
                </c:pt>
                <c:pt idx="41">
                  <c:v>3.5120400000000003</c:v>
                </c:pt>
                <c:pt idx="42">
                  <c:v>3.4996999999999998</c:v>
                </c:pt>
                <c:pt idx="43">
                  <c:v>3.4896199999999999</c:v>
                </c:pt>
                <c:pt idx="44">
                  <c:v>3.4843299999999999</c:v>
                </c:pt>
                <c:pt idx="45">
                  <c:v>3.4839399999999996</c:v>
                </c:pt>
                <c:pt idx="46">
                  <c:v>3.4832700000000001</c:v>
                </c:pt>
                <c:pt idx="47">
                  <c:v>3.4824799999999998</c:v>
                </c:pt>
                <c:pt idx="48">
                  <c:v>3.4825499999999998</c:v>
                </c:pt>
                <c:pt idx="49">
                  <c:v>3.4839599999999997</c:v>
                </c:pt>
                <c:pt idx="50">
                  <c:v>3.4864000000000002</c:v>
                </c:pt>
                <c:pt idx="51">
                  <c:v>3.4886499999999998</c:v>
                </c:pt>
                <c:pt idx="52">
                  <c:v>3.4926600000000003</c:v>
                </c:pt>
                <c:pt idx="53">
                  <c:v>3.4995099999999999</c:v>
                </c:pt>
                <c:pt idx="54">
                  <c:v>3.5059100000000001</c:v>
                </c:pt>
                <c:pt idx="55">
                  <c:v>3.5114800000000002</c:v>
                </c:pt>
                <c:pt idx="56">
                  <c:v>3.5196199999999997</c:v>
                </c:pt>
                <c:pt idx="57">
                  <c:v>3.5269400000000002</c:v>
                </c:pt>
                <c:pt idx="58">
                  <c:v>3.5331700000000001</c:v>
                </c:pt>
                <c:pt idx="59">
                  <c:v>3.5365400000000005</c:v>
                </c:pt>
                <c:pt idx="60">
                  <c:v>3.5380799999999999</c:v>
                </c:pt>
                <c:pt idx="61">
                  <c:v>3.5387499999999998</c:v>
                </c:pt>
                <c:pt idx="62">
                  <c:v>3.5382699999999998</c:v>
                </c:pt>
                <c:pt idx="63">
                  <c:v>3.5409000000000002</c:v>
                </c:pt>
                <c:pt idx="64">
                  <c:v>3.5433300000000001</c:v>
                </c:pt>
                <c:pt idx="65">
                  <c:v>3.54209</c:v>
                </c:pt>
                <c:pt idx="66">
                  <c:v>3.5385800000000001</c:v>
                </c:pt>
                <c:pt idx="67">
                  <c:v>3.5341800000000001</c:v>
                </c:pt>
                <c:pt idx="68">
                  <c:v>3.52929</c:v>
                </c:pt>
                <c:pt idx="69">
                  <c:v>3.5208499999999998</c:v>
                </c:pt>
                <c:pt idx="70">
                  <c:v>3.5010699999999999</c:v>
                </c:pt>
                <c:pt idx="71">
                  <c:v>3.4841499999999996</c:v>
                </c:pt>
                <c:pt idx="72">
                  <c:v>3.4705699999999999</c:v>
                </c:pt>
                <c:pt idx="73">
                  <c:v>3.4695199999999997</c:v>
                </c:pt>
                <c:pt idx="74">
                  <c:v>3.48977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14.94065</c:v>
                </c:pt>
                <c:pt idx="1">
                  <c:v>44.821950000000001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3.5323251351351352</c:v>
                </c:pt>
                <c:pt idx="1">
                  <c:v>3.6837254054054061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0.38541900000000001</c:v>
                </c:pt>
                <c:pt idx="2">
                  <c:v>0.79323399999999999</c:v>
                </c:pt>
                <c:pt idx="3">
                  <c:v>1.1978899999999999</c:v>
                </c:pt>
                <c:pt idx="4">
                  <c:v>1.6085499999999999</c:v>
                </c:pt>
                <c:pt idx="5">
                  <c:v>2.0146899999999999</c:v>
                </c:pt>
                <c:pt idx="6">
                  <c:v>2.41703</c:v>
                </c:pt>
                <c:pt idx="7">
                  <c:v>2.8219099999999999</c:v>
                </c:pt>
                <c:pt idx="8">
                  <c:v>3.23359</c:v>
                </c:pt>
                <c:pt idx="9">
                  <c:v>3.6398899999999998</c:v>
                </c:pt>
                <c:pt idx="10">
                  <c:v>4.0446999999999997</c:v>
                </c:pt>
                <c:pt idx="11">
                  <c:v>4.4478799999999996</c:v>
                </c:pt>
                <c:pt idx="12">
                  <c:v>4.8555900000000003</c:v>
                </c:pt>
                <c:pt idx="13">
                  <c:v>5.2600600000000002</c:v>
                </c:pt>
                <c:pt idx="14">
                  <c:v>5.6717399999999998</c:v>
                </c:pt>
                <c:pt idx="15">
                  <c:v>6.0767600000000002</c:v>
                </c:pt>
                <c:pt idx="16">
                  <c:v>6.4803699999999997</c:v>
                </c:pt>
                <c:pt idx="17">
                  <c:v>6.8862899999999998</c:v>
                </c:pt>
                <c:pt idx="18">
                  <c:v>7.29453</c:v>
                </c:pt>
                <c:pt idx="19">
                  <c:v>7.7019099999999998</c:v>
                </c:pt>
                <c:pt idx="20">
                  <c:v>8.1084399999999999</c:v>
                </c:pt>
                <c:pt idx="21">
                  <c:v>8.5114199999999993</c:v>
                </c:pt>
                <c:pt idx="22">
                  <c:v>8.9177099999999996</c:v>
                </c:pt>
                <c:pt idx="23">
                  <c:v>9.3263999999999996</c:v>
                </c:pt>
                <c:pt idx="24">
                  <c:v>9.7342099999999991</c:v>
                </c:pt>
                <c:pt idx="25">
                  <c:v>10.1394</c:v>
                </c:pt>
                <c:pt idx="26">
                  <c:v>10.5456</c:v>
                </c:pt>
                <c:pt idx="27">
                  <c:v>10.9521</c:v>
                </c:pt>
                <c:pt idx="28">
                  <c:v>11.3552</c:v>
                </c:pt>
                <c:pt idx="29">
                  <c:v>11.7654</c:v>
                </c:pt>
                <c:pt idx="30">
                  <c:v>12.174099999999999</c:v>
                </c:pt>
                <c:pt idx="31">
                  <c:v>12.5768</c:v>
                </c:pt>
                <c:pt idx="32">
                  <c:v>12.98</c:v>
                </c:pt>
                <c:pt idx="33">
                  <c:v>13.386699999999999</c:v>
                </c:pt>
                <c:pt idx="34">
                  <c:v>13.794600000000001</c:v>
                </c:pt>
                <c:pt idx="35">
                  <c:v>14.2004</c:v>
                </c:pt>
                <c:pt idx="36">
                  <c:v>14.6073</c:v>
                </c:pt>
                <c:pt idx="37">
                  <c:v>15.010999999999999</c:v>
                </c:pt>
                <c:pt idx="38">
                  <c:v>15.4209</c:v>
                </c:pt>
                <c:pt idx="39">
                  <c:v>15.823399999999999</c:v>
                </c:pt>
                <c:pt idx="40">
                  <c:v>16.234999999999999</c:v>
                </c:pt>
                <c:pt idx="41">
                  <c:v>16.6371</c:v>
                </c:pt>
                <c:pt idx="42">
                  <c:v>17.0425</c:v>
                </c:pt>
                <c:pt idx="43">
                  <c:v>17.450700000000001</c:v>
                </c:pt>
                <c:pt idx="44">
                  <c:v>17.854399999999998</c:v>
                </c:pt>
                <c:pt idx="45">
                  <c:v>18.266100000000002</c:v>
                </c:pt>
                <c:pt idx="46">
                  <c:v>18.6694</c:v>
                </c:pt>
                <c:pt idx="47">
                  <c:v>19.072800000000001</c:v>
                </c:pt>
                <c:pt idx="48">
                  <c:v>19.478300000000001</c:v>
                </c:pt>
                <c:pt idx="49">
                  <c:v>19.887</c:v>
                </c:pt>
                <c:pt idx="50">
                  <c:v>20.295200000000001</c:v>
                </c:pt>
                <c:pt idx="51">
                  <c:v>20.702300000000001</c:v>
                </c:pt>
                <c:pt idx="52">
                  <c:v>21.106400000000001</c:v>
                </c:pt>
                <c:pt idx="53">
                  <c:v>21.516500000000001</c:v>
                </c:pt>
                <c:pt idx="54">
                  <c:v>21.919599999999999</c:v>
                </c:pt>
                <c:pt idx="55">
                  <c:v>22.3215</c:v>
                </c:pt>
                <c:pt idx="56">
                  <c:v>22.728300000000001</c:v>
                </c:pt>
                <c:pt idx="57">
                  <c:v>23.1404</c:v>
                </c:pt>
                <c:pt idx="58">
                  <c:v>23.546500000000002</c:v>
                </c:pt>
                <c:pt idx="59">
                  <c:v>23.9511</c:v>
                </c:pt>
                <c:pt idx="60">
                  <c:v>24.3537</c:v>
                </c:pt>
                <c:pt idx="61">
                  <c:v>24.7636</c:v>
                </c:pt>
                <c:pt idx="62">
                  <c:v>25.1708</c:v>
                </c:pt>
                <c:pt idx="63">
                  <c:v>25.578199999999999</c:v>
                </c:pt>
                <c:pt idx="64">
                  <c:v>25.980799999999999</c:v>
                </c:pt>
                <c:pt idx="65">
                  <c:v>26.3889</c:v>
                </c:pt>
                <c:pt idx="66">
                  <c:v>26.792899999999999</c:v>
                </c:pt>
                <c:pt idx="67">
                  <c:v>27.200299999999999</c:v>
                </c:pt>
                <c:pt idx="68">
                  <c:v>27.604900000000001</c:v>
                </c:pt>
                <c:pt idx="69">
                  <c:v>28.010999999999999</c:v>
                </c:pt>
                <c:pt idx="70">
                  <c:v>28.417000000000002</c:v>
                </c:pt>
                <c:pt idx="71">
                  <c:v>28.822700000000001</c:v>
                </c:pt>
                <c:pt idx="72">
                  <c:v>29.228899999999999</c:v>
                </c:pt>
                <c:pt idx="73">
                  <c:v>29.639099999999999</c:v>
                </c:pt>
                <c:pt idx="74">
                  <c:v>30.044699999999999</c:v>
                </c:pt>
                <c:pt idx="75">
                  <c:v>30.638300000000001</c:v>
                </c:pt>
                <c:pt idx="76">
                  <c:v>31.009899999999998</c:v>
                </c:pt>
                <c:pt idx="77">
                  <c:v>31.386600000000001</c:v>
                </c:pt>
                <c:pt idx="78">
                  <c:v>31.762</c:v>
                </c:pt>
                <c:pt idx="79">
                  <c:v>32.140700000000002</c:v>
                </c:pt>
                <c:pt idx="80">
                  <c:v>32.543500000000002</c:v>
                </c:pt>
                <c:pt idx="81">
                  <c:v>32.948799999999999</c:v>
                </c:pt>
                <c:pt idx="82">
                  <c:v>33.354999999999997</c:v>
                </c:pt>
                <c:pt idx="83">
                  <c:v>33.763100000000001</c:v>
                </c:pt>
                <c:pt idx="84">
                  <c:v>34.171999999999997</c:v>
                </c:pt>
                <c:pt idx="85">
                  <c:v>34.575699999999998</c:v>
                </c:pt>
                <c:pt idx="86">
                  <c:v>34.980800000000002</c:v>
                </c:pt>
                <c:pt idx="87">
                  <c:v>35.387300000000003</c:v>
                </c:pt>
                <c:pt idx="88">
                  <c:v>35.7973</c:v>
                </c:pt>
                <c:pt idx="89">
                  <c:v>36.198300000000003</c:v>
                </c:pt>
                <c:pt idx="90">
                  <c:v>36.606400000000001</c:v>
                </c:pt>
                <c:pt idx="91">
                  <c:v>37.0105</c:v>
                </c:pt>
                <c:pt idx="92">
                  <c:v>37.4161</c:v>
                </c:pt>
                <c:pt idx="93">
                  <c:v>37.8232</c:v>
                </c:pt>
                <c:pt idx="94">
                  <c:v>38.232300000000002</c:v>
                </c:pt>
                <c:pt idx="95">
                  <c:v>38.638599999999997</c:v>
                </c:pt>
                <c:pt idx="96">
                  <c:v>39.043300000000002</c:v>
                </c:pt>
                <c:pt idx="97">
                  <c:v>39.447800000000001</c:v>
                </c:pt>
                <c:pt idx="98">
                  <c:v>39.857199999999999</c:v>
                </c:pt>
                <c:pt idx="99">
                  <c:v>40.262999999999998</c:v>
                </c:pt>
                <c:pt idx="100">
                  <c:v>40.6706</c:v>
                </c:pt>
                <c:pt idx="101">
                  <c:v>41.074199999999998</c:v>
                </c:pt>
                <c:pt idx="102">
                  <c:v>41.479799999999997</c:v>
                </c:pt>
                <c:pt idx="103">
                  <c:v>41.8857</c:v>
                </c:pt>
                <c:pt idx="104">
                  <c:v>42.293599999999998</c:v>
                </c:pt>
                <c:pt idx="105">
                  <c:v>42.698700000000002</c:v>
                </c:pt>
                <c:pt idx="106">
                  <c:v>43.105200000000004</c:v>
                </c:pt>
                <c:pt idx="107">
                  <c:v>43.516300000000001</c:v>
                </c:pt>
                <c:pt idx="108">
                  <c:v>43.918900000000001</c:v>
                </c:pt>
                <c:pt idx="109">
                  <c:v>44.325299999999999</c:v>
                </c:pt>
                <c:pt idx="110">
                  <c:v>44.731200000000001</c:v>
                </c:pt>
                <c:pt idx="111">
                  <c:v>45.134799999999998</c:v>
                </c:pt>
                <c:pt idx="112">
                  <c:v>45.544600000000003</c:v>
                </c:pt>
                <c:pt idx="113">
                  <c:v>45.951900000000002</c:v>
                </c:pt>
                <c:pt idx="114">
                  <c:v>46.3536</c:v>
                </c:pt>
                <c:pt idx="115">
                  <c:v>46.761400000000002</c:v>
                </c:pt>
                <c:pt idx="116">
                  <c:v>47.168500000000002</c:v>
                </c:pt>
                <c:pt idx="117">
                  <c:v>47.573700000000002</c:v>
                </c:pt>
                <c:pt idx="118">
                  <c:v>47.984900000000003</c:v>
                </c:pt>
                <c:pt idx="119">
                  <c:v>48.385800000000003</c:v>
                </c:pt>
                <c:pt idx="120">
                  <c:v>48.791699999999999</c:v>
                </c:pt>
                <c:pt idx="121">
                  <c:v>49.201500000000003</c:v>
                </c:pt>
                <c:pt idx="122">
                  <c:v>49.607999999999997</c:v>
                </c:pt>
                <c:pt idx="123">
                  <c:v>50.012900000000002</c:v>
                </c:pt>
                <c:pt idx="124">
                  <c:v>50.418700000000001</c:v>
                </c:pt>
                <c:pt idx="125">
                  <c:v>50.8245</c:v>
                </c:pt>
                <c:pt idx="126">
                  <c:v>51.234000000000002</c:v>
                </c:pt>
                <c:pt idx="127">
                  <c:v>51.637900000000002</c:v>
                </c:pt>
                <c:pt idx="128">
                  <c:v>52.045000000000002</c:v>
                </c:pt>
                <c:pt idx="129">
                  <c:v>52.4482</c:v>
                </c:pt>
                <c:pt idx="130">
                  <c:v>52.856499999999997</c:v>
                </c:pt>
                <c:pt idx="131">
                  <c:v>53.261699999999998</c:v>
                </c:pt>
                <c:pt idx="132">
                  <c:v>53.671900000000001</c:v>
                </c:pt>
                <c:pt idx="133">
                  <c:v>54.077500000000001</c:v>
                </c:pt>
                <c:pt idx="134">
                  <c:v>54.480800000000002</c:v>
                </c:pt>
                <c:pt idx="135">
                  <c:v>54.8874</c:v>
                </c:pt>
                <c:pt idx="136">
                  <c:v>55.296399999999998</c:v>
                </c:pt>
                <c:pt idx="137">
                  <c:v>55.700899999999997</c:v>
                </c:pt>
                <c:pt idx="138">
                  <c:v>56.107100000000003</c:v>
                </c:pt>
                <c:pt idx="139">
                  <c:v>56.511299999999999</c:v>
                </c:pt>
                <c:pt idx="140">
                  <c:v>56.916600000000003</c:v>
                </c:pt>
                <c:pt idx="141">
                  <c:v>57.329599999999999</c:v>
                </c:pt>
                <c:pt idx="142">
                  <c:v>57.734299999999998</c:v>
                </c:pt>
                <c:pt idx="143">
                  <c:v>58.140500000000003</c:v>
                </c:pt>
                <c:pt idx="144">
                  <c:v>58.545099999999998</c:v>
                </c:pt>
                <c:pt idx="145">
                  <c:v>58.948500000000003</c:v>
                </c:pt>
                <c:pt idx="146">
                  <c:v>59.356200000000001</c:v>
                </c:pt>
                <c:pt idx="147">
                  <c:v>59.762599999999999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61.433000000000007</c:v>
                </c:pt>
                <c:pt idx="1">
                  <c:v>60.867599999999996</c:v>
                </c:pt>
                <c:pt idx="2">
                  <c:v>60.282899999999998</c:v>
                </c:pt>
                <c:pt idx="3">
                  <c:v>59.647099999999995</c:v>
                </c:pt>
                <c:pt idx="4">
                  <c:v>59.056100000000001</c:v>
                </c:pt>
                <c:pt idx="5">
                  <c:v>58.4758</c:v>
                </c:pt>
                <c:pt idx="6">
                  <c:v>57.9375</c:v>
                </c:pt>
                <c:pt idx="7">
                  <c:v>57.324399999999997</c:v>
                </c:pt>
                <c:pt idx="8">
                  <c:v>56.704600000000006</c:v>
                </c:pt>
                <c:pt idx="9">
                  <c:v>55.9392</c:v>
                </c:pt>
                <c:pt idx="10">
                  <c:v>55.145699999999998</c:v>
                </c:pt>
                <c:pt idx="11">
                  <c:v>54.313699999999997</c:v>
                </c:pt>
                <c:pt idx="12">
                  <c:v>53.511800000000001</c:v>
                </c:pt>
                <c:pt idx="13">
                  <c:v>52.770300000000006</c:v>
                </c:pt>
                <c:pt idx="14">
                  <c:v>52.211399999999998</c:v>
                </c:pt>
                <c:pt idx="15">
                  <c:v>51.716799999999999</c:v>
                </c:pt>
                <c:pt idx="16">
                  <c:v>51.276500000000006</c:v>
                </c:pt>
                <c:pt idx="17">
                  <c:v>50.877399999999994</c:v>
                </c:pt>
                <c:pt idx="18">
                  <c:v>50.528600000000004</c:v>
                </c:pt>
                <c:pt idx="19">
                  <c:v>50.227599999999995</c:v>
                </c:pt>
                <c:pt idx="20">
                  <c:v>49.999500000000005</c:v>
                </c:pt>
                <c:pt idx="21">
                  <c:v>49.839199999999998</c:v>
                </c:pt>
                <c:pt idx="22">
                  <c:v>49.647799999999997</c:v>
                </c:pt>
                <c:pt idx="23">
                  <c:v>49.405000000000001</c:v>
                </c:pt>
                <c:pt idx="24">
                  <c:v>49.152699999999996</c:v>
                </c:pt>
                <c:pt idx="25">
                  <c:v>48.949100000000001</c:v>
                </c:pt>
                <c:pt idx="26">
                  <c:v>48.758899999999997</c:v>
                </c:pt>
                <c:pt idx="27">
                  <c:v>48.621499999999997</c:v>
                </c:pt>
                <c:pt idx="28">
                  <c:v>48.524299999999997</c:v>
                </c:pt>
                <c:pt idx="29">
                  <c:v>48.433700000000002</c:v>
                </c:pt>
                <c:pt idx="30">
                  <c:v>48.345199999999998</c:v>
                </c:pt>
                <c:pt idx="31">
                  <c:v>48.281199999999998</c:v>
                </c:pt>
                <c:pt idx="32">
                  <c:v>48.241399999999999</c:v>
                </c:pt>
                <c:pt idx="33">
                  <c:v>48.211799999999997</c:v>
                </c:pt>
                <c:pt idx="34">
                  <c:v>48.193399999999997</c:v>
                </c:pt>
                <c:pt idx="35">
                  <c:v>48.191499999999998</c:v>
                </c:pt>
                <c:pt idx="36">
                  <c:v>48.281500000000001</c:v>
                </c:pt>
                <c:pt idx="37">
                  <c:v>48.440899999999999</c:v>
                </c:pt>
                <c:pt idx="38">
                  <c:v>48.629600000000003</c:v>
                </c:pt>
                <c:pt idx="39">
                  <c:v>48.772599999999997</c:v>
                </c:pt>
                <c:pt idx="40">
                  <c:v>48.959699999999998</c:v>
                </c:pt>
                <c:pt idx="41">
                  <c:v>49.176600000000001</c:v>
                </c:pt>
                <c:pt idx="42">
                  <c:v>49.4041</c:v>
                </c:pt>
                <c:pt idx="43">
                  <c:v>49.576799999999999</c:v>
                </c:pt>
                <c:pt idx="44">
                  <c:v>49.691000000000003</c:v>
                </c:pt>
                <c:pt idx="45">
                  <c:v>49.734699999999997</c:v>
                </c:pt>
                <c:pt idx="46">
                  <c:v>49.659700000000001</c:v>
                </c:pt>
                <c:pt idx="47">
                  <c:v>49.589100000000002</c:v>
                </c:pt>
                <c:pt idx="48">
                  <c:v>49.515000000000001</c:v>
                </c:pt>
                <c:pt idx="49">
                  <c:v>49.366399999999999</c:v>
                </c:pt>
                <c:pt idx="50">
                  <c:v>49.345599999999997</c:v>
                </c:pt>
                <c:pt idx="51">
                  <c:v>49.106999999999999</c:v>
                </c:pt>
                <c:pt idx="52">
                  <c:v>48.808800000000005</c:v>
                </c:pt>
                <c:pt idx="53">
                  <c:v>48.516100000000002</c:v>
                </c:pt>
                <c:pt idx="54">
                  <c:v>48.282000000000004</c:v>
                </c:pt>
                <c:pt idx="55">
                  <c:v>48.0794</c:v>
                </c:pt>
                <c:pt idx="56">
                  <c:v>47.941800000000001</c:v>
                </c:pt>
                <c:pt idx="57">
                  <c:v>47.891600000000004</c:v>
                </c:pt>
                <c:pt idx="58">
                  <c:v>47.883800000000001</c:v>
                </c:pt>
                <c:pt idx="59">
                  <c:v>47.924700000000001</c:v>
                </c:pt>
                <c:pt idx="60">
                  <c:v>48.011700000000005</c:v>
                </c:pt>
                <c:pt idx="61">
                  <c:v>48.092600000000004</c:v>
                </c:pt>
                <c:pt idx="62">
                  <c:v>48.167400000000001</c:v>
                </c:pt>
                <c:pt idx="63">
                  <c:v>48.2712</c:v>
                </c:pt>
                <c:pt idx="64">
                  <c:v>48.421300000000002</c:v>
                </c:pt>
                <c:pt idx="65">
                  <c:v>48.574600000000004</c:v>
                </c:pt>
                <c:pt idx="66">
                  <c:v>48.734000000000002</c:v>
                </c:pt>
                <c:pt idx="67">
                  <c:v>48.8536</c:v>
                </c:pt>
                <c:pt idx="68">
                  <c:v>48.958100000000002</c:v>
                </c:pt>
                <c:pt idx="69">
                  <c:v>49.018000000000001</c:v>
                </c:pt>
                <c:pt idx="70">
                  <c:v>49.056800000000003</c:v>
                </c:pt>
                <c:pt idx="71">
                  <c:v>49.0837</c:v>
                </c:pt>
                <c:pt idx="72">
                  <c:v>49.1389</c:v>
                </c:pt>
                <c:pt idx="73">
                  <c:v>49.215800000000002</c:v>
                </c:pt>
                <c:pt idx="74">
                  <c:v>49.293399999999998</c:v>
                </c:pt>
                <c:pt idx="75">
                  <c:v>49.364699999999999</c:v>
                </c:pt>
                <c:pt idx="76">
                  <c:v>49.4816</c:v>
                </c:pt>
                <c:pt idx="77">
                  <c:v>49.597000000000001</c:v>
                </c:pt>
                <c:pt idx="78">
                  <c:v>49.684800000000003</c:v>
                </c:pt>
                <c:pt idx="79">
                  <c:v>49.776199999999996</c:v>
                </c:pt>
                <c:pt idx="80">
                  <c:v>49.8598</c:v>
                </c:pt>
                <c:pt idx="81">
                  <c:v>49.9009</c:v>
                </c:pt>
                <c:pt idx="82">
                  <c:v>49.896900000000002</c:v>
                </c:pt>
                <c:pt idx="83">
                  <c:v>49.889299999999999</c:v>
                </c:pt>
                <c:pt idx="84">
                  <c:v>49.849800000000002</c:v>
                </c:pt>
                <c:pt idx="85">
                  <c:v>49.816099999999999</c:v>
                </c:pt>
                <c:pt idx="86">
                  <c:v>49.758800000000001</c:v>
                </c:pt>
                <c:pt idx="87">
                  <c:v>49.693199999999997</c:v>
                </c:pt>
                <c:pt idx="88">
                  <c:v>49.607800000000005</c:v>
                </c:pt>
                <c:pt idx="89">
                  <c:v>49.591499999999996</c:v>
                </c:pt>
                <c:pt idx="90">
                  <c:v>49.551200000000001</c:v>
                </c:pt>
                <c:pt idx="91">
                  <c:v>49.502000000000002</c:v>
                </c:pt>
                <c:pt idx="92">
                  <c:v>49.415900000000001</c:v>
                </c:pt>
                <c:pt idx="93">
                  <c:v>49.2973</c:v>
                </c:pt>
                <c:pt idx="94">
                  <c:v>49.192300000000003</c:v>
                </c:pt>
                <c:pt idx="95">
                  <c:v>49.076500000000003</c:v>
                </c:pt>
                <c:pt idx="96">
                  <c:v>48.967399999999998</c:v>
                </c:pt>
                <c:pt idx="97">
                  <c:v>48.838300000000004</c:v>
                </c:pt>
                <c:pt idx="98">
                  <c:v>48.7239</c:v>
                </c:pt>
                <c:pt idx="99">
                  <c:v>48.631799999999998</c:v>
                </c:pt>
                <c:pt idx="100">
                  <c:v>48.513500000000001</c:v>
                </c:pt>
                <c:pt idx="101">
                  <c:v>48.389099999999999</c:v>
                </c:pt>
                <c:pt idx="102">
                  <c:v>48.295100000000005</c:v>
                </c:pt>
                <c:pt idx="103">
                  <c:v>48.229799999999997</c:v>
                </c:pt>
                <c:pt idx="104">
                  <c:v>48.178199999999997</c:v>
                </c:pt>
                <c:pt idx="105">
                  <c:v>48.1524</c:v>
                </c:pt>
                <c:pt idx="106">
                  <c:v>48.128999999999998</c:v>
                </c:pt>
                <c:pt idx="107">
                  <c:v>48.104500000000002</c:v>
                </c:pt>
                <c:pt idx="108">
                  <c:v>48.1</c:v>
                </c:pt>
                <c:pt idx="109">
                  <c:v>48.089799999999997</c:v>
                </c:pt>
                <c:pt idx="110">
                  <c:v>48.023800000000001</c:v>
                </c:pt>
                <c:pt idx="111">
                  <c:v>48.043700000000001</c:v>
                </c:pt>
                <c:pt idx="112">
                  <c:v>48.193100000000001</c:v>
                </c:pt>
                <c:pt idx="113">
                  <c:v>48.239599999999996</c:v>
                </c:pt>
                <c:pt idx="114">
                  <c:v>48.101599999999998</c:v>
                </c:pt>
                <c:pt idx="115">
                  <c:v>47.929899999999996</c:v>
                </c:pt>
                <c:pt idx="116">
                  <c:v>47.715699999999998</c:v>
                </c:pt>
                <c:pt idx="117">
                  <c:v>47.414899999999996</c:v>
                </c:pt>
                <c:pt idx="118">
                  <c:v>47.031500000000001</c:v>
                </c:pt>
                <c:pt idx="119">
                  <c:v>46.7121</c:v>
                </c:pt>
                <c:pt idx="120">
                  <c:v>46.445900000000002</c:v>
                </c:pt>
                <c:pt idx="121">
                  <c:v>46.203400000000002</c:v>
                </c:pt>
                <c:pt idx="122">
                  <c:v>45.972000000000001</c:v>
                </c:pt>
                <c:pt idx="123">
                  <c:v>45.763999999999996</c:v>
                </c:pt>
                <c:pt idx="124">
                  <c:v>45.587600000000002</c:v>
                </c:pt>
                <c:pt idx="125">
                  <c:v>45.3996</c:v>
                </c:pt>
                <c:pt idx="126">
                  <c:v>45.196899999999999</c:v>
                </c:pt>
                <c:pt idx="127">
                  <c:v>44.991999999999997</c:v>
                </c:pt>
                <c:pt idx="128">
                  <c:v>44.790400000000005</c:v>
                </c:pt>
                <c:pt idx="129">
                  <c:v>44.557200000000002</c:v>
                </c:pt>
                <c:pt idx="130">
                  <c:v>44.286900000000003</c:v>
                </c:pt>
                <c:pt idx="131">
                  <c:v>44.020299999999999</c:v>
                </c:pt>
                <c:pt idx="132">
                  <c:v>43.769500000000001</c:v>
                </c:pt>
                <c:pt idx="133">
                  <c:v>43.523299999999999</c:v>
                </c:pt>
                <c:pt idx="134">
                  <c:v>43.268799999999999</c:v>
                </c:pt>
                <c:pt idx="135">
                  <c:v>43.089399999999998</c:v>
                </c:pt>
                <c:pt idx="136">
                  <c:v>42.9041</c:v>
                </c:pt>
                <c:pt idx="137">
                  <c:v>42.731499999999997</c:v>
                </c:pt>
                <c:pt idx="138">
                  <c:v>42.6539</c:v>
                </c:pt>
                <c:pt idx="139">
                  <c:v>42.632300000000001</c:v>
                </c:pt>
                <c:pt idx="140">
                  <c:v>42.610100000000003</c:v>
                </c:pt>
                <c:pt idx="141">
                  <c:v>42.572900000000004</c:v>
                </c:pt>
                <c:pt idx="142">
                  <c:v>42.653300000000002</c:v>
                </c:pt>
                <c:pt idx="143">
                  <c:v>43.0685</c:v>
                </c:pt>
                <c:pt idx="144">
                  <c:v>43.476500000000001</c:v>
                </c:pt>
                <c:pt idx="145">
                  <c:v>43.7926</c:v>
                </c:pt>
                <c:pt idx="146">
                  <c:v>43.861499999999999</c:v>
                </c:pt>
                <c:pt idx="147">
                  <c:v>43.431899999999999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0.38541900000000001</c:v>
                </c:pt>
                <c:pt idx="2">
                  <c:v>0.79323399999999999</c:v>
                </c:pt>
                <c:pt idx="3">
                  <c:v>1.1978899999999999</c:v>
                </c:pt>
                <c:pt idx="4">
                  <c:v>1.6085499999999999</c:v>
                </c:pt>
                <c:pt idx="5">
                  <c:v>2.0146899999999999</c:v>
                </c:pt>
                <c:pt idx="6">
                  <c:v>2.41703</c:v>
                </c:pt>
                <c:pt idx="7">
                  <c:v>2.8219099999999999</c:v>
                </c:pt>
                <c:pt idx="8">
                  <c:v>3.23359</c:v>
                </c:pt>
                <c:pt idx="9">
                  <c:v>3.6398899999999998</c:v>
                </c:pt>
                <c:pt idx="10">
                  <c:v>4.0446999999999997</c:v>
                </c:pt>
                <c:pt idx="11">
                  <c:v>4.4478799999999996</c:v>
                </c:pt>
                <c:pt idx="12">
                  <c:v>4.8555900000000003</c:v>
                </c:pt>
                <c:pt idx="13">
                  <c:v>5.2600600000000002</c:v>
                </c:pt>
                <c:pt idx="14">
                  <c:v>5.6717399999999998</c:v>
                </c:pt>
                <c:pt idx="15">
                  <c:v>6.0767600000000002</c:v>
                </c:pt>
                <c:pt idx="16">
                  <c:v>6.4803699999999997</c:v>
                </c:pt>
                <c:pt idx="17">
                  <c:v>6.8862899999999998</c:v>
                </c:pt>
                <c:pt idx="18">
                  <c:v>7.29453</c:v>
                </c:pt>
                <c:pt idx="19">
                  <c:v>7.7019099999999998</c:v>
                </c:pt>
                <c:pt idx="20">
                  <c:v>8.1084399999999999</c:v>
                </c:pt>
                <c:pt idx="21">
                  <c:v>8.5114199999999993</c:v>
                </c:pt>
                <c:pt idx="22">
                  <c:v>8.9177099999999996</c:v>
                </c:pt>
                <c:pt idx="23">
                  <c:v>9.3263999999999996</c:v>
                </c:pt>
                <c:pt idx="24">
                  <c:v>9.7342099999999991</c:v>
                </c:pt>
                <c:pt idx="25">
                  <c:v>10.1394</c:v>
                </c:pt>
                <c:pt idx="26">
                  <c:v>10.5456</c:v>
                </c:pt>
                <c:pt idx="27">
                  <c:v>10.9521</c:v>
                </c:pt>
                <c:pt idx="28">
                  <c:v>11.3552</c:v>
                </c:pt>
                <c:pt idx="29">
                  <c:v>11.7654</c:v>
                </c:pt>
                <c:pt idx="30">
                  <c:v>12.174099999999999</c:v>
                </c:pt>
                <c:pt idx="31">
                  <c:v>12.5768</c:v>
                </c:pt>
                <c:pt idx="32">
                  <c:v>12.98</c:v>
                </c:pt>
                <c:pt idx="33">
                  <c:v>13.386699999999999</c:v>
                </c:pt>
                <c:pt idx="34">
                  <c:v>13.794600000000001</c:v>
                </c:pt>
                <c:pt idx="35">
                  <c:v>14.2004</c:v>
                </c:pt>
                <c:pt idx="36">
                  <c:v>14.6073</c:v>
                </c:pt>
                <c:pt idx="37">
                  <c:v>15.010999999999999</c:v>
                </c:pt>
                <c:pt idx="38">
                  <c:v>15.4209</c:v>
                </c:pt>
                <c:pt idx="39">
                  <c:v>15.823399999999999</c:v>
                </c:pt>
                <c:pt idx="40">
                  <c:v>16.234999999999999</c:v>
                </c:pt>
                <c:pt idx="41">
                  <c:v>16.6371</c:v>
                </c:pt>
                <c:pt idx="42">
                  <c:v>17.0425</c:v>
                </c:pt>
                <c:pt idx="43">
                  <c:v>17.450700000000001</c:v>
                </c:pt>
                <c:pt idx="44">
                  <c:v>17.854399999999998</c:v>
                </c:pt>
                <c:pt idx="45">
                  <c:v>18.266100000000002</c:v>
                </c:pt>
                <c:pt idx="46">
                  <c:v>18.6694</c:v>
                </c:pt>
                <c:pt idx="47">
                  <c:v>19.072800000000001</c:v>
                </c:pt>
                <c:pt idx="48">
                  <c:v>19.478300000000001</c:v>
                </c:pt>
                <c:pt idx="49">
                  <c:v>19.887</c:v>
                </c:pt>
                <c:pt idx="50">
                  <c:v>20.295200000000001</c:v>
                </c:pt>
                <c:pt idx="51">
                  <c:v>20.702300000000001</c:v>
                </c:pt>
                <c:pt idx="52">
                  <c:v>21.106400000000001</c:v>
                </c:pt>
                <c:pt idx="53">
                  <c:v>21.516500000000001</c:v>
                </c:pt>
                <c:pt idx="54">
                  <c:v>21.919599999999999</c:v>
                </c:pt>
                <c:pt idx="55">
                  <c:v>22.3215</c:v>
                </c:pt>
                <c:pt idx="56">
                  <c:v>22.728300000000001</c:v>
                </c:pt>
                <c:pt idx="57">
                  <c:v>23.1404</c:v>
                </c:pt>
                <c:pt idx="58">
                  <c:v>23.546500000000002</c:v>
                </c:pt>
                <c:pt idx="59">
                  <c:v>23.9511</c:v>
                </c:pt>
                <c:pt idx="60">
                  <c:v>24.3537</c:v>
                </c:pt>
                <c:pt idx="61">
                  <c:v>24.7636</c:v>
                </c:pt>
                <c:pt idx="62">
                  <c:v>25.1708</c:v>
                </c:pt>
                <c:pt idx="63">
                  <c:v>25.578199999999999</c:v>
                </c:pt>
                <c:pt idx="64">
                  <c:v>25.980799999999999</c:v>
                </c:pt>
                <c:pt idx="65">
                  <c:v>26.3889</c:v>
                </c:pt>
                <c:pt idx="66">
                  <c:v>26.792899999999999</c:v>
                </c:pt>
                <c:pt idx="67">
                  <c:v>27.200299999999999</c:v>
                </c:pt>
                <c:pt idx="68">
                  <c:v>27.604900000000001</c:v>
                </c:pt>
                <c:pt idx="69">
                  <c:v>28.010999999999999</c:v>
                </c:pt>
                <c:pt idx="70">
                  <c:v>28.417000000000002</c:v>
                </c:pt>
                <c:pt idx="71">
                  <c:v>28.822700000000001</c:v>
                </c:pt>
                <c:pt idx="72">
                  <c:v>29.228899999999999</c:v>
                </c:pt>
                <c:pt idx="73">
                  <c:v>29.639099999999999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61.433000000000007</c:v>
                </c:pt>
                <c:pt idx="1">
                  <c:v>60.867599999999996</c:v>
                </c:pt>
                <c:pt idx="2">
                  <c:v>60.282899999999998</c:v>
                </c:pt>
                <c:pt idx="3">
                  <c:v>59.647099999999995</c:v>
                </c:pt>
                <c:pt idx="4">
                  <c:v>59.056100000000001</c:v>
                </c:pt>
                <c:pt idx="5">
                  <c:v>58.4758</c:v>
                </c:pt>
                <c:pt idx="6">
                  <c:v>57.9375</c:v>
                </c:pt>
                <c:pt idx="7">
                  <c:v>57.324399999999997</c:v>
                </c:pt>
                <c:pt idx="8">
                  <c:v>56.704600000000006</c:v>
                </c:pt>
                <c:pt idx="9">
                  <c:v>55.9392</c:v>
                </c:pt>
                <c:pt idx="10">
                  <c:v>55.145699999999998</c:v>
                </c:pt>
                <c:pt idx="11">
                  <c:v>54.313699999999997</c:v>
                </c:pt>
                <c:pt idx="12">
                  <c:v>53.511800000000001</c:v>
                </c:pt>
                <c:pt idx="13">
                  <c:v>52.770300000000006</c:v>
                </c:pt>
                <c:pt idx="14">
                  <c:v>52.211399999999998</c:v>
                </c:pt>
                <c:pt idx="15">
                  <c:v>51.716799999999999</c:v>
                </c:pt>
                <c:pt idx="16">
                  <c:v>51.276500000000006</c:v>
                </c:pt>
                <c:pt idx="17">
                  <c:v>50.877399999999994</c:v>
                </c:pt>
                <c:pt idx="18">
                  <c:v>50.528600000000004</c:v>
                </c:pt>
                <c:pt idx="19">
                  <c:v>50.227599999999995</c:v>
                </c:pt>
                <c:pt idx="20">
                  <c:v>49.999500000000005</c:v>
                </c:pt>
                <c:pt idx="21">
                  <c:v>49.839199999999998</c:v>
                </c:pt>
                <c:pt idx="22">
                  <c:v>49.647799999999997</c:v>
                </c:pt>
                <c:pt idx="23">
                  <c:v>49.405000000000001</c:v>
                </c:pt>
                <c:pt idx="24">
                  <c:v>49.152699999999996</c:v>
                </c:pt>
                <c:pt idx="25">
                  <c:v>48.949100000000001</c:v>
                </c:pt>
                <c:pt idx="26">
                  <c:v>48.758899999999997</c:v>
                </c:pt>
                <c:pt idx="27">
                  <c:v>48.621499999999997</c:v>
                </c:pt>
                <c:pt idx="28">
                  <c:v>48.524299999999997</c:v>
                </c:pt>
                <c:pt idx="29">
                  <c:v>48.433700000000002</c:v>
                </c:pt>
                <c:pt idx="30">
                  <c:v>48.345199999999998</c:v>
                </c:pt>
                <c:pt idx="31">
                  <c:v>48.281199999999998</c:v>
                </c:pt>
                <c:pt idx="32">
                  <c:v>48.241399999999999</c:v>
                </c:pt>
                <c:pt idx="33">
                  <c:v>48.211799999999997</c:v>
                </c:pt>
                <c:pt idx="34">
                  <c:v>48.193399999999997</c:v>
                </c:pt>
                <c:pt idx="35">
                  <c:v>48.191499999999998</c:v>
                </c:pt>
                <c:pt idx="36">
                  <c:v>48.281500000000001</c:v>
                </c:pt>
                <c:pt idx="37">
                  <c:v>48.440899999999999</c:v>
                </c:pt>
                <c:pt idx="38">
                  <c:v>48.629600000000003</c:v>
                </c:pt>
                <c:pt idx="39">
                  <c:v>48.772599999999997</c:v>
                </c:pt>
                <c:pt idx="40">
                  <c:v>48.959699999999998</c:v>
                </c:pt>
                <c:pt idx="41">
                  <c:v>49.176600000000001</c:v>
                </c:pt>
                <c:pt idx="42">
                  <c:v>49.4041</c:v>
                </c:pt>
                <c:pt idx="43">
                  <c:v>49.576799999999999</c:v>
                </c:pt>
                <c:pt idx="44">
                  <c:v>49.691000000000003</c:v>
                </c:pt>
                <c:pt idx="45">
                  <c:v>49.734699999999997</c:v>
                </c:pt>
                <c:pt idx="46">
                  <c:v>49.659700000000001</c:v>
                </c:pt>
                <c:pt idx="47">
                  <c:v>49.589100000000002</c:v>
                </c:pt>
                <c:pt idx="48">
                  <c:v>49.515000000000001</c:v>
                </c:pt>
                <c:pt idx="49">
                  <c:v>49.366399999999999</c:v>
                </c:pt>
                <c:pt idx="50">
                  <c:v>49.345599999999997</c:v>
                </c:pt>
                <c:pt idx="51">
                  <c:v>49.106999999999999</c:v>
                </c:pt>
                <c:pt idx="52">
                  <c:v>48.808800000000005</c:v>
                </c:pt>
                <c:pt idx="53">
                  <c:v>48.516100000000002</c:v>
                </c:pt>
                <c:pt idx="54">
                  <c:v>48.282000000000004</c:v>
                </c:pt>
                <c:pt idx="55">
                  <c:v>48.0794</c:v>
                </c:pt>
                <c:pt idx="56">
                  <c:v>47.941800000000001</c:v>
                </c:pt>
                <c:pt idx="57">
                  <c:v>47.891600000000004</c:v>
                </c:pt>
                <c:pt idx="58">
                  <c:v>47.883800000000001</c:v>
                </c:pt>
                <c:pt idx="59">
                  <c:v>47.924700000000001</c:v>
                </c:pt>
                <c:pt idx="60">
                  <c:v>48.011700000000005</c:v>
                </c:pt>
                <c:pt idx="61">
                  <c:v>48.092600000000004</c:v>
                </c:pt>
                <c:pt idx="62">
                  <c:v>48.167400000000001</c:v>
                </c:pt>
                <c:pt idx="63">
                  <c:v>48.2712</c:v>
                </c:pt>
                <c:pt idx="64">
                  <c:v>48.421300000000002</c:v>
                </c:pt>
                <c:pt idx="65">
                  <c:v>48.574600000000004</c:v>
                </c:pt>
                <c:pt idx="66">
                  <c:v>48.734000000000002</c:v>
                </c:pt>
                <c:pt idx="67">
                  <c:v>48.8536</c:v>
                </c:pt>
                <c:pt idx="68">
                  <c:v>48.958100000000002</c:v>
                </c:pt>
                <c:pt idx="69">
                  <c:v>49.018000000000001</c:v>
                </c:pt>
                <c:pt idx="70">
                  <c:v>49.056800000000003</c:v>
                </c:pt>
                <c:pt idx="71">
                  <c:v>49.0837</c:v>
                </c:pt>
                <c:pt idx="72">
                  <c:v>49.1389</c:v>
                </c:pt>
                <c:pt idx="73">
                  <c:v>49.215800000000002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29.639099999999999</c:v>
                </c:pt>
                <c:pt idx="1">
                  <c:v>30.044699999999999</c:v>
                </c:pt>
                <c:pt idx="2">
                  <c:v>30.638300000000001</c:v>
                </c:pt>
                <c:pt idx="3">
                  <c:v>31.009899999999998</c:v>
                </c:pt>
                <c:pt idx="4">
                  <c:v>31.386600000000001</c:v>
                </c:pt>
                <c:pt idx="5">
                  <c:v>31.762</c:v>
                </c:pt>
                <c:pt idx="6">
                  <c:v>32.140700000000002</c:v>
                </c:pt>
                <c:pt idx="7">
                  <c:v>32.543500000000002</c:v>
                </c:pt>
                <c:pt idx="8">
                  <c:v>32.948799999999999</c:v>
                </c:pt>
                <c:pt idx="9">
                  <c:v>33.354999999999997</c:v>
                </c:pt>
                <c:pt idx="10">
                  <c:v>33.763100000000001</c:v>
                </c:pt>
                <c:pt idx="11">
                  <c:v>34.171999999999997</c:v>
                </c:pt>
                <c:pt idx="12">
                  <c:v>34.575699999999998</c:v>
                </c:pt>
                <c:pt idx="13">
                  <c:v>34.980800000000002</c:v>
                </c:pt>
                <c:pt idx="14">
                  <c:v>35.387300000000003</c:v>
                </c:pt>
                <c:pt idx="15">
                  <c:v>35.7973</c:v>
                </c:pt>
                <c:pt idx="16">
                  <c:v>36.198300000000003</c:v>
                </c:pt>
                <c:pt idx="17">
                  <c:v>36.606400000000001</c:v>
                </c:pt>
                <c:pt idx="18">
                  <c:v>37.0105</c:v>
                </c:pt>
                <c:pt idx="19">
                  <c:v>37.4161</c:v>
                </c:pt>
                <c:pt idx="20">
                  <c:v>37.8232</c:v>
                </c:pt>
                <c:pt idx="21">
                  <c:v>38.232300000000002</c:v>
                </c:pt>
                <c:pt idx="22">
                  <c:v>38.638599999999997</c:v>
                </c:pt>
                <c:pt idx="23">
                  <c:v>39.043300000000002</c:v>
                </c:pt>
                <c:pt idx="24">
                  <c:v>39.447800000000001</c:v>
                </c:pt>
                <c:pt idx="25">
                  <c:v>39.857199999999999</c:v>
                </c:pt>
                <c:pt idx="26">
                  <c:v>40.262999999999998</c:v>
                </c:pt>
                <c:pt idx="27">
                  <c:v>40.6706</c:v>
                </c:pt>
                <c:pt idx="28">
                  <c:v>41.074199999999998</c:v>
                </c:pt>
                <c:pt idx="29">
                  <c:v>41.479799999999997</c:v>
                </c:pt>
                <c:pt idx="30">
                  <c:v>41.8857</c:v>
                </c:pt>
                <c:pt idx="31">
                  <c:v>42.293599999999998</c:v>
                </c:pt>
                <c:pt idx="32">
                  <c:v>42.698700000000002</c:v>
                </c:pt>
                <c:pt idx="33">
                  <c:v>43.105200000000004</c:v>
                </c:pt>
                <c:pt idx="34">
                  <c:v>43.516300000000001</c:v>
                </c:pt>
                <c:pt idx="35">
                  <c:v>43.918900000000001</c:v>
                </c:pt>
                <c:pt idx="36">
                  <c:v>44.325299999999999</c:v>
                </c:pt>
                <c:pt idx="37">
                  <c:v>44.731200000000001</c:v>
                </c:pt>
                <c:pt idx="38">
                  <c:v>45.134799999999998</c:v>
                </c:pt>
                <c:pt idx="39">
                  <c:v>45.544600000000003</c:v>
                </c:pt>
                <c:pt idx="40">
                  <c:v>45.951900000000002</c:v>
                </c:pt>
                <c:pt idx="41">
                  <c:v>46.3536</c:v>
                </c:pt>
                <c:pt idx="42">
                  <c:v>46.761400000000002</c:v>
                </c:pt>
                <c:pt idx="43">
                  <c:v>47.168500000000002</c:v>
                </c:pt>
                <c:pt idx="44">
                  <c:v>47.573700000000002</c:v>
                </c:pt>
                <c:pt idx="45">
                  <c:v>47.984900000000003</c:v>
                </c:pt>
                <c:pt idx="46">
                  <c:v>48.385800000000003</c:v>
                </c:pt>
                <c:pt idx="47">
                  <c:v>48.791699999999999</c:v>
                </c:pt>
                <c:pt idx="48">
                  <c:v>49.201500000000003</c:v>
                </c:pt>
                <c:pt idx="49">
                  <c:v>49.607999999999997</c:v>
                </c:pt>
                <c:pt idx="50">
                  <c:v>50.012900000000002</c:v>
                </c:pt>
                <c:pt idx="51">
                  <c:v>50.418700000000001</c:v>
                </c:pt>
                <c:pt idx="52">
                  <c:v>50.8245</c:v>
                </c:pt>
                <c:pt idx="53">
                  <c:v>51.234000000000002</c:v>
                </c:pt>
                <c:pt idx="54">
                  <c:v>51.637900000000002</c:v>
                </c:pt>
                <c:pt idx="55">
                  <c:v>52.045000000000002</c:v>
                </c:pt>
                <c:pt idx="56">
                  <c:v>52.4482</c:v>
                </c:pt>
                <c:pt idx="57">
                  <c:v>52.856499999999997</c:v>
                </c:pt>
                <c:pt idx="58">
                  <c:v>53.261699999999998</c:v>
                </c:pt>
                <c:pt idx="59">
                  <c:v>53.671900000000001</c:v>
                </c:pt>
                <c:pt idx="60">
                  <c:v>54.077500000000001</c:v>
                </c:pt>
                <c:pt idx="61">
                  <c:v>54.480800000000002</c:v>
                </c:pt>
                <c:pt idx="62">
                  <c:v>54.8874</c:v>
                </c:pt>
                <c:pt idx="63">
                  <c:v>55.296399999999998</c:v>
                </c:pt>
                <c:pt idx="64">
                  <c:v>55.700899999999997</c:v>
                </c:pt>
                <c:pt idx="65">
                  <c:v>56.107100000000003</c:v>
                </c:pt>
                <c:pt idx="66">
                  <c:v>56.511299999999999</c:v>
                </c:pt>
                <c:pt idx="67">
                  <c:v>56.916600000000003</c:v>
                </c:pt>
                <c:pt idx="68">
                  <c:v>57.329599999999999</c:v>
                </c:pt>
                <c:pt idx="69">
                  <c:v>57.734299999999998</c:v>
                </c:pt>
                <c:pt idx="70">
                  <c:v>58.140500000000003</c:v>
                </c:pt>
                <c:pt idx="71">
                  <c:v>58.545099999999998</c:v>
                </c:pt>
                <c:pt idx="72">
                  <c:v>58.948500000000003</c:v>
                </c:pt>
                <c:pt idx="73">
                  <c:v>59.356200000000001</c:v>
                </c:pt>
                <c:pt idx="74">
                  <c:v>59.762599999999999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49.215800000000002</c:v>
                </c:pt>
                <c:pt idx="1">
                  <c:v>49.293399999999998</c:v>
                </c:pt>
                <c:pt idx="2">
                  <c:v>49.364699999999999</c:v>
                </c:pt>
                <c:pt idx="3">
                  <c:v>49.4816</c:v>
                </c:pt>
                <c:pt idx="4">
                  <c:v>49.597000000000001</c:v>
                </c:pt>
                <c:pt idx="5">
                  <c:v>49.684800000000003</c:v>
                </c:pt>
                <c:pt idx="6">
                  <c:v>49.776199999999996</c:v>
                </c:pt>
                <c:pt idx="7">
                  <c:v>49.8598</c:v>
                </c:pt>
                <c:pt idx="8">
                  <c:v>49.9009</c:v>
                </c:pt>
                <c:pt idx="9">
                  <c:v>49.896900000000002</c:v>
                </c:pt>
                <c:pt idx="10">
                  <c:v>49.889299999999999</c:v>
                </c:pt>
                <c:pt idx="11">
                  <c:v>49.849800000000002</c:v>
                </c:pt>
                <c:pt idx="12">
                  <c:v>49.816099999999999</c:v>
                </c:pt>
                <c:pt idx="13">
                  <c:v>49.758800000000001</c:v>
                </c:pt>
                <c:pt idx="14">
                  <c:v>49.693199999999997</c:v>
                </c:pt>
                <c:pt idx="15">
                  <c:v>49.607800000000005</c:v>
                </c:pt>
                <c:pt idx="16">
                  <c:v>49.591499999999996</c:v>
                </c:pt>
                <c:pt idx="17">
                  <c:v>49.551200000000001</c:v>
                </c:pt>
                <c:pt idx="18">
                  <c:v>49.502000000000002</c:v>
                </c:pt>
                <c:pt idx="19">
                  <c:v>49.415900000000001</c:v>
                </c:pt>
                <c:pt idx="20">
                  <c:v>49.2973</c:v>
                </c:pt>
                <c:pt idx="21">
                  <c:v>49.192300000000003</c:v>
                </c:pt>
                <c:pt idx="22">
                  <c:v>49.076500000000003</c:v>
                </c:pt>
                <c:pt idx="23">
                  <c:v>48.967399999999998</c:v>
                </c:pt>
                <c:pt idx="24">
                  <c:v>48.838300000000004</c:v>
                </c:pt>
                <c:pt idx="25">
                  <c:v>48.7239</c:v>
                </c:pt>
                <c:pt idx="26">
                  <c:v>48.631799999999998</c:v>
                </c:pt>
                <c:pt idx="27">
                  <c:v>48.513500000000001</c:v>
                </c:pt>
                <c:pt idx="28">
                  <c:v>48.389099999999999</c:v>
                </c:pt>
                <c:pt idx="29">
                  <c:v>48.295100000000005</c:v>
                </c:pt>
                <c:pt idx="30">
                  <c:v>48.229799999999997</c:v>
                </c:pt>
                <c:pt idx="31">
                  <c:v>48.178199999999997</c:v>
                </c:pt>
                <c:pt idx="32">
                  <c:v>48.1524</c:v>
                </c:pt>
                <c:pt idx="33">
                  <c:v>48.128999999999998</c:v>
                </c:pt>
                <c:pt idx="34">
                  <c:v>48.104500000000002</c:v>
                </c:pt>
                <c:pt idx="35">
                  <c:v>48.1</c:v>
                </c:pt>
                <c:pt idx="36">
                  <c:v>48.089799999999997</c:v>
                </c:pt>
                <c:pt idx="37">
                  <c:v>48.023800000000001</c:v>
                </c:pt>
                <c:pt idx="38">
                  <c:v>48.043700000000001</c:v>
                </c:pt>
                <c:pt idx="39">
                  <c:v>48.193100000000001</c:v>
                </c:pt>
                <c:pt idx="40">
                  <c:v>48.239599999999996</c:v>
                </c:pt>
                <c:pt idx="41">
                  <c:v>48.101599999999998</c:v>
                </c:pt>
                <c:pt idx="42">
                  <c:v>47.929899999999996</c:v>
                </c:pt>
                <c:pt idx="43">
                  <c:v>47.715699999999998</c:v>
                </c:pt>
                <c:pt idx="44">
                  <c:v>47.414899999999996</c:v>
                </c:pt>
                <c:pt idx="45">
                  <c:v>47.031500000000001</c:v>
                </c:pt>
                <c:pt idx="46">
                  <c:v>46.7121</c:v>
                </c:pt>
                <c:pt idx="47">
                  <c:v>46.445900000000002</c:v>
                </c:pt>
                <c:pt idx="48">
                  <c:v>46.203400000000002</c:v>
                </c:pt>
                <c:pt idx="49">
                  <c:v>45.972000000000001</c:v>
                </c:pt>
                <c:pt idx="50">
                  <c:v>45.763999999999996</c:v>
                </c:pt>
                <c:pt idx="51">
                  <c:v>45.587600000000002</c:v>
                </c:pt>
                <c:pt idx="52">
                  <c:v>45.3996</c:v>
                </c:pt>
                <c:pt idx="53">
                  <c:v>45.196899999999999</c:v>
                </c:pt>
                <c:pt idx="54">
                  <c:v>44.991999999999997</c:v>
                </c:pt>
                <c:pt idx="55">
                  <c:v>44.790400000000005</c:v>
                </c:pt>
                <c:pt idx="56">
                  <c:v>44.557200000000002</c:v>
                </c:pt>
                <c:pt idx="57">
                  <c:v>44.286900000000003</c:v>
                </c:pt>
                <c:pt idx="58">
                  <c:v>44.020299999999999</c:v>
                </c:pt>
                <c:pt idx="59">
                  <c:v>43.769500000000001</c:v>
                </c:pt>
                <c:pt idx="60">
                  <c:v>43.523299999999999</c:v>
                </c:pt>
                <c:pt idx="61">
                  <c:v>43.268799999999999</c:v>
                </c:pt>
                <c:pt idx="62">
                  <c:v>43.089399999999998</c:v>
                </c:pt>
                <c:pt idx="63">
                  <c:v>42.9041</c:v>
                </c:pt>
                <c:pt idx="64">
                  <c:v>42.731499999999997</c:v>
                </c:pt>
                <c:pt idx="65">
                  <c:v>42.6539</c:v>
                </c:pt>
                <c:pt idx="66">
                  <c:v>42.632300000000001</c:v>
                </c:pt>
                <c:pt idx="67">
                  <c:v>42.610100000000003</c:v>
                </c:pt>
                <c:pt idx="68">
                  <c:v>42.572900000000004</c:v>
                </c:pt>
                <c:pt idx="69">
                  <c:v>42.653300000000002</c:v>
                </c:pt>
                <c:pt idx="70">
                  <c:v>43.0685</c:v>
                </c:pt>
                <c:pt idx="71">
                  <c:v>43.476500000000001</c:v>
                </c:pt>
                <c:pt idx="72">
                  <c:v>43.7926</c:v>
                </c:pt>
                <c:pt idx="73">
                  <c:v>43.861499999999999</c:v>
                </c:pt>
                <c:pt idx="74">
                  <c:v>43.431899999999999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14.94065</c:v>
                </c:pt>
                <c:pt idx="1">
                  <c:v>44.821950000000001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50.611086486486492</c:v>
                </c:pt>
                <c:pt idx="1">
                  <c:v>47.014891891891885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35.292200000000001</c:v>
                </c:pt>
                <c:pt idx="1">
                  <c:v>23.703700000000001</c:v>
                </c:pt>
                <c:pt idx="2">
                  <c:v>16.2149</c:v>
                </c:pt>
                <c:pt idx="3">
                  <c:v>24.4618</c:v>
                </c:pt>
                <c:pt idx="4">
                  <c:v>73.447999999999993</c:v>
                </c:pt>
                <c:pt idx="5">
                  <c:v>81.259799999999998</c:v>
                </c:pt>
                <c:pt idx="6">
                  <c:v>25.191700000000001</c:v>
                </c:pt>
                <c:pt idx="7">
                  <c:v>77.275599999999997</c:v>
                </c:pt>
                <c:pt idx="8">
                  <c:v>21.714200000000002</c:v>
                </c:pt>
                <c:pt idx="9">
                  <c:v>35.759599999999999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41.1997</c:v>
                </c:pt>
                <c:pt idx="1">
                  <c:v>24.227499999999999</c:v>
                </c:pt>
                <c:pt idx="2">
                  <c:v>14.9244</c:v>
                </c:pt>
                <c:pt idx="3">
                  <c:v>27.628399999999999</c:v>
                </c:pt>
                <c:pt idx="4">
                  <c:v>70.605400000000003</c:v>
                </c:pt>
                <c:pt idx="5">
                  <c:v>80.998699999999999</c:v>
                </c:pt>
                <c:pt idx="6">
                  <c:v>27.956199999999999</c:v>
                </c:pt>
                <c:pt idx="7">
                  <c:v>75.365700000000004</c:v>
                </c:pt>
                <c:pt idx="8">
                  <c:v>23.465900000000001</c:v>
                </c:pt>
                <c:pt idx="9">
                  <c:v>36.8172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0.54509890200262701</c:v>
                </c:pt>
                <c:pt idx="1">
                  <c:v>0.21126238434337943</c:v>
                </c:pt>
                <c:pt idx="2">
                  <c:v>0.24363871365399359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180</c:v>
                </c:pt>
                <c:pt idx="7">
                  <c:v>0</c:v>
                </c:pt>
                <c:pt idx="8">
                  <c:v>168</c:v>
                </c:pt>
                <c:pt idx="9">
                  <c:v>0</c:v>
                </c:pt>
                <c:pt idx="10">
                  <c:v>0</c:v>
                </c:pt>
                <c:pt idx="11">
                  <c:v>89</c:v>
                </c:pt>
                <c:pt idx="12">
                  <c:v>0</c:v>
                </c:pt>
                <c:pt idx="13">
                  <c:v>151</c:v>
                </c:pt>
                <c:pt idx="14">
                  <c:v>0</c:v>
                </c:pt>
                <c:pt idx="15">
                  <c:v>0</c:v>
                </c:pt>
                <c:pt idx="16">
                  <c:v>1012</c:v>
                </c:pt>
                <c:pt idx="17">
                  <c:v>0</c:v>
                </c:pt>
                <c:pt idx="18">
                  <c:v>0</c:v>
                </c:pt>
                <c:pt idx="19">
                  <c:v>2366</c:v>
                </c:pt>
                <c:pt idx="20">
                  <c:v>0</c:v>
                </c:pt>
                <c:pt idx="21">
                  <c:v>4050</c:v>
                </c:pt>
                <c:pt idx="22">
                  <c:v>0</c:v>
                </c:pt>
                <c:pt idx="23">
                  <c:v>0</c:v>
                </c:pt>
                <c:pt idx="24">
                  <c:v>4939</c:v>
                </c:pt>
                <c:pt idx="25">
                  <c:v>0</c:v>
                </c:pt>
                <c:pt idx="26">
                  <c:v>7861</c:v>
                </c:pt>
                <c:pt idx="27">
                  <c:v>0</c:v>
                </c:pt>
                <c:pt idx="28">
                  <c:v>0</c:v>
                </c:pt>
                <c:pt idx="29">
                  <c:v>16364</c:v>
                </c:pt>
                <c:pt idx="30">
                  <c:v>0</c:v>
                </c:pt>
                <c:pt idx="31">
                  <c:v>19545</c:v>
                </c:pt>
                <c:pt idx="32">
                  <c:v>0</c:v>
                </c:pt>
                <c:pt idx="33">
                  <c:v>0</c:v>
                </c:pt>
                <c:pt idx="34">
                  <c:v>24696</c:v>
                </c:pt>
                <c:pt idx="35">
                  <c:v>0</c:v>
                </c:pt>
                <c:pt idx="36">
                  <c:v>0</c:v>
                </c:pt>
                <c:pt idx="37">
                  <c:v>28337</c:v>
                </c:pt>
                <c:pt idx="38">
                  <c:v>0</c:v>
                </c:pt>
                <c:pt idx="39">
                  <c:v>43941</c:v>
                </c:pt>
                <c:pt idx="40">
                  <c:v>0</c:v>
                </c:pt>
                <c:pt idx="41">
                  <c:v>0</c:v>
                </c:pt>
                <c:pt idx="42">
                  <c:v>51155</c:v>
                </c:pt>
                <c:pt idx="43">
                  <c:v>0</c:v>
                </c:pt>
                <c:pt idx="44">
                  <c:v>52336</c:v>
                </c:pt>
                <c:pt idx="45">
                  <c:v>0</c:v>
                </c:pt>
                <c:pt idx="46">
                  <c:v>0</c:v>
                </c:pt>
                <c:pt idx="47">
                  <c:v>57833</c:v>
                </c:pt>
                <c:pt idx="48">
                  <c:v>0</c:v>
                </c:pt>
                <c:pt idx="49">
                  <c:v>69178</c:v>
                </c:pt>
                <c:pt idx="50">
                  <c:v>0</c:v>
                </c:pt>
                <c:pt idx="51">
                  <c:v>0</c:v>
                </c:pt>
                <c:pt idx="52">
                  <c:v>68980</c:v>
                </c:pt>
                <c:pt idx="53">
                  <c:v>0</c:v>
                </c:pt>
                <c:pt idx="54">
                  <c:v>0</c:v>
                </c:pt>
                <c:pt idx="55">
                  <c:v>80293</c:v>
                </c:pt>
                <c:pt idx="56">
                  <c:v>0</c:v>
                </c:pt>
                <c:pt idx="57">
                  <c:v>79776</c:v>
                </c:pt>
                <c:pt idx="58">
                  <c:v>0</c:v>
                </c:pt>
                <c:pt idx="59">
                  <c:v>0</c:v>
                </c:pt>
                <c:pt idx="60">
                  <c:v>86107</c:v>
                </c:pt>
                <c:pt idx="61">
                  <c:v>0</c:v>
                </c:pt>
                <c:pt idx="62">
                  <c:v>90741</c:v>
                </c:pt>
                <c:pt idx="63">
                  <c:v>0</c:v>
                </c:pt>
                <c:pt idx="64">
                  <c:v>0</c:v>
                </c:pt>
                <c:pt idx="65">
                  <c:v>93421</c:v>
                </c:pt>
                <c:pt idx="66">
                  <c:v>0</c:v>
                </c:pt>
                <c:pt idx="67">
                  <c:v>99010</c:v>
                </c:pt>
                <c:pt idx="68">
                  <c:v>0</c:v>
                </c:pt>
                <c:pt idx="69">
                  <c:v>0</c:v>
                </c:pt>
                <c:pt idx="70">
                  <c:v>104445</c:v>
                </c:pt>
                <c:pt idx="71">
                  <c:v>0</c:v>
                </c:pt>
                <c:pt idx="72">
                  <c:v>0</c:v>
                </c:pt>
                <c:pt idx="73">
                  <c:v>108822</c:v>
                </c:pt>
                <c:pt idx="74">
                  <c:v>0</c:v>
                </c:pt>
                <c:pt idx="75">
                  <c:v>103052</c:v>
                </c:pt>
                <c:pt idx="76">
                  <c:v>0</c:v>
                </c:pt>
                <c:pt idx="77">
                  <c:v>0</c:v>
                </c:pt>
                <c:pt idx="78">
                  <c:v>104745</c:v>
                </c:pt>
                <c:pt idx="79">
                  <c:v>0</c:v>
                </c:pt>
                <c:pt idx="80">
                  <c:v>108008</c:v>
                </c:pt>
                <c:pt idx="81">
                  <c:v>0</c:v>
                </c:pt>
                <c:pt idx="82">
                  <c:v>0</c:v>
                </c:pt>
                <c:pt idx="83">
                  <c:v>107147</c:v>
                </c:pt>
                <c:pt idx="84">
                  <c:v>0</c:v>
                </c:pt>
                <c:pt idx="85">
                  <c:v>0</c:v>
                </c:pt>
                <c:pt idx="86">
                  <c:v>106559</c:v>
                </c:pt>
                <c:pt idx="87">
                  <c:v>0</c:v>
                </c:pt>
                <c:pt idx="88">
                  <c:v>111341</c:v>
                </c:pt>
                <c:pt idx="89">
                  <c:v>0</c:v>
                </c:pt>
                <c:pt idx="90">
                  <c:v>0</c:v>
                </c:pt>
                <c:pt idx="91">
                  <c:v>118583</c:v>
                </c:pt>
                <c:pt idx="92">
                  <c:v>0</c:v>
                </c:pt>
                <c:pt idx="93">
                  <c:v>103819</c:v>
                </c:pt>
                <c:pt idx="94">
                  <c:v>0</c:v>
                </c:pt>
                <c:pt idx="95">
                  <c:v>0</c:v>
                </c:pt>
                <c:pt idx="96">
                  <c:v>98102</c:v>
                </c:pt>
                <c:pt idx="97">
                  <c:v>0</c:v>
                </c:pt>
                <c:pt idx="98">
                  <c:v>93715</c:v>
                </c:pt>
                <c:pt idx="99">
                  <c:v>0</c:v>
                </c:pt>
                <c:pt idx="100">
                  <c:v>0</c:v>
                </c:pt>
                <c:pt idx="101">
                  <c:v>94123</c:v>
                </c:pt>
                <c:pt idx="102">
                  <c:v>0</c:v>
                </c:pt>
                <c:pt idx="103">
                  <c:v>0</c:v>
                </c:pt>
                <c:pt idx="104">
                  <c:v>84398</c:v>
                </c:pt>
                <c:pt idx="105">
                  <c:v>0</c:v>
                </c:pt>
                <c:pt idx="106">
                  <c:v>76532</c:v>
                </c:pt>
                <c:pt idx="107">
                  <c:v>0</c:v>
                </c:pt>
                <c:pt idx="108">
                  <c:v>0</c:v>
                </c:pt>
                <c:pt idx="109">
                  <c:v>76457</c:v>
                </c:pt>
                <c:pt idx="110">
                  <c:v>0</c:v>
                </c:pt>
                <c:pt idx="111">
                  <c:v>72461</c:v>
                </c:pt>
                <c:pt idx="112">
                  <c:v>0</c:v>
                </c:pt>
                <c:pt idx="113">
                  <c:v>0</c:v>
                </c:pt>
                <c:pt idx="114">
                  <c:v>73714</c:v>
                </c:pt>
                <c:pt idx="115">
                  <c:v>0</c:v>
                </c:pt>
                <c:pt idx="116">
                  <c:v>66703</c:v>
                </c:pt>
                <c:pt idx="117">
                  <c:v>0</c:v>
                </c:pt>
                <c:pt idx="118">
                  <c:v>0</c:v>
                </c:pt>
                <c:pt idx="119">
                  <c:v>61317</c:v>
                </c:pt>
                <c:pt idx="120">
                  <c:v>0</c:v>
                </c:pt>
                <c:pt idx="121">
                  <c:v>0</c:v>
                </c:pt>
                <c:pt idx="122">
                  <c:v>50996</c:v>
                </c:pt>
                <c:pt idx="123">
                  <c:v>0</c:v>
                </c:pt>
                <c:pt idx="124">
                  <c:v>48324</c:v>
                </c:pt>
                <c:pt idx="125">
                  <c:v>0</c:v>
                </c:pt>
                <c:pt idx="126">
                  <c:v>0</c:v>
                </c:pt>
                <c:pt idx="127">
                  <c:v>44112</c:v>
                </c:pt>
                <c:pt idx="128">
                  <c:v>0</c:v>
                </c:pt>
                <c:pt idx="129">
                  <c:v>41467</c:v>
                </c:pt>
                <c:pt idx="130">
                  <c:v>0</c:v>
                </c:pt>
                <c:pt idx="131">
                  <c:v>0</c:v>
                </c:pt>
                <c:pt idx="132">
                  <c:v>36155</c:v>
                </c:pt>
                <c:pt idx="133">
                  <c:v>0</c:v>
                </c:pt>
                <c:pt idx="134">
                  <c:v>28155</c:v>
                </c:pt>
                <c:pt idx="135">
                  <c:v>0</c:v>
                </c:pt>
                <c:pt idx="136">
                  <c:v>0</c:v>
                </c:pt>
                <c:pt idx="137">
                  <c:v>21041</c:v>
                </c:pt>
                <c:pt idx="138">
                  <c:v>0</c:v>
                </c:pt>
                <c:pt idx="139">
                  <c:v>0</c:v>
                </c:pt>
                <c:pt idx="140">
                  <c:v>17668</c:v>
                </c:pt>
                <c:pt idx="141">
                  <c:v>0</c:v>
                </c:pt>
                <c:pt idx="142">
                  <c:v>14480</c:v>
                </c:pt>
                <c:pt idx="143">
                  <c:v>0</c:v>
                </c:pt>
                <c:pt idx="144">
                  <c:v>0</c:v>
                </c:pt>
                <c:pt idx="145">
                  <c:v>10376</c:v>
                </c:pt>
                <c:pt idx="146">
                  <c:v>0</c:v>
                </c:pt>
                <c:pt idx="147">
                  <c:v>8008</c:v>
                </c:pt>
                <c:pt idx="148">
                  <c:v>0</c:v>
                </c:pt>
                <c:pt idx="149">
                  <c:v>0</c:v>
                </c:pt>
                <c:pt idx="150">
                  <c:v>6552</c:v>
                </c:pt>
                <c:pt idx="151">
                  <c:v>0</c:v>
                </c:pt>
                <c:pt idx="152">
                  <c:v>6690</c:v>
                </c:pt>
                <c:pt idx="153">
                  <c:v>0</c:v>
                </c:pt>
                <c:pt idx="154">
                  <c:v>0</c:v>
                </c:pt>
                <c:pt idx="155">
                  <c:v>4572</c:v>
                </c:pt>
                <c:pt idx="156">
                  <c:v>0</c:v>
                </c:pt>
                <c:pt idx="157">
                  <c:v>0</c:v>
                </c:pt>
                <c:pt idx="158">
                  <c:v>3499</c:v>
                </c:pt>
                <c:pt idx="159">
                  <c:v>0</c:v>
                </c:pt>
                <c:pt idx="160">
                  <c:v>1763</c:v>
                </c:pt>
                <c:pt idx="161">
                  <c:v>0</c:v>
                </c:pt>
                <c:pt idx="162">
                  <c:v>0</c:v>
                </c:pt>
                <c:pt idx="163">
                  <c:v>2563</c:v>
                </c:pt>
                <c:pt idx="164">
                  <c:v>0</c:v>
                </c:pt>
                <c:pt idx="165">
                  <c:v>1696</c:v>
                </c:pt>
                <c:pt idx="166">
                  <c:v>0</c:v>
                </c:pt>
                <c:pt idx="167">
                  <c:v>0</c:v>
                </c:pt>
                <c:pt idx="168">
                  <c:v>2004</c:v>
                </c:pt>
                <c:pt idx="169">
                  <c:v>0</c:v>
                </c:pt>
                <c:pt idx="170">
                  <c:v>0</c:v>
                </c:pt>
                <c:pt idx="171">
                  <c:v>711</c:v>
                </c:pt>
                <c:pt idx="172">
                  <c:v>0</c:v>
                </c:pt>
                <c:pt idx="173">
                  <c:v>384</c:v>
                </c:pt>
                <c:pt idx="174">
                  <c:v>0</c:v>
                </c:pt>
                <c:pt idx="175">
                  <c:v>0</c:v>
                </c:pt>
                <c:pt idx="176">
                  <c:v>584</c:v>
                </c:pt>
                <c:pt idx="177">
                  <c:v>0</c:v>
                </c:pt>
                <c:pt idx="178">
                  <c:v>322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416</c:v>
                </c:pt>
                <c:pt idx="7">
                  <c:v>0</c:v>
                </c:pt>
                <c:pt idx="8">
                  <c:v>438</c:v>
                </c:pt>
                <c:pt idx="9">
                  <c:v>0</c:v>
                </c:pt>
                <c:pt idx="10">
                  <c:v>0</c:v>
                </c:pt>
                <c:pt idx="11">
                  <c:v>319</c:v>
                </c:pt>
                <c:pt idx="12">
                  <c:v>0</c:v>
                </c:pt>
                <c:pt idx="13">
                  <c:v>425</c:v>
                </c:pt>
                <c:pt idx="14">
                  <c:v>0</c:v>
                </c:pt>
                <c:pt idx="15">
                  <c:v>0</c:v>
                </c:pt>
                <c:pt idx="16">
                  <c:v>1308</c:v>
                </c:pt>
                <c:pt idx="17">
                  <c:v>0</c:v>
                </c:pt>
                <c:pt idx="18">
                  <c:v>0</c:v>
                </c:pt>
                <c:pt idx="19">
                  <c:v>2525</c:v>
                </c:pt>
                <c:pt idx="20">
                  <c:v>0</c:v>
                </c:pt>
                <c:pt idx="21">
                  <c:v>2568</c:v>
                </c:pt>
                <c:pt idx="22">
                  <c:v>0</c:v>
                </c:pt>
                <c:pt idx="23">
                  <c:v>0</c:v>
                </c:pt>
                <c:pt idx="24">
                  <c:v>4278</c:v>
                </c:pt>
                <c:pt idx="25">
                  <c:v>0</c:v>
                </c:pt>
                <c:pt idx="26">
                  <c:v>7901</c:v>
                </c:pt>
                <c:pt idx="27">
                  <c:v>0</c:v>
                </c:pt>
                <c:pt idx="28">
                  <c:v>0</c:v>
                </c:pt>
                <c:pt idx="29">
                  <c:v>9773</c:v>
                </c:pt>
                <c:pt idx="30">
                  <c:v>0</c:v>
                </c:pt>
                <c:pt idx="31">
                  <c:v>12388</c:v>
                </c:pt>
                <c:pt idx="32">
                  <c:v>0</c:v>
                </c:pt>
                <c:pt idx="33">
                  <c:v>0</c:v>
                </c:pt>
                <c:pt idx="34">
                  <c:v>11329</c:v>
                </c:pt>
                <c:pt idx="35">
                  <c:v>0</c:v>
                </c:pt>
                <c:pt idx="36">
                  <c:v>0</c:v>
                </c:pt>
                <c:pt idx="37">
                  <c:v>14588</c:v>
                </c:pt>
                <c:pt idx="38">
                  <c:v>0</c:v>
                </c:pt>
                <c:pt idx="39">
                  <c:v>14905</c:v>
                </c:pt>
                <c:pt idx="40">
                  <c:v>0</c:v>
                </c:pt>
                <c:pt idx="41">
                  <c:v>0</c:v>
                </c:pt>
                <c:pt idx="42">
                  <c:v>22716</c:v>
                </c:pt>
                <c:pt idx="43">
                  <c:v>0</c:v>
                </c:pt>
                <c:pt idx="44">
                  <c:v>34665</c:v>
                </c:pt>
                <c:pt idx="45">
                  <c:v>0</c:v>
                </c:pt>
                <c:pt idx="46">
                  <c:v>0</c:v>
                </c:pt>
                <c:pt idx="47">
                  <c:v>36840</c:v>
                </c:pt>
                <c:pt idx="48">
                  <c:v>0</c:v>
                </c:pt>
                <c:pt idx="49">
                  <c:v>43151</c:v>
                </c:pt>
                <c:pt idx="50">
                  <c:v>0</c:v>
                </c:pt>
                <c:pt idx="51">
                  <c:v>0</c:v>
                </c:pt>
                <c:pt idx="52">
                  <c:v>46727</c:v>
                </c:pt>
                <c:pt idx="53">
                  <c:v>0</c:v>
                </c:pt>
                <c:pt idx="54">
                  <c:v>0</c:v>
                </c:pt>
                <c:pt idx="55">
                  <c:v>59458</c:v>
                </c:pt>
                <c:pt idx="56">
                  <c:v>0</c:v>
                </c:pt>
                <c:pt idx="57">
                  <c:v>63356</c:v>
                </c:pt>
                <c:pt idx="58">
                  <c:v>0</c:v>
                </c:pt>
                <c:pt idx="59">
                  <c:v>0</c:v>
                </c:pt>
                <c:pt idx="60">
                  <c:v>66189</c:v>
                </c:pt>
                <c:pt idx="61">
                  <c:v>0</c:v>
                </c:pt>
                <c:pt idx="62">
                  <c:v>60851</c:v>
                </c:pt>
                <c:pt idx="63">
                  <c:v>0</c:v>
                </c:pt>
                <c:pt idx="64">
                  <c:v>0</c:v>
                </c:pt>
                <c:pt idx="65">
                  <c:v>68256</c:v>
                </c:pt>
                <c:pt idx="66">
                  <c:v>0</c:v>
                </c:pt>
                <c:pt idx="67">
                  <c:v>71557</c:v>
                </c:pt>
                <c:pt idx="68">
                  <c:v>0</c:v>
                </c:pt>
                <c:pt idx="69">
                  <c:v>0</c:v>
                </c:pt>
                <c:pt idx="70">
                  <c:v>74805</c:v>
                </c:pt>
                <c:pt idx="71">
                  <c:v>0</c:v>
                </c:pt>
                <c:pt idx="72">
                  <c:v>0</c:v>
                </c:pt>
                <c:pt idx="73">
                  <c:v>78841</c:v>
                </c:pt>
                <c:pt idx="74">
                  <c:v>0</c:v>
                </c:pt>
                <c:pt idx="75">
                  <c:v>84648</c:v>
                </c:pt>
                <c:pt idx="76">
                  <c:v>0</c:v>
                </c:pt>
                <c:pt idx="77">
                  <c:v>0</c:v>
                </c:pt>
                <c:pt idx="78">
                  <c:v>88171</c:v>
                </c:pt>
                <c:pt idx="79">
                  <c:v>0</c:v>
                </c:pt>
                <c:pt idx="80">
                  <c:v>99781</c:v>
                </c:pt>
                <c:pt idx="81">
                  <c:v>0</c:v>
                </c:pt>
                <c:pt idx="82">
                  <c:v>0</c:v>
                </c:pt>
                <c:pt idx="83">
                  <c:v>111888</c:v>
                </c:pt>
                <c:pt idx="84">
                  <c:v>0</c:v>
                </c:pt>
                <c:pt idx="85">
                  <c:v>0</c:v>
                </c:pt>
                <c:pt idx="86">
                  <c:v>113773</c:v>
                </c:pt>
                <c:pt idx="87">
                  <c:v>0</c:v>
                </c:pt>
                <c:pt idx="88">
                  <c:v>125035</c:v>
                </c:pt>
                <c:pt idx="89">
                  <c:v>0</c:v>
                </c:pt>
                <c:pt idx="90">
                  <c:v>0</c:v>
                </c:pt>
                <c:pt idx="91">
                  <c:v>126286</c:v>
                </c:pt>
                <c:pt idx="92">
                  <c:v>0</c:v>
                </c:pt>
                <c:pt idx="93">
                  <c:v>128588</c:v>
                </c:pt>
                <c:pt idx="94">
                  <c:v>0</c:v>
                </c:pt>
                <c:pt idx="95">
                  <c:v>0</c:v>
                </c:pt>
                <c:pt idx="96">
                  <c:v>133616</c:v>
                </c:pt>
                <c:pt idx="97">
                  <c:v>0</c:v>
                </c:pt>
                <c:pt idx="98">
                  <c:v>137129</c:v>
                </c:pt>
                <c:pt idx="99">
                  <c:v>0</c:v>
                </c:pt>
                <c:pt idx="100">
                  <c:v>0</c:v>
                </c:pt>
                <c:pt idx="101">
                  <c:v>151818</c:v>
                </c:pt>
                <c:pt idx="102">
                  <c:v>0</c:v>
                </c:pt>
                <c:pt idx="103">
                  <c:v>0</c:v>
                </c:pt>
                <c:pt idx="104">
                  <c:v>146863</c:v>
                </c:pt>
                <c:pt idx="105">
                  <c:v>0</c:v>
                </c:pt>
                <c:pt idx="106">
                  <c:v>148319</c:v>
                </c:pt>
                <c:pt idx="107">
                  <c:v>0</c:v>
                </c:pt>
                <c:pt idx="108">
                  <c:v>0</c:v>
                </c:pt>
                <c:pt idx="109">
                  <c:v>155229</c:v>
                </c:pt>
                <c:pt idx="110">
                  <c:v>0</c:v>
                </c:pt>
                <c:pt idx="111">
                  <c:v>154511</c:v>
                </c:pt>
                <c:pt idx="112">
                  <c:v>0</c:v>
                </c:pt>
                <c:pt idx="113">
                  <c:v>0</c:v>
                </c:pt>
                <c:pt idx="114">
                  <c:v>146637</c:v>
                </c:pt>
                <c:pt idx="115">
                  <c:v>0</c:v>
                </c:pt>
                <c:pt idx="116">
                  <c:v>136631</c:v>
                </c:pt>
                <c:pt idx="117">
                  <c:v>0</c:v>
                </c:pt>
                <c:pt idx="118">
                  <c:v>0</c:v>
                </c:pt>
                <c:pt idx="119">
                  <c:v>120591</c:v>
                </c:pt>
                <c:pt idx="120">
                  <c:v>0</c:v>
                </c:pt>
                <c:pt idx="121">
                  <c:v>0</c:v>
                </c:pt>
                <c:pt idx="122">
                  <c:v>108131</c:v>
                </c:pt>
                <c:pt idx="123">
                  <c:v>0</c:v>
                </c:pt>
                <c:pt idx="124">
                  <c:v>101524</c:v>
                </c:pt>
                <c:pt idx="125">
                  <c:v>0</c:v>
                </c:pt>
                <c:pt idx="126">
                  <c:v>0</c:v>
                </c:pt>
                <c:pt idx="127">
                  <c:v>85621</c:v>
                </c:pt>
                <c:pt idx="128">
                  <c:v>0</c:v>
                </c:pt>
                <c:pt idx="129">
                  <c:v>68857</c:v>
                </c:pt>
                <c:pt idx="130">
                  <c:v>0</c:v>
                </c:pt>
                <c:pt idx="131">
                  <c:v>0</c:v>
                </c:pt>
                <c:pt idx="132">
                  <c:v>56389</c:v>
                </c:pt>
                <c:pt idx="133">
                  <c:v>0</c:v>
                </c:pt>
                <c:pt idx="134">
                  <c:v>47533</c:v>
                </c:pt>
                <c:pt idx="135">
                  <c:v>0</c:v>
                </c:pt>
                <c:pt idx="136">
                  <c:v>0</c:v>
                </c:pt>
                <c:pt idx="137">
                  <c:v>42023</c:v>
                </c:pt>
                <c:pt idx="138">
                  <c:v>0</c:v>
                </c:pt>
                <c:pt idx="139">
                  <c:v>0</c:v>
                </c:pt>
                <c:pt idx="140">
                  <c:v>39695</c:v>
                </c:pt>
                <c:pt idx="141">
                  <c:v>0</c:v>
                </c:pt>
                <c:pt idx="142">
                  <c:v>34683</c:v>
                </c:pt>
                <c:pt idx="143">
                  <c:v>0</c:v>
                </c:pt>
                <c:pt idx="144">
                  <c:v>0</c:v>
                </c:pt>
                <c:pt idx="145">
                  <c:v>25322</c:v>
                </c:pt>
                <c:pt idx="146">
                  <c:v>0</c:v>
                </c:pt>
                <c:pt idx="147">
                  <c:v>20981</c:v>
                </c:pt>
                <c:pt idx="148">
                  <c:v>0</c:v>
                </c:pt>
                <c:pt idx="149">
                  <c:v>0</c:v>
                </c:pt>
                <c:pt idx="150">
                  <c:v>17559</c:v>
                </c:pt>
                <c:pt idx="151">
                  <c:v>0</c:v>
                </c:pt>
                <c:pt idx="152">
                  <c:v>17516</c:v>
                </c:pt>
                <c:pt idx="153">
                  <c:v>0</c:v>
                </c:pt>
                <c:pt idx="154">
                  <c:v>0</c:v>
                </c:pt>
                <c:pt idx="155">
                  <c:v>13223</c:v>
                </c:pt>
                <c:pt idx="156">
                  <c:v>0</c:v>
                </c:pt>
                <c:pt idx="157">
                  <c:v>0</c:v>
                </c:pt>
                <c:pt idx="158">
                  <c:v>11613</c:v>
                </c:pt>
                <c:pt idx="159">
                  <c:v>0</c:v>
                </c:pt>
                <c:pt idx="160">
                  <c:v>8283</c:v>
                </c:pt>
                <c:pt idx="161">
                  <c:v>0</c:v>
                </c:pt>
                <c:pt idx="162">
                  <c:v>0</c:v>
                </c:pt>
                <c:pt idx="163">
                  <c:v>6819</c:v>
                </c:pt>
                <c:pt idx="164">
                  <c:v>0</c:v>
                </c:pt>
                <c:pt idx="165">
                  <c:v>5462</c:v>
                </c:pt>
                <c:pt idx="166">
                  <c:v>0</c:v>
                </c:pt>
                <c:pt idx="167">
                  <c:v>0</c:v>
                </c:pt>
                <c:pt idx="168">
                  <c:v>2321</c:v>
                </c:pt>
                <c:pt idx="169">
                  <c:v>0</c:v>
                </c:pt>
                <c:pt idx="170">
                  <c:v>0</c:v>
                </c:pt>
                <c:pt idx="171">
                  <c:v>625</c:v>
                </c:pt>
                <c:pt idx="172">
                  <c:v>0</c:v>
                </c:pt>
                <c:pt idx="173">
                  <c:v>300</c:v>
                </c:pt>
                <c:pt idx="174">
                  <c:v>0</c:v>
                </c:pt>
                <c:pt idx="175">
                  <c:v>0</c:v>
                </c:pt>
                <c:pt idx="176">
                  <c:v>54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0.14523095683492657</c:v>
                </c:pt>
                <c:pt idx="1">
                  <c:v>0.38520945302441512</c:v>
                </c:pt>
                <c:pt idx="2">
                  <c:v>0.46955959014065829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0.52728160998708917</c:v>
                </c:pt>
                <c:pt idx="1">
                  <c:v>0.22334272787556347</c:v>
                </c:pt>
                <c:pt idx="2">
                  <c:v>0.2493756621373473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8.3142274999999994</c:v>
                </c:pt>
                <c:pt idx="1">
                  <c:v>10.576727500000001</c:v>
                </c:pt>
                <c:pt idx="2">
                  <c:v>24.124199999999998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0.38541900000000001</c:v>
                </c:pt>
                <c:pt idx="2">
                  <c:v>0.79323399999999999</c:v>
                </c:pt>
                <c:pt idx="3">
                  <c:v>1.1978899999999999</c:v>
                </c:pt>
                <c:pt idx="4">
                  <c:v>1.6085499999999999</c:v>
                </c:pt>
                <c:pt idx="5">
                  <c:v>2.0146899999999999</c:v>
                </c:pt>
                <c:pt idx="6">
                  <c:v>2.41703</c:v>
                </c:pt>
                <c:pt idx="7">
                  <c:v>2.8219099999999999</c:v>
                </c:pt>
                <c:pt idx="8">
                  <c:v>3.23359</c:v>
                </c:pt>
                <c:pt idx="9">
                  <c:v>3.6398899999999998</c:v>
                </c:pt>
                <c:pt idx="10">
                  <c:v>4.0446999999999997</c:v>
                </c:pt>
                <c:pt idx="11">
                  <c:v>4.4478799999999996</c:v>
                </c:pt>
                <c:pt idx="12">
                  <c:v>4.8555900000000003</c:v>
                </c:pt>
                <c:pt idx="13">
                  <c:v>5.2600600000000002</c:v>
                </c:pt>
                <c:pt idx="14">
                  <c:v>5.6717399999999998</c:v>
                </c:pt>
                <c:pt idx="15">
                  <c:v>6.0767600000000002</c:v>
                </c:pt>
                <c:pt idx="16">
                  <c:v>6.4803699999999997</c:v>
                </c:pt>
                <c:pt idx="17">
                  <c:v>6.8862899999999998</c:v>
                </c:pt>
                <c:pt idx="18">
                  <c:v>7.29453</c:v>
                </c:pt>
                <c:pt idx="19">
                  <c:v>7.7019099999999998</c:v>
                </c:pt>
                <c:pt idx="20">
                  <c:v>8.1084399999999999</c:v>
                </c:pt>
                <c:pt idx="21">
                  <c:v>8.5114199999999993</c:v>
                </c:pt>
                <c:pt idx="22">
                  <c:v>8.9177099999999996</c:v>
                </c:pt>
                <c:pt idx="23">
                  <c:v>9.3263999999999996</c:v>
                </c:pt>
                <c:pt idx="24">
                  <c:v>9.7342099999999991</c:v>
                </c:pt>
                <c:pt idx="25">
                  <c:v>10.1394</c:v>
                </c:pt>
                <c:pt idx="26">
                  <c:v>10.5456</c:v>
                </c:pt>
                <c:pt idx="27">
                  <c:v>10.9521</c:v>
                </c:pt>
                <c:pt idx="28">
                  <c:v>11.3552</c:v>
                </c:pt>
                <c:pt idx="29">
                  <c:v>11.7654</c:v>
                </c:pt>
                <c:pt idx="30">
                  <c:v>12.174099999999999</c:v>
                </c:pt>
                <c:pt idx="31">
                  <c:v>12.5768</c:v>
                </c:pt>
                <c:pt idx="32">
                  <c:v>12.98</c:v>
                </c:pt>
                <c:pt idx="33">
                  <c:v>13.386699999999999</c:v>
                </c:pt>
                <c:pt idx="34">
                  <c:v>13.794600000000001</c:v>
                </c:pt>
                <c:pt idx="35">
                  <c:v>14.2004</c:v>
                </c:pt>
                <c:pt idx="36">
                  <c:v>14.6073</c:v>
                </c:pt>
                <c:pt idx="37">
                  <c:v>15.010999999999999</c:v>
                </c:pt>
                <c:pt idx="38">
                  <c:v>15.4209</c:v>
                </c:pt>
                <c:pt idx="39">
                  <c:v>15.823399999999999</c:v>
                </c:pt>
                <c:pt idx="40">
                  <c:v>16.234999999999999</c:v>
                </c:pt>
                <c:pt idx="41">
                  <c:v>16.6371</c:v>
                </c:pt>
                <c:pt idx="42">
                  <c:v>17.0425</c:v>
                </c:pt>
                <c:pt idx="43">
                  <c:v>17.450700000000001</c:v>
                </c:pt>
                <c:pt idx="44">
                  <c:v>17.854399999999998</c:v>
                </c:pt>
                <c:pt idx="45">
                  <c:v>18.266100000000002</c:v>
                </c:pt>
                <c:pt idx="46">
                  <c:v>18.6694</c:v>
                </c:pt>
                <c:pt idx="47">
                  <c:v>19.072800000000001</c:v>
                </c:pt>
                <c:pt idx="48">
                  <c:v>19.478300000000001</c:v>
                </c:pt>
                <c:pt idx="49">
                  <c:v>19.887</c:v>
                </c:pt>
                <c:pt idx="50">
                  <c:v>20.295200000000001</c:v>
                </c:pt>
                <c:pt idx="51">
                  <c:v>20.702300000000001</c:v>
                </c:pt>
                <c:pt idx="52">
                  <c:v>21.106400000000001</c:v>
                </c:pt>
                <c:pt idx="53">
                  <c:v>21.516500000000001</c:v>
                </c:pt>
                <c:pt idx="54">
                  <c:v>21.919599999999999</c:v>
                </c:pt>
                <c:pt idx="55">
                  <c:v>22.3215</c:v>
                </c:pt>
                <c:pt idx="56">
                  <c:v>22.728300000000001</c:v>
                </c:pt>
                <c:pt idx="57">
                  <c:v>23.1404</c:v>
                </c:pt>
                <c:pt idx="58">
                  <c:v>23.546500000000002</c:v>
                </c:pt>
                <c:pt idx="59">
                  <c:v>23.9511</c:v>
                </c:pt>
                <c:pt idx="60">
                  <c:v>24.3537</c:v>
                </c:pt>
                <c:pt idx="61">
                  <c:v>24.7636</c:v>
                </c:pt>
                <c:pt idx="62">
                  <c:v>25.1708</c:v>
                </c:pt>
                <c:pt idx="63">
                  <c:v>25.578199999999999</c:v>
                </c:pt>
                <c:pt idx="64">
                  <c:v>25.980799999999999</c:v>
                </c:pt>
                <c:pt idx="65">
                  <c:v>26.3889</c:v>
                </c:pt>
                <c:pt idx="66">
                  <c:v>26.792899999999999</c:v>
                </c:pt>
                <c:pt idx="67">
                  <c:v>27.200299999999999</c:v>
                </c:pt>
                <c:pt idx="68">
                  <c:v>27.604900000000001</c:v>
                </c:pt>
                <c:pt idx="69">
                  <c:v>28.010999999999999</c:v>
                </c:pt>
                <c:pt idx="70">
                  <c:v>28.417000000000002</c:v>
                </c:pt>
                <c:pt idx="71">
                  <c:v>28.822700000000001</c:v>
                </c:pt>
                <c:pt idx="72">
                  <c:v>29.228899999999999</c:v>
                </c:pt>
                <c:pt idx="73">
                  <c:v>29.639099999999999</c:v>
                </c:pt>
                <c:pt idx="74">
                  <c:v>30.044699999999999</c:v>
                </c:pt>
                <c:pt idx="75">
                  <c:v>30.638300000000001</c:v>
                </c:pt>
                <c:pt idx="76">
                  <c:v>31.009899999999998</c:v>
                </c:pt>
                <c:pt idx="77">
                  <c:v>31.386600000000001</c:v>
                </c:pt>
                <c:pt idx="78">
                  <c:v>31.762</c:v>
                </c:pt>
                <c:pt idx="79">
                  <c:v>32.140700000000002</c:v>
                </c:pt>
                <c:pt idx="80">
                  <c:v>32.543500000000002</c:v>
                </c:pt>
                <c:pt idx="81">
                  <c:v>32.948799999999999</c:v>
                </c:pt>
                <c:pt idx="82">
                  <c:v>33.354999999999997</c:v>
                </c:pt>
                <c:pt idx="83">
                  <c:v>33.763100000000001</c:v>
                </c:pt>
                <c:pt idx="84">
                  <c:v>34.171999999999997</c:v>
                </c:pt>
                <c:pt idx="85">
                  <c:v>34.575699999999998</c:v>
                </c:pt>
                <c:pt idx="86">
                  <c:v>34.980800000000002</c:v>
                </c:pt>
                <c:pt idx="87">
                  <c:v>35.387300000000003</c:v>
                </c:pt>
                <c:pt idx="88">
                  <c:v>35.7973</c:v>
                </c:pt>
                <c:pt idx="89">
                  <c:v>36.198300000000003</c:v>
                </c:pt>
                <c:pt idx="90">
                  <c:v>36.606400000000001</c:v>
                </c:pt>
                <c:pt idx="91">
                  <c:v>37.0105</c:v>
                </c:pt>
                <c:pt idx="92">
                  <c:v>37.4161</c:v>
                </c:pt>
                <c:pt idx="93">
                  <c:v>37.8232</c:v>
                </c:pt>
                <c:pt idx="94">
                  <c:v>38.232300000000002</c:v>
                </c:pt>
                <c:pt idx="95">
                  <c:v>38.638599999999997</c:v>
                </c:pt>
                <c:pt idx="96">
                  <c:v>39.043300000000002</c:v>
                </c:pt>
                <c:pt idx="97">
                  <c:v>39.447800000000001</c:v>
                </c:pt>
                <c:pt idx="98">
                  <c:v>39.857199999999999</c:v>
                </c:pt>
                <c:pt idx="99">
                  <c:v>40.262999999999998</c:v>
                </c:pt>
                <c:pt idx="100">
                  <c:v>40.6706</c:v>
                </c:pt>
                <c:pt idx="101">
                  <c:v>41.074199999999998</c:v>
                </c:pt>
                <c:pt idx="102">
                  <c:v>41.479799999999997</c:v>
                </c:pt>
                <c:pt idx="103">
                  <c:v>41.8857</c:v>
                </c:pt>
                <c:pt idx="104">
                  <c:v>42.293599999999998</c:v>
                </c:pt>
                <c:pt idx="105">
                  <c:v>42.698700000000002</c:v>
                </c:pt>
                <c:pt idx="106">
                  <c:v>43.105200000000004</c:v>
                </c:pt>
                <c:pt idx="107">
                  <c:v>43.516300000000001</c:v>
                </c:pt>
                <c:pt idx="108">
                  <c:v>43.918900000000001</c:v>
                </c:pt>
                <c:pt idx="109">
                  <c:v>44.325299999999999</c:v>
                </c:pt>
                <c:pt idx="110">
                  <c:v>44.731200000000001</c:v>
                </c:pt>
                <c:pt idx="111">
                  <c:v>45.134799999999998</c:v>
                </c:pt>
                <c:pt idx="112">
                  <c:v>45.544600000000003</c:v>
                </c:pt>
                <c:pt idx="113">
                  <c:v>45.951900000000002</c:v>
                </c:pt>
                <c:pt idx="114">
                  <c:v>46.3536</c:v>
                </c:pt>
                <c:pt idx="115">
                  <c:v>46.761400000000002</c:v>
                </c:pt>
                <c:pt idx="116">
                  <c:v>47.168500000000002</c:v>
                </c:pt>
                <c:pt idx="117">
                  <c:v>47.573700000000002</c:v>
                </c:pt>
                <c:pt idx="118">
                  <c:v>47.984900000000003</c:v>
                </c:pt>
                <c:pt idx="119">
                  <c:v>48.385800000000003</c:v>
                </c:pt>
                <c:pt idx="120">
                  <c:v>48.791699999999999</c:v>
                </c:pt>
                <c:pt idx="121">
                  <c:v>49.201500000000003</c:v>
                </c:pt>
                <c:pt idx="122">
                  <c:v>49.607999999999997</c:v>
                </c:pt>
                <c:pt idx="123">
                  <c:v>50.012900000000002</c:v>
                </c:pt>
                <c:pt idx="124">
                  <c:v>50.418700000000001</c:v>
                </c:pt>
                <c:pt idx="125">
                  <c:v>50.8245</c:v>
                </c:pt>
                <c:pt idx="126">
                  <c:v>51.234000000000002</c:v>
                </c:pt>
                <c:pt idx="127">
                  <c:v>51.637900000000002</c:v>
                </c:pt>
                <c:pt idx="128">
                  <c:v>52.045000000000002</c:v>
                </c:pt>
                <c:pt idx="129">
                  <c:v>52.4482</c:v>
                </c:pt>
                <c:pt idx="130">
                  <c:v>52.856499999999997</c:v>
                </c:pt>
                <c:pt idx="131">
                  <c:v>53.261699999999998</c:v>
                </c:pt>
                <c:pt idx="132">
                  <c:v>53.671900000000001</c:v>
                </c:pt>
                <c:pt idx="133">
                  <c:v>54.077500000000001</c:v>
                </c:pt>
                <c:pt idx="134">
                  <c:v>54.480800000000002</c:v>
                </c:pt>
                <c:pt idx="135">
                  <c:v>54.8874</c:v>
                </c:pt>
                <c:pt idx="136">
                  <c:v>55.296399999999998</c:v>
                </c:pt>
                <c:pt idx="137">
                  <c:v>55.700899999999997</c:v>
                </c:pt>
                <c:pt idx="138">
                  <c:v>56.107100000000003</c:v>
                </c:pt>
                <c:pt idx="139">
                  <c:v>56.511299999999999</c:v>
                </c:pt>
                <c:pt idx="140">
                  <c:v>56.916600000000003</c:v>
                </c:pt>
                <c:pt idx="141">
                  <c:v>57.329599999999999</c:v>
                </c:pt>
                <c:pt idx="142">
                  <c:v>57.734299999999998</c:v>
                </c:pt>
                <c:pt idx="143">
                  <c:v>58.140500000000003</c:v>
                </c:pt>
                <c:pt idx="144">
                  <c:v>58.545099999999998</c:v>
                </c:pt>
                <c:pt idx="145">
                  <c:v>58.948500000000003</c:v>
                </c:pt>
                <c:pt idx="146">
                  <c:v>59.356200000000001</c:v>
                </c:pt>
                <c:pt idx="147">
                  <c:v>59.762599999999999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2.4576199999999999</c:v>
                </c:pt>
                <c:pt idx="1">
                  <c:v>2.52074</c:v>
                </c:pt>
                <c:pt idx="2">
                  <c:v>2.5822000000000003</c:v>
                </c:pt>
                <c:pt idx="3">
                  <c:v>2.6420500000000002</c:v>
                </c:pt>
                <c:pt idx="4">
                  <c:v>2.7014199999999997</c:v>
                </c:pt>
                <c:pt idx="5">
                  <c:v>2.7597500000000004</c:v>
                </c:pt>
                <c:pt idx="6">
                  <c:v>2.8174100000000002</c:v>
                </c:pt>
                <c:pt idx="7">
                  <c:v>2.8734900000000003</c:v>
                </c:pt>
                <c:pt idx="8">
                  <c:v>2.9288500000000002</c:v>
                </c:pt>
                <c:pt idx="9">
                  <c:v>2.9840599999999999</c:v>
                </c:pt>
                <c:pt idx="10">
                  <c:v>3.0392999999999999</c:v>
                </c:pt>
                <c:pt idx="11">
                  <c:v>3.0933600000000001</c:v>
                </c:pt>
                <c:pt idx="12">
                  <c:v>3.14697</c:v>
                </c:pt>
                <c:pt idx="13">
                  <c:v>3.1993800000000001</c:v>
                </c:pt>
                <c:pt idx="14">
                  <c:v>3.2488200000000003</c:v>
                </c:pt>
                <c:pt idx="15">
                  <c:v>3.2941599999999998</c:v>
                </c:pt>
                <c:pt idx="16">
                  <c:v>3.33439</c:v>
                </c:pt>
                <c:pt idx="17">
                  <c:v>3.3710899999999997</c:v>
                </c:pt>
                <c:pt idx="18">
                  <c:v>3.4051900000000002</c:v>
                </c:pt>
                <c:pt idx="19">
                  <c:v>3.4372000000000003</c:v>
                </c:pt>
                <c:pt idx="20">
                  <c:v>3.4665900000000001</c:v>
                </c:pt>
                <c:pt idx="21">
                  <c:v>3.4939499999999999</c:v>
                </c:pt>
                <c:pt idx="22">
                  <c:v>3.5199699999999998</c:v>
                </c:pt>
                <c:pt idx="23">
                  <c:v>3.5431900000000001</c:v>
                </c:pt>
                <c:pt idx="24">
                  <c:v>3.5683500000000001</c:v>
                </c:pt>
                <c:pt idx="25">
                  <c:v>3.5914200000000003</c:v>
                </c:pt>
                <c:pt idx="26">
                  <c:v>3.61029</c:v>
                </c:pt>
                <c:pt idx="27">
                  <c:v>3.62296</c:v>
                </c:pt>
                <c:pt idx="28">
                  <c:v>3.63103</c:v>
                </c:pt>
                <c:pt idx="29">
                  <c:v>3.6370499999999999</c:v>
                </c:pt>
                <c:pt idx="30">
                  <c:v>3.6405599999999998</c:v>
                </c:pt>
                <c:pt idx="31">
                  <c:v>3.6423699999999997</c:v>
                </c:pt>
                <c:pt idx="32">
                  <c:v>3.6416399999999998</c:v>
                </c:pt>
                <c:pt idx="33">
                  <c:v>3.6396699999999997</c:v>
                </c:pt>
                <c:pt idx="34">
                  <c:v>3.6356100000000002</c:v>
                </c:pt>
                <c:pt idx="35">
                  <c:v>3.6303299999999998</c:v>
                </c:pt>
                <c:pt idx="36">
                  <c:v>3.6220799999999995</c:v>
                </c:pt>
                <c:pt idx="37">
                  <c:v>3.6111</c:v>
                </c:pt>
                <c:pt idx="38">
                  <c:v>3.6001100000000004</c:v>
                </c:pt>
                <c:pt idx="39">
                  <c:v>3.59334</c:v>
                </c:pt>
                <c:pt idx="40">
                  <c:v>3.5872199999999999</c:v>
                </c:pt>
                <c:pt idx="41">
                  <c:v>3.5820000000000003</c:v>
                </c:pt>
                <c:pt idx="42">
                  <c:v>3.5800900000000002</c:v>
                </c:pt>
                <c:pt idx="43">
                  <c:v>3.5820499999999997</c:v>
                </c:pt>
                <c:pt idx="44">
                  <c:v>3.5865499999999999</c:v>
                </c:pt>
                <c:pt idx="45">
                  <c:v>3.5952600000000001</c:v>
                </c:pt>
                <c:pt idx="46">
                  <c:v>3.609</c:v>
                </c:pt>
                <c:pt idx="47">
                  <c:v>3.6235400000000002</c:v>
                </c:pt>
                <c:pt idx="48">
                  <c:v>3.6365599999999998</c:v>
                </c:pt>
                <c:pt idx="49">
                  <c:v>3.64846</c:v>
                </c:pt>
                <c:pt idx="50">
                  <c:v>3.6522199999999998</c:v>
                </c:pt>
                <c:pt idx="51">
                  <c:v>3.66689</c:v>
                </c:pt>
                <c:pt idx="52">
                  <c:v>3.68858</c:v>
                </c:pt>
                <c:pt idx="53">
                  <c:v>3.7134099999999997</c:v>
                </c:pt>
                <c:pt idx="54">
                  <c:v>3.7364700000000002</c:v>
                </c:pt>
                <c:pt idx="55">
                  <c:v>3.76119</c:v>
                </c:pt>
                <c:pt idx="56">
                  <c:v>3.7854999999999999</c:v>
                </c:pt>
                <c:pt idx="57">
                  <c:v>3.8102100000000001</c:v>
                </c:pt>
                <c:pt idx="58">
                  <c:v>3.8348</c:v>
                </c:pt>
                <c:pt idx="59">
                  <c:v>3.85826</c:v>
                </c:pt>
                <c:pt idx="60">
                  <c:v>3.8828499999999999</c:v>
                </c:pt>
                <c:pt idx="61">
                  <c:v>3.91086</c:v>
                </c:pt>
                <c:pt idx="62">
                  <c:v>3.94028</c:v>
                </c:pt>
                <c:pt idx="63">
                  <c:v>3.9681800000000003</c:v>
                </c:pt>
                <c:pt idx="64">
                  <c:v>3.9916400000000003</c:v>
                </c:pt>
                <c:pt idx="65">
                  <c:v>4.0133999999999999</c:v>
                </c:pt>
                <c:pt idx="66">
                  <c:v>4.0321199999999999</c:v>
                </c:pt>
                <c:pt idx="67">
                  <c:v>4.04582</c:v>
                </c:pt>
                <c:pt idx="68">
                  <c:v>4.05185</c:v>
                </c:pt>
                <c:pt idx="69">
                  <c:v>4.0541400000000003</c:v>
                </c:pt>
                <c:pt idx="70">
                  <c:v>4.0536499999999993</c:v>
                </c:pt>
                <c:pt idx="71">
                  <c:v>4.0486599999999999</c:v>
                </c:pt>
                <c:pt idx="72">
                  <c:v>4.0431099999999995</c:v>
                </c:pt>
                <c:pt idx="73">
                  <c:v>4.0381800000000005</c:v>
                </c:pt>
                <c:pt idx="74">
                  <c:v>4.0283199999999999</c:v>
                </c:pt>
                <c:pt idx="75">
                  <c:v>4.0136500000000002</c:v>
                </c:pt>
                <c:pt idx="76">
                  <c:v>4.0044899999999997</c:v>
                </c:pt>
                <c:pt idx="77">
                  <c:v>3.9939299999999998</c:v>
                </c:pt>
                <c:pt idx="78">
                  <c:v>3.9864100000000002</c:v>
                </c:pt>
                <c:pt idx="79">
                  <c:v>3.9809000000000001</c:v>
                </c:pt>
                <c:pt idx="80">
                  <c:v>3.9758</c:v>
                </c:pt>
                <c:pt idx="81">
                  <c:v>3.9719300000000004</c:v>
                </c:pt>
                <c:pt idx="82">
                  <c:v>3.9674199999999997</c:v>
                </c:pt>
                <c:pt idx="83">
                  <c:v>3.9630000000000001</c:v>
                </c:pt>
                <c:pt idx="84">
                  <c:v>3.9574799999999999</c:v>
                </c:pt>
                <c:pt idx="85">
                  <c:v>3.9479199999999999</c:v>
                </c:pt>
                <c:pt idx="86">
                  <c:v>3.9393699999999998</c:v>
                </c:pt>
                <c:pt idx="87">
                  <c:v>3.9325100000000002</c:v>
                </c:pt>
                <c:pt idx="88">
                  <c:v>3.92536</c:v>
                </c:pt>
                <c:pt idx="89">
                  <c:v>3.9140299999999999</c:v>
                </c:pt>
                <c:pt idx="90">
                  <c:v>3.90367</c:v>
                </c:pt>
                <c:pt idx="91">
                  <c:v>3.89337</c:v>
                </c:pt>
                <c:pt idx="92">
                  <c:v>3.8832699999999996</c:v>
                </c:pt>
                <c:pt idx="93">
                  <c:v>3.8737700000000004</c:v>
                </c:pt>
                <c:pt idx="94">
                  <c:v>3.8633800000000003</c:v>
                </c:pt>
                <c:pt idx="95">
                  <c:v>3.8528800000000003</c:v>
                </c:pt>
                <c:pt idx="96">
                  <c:v>3.8414700000000002</c:v>
                </c:pt>
                <c:pt idx="97">
                  <c:v>3.8270500000000003</c:v>
                </c:pt>
                <c:pt idx="98">
                  <c:v>3.8155299999999999</c:v>
                </c:pt>
                <c:pt idx="99">
                  <c:v>3.8052999999999999</c:v>
                </c:pt>
                <c:pt idx="100">
                  <c:v>3.7922899999999999</c:v>
                </c:pt>
                <c:pt idx="101">
                  <c:v>3.7745600000000001</c:v>
                </c:pt>
                <c:pt idx="102">
                  <c:v>3.7563999999999997</c:v>
                </c:pt>
                <c:pt idx="103">
                  <c:v>3.73732</c:v>
                </c:pt>
                <c:pt idx="104">
                  <c:v>3.7141800000000003</c:v>
                </c:pt>
                <c:pt idx="105">
                  <c:v>3.6905199999999998</c:v>
                </c:pt>
                <c:pt idx="106">
                  <c:v>3.6675499999999999</c:v>
                </c:pt>
                <c:pt idx="107">
                  <c:v>3.6469899999999997</c:v>
                </c:pt>
                <c:pt idx="108">
                  <c:v>3.6274099999999998</c:v>
                </c:pt>
                <c:pt idx="109">
                  <c:v>3.6090400000000002</c:v>
                </c:pt>
                <c:pt idx="110">
                  <c:v>3.5918299999999999</c:v>
                </c:pt>
                <c:pt idx="111">
                  <c:v>3.5708299999999999</c:v>
                </c:pt>
                <c:pt idx="112">
                  <c:v>3.5464000000000002</c:v>
                </c:pt>
                <c:pt idx="113">
                  <c:v>3.5259800000000001</c:v>
                </c:pt>
                <c:pt idx="114">
                  <c:v>3.5120400000000003</c:v>
                </c:pt>
                <c:pt idx="115">
                  <c:v>3.4996999999999998</c:v>
                </c:pt>
                <c:pt idx="116">
                  <c:v>3.4896199999999999</c:v>
                </c:pt>
                <c:pt idx="117">
                  <c:v>3.4843299999999999</c:v>
                </c:pt>
                <c:pt idx="118">
                  <c:v>3.4839399999999996</c:v>
                </c:pt>
                <c:pt idx="119">
                  <c:v>3.4832700000000001</c:v>
                </c:pt>
                <c:pt idx="120">
                  <c:v>3.4824799999999998</c:v>
                </c:pt>
                <c:pt idx="121">
                  <c:v>3.4825499999999998</c:v>
                </c:pt>
                <c:pt idx="122">
                  <c:v>3.4839599999999997</c:v>
                </c:pt>
                <c:pt idx="123">
                  <c:v>3.4864000000000002</c:v>
                </c:pt>
                <c:pt idx="124">
                  <c:v>3.4886499999999998</c:v>
                </c:pt>
                <c:pt idx="125">
                  <c:v>3.4926600000000003</c:v>
                </c:pt>
                <c:pt idx="126">
                  <c:v>3.4995099999999999</c:v>
                </c:pt>
                <c:pt idx="127">
                  <c:v>3.5059100000000001</c:v>
                </c:pt>
                <c:pt idx="128">
                  <c:v>3.5114800000000002</c:v>
                </c:pt>
                <c:pt idx="129">
                  <c:v>3.5196199999999997</c:v>
                </c:pt>
                <c:pt idx="130">
                  <c:v>3.5269400000000002</c:v>
                </c:pt>
                <c:pt idx="131">
                  <c:v>3.5331700000000001</c:v>
                </c:pt>
                <c:pt idx="132">
                  <c:v>3.5365400000000005</c:v>
                </c:pt>
                <c:pt idx="133">
                  <c:v>3.5380799999999999</c:v>
                </c:pt>
                <c:pt idx="134">
                  <c:v>3.5387499999999998</c:v>
                </c:pt>
                <c:pt idx="135">
                  <c:v>3.5382699999999998</c:v>
                </c:pt>
                <c:pt idx="136">
                  <c:v>3.5409000000000002</c:v>
                </c:pt>
                <c:pt idx="137">
                  <c:v>3.5433300000000001</c:v>
                </c:pt>
                <c:pt idx="138">
                  <c:v>3.54209</c:v>
                </c:pt>
                <c:pt idx="139">
                  <c:v>3.5385800000000001</c:v>
                </c:pt>
                <c:pt idx="140">
                  <c:v>3.5341800000000001</c:v>
                </c:pt>
                <c:pt idx="141">
                  <c:v>3.52929</c:v>
                </c:pt>
                <c:pt idx="142">
                  <c:v>3.5208499999999998</c:v>
                </c:pt>
                <c:pt idx="143">
                  <c:v>3.5010699999999999</c:v>
                </c:pt>
                <c:pt idx="144">
                  <c:v>3.4841499999999996</c:v>
                </c:pt>
                <c:pt idx="145">
                  <c:v>3.4705699999999999</c:v>
                </c:pt>
                <c:pt idx="146">
                  <c:v>3.4695199999999997</c:v>
                </c:pt>
                <c:pt idx="147">
                  <c:v>3.48977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0.38541900000000001</c:v>
                </c:pt>
                <c:pt idx="2">
                  <c:v>0.79323399999999999</c:v>
                </c:pt>
                <c:pt idx="3">
                  <c:v>1.1978899999999999</c:v>
                </c:pt>
                <c:pt idx="4">
                  <c:v>1.6085499999999999</c:v>
                </c:pt>
                <c:pt idx="5">
                  <c:v>2.0146899999999999</c:v>
                </c:pt>
                <c:pt idx="6">
                  <c:v>2.41703</c:v>
                </c:pt>
                <c:pt idx="7">
                  <c:v>2.8219099999999999</c:v>
                </c:pt>
                <c:pt idx="8">
                  <c:v>3.23359</c:v>
                </c:pt>
                <c:pt idx="9">
                  <c:v>3.6398899999999998</c:v>
                </c:pt>
                <c:pt idx="10">
                  <c:v>4.0446999999999997</c:v>
                </c:pt>
                <c:pt idx="11">
                  <c:v>4.4478799999999996</c:v>
                </c:pt>
                <c:pt idx="12">
                  <c:v>4.8555900000000003</c:v>
                </c:pt>
                <c:pt idx="13">
                  <c:v>5.2600600000000002</c:v>
                </c:pt>
                <c:pt idx="14">
                  <c:v>5.6717399999999998</c:v>
                </c:pt>
                <c:pt idx="15">
                  <c:v>6.0767600000000002</c:v>
                </c:pt>
                <c:pt idx="16">
                  <c:v>6.4803699999999997</c:v>
                </c:pt>
                <c:pt idx="17">
                  <c:v>6.8862899999999998</c:v>
                </c:pt>
                <c:pt idx="18">
                  <c:v>7.29453</c:v>
                </c:pt>
                <c:pt idx="19">
                  <c:v>7.7019099999999998</c:v>
                </c:pt>
                <c:pt idx="20">
                  <c:v>8.1084399999999999</c:v>
                </c:pt>
                <c:pt idx="21">
                  <c:v>8.5114199999999993</c:v>
                </c:pt>
                <c:pt idx="22">
                  <c:v>8.9177099999999996</c:v>
                </c:pt>
                <c:pt idx="23">
                  <c:v>9.3263999999999996</c:v>
                </c:pt>
                <c:pt idx="24">
                  <c:v>9.7342099999999991</c:v>
                </c:pt>
                <c:pt idx="25">
                  <c:v>10.1394</c:v>
                </c:pt>
                <c:pt idx="26">
                  <c:v>10.5456</c:v>
                </c:pt>
                <c:pt idx="27">
                  <c:v>10.9521</c:v>
                </c:pt>
                <c:pt idx="28">
                  <c:v>11.3552</c:v>
                </c:pt>
                <c:pt idx="29">
                  <c:v>11.7654</c:v>
                </c:pt>
                <c:pt idx="30">
                  <c:v>12.174099999999999</c:v>
                </c:pt>
                <c:pt idx="31">
                  <c:v>12.5768</c:v>
                </c:pt>
                <c:pt idx="32">
                  <c:v>12.98</c:v>
                </c:pt>
                <c:pt idx="33">
                  <c:v>13.386699999999999</c:v>
                </c:pt>
                <c:pt idx="34">
                  <c:v>13.794600000000001</c:v>
                </c:pt>
                <c:pt idx="35">
                  <c:v>14.2004</c:v>
                </c:pt>
                <c:pt idx="36">
                  <c:v>14.6073</c:v>
                </c:pt>
                <c:pt idx="37">
                  <c:v>15.010999999999999</c:v>
                </c:pt>
                <c:pt idx="38">
                  <c:v>15.4209</c:v>
                </c:pt>
                <c:pt idx="39">
                  <c:v>15.823399999999999</c:v>
                </c:pt>
                <c:pt idx="40">
                  <c:v>16.234999999999999</c:v>
                </c:pt>
                <c:pt idx="41">
                  <c:v>16.6371</c:v>
                </c:pt>
                <c:pt idx="42">
                  <c:v>17.0425</c:v>
                </c:pt>
                <c:pt idx="43">
                  <c:v>17.450700000000001</c:v>
                </c:pt>
                <c:pt idx="44">
                  <c:v>17.854399999999998</c:v>
                </c:pt>
                <c:pt idx="45">
                  <c:v>18.266100000000002</c:v>
                </c:pt>
                <c:pt idx="46">
                  <c:v>18.6694</c:v>
                </c:pt>
                <c:pt idx="47">
                  <c:v>19.072800000000001</c:v>
                </c:pt>
                <c:pt idx="48">
                  <c:v>19.478300000000001</c:v>
                </c:pt>
                <c:pt idx="49">
                  <c:v>19.887</c:v>
                </c:pt>
                <c:pt idx="50">
                  <c:v>20.295200000000001</c:v>
                </c:pt>
                <c:pt idx="51">
                  <c:v>20.702300000000001</c:v>
                </c:pt>
                <c:pt idx="52">
                  <c:v>21.106400000000001</c:v>
                </c:pt>
                <c:pt idx="53">
                  <c:v>21.516500000000001</c:v>
                </c:pt>
                <c:pt idx="54">
                  <c:v>21.919599999999999</c:v>
                </c:pt>
                <c:pt idx="55">
                  <c:v>22.3215</c:v>
                </c:pt>
                <c:pt idx="56">
                  <c:v>22.728300000000001</c:v>
                </c:pt>
                <c:pt idx="57">
                  <c:v>23.1404</c:v>
                </c:pt>
                <c:pt idx="58">
                  <c:v>23.546500000000002</c:v>
                </c:pt>
                <c:pt idx="59">
                  <c:v>23.9511</c:v>
                </c:pt>
                <c:pt idx="60">
                  <c:v>24.3537</c:v>
                </c:pt>
                <c:pt idx="61">
                  <c:v>24.7636</c:v>
                </c:pt>
                <c:pt idx="62">
                  <c:v>25.1708</c:v>
                </c:pt>
                <c:pt idx="63">
                  <c:v>25.578199999999999</c:v>
                </c:pt>
                <c:pt idx="64">
                  <c:v>25.980799999999999</c:v>
                </c:pt>
                <c:pt idx="65">
                  <c:v>26.3889</c:v>
                </c:pt>
                <c:pt idx="66">
                  <c:v>26.792899999999999</c:v>
                </c:pt>
                <c:pt idx="67">
                  <c:v>27.200299999999999</c:v>
                </c:pt>
                <c:pt idx="68">
                  <c:v>27.604900000000001</c:v>
                </c:pt>
                <c:pt idx="69">
                  <c:v>28.010999999999999</c:v>
                </c:pt>
                <c:pt idx="70">
                  <c:v>28.417000000000002</c:v>
                </c:pt>
                <c:pt idx="71">
                  <c:v>28.822700000000001</c:v>
                </c:pt>
                <c:pt idx="72">
                  <c:v>29.228899999999999</c:v>
                </c:pt>
                <c:pt idx="73">
                  <c:v>29.639099999999999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2.4576199999999999</c:v>
                </c:pt>
                <c:pt idx="1">
                  <c:v>2.52074</c:v>
                </c:pt>
                <c:pt idx="2">
                  <c:v>2.5822000000000003</c:v>
                </c:pt>
                <c:pt idx="3">
                  <c:v>2.6420500000000002</c:v>
                </c:pt>
                <c:pt idx="4">
                  <c:v>2.7014199999999997</c:v>
                </c:pt>
                <c:pt idx="5">
                  <c:v>2.7597500000000004</c:v>
                </c:pt>
                <c:pt idx="6">
                  <c:v>2.8174100000000002</c:v>
                </c:pt>
                <c:pt idx="7">
                  <c:v>2.8734900000000003</c:v>
                </c:pt>
                <c:pt idx="8">
                  <c:v>2.9288500000000002</c:v>
                </c:pt>
                <c:pt idx="9">
                  <c:v>2.9840599999999999</c:v>
                </c:pt>
                <c:pt idx="10">
                  <c:v>3.0392999999999999</c:v>
                </c:pt>
                <c:pt idx="11">
                  <c:v>3.0933600000000001</c:v>
                </c:pt>
                <c:pt idx="12">
                  <c:v>3.14697</c:v>
                </c:pt>
                <c:pt idx="13">
                  <c:v>3.1993800000000001</c:v>
                </c:pt>
                <c:pt idx="14">
                  <c:v>3.2488200000000003</c:v>
                </c:pt>
                <c:pt idx="15">
                  <c:v>3.2941599999999998</c:v>
                </c:pt>
                <c:pt idx="16">
                  <c:v>3.33439</c:v>
                </c:pt>
                <c:pt idx="17">
                  <c:v>3.3710899999999997</c:v>
                </c:pt>
                <c:pt idx="18">
                  <c:v>3.4051900000000002</c:v>
                </c:pt>
                <c:pt idx="19">
                  <c:v>3.4372000000000003</c:v>
                </c:pt>
                <c:pt idx="20">
                  <c:v>3.4665900000000001</c:v>
                </c:pt>
                <c:pt idx="21">
                  <c:v>3.4939499999999999</c:v>
                </c:pt>
                <c:pt idx="22">
                  <c:v>3.5199699999999998</c:v>
                </c:pt>
                <c:pt idx="23">
                  <c:v>3.5431900000000001</c:v>
                </c:pt>
                <c:pt idx="24">
                  <c:v>3.5683500000000001</c:v>
                </c:pt>
                <c:pt idx="25">
                  <c:v>3.5914200000000003</c:v>
                </c:pt>
                <c:pt idx="26">
                  <c:v>3.61029</c:v>
                </c:pt>
                <c:pt idx="27">
                  <c:v>3.62296</c:v>
                </c:pt>
                <c:pt idx="28">
                  <c:v>3.63103</c:v>
                </c:pt>
                <c:pt idx="29">
                  <c:v>3.6370499999999999</c:v>
                </c:pt>
                <c:pt idx="30">
                  <c:v>3.6405599999999998</c:v>
                </c:pt>
                <c:pt idx="31">
                  <c:v>3.6423699999999997</c:v>
                </c:pt>
                <c:pt idx="32">
                  <c:v>3.6416399999999998</c:v>
                </c:pt>
                <c:pt idx="33">
                  <c:v>3.6396699999999997</c:v>
                </c:pt>
                <c:pt idx="34">
                  <c:v>3.6356100000000002</c:v>
                </c:pt>
                <c:pt idx="35">
                  <c:v>3.6303299999999998</c:v>
                </c:pt>
                <c:pt idx="36">
                  <c:v>3.6220799999999995</c:v>
                </c:pt>
                <c:pt idx="37">
                  <c:v>3.6111</c:v>
                </c:pt>
                <c:pt idx="38">
                  <c:v>3.6001100000000004</c:v>
                </c:pt>
                <c:pt idx="39">
                  <c:v>3.59334</c:v>
                </c:pt>
                <c:pt idx="40">
                  <c:v>3.5872199999999999</c:v>
                </c:pt>
                <c:pt idx="41">
                  <c:v>3.5820000000000003</c:v>
                </c:pt>
                <c:pt idx="42">
                  <c:v>3.5800900000000002</c:v>
                </c:pt>
                <c:pt idx="43">
                  <c:v>3.5820499999999997</c:v>
                </c:pt>
                <c:pt idx="44">
                  <c:v>3.5865499999999999</c:v>
                </c:pt>
                <c:pt idx="45">
                  <c:v>3.5952600000000001</c:v>
                </c:pt>
                <c:pt idx="46">
                  <c:v>3.609</c:v>
                </c:pt>
                <c:pt idx="47">
                  <c:v>3.6235400000000002</c:v>
                </c:pt>
                <c:pt idx="48">
                  <c:v>3.6365599999999998</c:v>
                </c:pt>
                <c:pt idx="49">
                  <c:v>3.64846</c:v>
                </c:pt>
                <c:pt idx="50">
                  <c:v>3.6522199999999998</c:v>
                </c:pt>
                <c:pt idx="51">
                  <c:v>3.66689</c:v>
                </c:pt>
                <c:pt idx="52">
                  <c:v>3.68858</c:v>
                </c:pt>
                <c:pt idx="53">
                  <c:v>3.7134099999999997</c:v>
                </c:pt>
                <c:pt idx="54">
                  <c:v>3.7364700000000002</c:v>
                </c:pt>
                <c:pt idx="55">
                  <c:v>3.76119</c:v>
                </c:pt>
                <c:pt idx="56">
                  <c:v>3.7854999999999999</c:v>
                </c:pt>
                <c:pt idx="57">
                  <c:v>3.8102100000000001</c:v>
                </c:pt>
                <c:pt idx="58">
                  <c:v>3.8348</c:v>
                </c:pt>
                <c:pt idx="59">
                  <c:v>3.85826</c:v>
                </c:pt>
                <c:pt idx="60">
                  <c:v>3.8828499999999999</c:v>
                </c:pt>
                <c:pt idx="61">
                  <c:v>3.91086</c:v>
                </c:pt>
                <c:pt idx="62">
                  <c:v>3.94028</c:v>
                </c:pt>
                <c:pt idx="63">
                  <c:v>3.9681800000000003</c:v>
                </c:pt>
                <c:pt idx="64">
                  <c:v>3.9916400000000003</c:v>
                </c:pt>
                <c:pt idx="65">
                  <c:v>4.0133999999999999</c:v>
                </c:pt>
                <c:pt idx="66">
                  <c:v>4.0321199999999999</c:v>
                </c:pt>
                <c:pt idx="67">
                  <c:v>4.04582</c:v>
                </c:pt>
                <c:pt idx="68">
                  <c:v>4.05185</c:v>
                </c:pt>
                <c:pt idx="69">
                  <c:v>4.0541400000000003</c:v>
                </c:pt>
                <c:pt idx="70">
                  <c:v>4.0536499999999993</c:v>
                </c:pt>
                <c:pt idx="71">
                  <c:v>4.0486599999999999</c:v>
                </c:pt>
                <c:pt idx="72">
                  <c:v>4.0431099999999995</c:v>
                </c:pt>
                <c:pt idx="73">
                  <c:v>4.0381800000000005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29.639099999999999</c:v>
                </c:pt>
                <c:pt idx="1">
                  <c:v>30.044699999999999</c:v>
                </c:pt>
                <c:pt idx="2">
                  <c:v>30.638300000000001</c:v>
                </c:pt>
                <c:pt idx="3">
                  <c:v>31.009899999999998</c:v>
                </c:pt>
                <c:pt idx="4">
                  <c:v>31.386600000000001</c:v>
                </c:pt>
                <c:pt idx="5">
                  <c:v>31.762</c:v>
                </c:pt>
                <c:pt idx="6">
                  <c:v>32.140700000000002</c:v>
                </c:pt>
                <c:pt idx="7">
                  <c:v>32.543500000000002</c:v>
                </c:pt>
                <c:pt idx="8">
                  <c:v>32.948799999999999</c:v>
                </c:pt>
                <c:pt idx="9">
                  <c:v>33.354999999999997</c:v>
                </c:pt>
                <c:pt idx="10">
                  <c:v>33.763100000000001</c:v>
                </c:pt>
                <c:pt idx="11">
                  <c:v>34.171999999999997</c:v>
                </c:pt>
                <c:pt idx="12">
                  <c:v>34.575699999999998</c:v>
                </c:pt>
                <c:pt idx="13">
                  <c:v>34.980800000000002</c:v>
                </c:pt>
                <c:pt idx="14">
                  <c:v>35.387300000000003</c:v>
                </c:pt>
                <c:pt idx="15">
                  <c:v>35.7973</c:v>
                </c:pt>
                <c:pt idx="16">
                  <c:v>36.198300000000003</c:v>
                </c:pt>
                <c:pt idx="17">
                  <c:v>36.606400000000001</c:v>
                </c:pt>
                <c:pt idx="18">
                  <c:v>37.0105</c:v>
                </c:pt>
                <c:pt idx="19">
                  <c:v>37.4161</c:v>
                </c:pt>
                <c:pt idx="20">
                  <c:v>37.8232</c:v>
                </c:pt>
                <c:pt idx="21">
                  <c:v>38.232300000000002</c:v>
                </c:pt>
                <c:pt idx="22">
                  <c:v>38.638599999999997</c:v>
                </c:pt>
                <c:pt idx="23">
                  <c:v>39.043300000000002</c:v>
                </c:pt>
                <c:pt idx="24">
                  <c:v>39.447800000000001</c:v>
                </c:pt>
                <c:pt idx="25">
                  <c:v>39.857199999999999</c:v>
                </c:pt>
                <c:pt idx="26">
                  <c:v>40.262999999999998</c:v>
                </c:pt>
                <c:pt idx="27">
                  <c:v>40.6706</c:v>
                </c:pt>
                <c:pt idx="28">
                  <c:v>41.074199999999998</c:v>
                </c:pt>
                <c:pt idx="29">
                  <c:v>41.479799999999997</c:v>
                </c:pt>
                <c:pt idx="30">
                  <c:v>41.8857</c:v>
                </c:pt>
                <c:pt idx="31">
                  <c:v>42.293599999999998</c:v>
                </c:pt>
                <c:pt idx="32">
                  <c:v>42.698700000000002</c:v>
                </c:pt>
                <c:pt idx="33">
                  <c:v>43.105200000000004</c:v>
                </c:pt>
                <c:pt idx="34">
                  <c:v>43.516300000000001</c:v>
                </c:pt>
                <c:pt idx="35">
                  <c:v>43.918900000000001</c:v>
                </c:pt>
                <c:pt idx="36">
                  <c:v>44.325299999999999</c:v>
                </c:pt>
                <c:pt idx="37">
                  <c:v>44.731200000000001</c:v>
                </c:pt>
                <c:pt idx="38">
                  <c:v>45.134799999999998</c:v>
                </c:pt>
                <c:pt idx="39">
                  <c:v>45.544600000000003</c:v>
                </c:pt>
                <c:pt idx="40">
                  <c:v>45.951900000000002</c:v>
                </c:pt>
                <c:pt idx="41">
                  <c:v>46.3536</c:v>
                </c:pt>
                <c:pt idx="42">
                  <c:v>46.761400000000002</c:v>
                </c:pt>
                <c:pt idx="43">
                  <c:v>47.168500000000002</c:v>
                </c:pt>
                <c:pt idx="44">
                  <c:v>47.573700000000002</c:v>
                </c:pt>
                <c:pt idx="45">
                  <c:v>47.984900000000003</c:v>
                </c:pt>
                <c:pt idx="46">
                  <c:v>48.385800000000003</c:v>
                </c:pt>
                <c:pt idx="47">
                  <c:v>48.791699999999999</c:v>
                </c:pt>
                <c:pt idx="48">
                  <c:v>49.201500000000003</c:v>
                </c:pt>
                <c:pt idx="49">
                  <c:v>49.607999999999997</c:v>
                </c:pt>
                <c:pt idx="50">
                  <c:v>50.012900000000002</c:v>
                </c:pt>
                <c:pt idx="51">
                  <c:v>50.418700000000001</c:v>
                </c:pt>
                <c:pt idx="52">
                  <c:v>50.8245</c:v>
                </c:pt>
                <c:pt idx="53">
                  <c:v>51.234000000000002</c:v>
                </c:pt>
                <c:pt idx="54">
                  <c:v>51.637900000000002</c:v>
                </c:pt>
                <c:pt idx="55">
                  <c:v>52.045000000000002</c:v>
                </c:pt>
                <c:pt idx="56">
                  <c:v>52.4482</c:v>
                </c:pt>
                <c:pt idx="57">
                  <c:v>52.856499999999997</c:v>
                </c:pt>
                <c:pt idx="58">
                  <c:v>53.261699999999998</c:v>
                </c:pt>
                <c:pt idx="59">
                  <c:v>53.671900000000001</c:v>
                </c:pt>
                <c:pt idx="60">
                  <c:v>54.077500000000001</c:v>
                </c:pt>
                <c:pt idx="61">
                  <c:v>54.480800000000002</c:v>
                </c:pt>
                <c:pt idx="62">
                  <c:v>54.8874</c:v>
                </c:pt>
                <c:pt idx="63">
                  <c:v>55.296399999999998</c:v>
                </c:pt>
                <c:pt idx="64">
                  <c:v>55.700899999999997</c:v>
                </c:pt>
                <c:pt idx="65">
                  <c:v>56.107100000000003</c:v>
                </c:pt>
                <c:pt idx="66">
                  <c:v>56.511299999999999</c:v>
                </c:pt>
                <c:pt idx="67">
                  <c:v>56.916600000000003</c:v>
                </c:pt>
                <c:pt idx="68">
                  <c:v>57.329599999999999</c:v>
                </c:pt>
                <c:pt idx="69">
                  <c:v>57.734299999999998</c:v>
                </c:pt>
                <c:pt idx="70">
                  <c:v>58.140500000000003</c:v>
                </c:pt>
                <c:pt idx="71">
                  <c:v>58.545099999999998</c:v>
                </c:pt>
                <c:pt idx="72">
                  <c:v>58.948500000000003</c:v>
                </c:pt>
                <c:pt idx="73">
                  <c:v>59.356200000000001</c:v>
                </c:pt>
                <c:pt idx="74">
                  <c:v>59.762599999999999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4.0381800000000005</c:v>
                </c:pt>
                <c:pt idx="1">
                  <c:v>4.0283199999999999</c:v>
                </c:pt>
                <c:pt idx="2">
                  <c:v>4.0136500000000002</c:v>
                </c:pt>
                <c:pt idx="3">
                  <c:v>4.0044899999999997</c:v>
                </c:pt>
                <c:pt idx="4">
                  <c:v>3.9939299999999998</c:v>
                </c:pt>
                <c:pt idx="5">
                  <c:v>3.9864100000000002</c:v>
                </c:pt>
                <c:pt idx="6">
                  <c:v>3.9809000000000001</c:v>
                </c:pt>
                <c:pt idx="7">
                  <c:v>3.9758</c:v>
                </c:pt>
                <c:pt idx="8">
                  <c:v>3.9719300000000004</c:v>
                </c:pt>
                <c:pt idx="9">
                  <c:v>3.9674199999999997</c:v>
                </c:pt>
                <c:pt idx="10">
                  <c:v>3.9630000000000001</c:v>
                </c:pt>
                <c:pt idx="11">
                  <c:v>3.9574799999999999</c:v>
                </c:pt>
                <c:pt idx="12">
                  <c:v>3.9479199999999999</c:v>
                </c:pt>
                <c:pt idx="13">
                  <c:v>3.9393699999999998</c:v>
                </c:pt>
                <c:pt idx="14">
                  <c:v>3.9325100000000002</c:v>
                </c:pt>
                <c:pt idx="15">
                  <c:v>3.92536</c:v>
                </c:pt>
                <c:pt idx="16">
                  <c:v>3.9140299999999999</c:v>
                </c:pt>
                <c:pt idx="17">
                  <c:v>3.90367</c:v>
                </c:pt>
                <c:pt idx="18">
                  <c:v>3.89337</c:v>
                </c:pt>
                <c:pt idx="19">
                  <c:v>3.8832699999999996</c:v>
                </c:pt>
                <c:pt idx="20">
                  <c:v>3.8737700000000004</c:v>
                </c:pt>
                <c:pt idx="21">
                  <c:v>3.8633800000000003</c:v>
                </c:pt>
                <c:pt idx="22">
                  <c:v>3.8528800000000003</c:v>
                </c:pt>
                <c:pt idx="23">
                  <c:v>3.8414700000000002</c:v>
                </c:pt>
                <c:pt idx="24">
                  <c:v>3.8270500000000003</c:v>
                </c:pt>
                <c:pt idx="25">
                  <c:v>3.8155299999999999</c:v>
                </c:pt>
                <c:pt idx="26">
                  <c:v>3.8052999999999999</c:v>
                </c:pt>
                <c:pt idx="27">
                  <c:v>3.7922899999999999</c:v>
                </c:pt>
                <c:pt idx="28">
                  <c:v>3.7745600000000001</c:v>
                </c:pt>
                <c:pt idx="29">
                  <c:v>3.7563999999999997</c:v>
                </c:pt>
                <c:pt idx="30">
                  <c:v>3.73732</c:v>
                </c:pt>
                <c:pt idx="31">
                  <c:v>3.7141800000000003</c:v>
                </c:pt>
                <c:pt idx="32">
                  <c:v>3.6905199999999998</c:v>
                </c:pt>
                <c:pt idx="33">
                  <c:v>3.6675499999999999</c:v>
                </c:pt>
                <c:pt idx="34">
                  <c:v>3.6469899999999997</c:v>
                </c:pt>
                <c:pt idx="35">
                  <c:v>3.6274099999999998</c:v>
                </c:pt>
                <c:pt idx="36">
                  <c:v>3.6090400000000002</c:v>
                </c:pt>
                <c:pt idx="37">
                  <c:v>3.5918299999999999</c:v>
                </c:pt>
                <c:pt idx="38">
                  <c:v>3.5708299999999999</c:v>
                </c:pt>
                <c:pt idx="39">
                  <c:v>3.5464000000000002</c:v>
                </c:pt>
                <c:pt idx="40">
                  <c:v>3.5259800000000001</c:v>
                </c:pt>
                <c:pt idx="41">
                  <c:v>3.5120400000000003</c:v>
                </c:pt>
                <c:pt idx="42">
                  <c:v>3.4996999999999998</c:v>
                </c:pt>
                <c:pt idx="43">
                  <c:v>3.4896199999999999</c:v>
                </c:pt>
                <c:pt idx="44">
                  <c:v>3.4843299999999999</c:v>
                </c:pt>
                <c:pt idx="45">
                  <c:v>3.4839399999999996</c:v>
                </c:pt>
                <c:pt idx="46">
                  <c:v>3.4832700000000001</c:v>
                </c:pt>
                <c:pt idx="47">
                  <c:v>3.4824799999999998</c:v>
                </c:pt>
                <c:pt idx="48">
                  <c:v>3.4825499999999998</c:v>
                </c:pt>
                <c:pt idx="49">
                  <c:v>3.4839599999999997</c:v>
                </c:pt>
                <c:pt idx="50">
                  <c:v>3.4864000000000002</c:v>
                </c:pt>
                <c:pt idx="51">
                  <c:v>3.4886499999999998</c:v>
                </c:pt>
                <c:pt idx="52">
                  <c:v>3.4926600000000003</c:v>
                </c:pt>
                <c:pt idx="53">
                  <c:v>3.4995099999999999</c:v>
                </c:pt>
                <c:pt idx="54">
                  <c:v>3.5059100000000001</c:v>
                </c:pt>
                <c:pt idx="55">
                  <c:v>3.5114800000000002</c:v>
                </c:pt>
                <c:pt idx="56">
                  <c:v>3.5196199999999997</c:v>
                </c:pt>
                <c:pt idx="57">
                  <c:v>3.5269400000000002</c:v>
                </c:pt>
                <c:pt idx="58">
                  <c:v>3.5331700000000001</c:v>
                </c:pt>
                <c:pt idx="59">
                  <c:v>3.5365400000000005</c:v>
                </c:pt>
                <c:pt idx="60">
                  <c:v>3.5380799999999999</c:v>
                </c:pt>
                <c:pt idx="61">
                  <c:v>3.5387499999999998</c:v>
                </c:pt>
                <c:pt idx="62">
                  <c:v>3.5382699999999998</c:v>
                </c:pt>
                <c:pt idx="63">
                  <c:v>3.5409000000000002</c:v>
                </c:pt>
                <c:pt idx="64">
                  <c:v>3.5433300000000001</c:v>
                </c:pt>
                <c:pt idx="65">
                  <c:v>3.54209</c:v>
                </c:pt>
                <c:pt idx="66">
                  <c:v>3.5385800000000001</c:v>
                </c:pt>
                <c:pt idx="67">
                  <c:v>3.5341800000000001</c:v>
                </c:pt>
                <c:pt idx="68">
                  <c:v>3.52929</c:v>
                </c:pt>
                <c:pt idx="69">
                  <c:v>3.5208499999999998</c:v>
                </c:pt>
                <c:pt idx="70">
                  <c:v>3.5010699999999999</c:v>
                </c:pt>
                <c:pt idx="71">
                  <c:v>3.4841499999999996</c:v>
                </c:pt>
                <c:pt idx="72">
                  <c:v>3.4705699999999999</c:v>
                </c:pt>
                <c:pt idx="73">
                  <c:v>3.4695199999999997</c:v>
                </c:pt>
                <c:pt idx="74">
                  <c:v>3.48977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14.94065</c:v>
                </c:pt>
                <c:pt idx="1">
                  <c:v>44.821950000000001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3.5323251351351352</c:v>
                </c:pt>
                <c:pt idx="1">
                  <c:v>3.6837254054054061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0.38541900000000001</c:v>
                </c:pt>
                <c:pt idx="2">
                  <c:v>0.79323399999999999</c:v>
                </c:pt>
                <c:pt idx="3">
                  <c:v>1.1978899999999999</c:v>
                </c:pt>
                <c:pt idx="4">
                  <c:v>1.6085499999999999</c:v>
                </c:pt>
                <c:pt idx="5">
                  <c:v>2.0146899999999999</c:v>
                </c:pt>
                <c:pt idx="6">
                  <c:v>2.41703</c:v>
                </c:pt>
                <c:pt idx="7">
                  <c:v>2.8219099999999999</c:v>
                </c:pt>
                <c:pt idx="8">
                  <c:v>3.23359</c:v>
                </c:pt>
                <c:pt idx="9">
                  <c:v>3.6398899999999998</c:v>
                </c:pt>
                <c:pt idx="10">
                  <c:v>4.0446999999999997</c:v>
                </c:pt>
                <c:pt idx="11">
                  <c:v>4.4478799999999996</c:v>
                </c:pt>
                <c:pt idx="12">
                  <c:v>4.8555900000000003</c:v>
                </c:pt>
                <c:pt idx="13">
                  <c:v>5.2600600000000002</c:v>
                </c:pt>
                <c:pt idx="14">
                  <c:v>5.6717399999999998</c:v>
                </c:pt>
                <c:pt idx="15">
                  <c:v>6.0767600000000002</c:v>
                </c:pt>
                <c:pt idx="16">
                  <c:v>6.4803699999999997</c:v>
                </c:pt>
                <c:pt idx="17">
                  <c:v>6.8862899999999998</c:v>
                </c:pt>
                <c:pt idx="18">
                  <c:v>7.29453</c:v>
                </c:pt>
                <c:pt idx="19">
                  <c:v>7.7019099999999998</c:v>
                </c:pt>
                <c:pt idx="20">
                  <c:v>8.1084399999999999</c:v>
                </c:pt>
                <c:pt idx="21">
                  <c:v>8.5114199999999993</c:v>
                </c:pt>
                <c:pt idx="22">
                  <c:v>8.9177099999999996</c:v>
                </c:pt>
                <c:pt idx="23">
                  <c:v>9.3263999999999996</c:v>
                </c:pt>
                <c:pt idx="24">
                  <c:v>9.7342099999999991</c:v>
                </c:pt>
                <c:pt idx="25">
                  <c:v>10.1394</c:v>
                </c:pt>
                <c:pt idx="26">
                  <c:v>10.5456</c:v>
                </c:pt>
                <c:pt idx="27">
                  <c:v>10.9521</c:v>
                </c:pt>
                <c:pt idx="28">
                  <c:v>11.3552</c:v>
                </c:pt>
                <c:pt idx="29">
                  <c:v>11.7654</c:v>
                </c:pt>
                <c:pt idx="30">
                  <c:v>12.174099999999999</c:v>
                </c:pt>
                <c:pt idx="31">
                  <c:v>12.5768</c:v>
                </c:pt>
                <c:pt idx="32">
                  <c:v>12.98</c:v>
                </c:pt>
                <c:pt idx="33">
                  <c:v>13.386699999999999</c:v>
                </c:pt>
                <c:pt idx="34">
                  <c:v>13.794600000000001</c:v>
                </c:pt>
                <c:pt idx="35">
                  <c:v>14.2004</c:v>
                </c:pt>
                <c:pt idx="36">
                  <c:v>14.6073</c:v>
                </c:pt>
                <c:pt idx="37">
                  <c:v>15.010999999999999</c:v>
                </c:pt>
                <c:pt idx="38">
                  <c:v>15.4209</c:v>
                </c:pt>
                <c:pt idx="39">
                  <c:v>15.823399999999999</c:v>
                </c:pt>
                <c:pt idx="40">
                  <c:v>16.234999999999999</c:v>
                </c:pt>
                <c:pt idx="41">
                  <c:v>16.6371</c:v>
                </c:pt>
                <c:pt idx="42">
                  <c:v>17.0425</c:v>
                </c:pt>
                <c:pt idx="43">
                  <c:v>17.450700000000001</c:v>
                </c:pt>
                <c:pt idx="44">
                  <c:v>17.854399999999998</c:v>
                </c:pt>
                <c:pt idx="45">
                  <c:v>18.266100000000002</c:v>
                </c:pt>
                <c:pt idx="46">
                  <c:v>18.6694</c:v>
                </c:pt>
                <c:pt idx="47">
                  <c:v>19.072800000000001</c:v>
                </c:pt>
                <c:pt idx="48">
                  <c:v>19.478300000000001</c:v>
                </c:pt>
                <c:pt idx="49">
                  <c:v>19.887</c:v>
                </c:pt>
                <c:pt idx="50">
                  <c:v>20.295200000000001</c:v>
                </c:pt>
                <c:pt idx="51">
                  <c:v>20.702300000000001</c:v>
                </c:pt>
                <c:pt idx="52">
                  <c:v>21.106400000000001</c:v>
                </c:pt>
                <c:pt idx="53">
                  <c:v>21.516500000000001</c:v>
                </c:pt>
                <c:pt idx="54">
                  <c:v>21.919599999999999</c:v>
                </c:pt>
                <c:pt idx="55">
                  <c:v>22.3215</c:v>
                </c:pt>
                <c:pt idx="56">
                  <c:v>22.728300000000001</c:v>
                </c:pt>
                <c:pt idx="57">
                  <c:v>23.1404</c:v>
                </c:pt>
                <c:pt idx="58">
                  <c:v>23.546500000000002</c:v>
                </c:pt>
                <c:pt idx="59">
                  <c:v>23.9511</c:v>
                </c:pt>
                <c:pt idx="60">
                  <c:v>24.3537</c:v>
                </c:pt>
                <c:pt idx="61">
                  <c:v>24.7636</c:v>
                </c:pt>
                <c:pt idx="62">
                  <c:v>25.1708</c:v>
                </c:pt>
                <c:pt idx="63">
                  <c:v>25.578199999999999</c:v>
                </c:pt>
                <c:pt idx="64">
                  <c:v>25.980799999999999</c:v>
                </c:pt>
                <c:pt idx="65">
                  <c:v>26.3889</c:v>
                </c:pt>
                <c:pt idx="66">
                  <c:v>26.792899999999999</c:v>
                </c:pt>
                <c:pt idx="67">
                  <c:v>27.200299999999999</c:v>
                </c:pt>
                <c:pt idx="68">
                  <c:v>27.604900000000001</c:v>
                </c:pt>
                <c:pt idx="69">
                  <c:v>28.010999999999999</c:v>
                </c:pt>
                <c:pt idx="70">
                  <c:v>28.417000000000002</c:v>
                </c:pt>
                <c:pt idx="71">
                  <c:v>28.822700000000001</c:v>
                </c:pt>
                <c:pt idx="72">
                  <c:v>29.228899999999999</c:v>
                </c:pt>
                <c:pt idx="73">
                  <c:v>29.639099999999999</c:v>
                </c:pt>
                <c:pt idx="74">
                  <c:v>30.044699999999999</c:v>
                </c:pt>
                <c:pt idx="75">
                  <c:v>30.638300000000001</c:v>
                </c:pt>
                <c:pt idx="76">
                  <c:v>31.009899999999998</c:v>
                </c:pt>
                <c:pt idx="77">
                  <c:v>31.386600000000001</c:v>
                </c:pt>
                <c:pt idx="78">
                  <c:v>31.762</c:v>
                </c:pt>
                <c:pt idx="79">
                  <c:v>32.140700000000002</c:v>
                </c:pt>
                <c:pt idx="80">
                  <c:v>32.543500000000002</c:v>
                </c:pt>
                <c:pt idx="81">
                  <c:v>32.948799999999999</c:v>
                </c:pt>
                <c:pt idx="82">
                  <c:v>33.354999999999997</c:v>
                </c:pt>
                <c:pt idx="83">
                  <c:v>33.763100000000001</c:v>
                </c:pt>
                <c:pt idx="84">
                  <c:v>34.171999999999997</c:v>
                </c:pt>
                <c:pt idx="85">
                  <c:v>34.575699999999998</c:v>
                </c:pt>
                <c:pt idx="86">
                  <c:v>34.980800000000002</c:v>
                </c:pt>
                <c:pt idx="87">
                  <c:v>35.387300000000003</c:v>
                </c:pt>
                <c:pt idx="88">
                  <c:v>35.7973</c:v>
                </c:pt>
                <c:pt idx="89">
                  <c:v>36.198300000000003</c:v>
                </c:pt>
                <c:pt idx="90">
                  <c:v>36.606400000000001</c:v>
                </c:pt>
                <c:pt idx="91">
                  <c:v>37.0105</c:v>
                </c:pt>
                <c:pt idx="92">
                  <c:v>37.4161</c:v>
                </c:pt>
                <c:pt idx="93">
                  <c:v>37.8232</c:v>
                </c:pt>
                <c:pt idx="94">
                  <c:v>38.232300000000002</c:v>
                </c:pt>
                <c:pt idx="95">
                  <c:v>38.638599999999997</c:v>
                </c:pt>
                <c:pt idx="96">
                  <c:v>39.043300000000002</c:v>
                </c:pt>
                <c:pt idx="97">
                  <c:v>39.447800000000001</c:v>
                </c:pt>
                <c:pt idx="98">
                  <c:v>39.857199999999999</c:v>
                </c:pt>
                <c:pt idx="99">
                  <c:v>40.262999999999998</c:v>
                </c:pt>
                <c:pt idx="100">
                  <c:v>40.6706</c:v>
                </c:pt>
                <c:pt idx="101">
                  <c:v>41.074199999999998</c:v>
                </c:pt>
                <c:pt idx="102">
                  <c:v>41.479799999999997</c:v>
                </c:pt>
                <c:pt idx="103">
                  <c:v>41.8857</c:v>
                </c:pt>
                <c:pt idx="104">
                  <c:v>42.293599999999998</c:v>
                </c:pt>
                <c:pt idx="105">
                  <c:v>42.698700000000002</c:v>
                </c:pt>
                <c:pt idx="106">
                  <c:v>43.105200000000004</c:v>
                </c:pt>
                <c:pt idx="107">
                  <c:v>43.516300000000001</c:v>
                </c:pt>
                <c:pt idx="108">
                  <c:v>43.918900000000001</c:v>
                </c:pt>
                <c:pt idx="109">
                  <c:v>44.325299999999999</c:v>
                </c:pt>
                <c:pt idx="110">
                  <c:v>44.731200000000001</c:v>
                </c:pt>
                <c:pt idx="111">
                  <c:v>45.134799999999998</c:v>
                </c:pt>
                <c:pt idx="112">
                  <c:v>45.544600000000003</c:v>
                </c:pt>
                <c:pt idx="113">
                  <c:v>45.951900000000002</c:v>
                </c:pt>
                <c:pt idx="114">
                  <c:v>46.3536</c:v>
                </c:pt>
                <c:pt idx="115">
                  <c:v>46.761400000000002</c:v>
                </c:pt>
                <c:pt idx="116">
                  <c:v>47.168500000000002</c:v>
                </c:pt>
                <c:pt idx="117">
                  <c:v>47.573700000000002</c:v>
                </c:pt>
                <c:pt idx="118">
                  <c:v>47.984900000000003</c:v>
                </c:pt>
                <c:pt idx="119">
                  <c:v>48.385800000000003</c:v>
                </c:pt>
                <c:pt idx="120">
                  <c:v>48.791699999999999</c:v>
                </c:pt>
                <c:pt idx="121">
                  <c:v>49.201500000000003</c:v>
                </c:pt>
                <c:pt idx="122">
                  <c:v>49.607999999999997</c:v>
                </c:pt>
                <c:pt idx="123">
                  <c:v>50.012900000000002</c:v>
                </c:pt>
                <c:pt idx="124">
                  <c:v>50.418700000000001</c:v>
                </c:pt>
                <c:pt idx="125">
                  <c:v>50.8245</c:v>
                </c:pt>
                <c:pt idx="126">
                  <c:v>51.234000000000002</c:v>
                </c:pt>
                <c:pt idx="127">
                  <c:v>51.637900000000002</c:v>
                </c:pt>
                <c:pt idx="128">
                  <c:v>52.045000000000002</c:v>
                </c:pt>
                <c:pt idx="129">
                  <c:v>52.4482</c:v>
                </c:pt>
                <c:pt idx="130">
                  <c:v>52.856499999999997</c:v>
                </c:pt>
                <c:pt idx="131">
                  <c:v>53.261699999999998</c:v>
                </c:pt>
                <c:pt idx="132">
                  <c:v>53.671900000000001</c:v>
                </c:pt>
                <c:pt idx="133">
                  <c:v>54.077500000000001</c:v>
                </c:pt>
                <c:pt idx="134">
                  <c:v>54.480800000000002</c:v>
                </c:pt>
                <c:pt idx="135">
                  <c:v>54.8874</c:v>
                </c:pt>
                <c:pt idx="136">
                  <c:v>55.296399999999998</c:v>
                </c:pt>
                <c:pt idx="137">
                  <c:v>55.700899999999997</c:v>
                </c:pt>
                <c:pt idx="138">
                  <c:v>56.107100000000003</c:v>
                </c:pt>
                <c:pt idx="139">
                  <c:v>56.511299999999999</c:v>
                </c:pt>
                <c:pt idx="140">
                  <c:v>56.916600000000003</c:v>
                </c:pt>
                <c:pt idx="141">
                  <c:v>57.329599999999999</c:v>
                </c:pt>
                <c:pt idx="142">
                  <c:v>57.734299999999998</c:v>
                </c:pt>
                <c:pt idx="143">
                  <c:v>58.140500000000003</c:v>
                </c:pt>
                <c:pt idx="144">
                  <c:v>58.545099999999998</c:v>
                </c:pt>
                <c:pt idx="145">
                  <c:v>58.948500000000003</c:v>
                </c:pt>
                <c:pt idx="146">
                  <c:v>59.356200000000001</c:v>
                </c:pt>
                <c:pt idx="147">
                  <c:v>59.762599999999999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61.433000000000007</c:v>
                </c:pt>
                <c:pt idx="1">
                  <c:v>60.867599999999996</c:v>
                </c:pt>
                <c:pt idx="2">
                  <c:v>60.282899999999998</c:v>
                </c:pt>
                <c:pt idx="3">
                  <c:v>59.647099999999995</c:v>
                </c:pt>
                <c:pt idx="4">
                  <c:v>59.056100000000001</c:v>
                </c:pt>
                <c:pt idx="5">
                  <c:v>58.4758</c:v>
                </c:pt>
                <c:pt idx="6">
                  <c:v>57.9375</c:v>
                </c:pt>
                <c:pt idx="7">
                  <c:v>57.324399999999997</c:v>
                </c:pt>
                <c:pt idx="8">
                  <c:v>56.704600000000006</c:v>
                </c:pt>
                <c:pt idx="9">
                  <c:v>55.9392</c:v>
                </c:pt>
                <c:pt idx="10">
                  <c:v>55.145699999999998</c:v>
                </c:pt>
                <c:pt idx="11">
                  <c:v>54.313699999999997</c:v>
                </c:pt>
                <c:pt idx="12">
                  <c:v>53.511800000000001</c:v>
                </c:pt>
                <c:pt idx="13">
                  <c:v>52.770300000000006</c:v>
                </c:pt>
                <c:pt idx="14">
                  <c:v>52.211399999999998</c:v>
                </c:pt>
                <c:pt idx="15">
                  <c:v>51.716799999999999</c:v>
                </c:pt>
                <c:pt idx="16">
                  <c:v>51.276500000000006</c:v>
                </c:pt>
                <c:pt idx="17">
                  <c:v>50.877399999999994</c:v>
                </c:pt>
                <c:pt idx="18">
                  <c:v>50.528600000000004</c:v>
                </c:pt>
                <c:pt idx="19">
                  <c:v>50.227599999999995</c:v>
                </c:pt>
                <c:pt idx="20">
                  <c:v>49.999500000000005</c:v>
                </c:pt>
                <c:pt idx="21">
                  <c:v>49.839199999999998</c:v>
                </c:pt>
                <c:pt idx="22">
                  <c:v>49.647799999999997</c:v>
                </c:pt>
                <c:pt idx="23">
                  <c:v>49.405000000000001</c:v>
                </c:pt>
                <c:pt idx="24">
                  <c:v>49.152699999999996</c:v>
                </c:pt>
                <c:pt idx="25">
                  <c:v>48.949100000000001</c:v>
                </c:pt>
                <c:pt idx="26">
                  <c:v>48.758899999999997</c:v>
                </c:pt>
                <c:pt idx="27">
                  <c:v>48.621499999999997</c:v>
                </c:pt>
                <c:pt idx="28">
                  <c:v>48.524299999999997</c:v>
                </c:pt>
                <c:pt idx="29">
                  <c:v>48.433700000000002</c:v>
                </c:pt>
                <c:pt idx="30">
                  <c:v>48.345199999999998</c:v>
                </c:pt>
                <c:pt idx="31">
                  <c:v>48.281199999999998</c:v>
                </c:pt>
                <c:pt idx="32">
                  <c:v>48.241399999999999</c:v>
                </c:pt>
                <c:pt idx="33">
                  <c:v>48.211799999999997</c:v>
                </c:pt>
                <c:pt idx="34">
                  <c:v>48.193399999999997</c:v>
                </c:pt>
                <c:pt idx="35">
                  <c:v>48.191499999999998</c:v>
                </c:pt>
                <c:pt idx="36">
                  <c:v>48.281500000000001</c:v>
                </c:pt>
                <c:pt idx="37">
                  <c:v>48.440899999999999</c:v>
                </c:pt>
                <c:pt idx="38">
                  <c:v>48.629600000000003</c:v>
                </c:pt>
                <c:pt idx="39">
                  <c:v>48.772599999999997</c:v>
                </c:pt>
                <c:pt idx="40">
                  <c:v>48.959699999999998</c:v>
                </c:pt>
                <c:pt idx="41">
                  <c:v>49.176600000000001</c:v>
                </c:pt>
                <c:pt idx="42">
                  <c:v>49.4041</c:v>
                </c:pt>
                <c:pt idx="43">
                  <c:v>49.576799999999999</c:v>
                </c:pt>
                <c:pt idx="44">
                  <c:v>49.691000000000003</c:v>
                </c:pt>
                <c:pt idx="45">
                  <c:v>49.734699999999997</c:v>
                </c:pt>
                <c:pt idx="46">
                  <c:v>49.659700000000001</c:v>
                </c:pt>
                <c:pt idx="47">
                  <c:v>49.589100000000002</c:v>
                </c:pt>
                <c:pt idx="48">
                  <c:v>49.515000000000001</c:v>
                </c:pt>
                <c:pt idx="49">
                  <c:v>49.366399999999999</c:v>
                </c:pt>
                <c:pt idx="50">
                  <c:v>49.345599999999997</c:v>
                </c:pt>
                <c:pt idx="51">
                  <c:v>49.106999999999999</c:v>
                </c:pt>
                <c:pt idx="52">
                  <c:v>48.808800000000005</c:v>
                </c:pt>
                <c:pt idx="53">
                  <c:v>48.516100000000002</c:v>
                </c:pt>
                <c:pt idx="54">
                  <c:v>48.282000000000004</c:v>
                </c:pt>
                <c:pt idx="55">
                  <c:v>48.0794</c:v>
                </c:pt>
                <c:pt idx="56">
                  <c:v>47.941800000000001</c:v>
                </c:pt>
                <c:pt idx="57">
                  <c:v>47.891600000000004</c:v>
                </c:pt>
                <c:pt idx="58">
                  <c:v>47.883800000000001</c:v>
                </c:pt>
                <c:pt idx="59">
                  <c:v>47.924700000000001</c:v>
                </c:pt>
                <c:pt idx="60">
                  <c:v>48.011700000000005</c:v>
                </c:pt>
                <c:pt idx="61">
                  <c:v>48.092600000000004</c:v>
                </c:pt>
                <c:pt idx="62">
                  <c:v>48.167400000000001</c:v>
                </c:pt>
                <c:pt idx="63">
                  <c:v>48.2712</c:v>
                </c:pt>
                <c:pt idx="64">
                  <c:v>48.421300000000002</c:v>
                </c:pt>
                <c:pt idx="65">
                  <c:v>48.574600000000004</c:v>
                </c:pt>
                <c:pt idx="66">
                  <c:v>48.734000000000002</c:v>
                </c:pt>
                <c:pt idx="67">
                  <c:v>48.8536</c:v>
                </c:pt>
                <c:pt idx="68">
                  <c:v>48.958100000000002</c:v>
                </c:pt>
                <c:pt idx="69">
                  <c:v>49.018000000000001</c:v>
                </c:pt>
                <c:pt idx="70">
                  <c:v>49.056800000000003</c:v>
                </c:pt>
                <c:pt idx="71">
                  <c:v>49.0837</c:v>
                </c:pt>
                <c:pt idx="72">
                  <c:v>49.1389</c:v>
                </c:pt>
                <c:pt idx="73">
                  <c:v>49.215800000000002</c:v>
                </c:pt>
                <c:pt idx="74">
                  <c:v>49.293399999999998</c:v>
                </c:pt>
                <c:pt idx="75">
                  <c:v>49.364699999999999</c:v>
                </c:pt>
                <c:pt idx="76">
                  <c:v>49.4816</c:v>
                </c:pt>
                <c:pt idx="77">
                  <c:v>49.597000000000001</c:v>
                </c:pt>
                <c:pt idx="78">
                  <c:v>49.684800000000003</c:v>
                </c:pt>
                <c:pt idx="79">
                  <c:v>49.776199999999996</c:v>
                </c:pt>
                <c:pt idx="80">
                  <c:v>49.8598</c:v>
                </c:pt>
                <c:pt idx="81">
                  <c:v>49.9009</c:v>
                </c:pt>
                <c:pt idx="82">
                  <c:v>49.896900000000002</c:v>
                </c:pt>
                <c:pt idx="83">
                  <c:v>49.889299999999999</c:v>
                </c:pt>
                <c:pt idx="84">
                  <c:v>49.849800000000002</c:v>
                </c:pt>
                <c:pt idx="85">
                  <c:v>49.816099999999999</c:v>
                </c:pt>
                <c:pt idx="86">
                  <c:v>49.758800000000001</c:v>
                </c:pt>
                <c:pt idx="87">
                  <c:v>49.693199999999997</c:v>
                </c:pt>
                <c:pt idx="88">
                  <c:v>49.607800000000005</c:v>
                </c:pt>
                <c:pt idx="89">
                  <c:v>49.591499999999996</c:v>
                </c:pt>
                <c:pt idx="90">
                  <c:v>49.551200000000001</c:v>
                </c:pt>
                <c:pt idx="91">
                  <c:v>49.502000000000002</c:v>
                </c:pt>
                <c:pt idx="92">
                  <c:v>49.415900000000001</c:v>
                </c:pt>
                <c:pt idx="93">
                  <c:v>49.2973</c:v>
                </c:pt>
                <c:pt idx="94">
                  <c:v>49.192300000000003</c:v>
                </c:pt>
                <c:pt idx="95">
                  <c:v>49.076500000000003</c:v>
                </c:pt>
                <c:pt idx="96">
                  <c:v>48.967399999999998</c:v>
                </c:pt>
                <c:pt idx="97">
                  <c:v>48.838300000000004</c:v>
                </c:pt>
                <c:pt idx="98">
                  <c:v>48.7239</c:v>
                </c:pt>
                <c:pt idx="99">
                  <c:v>48.631799999999998</c:v>
                </c:pt>
                <c:pt idx="100">
                  <c:v>48.513500000000001</c:v>
                </c:pt>
                <c:pt idx="101">
                  <c:v>48.389099999999999</c:v>
                </c:pt>
                <c:pt idx="102">
                  <c:v>48.295100000000005</c:v>
                </c:pt>
                <c:pt idx="103">
                  <c:v>48.229799999999997</c:v>
                </c:pt>
                <c:pt idx="104">
                  <c:v>48.178199999999997</c:v>
                </c:pt>
                <c:pt idx="105">
                  <c:v>48.1524</c:v>
                </c:pt>
                <c:pt idx="106">
                  <c:v>48.128999999999998</c:v>
                </c:pt>
                <c:pt idx="107">
                  <c:v>48.104500000000002</c:v>
                </c:pt>
                <c:pt idx="108">
                  <c:v>48.1</c:v>
                </c:pt>
                <c:pt idx="109">
                  <c:v>48.089799999999997</c:v>
                </c:pt>
                <c:pt idx="110">
                  <c:v>48.023800000000001</c:v>
                </c:pt>
                <c:pt idx="111">
                  <c:v>48.043700000000001</c:v>
                </c:pt>
                <c:pt idx="112">
                  <c:v>48.193100000000001</c:v>
                </c:pt>
                <c:pt idx="113">
                  <c:v>48.239599999999996</c:v>
                </c:pt>
                <c:pt idx="114">
                  <c:v>48.101599999999998</c:v>
                </c:pt>
                <c:pt idx="115">
                  <c:v>47.929899999999996</c:v>
                </c:pt>
                <c:pt idx="116">
                  <c:v>47.715699999999998</c:v>
                </c:pt>
                <c:pt idx="117">
                  <c:v>47.414899999999996</c:v>
                </c:pt>
                <c:pt idx="118">
                  <c:v>47.031500000000001</c:v>
                </c:pt>
                <c:pt idx="119">
                  <c:v>46.7121</c:v>
                </c:pt>
                <c:pt idx="120">
                  <c:v>46.445900000000002</c:v>
                </c:pt>
                <c:pt idx="121">
                  <c:v>46.203400000000002</c:v>
                </c:pt>
                <c:pt idx="122">
                  <c:v>45.972000000000001</c:v>
                </c:pt>
                <c:pt idx="123">
                  <c:v>45.763999999999996</c:v>
                </c:pt>
                <c:pt idx="124">
                  <c:v>45.587600000000002</c:v>
                </c:pt>
                <c:pt idx="125">
                  <c:v>45.3996</c:v>
                </c:pt>
                <c:pt idx="126">
                  <c:v>45.196899999999999</c:v>
                </c:pt>
                <c:pt idx="127">
                  <c:v>44.991999999999997</c:v>
                </c:pt>
                <c:pt idx="128">
                  <c:v>44.790400000000005</c:v>
                </c:pt>
                <c:pt idx="129">
                  <c:v>44.557200000000002</c:v>
                </c:pt>
                <c:pt idx="130">
                  <c:v>44.286900000000003</c:v>
                </c:pt>
                <c:pt idx="131">
                  <c:v>44.020299999999999</c:v>
                </c:pt>
                <c:pt idx="132">
                  <c:v>43.769500000000001</c:v>
                </c:pt>
                <c:pt idx="133">
                  <c:v>43.523299999999999</c:v>
                </c:pt>
                <c:pt idx="134">
                  <c:v>43.268799999999999</c:v>
                </c:pt>
                <c:pt idx="135">
                  <c:v>43.089399999999998</c:v>
                </c:pt>
                <c:pt idx="136">
                  <c:v>42.9041</c:v>
                </c:pt>
                <c:pt idx="137">
                  <c:v>42.731499999999997</c:v>
                </c:pt>
                <c:pt idx="138">
                  <c:v>42.6539</c:v>
                </c:pt>
                <c:pt idx="139">
                  <c:v>42.632300000000001</c:v>
                </c:pt>
                <c:pt idx="140">
                  <c:v>42.610100000000003</c:v>
                </c:pt>
                <c:pt idx="141">
                  <c:v>42.572900000000004</c:v>
                </c:pt>
                <c:pt idx="142">
                  <c:v>42.653300000000002</c:v>
                </c:pt>
                <c:pt idx="143">
                  <c:v>43.0685</c:v>
                </c:pt>
                <c:pt idx="144">
                  <c:v>43.476500000000001</c:v>
                </c:pt>
                <c:pt idx="145">
                  <c:v>43.7926</c:v>
                </c:pt>
                <c:pt idx="146">
                  <c:v>43.861499999999999</c:v>
                </c:pt>
                <c:pt idx="147">
                  <c:v>43.431899999999999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0.38541900000000001</c:v>
                </c:pt>
                <c:pt idx="2">
                  <c:v>0.79323399999999999</c:v>
                </c:pt>
                <c:pt idx="3">
                  <c:v>1.1978899999999999</c:v>
                </c:pt>
                <c:pt idx="4">
                  <c:v>1.6085499999999999</c:v>
                </c:pt>
                <c:pt idx="5">
                  <c:v>2.0146899999999999</c:v>
                </c:pt>
                <c:pt idx="6">
                  <c:v>2.41703</c:v>
                </c:pt>
                <c:pt idx="7">
                  <c:v>2.8219099999999999</c:v>
                </c:pt>
                <c:pt idx="8">
                  <c:v>3.23359</c:v>
                </c:pt>
                <c:pt idx="9">
                  <c:v>3.6398899999999998</c:v>
                </c:pt>
                <c:pt idx="10">
                  <c:v>4.0446999999999997</c:v>
                </c:pt>
                <c:pt idx="11">
                  <c:v>4.4478799999999996</c:v>
                </c:pt>
                <c:pt idx="12">
                  <c:v>4.8555900000000003</c:v>
                </c:pt>
                <c:pt idx="13">
                  <c:v>5.2600600000000002</c:v>
                </c:pt>
                <c:pt idx="14">
                  <c:v>5.6717399999999998</c:v>
                </c:pt>
                <c:pt idx="15">
                  <c:v>6.0767600000000002</c:v>
                </c:pt>
                <c:pt idx="16">
                  <c:v>6.4803699999999997</c:v>
                </c:pt>
                <c:pt idx="17">
                  <c:v>6.8862899999999998</c:v>
                </c:pt>
                <c:pt idx="18">
                  <c:v>7.29453</c:v>
                </c:pt>
                <c:pt idx="19">
                  <c:v>7.7019099999999998</c:v>
                </c:pt>
                <c:pt idx="20">
                  <c:v>8.1084399999999999</c:v>
                </c:pt>
                <c:pt idx="21">
                  <c:v>8.5114199999999993</c:v>
                </c:pt>
                <c:pt idx="22">
                  <c:v>8.9177099999999996</c:v>
                </c:pt>
                <c:pt idx="23">
                  <c:v>9.3263999999999996</c:v>
                </c:pt>
                <c:pt idx="24">
                  <c:v>9.7342099999999991</c:v>
                </c:pt>
                <c:pt idx="25">
                  <c:v>10.1394</c:v>
                </c:pt>
                <c:pt idx="26">
                  <c:v>10.5456</c:v>
                </c:pt>
                <c:pt idx="27">
                  <c:v>10.9521</c:v>
                </c:pt>
                <c:pt idx="28">
                  <c:v>11.3552</c:v>
                </c:pt>
                <c:pt idx="29">
                  <c:v>11.7654</c:v>
                </c:pt>
                <c:pt idx="30">
                  <c:v>12.174099999999999</c:v>
                </c:pt>
                <c:pt idx="31">
                  <c:v>12.5768</c:v>
                </c:pt>
                <c:pt idx="32">
                  <c:v>12.98</c:v>
                </c:pt>
                <c:pt idx="33">
                  <c:v>13.386699999999999</c:v>
                </c:pt>
                <c:pt idx="34">
                  <c:v>13.794600000000001</c:v>
                </c:pt>
                <c:pt idx="35">
                  <c:v>14.2004</c:v>
                </c:pt>
                <c:pt idx="36">
                  <c:v>14.6073</c:v>
                </c:pt>
                <c:pt idx="37">
                  <c:v>15.010999999999999</c:v>
                </c:pt>
                <c:pt idx="38">
                  <c:v>15.4209</c:v>
                </c:pt>
                <c:pt idx="39">
                  <c:v>15.823399999999999</c:v>
                </c:pt>
                <c:pt idx="40">
                  <c:v>16.234999999999999</c:v>
                </c:pt>
                <c:pt idx="41">
                  <c:v>16.6371</c:v>
                </c:pt>
                <c:pt idx="42">
                  <c:v>17.0425</c:v>
                </c:pt>
                <c:pt idx="43">
                  <c:v>17.450700000000001</c:v>
                </c:pt>
                <c:pt idx="44">
                  <c:v>17.854399999999998</c:v>
                </c:pt>
                <c:pt idx="45">
                  <c:v>18.266100000000002</c:v>
                </c:pt>
                <c:pt idx="46">
                  <c:v>18.6694</c:v>
                </c:pt>
                <c:pt idx="47">
                  <c:v>19.072800000000001</c:v>
                </c:pt>
                <c:pt idx="48">
                  <c:v>19.478300000000001</c:v>
                </c:pt>
                <c:pt idx="49">
                  <c:v>19.887</c:v>
                </c:pt>
                <c:pt idx="50">
                  <c:v>20.295200000000001</c:v>
                </c:pt>
                <c:pt idx="51">
                  <c:v>20.702300000000001</c:v>
                </c:pt>
                <c:pt idx="52">
                  <c:v>21.106400000000001</c:v>
                </c:pt>
                <c:pt idx="53">
                  <c:v>21.516500000000001</c:v>
                </c:pt>
                <c:pt idx="54">
                  <c:v>21.919599999999999</c:v>
                </c:pt>
                <c:pt idx="55">
                  <c:v>22.3215</c:v>
                </c:pt>
                <c:pt idx="56">
                  <c:v>22.728300000000001</c:v>
                </c:pt>
                <c:pt idx="57">
                  <c:v>23.1404</c:v>
                </c:pt>
                <c:pt idx="58">
                  <c:v>23.546500000000002</c:v>
                </c:pt>
                <c:pt idx="59">
                  <c:v>23.9511</c:v>
                </c:pt>
                <c:pt idx="60">
                  <c:v>24.3537</c:v>
                </c:pt>
                <c:pt idx="61">
                  <c:v>24.7636</c:v>
                </c:pt>
                <c:pt idx="62">
                  <c:v>25.1708</c:v>
                </c:pt>
                <c:pt idx="63">
                  <c:v>25.578199999999999</c:v>
                </c:pt>
                <c:pt idx="64">
                  <c:v>25.980799999999999</c:v>
                </c:pt>
                <c:pt idx="65">
                  <c:v>26.3889</c:v>
                </c:pt>
                <c:pt idx="66">
                  <c:v>26.792899999999999</c:v>
                </c:pt>
                <c:pt idx="67">
                  <c:v>27.200299999999999</c:v>
                </c:pt>
                <c:pt idx="68">
                  <c:v>27.604900000000001</c:v>
                </c:pt>
                <c:pt idx="69">
                  <c:v>28.010999999999999</c:v>
                </c:pt>
                <c:pt idx="70">
                  <c:v>28.417000000000002</c:v>
                </c:pt>
                <c:pt idx="71">
                  <c:v>28.822700000000001</c:v>
                </c:pt>
                <c:pt idx="72">
                  <c:v>29.228899999999999</c:v>
                </c:pt>
                <c:pt idx="73">
                  <c:v>29.639099999999999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61.433000000000007</c:v>
                </c:pt>
                <c:pt idx="1">
                  <c:v>60.867599999999996</c:v>
                </c:pt>
                <c:pt idx="2">
                  <c:v>60.282899999999998</c:v>
                </c:pt>
                <c:pt idx="3">
                  <c:v>59.647099999999995</c:v>
                </c:pt>
                <c:pt idx="4">
                  <c:v>59.056100000000001</c:v>
                </c:pt>
                <c:pt idx="5">
                  <c:v>58.4758</c:v>
                </c:pt>
                <c:pt idx="6">
                  <c:v>57.9375</c:v>
                </c:pt>
                <c:pt idx="7">
                  <c:v>57.324399999999997</c:v>
                </c:pt>
                <c:pt idx="8">
                  <c:v>56.704600000000006</c:v>
                </c:pt>
                <c:pt idx="9">
                  <c:v>55.9392</c:v>
                </c:pt>
                <c:pt idx="10">
                  <c:v>55.145699999999998</c:v>
                </c:pt>
                <c:pt idx="11">
                  <c:v>54.313699999999997</c:v>
                </c:pt>
                <c:pt idx="12">
                  <c:v>53.511800000000001</c:v>
                </c:pt>
                <c:pt idx="13">
                  <c:v>52.770300000000006</c:v>
                </c:pt>
                <c:pt idx="14">
                  <c:v>52.211399999999998</c:v>
                </c:pt>
                <c:pt idx="15">
                  <c:v>51.716799999999999</c:v>
                </c:pt>
                <c:pt idx="16">
                  <c:v>51.276500000000006</c:v>
                </c:pt>
                <c:pt idx="17">
                  <c:v>50.877399999999994</c:v>
                </c:pt>
                <c:pt idx="18">
                  <c:v>50.528600000000004</c:v>
                </c:pt>
                <c:pt idx="19">
                  <c:v>50.227599999999995</c:v>
                </c:pt>
                <c:pt idx="20">
                  <c:v>49.999500000000005</c:v>
                </c:pt>
                <c:pt idx="21">
                  <c:v>49.839199999999998</c:v>
                </c:pt>
                <c:pt idx="22">
                  <c:v>49.647799999999997</c:v>
                </c:pt>
                <c:pt idx="23">
                  <c:v>49.405000000000001</c:v>
                </c:pt>
                <c:pt idx="24">
                  <c:v>49.152699999999996</c:v>
                </c:pt>
                <c:pt idx="25">
                  <c:v>48.949100000000001</c:v>
                </c:pt>
                <c:pt idx="26">
                  <c:v>48.758899999999997</c:v>
                </c:pt>
                <c:pt idx="27">
                  <c:v>48.621499999999997</c:v>
                </c:pt>
                <c:pt idx="28">
                  <c:v>48.524299999999997</c:v>
                </c:pt>
                <c:pt idx="29">
                  <c:v>48.433700000000002</c:v>
                </c:pt>
                <c:pt idx="30">
                  <c:v>48.345199999999998</c:v>
                </c:pt>
                <c:pt idx="31">
                  <c:v>48.281199999999998</c:v>
                </c:pt>
                <c:pt idx="32">
                  <c:v>48.241399999999999</c:v>
                </c:pt>
                <c:pt idx="33">
                  <c:v>48.211799999999997</c:v>
                </c:pt>
                <c:pt idx="34">
                  <c:v>48.193399999999997</c:v>
                </c:pt>
                <c:pt idx="35">
                  <c:v>48.191499999999998</c:v>
                </c:pt>
                <c:pt idx="36">
                  <c:v>48.281500000000001</c:v>
                </c:pt>
                <c:pt idx="37">
                  <c:v>48.440899999999999</c:v>
                </c:pt>
                <c:pt idx="38">
                  <c:v>48.629600000000003</c:v>
                </c:pt>
                <c:pt idx="39">
                  <c:v>48.772599999999997</c:v>
                </c:pt>
                <c:pt idx="40">
                  <c:v>48.959699999999998</c:v>
                </c:pt>
                <c:pt idx="41">
                  <c:v>49.176600000000001</c:v>
                </c:pt>
                <c:pt idx="42">
                  <c:v>49.4041</c:v>
                </c:pt>
                <c:pt idx="43">
                  <c:v>49.576799999999999</c:v>
                </c:pt>
                <c:pt idx="44">
                  <c:v>49.691000000000003</c:v>
                </c:pt>
                <c:pt idx="45">
                  <c:v>49.734699999999997</c:v>
                </c:pt>
                <c:pt idx="46">
                  <c:v>49.659700000000001</c:v>
                </c:pt>
                <c:pt idx="47">
                  <c:v>49.589100000000002</c:v>
                </c:pt>
                <c:pt idx="48">
                  <c:v>49.515000000000001</c:v>
                </c:pt>
                <c:pt idx="49">
                  <c:v>49.366399999999999</c:v>
                </c:pt>
                <c:pt idx="50">
                  <c:v>49.345599999999997</c:v>
                </c:pt>
                <c:pt idx="51">
                  <c:v>49.106999999999999</c:v>
                </c:pt>
                <c:pt idx="52">
                  <c:v>48.808800000000005</c:v>
                </c:pt>
                <c:pt idx="53">
                  <c:v>48.516100000000002</c:v>
                </c:pt>
                <c:pt idx="54">
                  <c:v>48.282000000000004</c:v>
                </c:pt>
                <c:pt idx="55">
                  <c:v>48.0794</c:v>
                </c:pt>
                <c:pt idx="56">
                  <c:v>47.941800000000001</c:v>
                </c:pt>
                <c:pt idx="57">
                  <c:v>47.891600000000004</c:v>
                </c:pt>
                <c:pt idx="58">
                  <c:v>47.883800000000001</c:v>
                </c:pt>
                <c:pt idx="59">
                  <c:v>47.924700000000001</c:v>
                </c:pt>
                <c:pt idx="60">
                  <c:v>48.011700000000005</c:v>
                </c:pt>
                <c:pt idx="61">
                  <c:v>48.092600000000004</c:v>
                </c:pt>
                <c:pt idx="62">
                  <c:v>48.167400000000001</c:v>
                </c:pt>
                <c:pt idx="63">
                  <c:v>48.2712</c:v>
                </c:pt>
                <c:pt idx="64">
                  <c:v>48.421300000000002</c:v>
                </c:pt>
                <c:pt idx="65">
                  <c:v>48.574600000000004</c:v>
                </c:pt>
                <c:pt idx="66">
                  <c:v>48.734000000000002</c:v>
                </c:pt>
                <c:pt idx="67">
                  <c:v>48.8536</c:v>
                </c:pt>
                <c:pt idx="68">
                  <c:v>48.958100000000002</c:v>
                </c:pt>
                <c:pt idx="69">
                  <c:v>49.018000000000001</c:v>
                </c:pt>
                <c:pt idx="70">
                  <c:v>49.056800000000003</c:v>
                </c:pt>
                <c:pt idx="71">
                  <c:v>49.0837</c:v>
                </c:pt>
                <c:pt idx="72">
                  <c:v>49.1389</c:v>
                </c:pt>
                <c:pt idx="73">
                  <c:v>49.215800000000002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29.639099999999999</c:v>
                </c:pt>
                <c:pt idx="1">
                  <c:v>30.044699999999999</c:v>
                </c:pt>
                <c:pt idx="2">
                  <c:v>30.638300000000001</c:v>
                </c:pt>
                <c:pt idx="3">
                  <c:v>31.009899999999998</c:v>
                </c:pt>
                <c:pt idx="4">
                  <c:v>31.386600000000001</c:v>
                </c:pt>
                <c:pt idx="5">
                  <c:v>31.762</c:v>
                </c:pt>
                <c:pt idx="6">
                  <c:v>32.140700000000002</c:v>
                </c:pt>
                <c:pt idx="7">
                  <c:v>32.543500000000002</c:v>
                </c:pt>
                <c:pt idx="8">
                  <c:v>32.948799999999999</c:v>
                </c:pt>
                <c:pt idx="9">
                  <c:v>33.354999999999997</c:v>
                </c:pt>
                <c:pt idx="10">
                  <c:v>33.763100000000001</c:v>
                </c:pt>
                <c:pt idx="11">
                  <c:v>34.171999999999997</c:v>
                </c:pt>
                <c:pt idx="12">
                  <c:v>34.575699999999998</c:v>
                </c:pt>
                <c:pt idx="13">
                  <c:v>34.980800000000002</c:v>
                </c:pt>
                <c:pt idx="14">
                  <c:v>35.387300000000003</c:v>
                </c:pt>
                <c:pt idx="15">
                  <c:v>35.7973</c:v>
                </c:pt>
                <c:pt idx="16">
                  <c:v>36.198300000000003</c:v>
                </c:pt>
                <c:pt idx="17">
                  <c:v>36.606400000000001</c:v>
                </c:pt>
                <c:pt idx="18">
                  <c:v>37.0105</c:v>
                </c:pt>
                <c:pt idx="19">
                  <c:v>37.4161</c:v>
                </c:pt>
                <c:pt idx="20">
                  <c:v>37.8232</c:v>
                </c:pt>
                <c:pt idx="21">
                  <c:v>38.232300000000002</c:v>
                </c:pt>
                <c:pt idx="22">
                  <c:v>38.638599999999997</c:v>
                </c:pt>
                <c:pt idx="23">
                  <c:v>39.043300000000002</c:v>
                </c:pt>
                <c:pt idx="24">
                  <c:v>39.447800000000001</c:v>
                </c:pt>
                <c:pt idx="25">
                  <c:v>39.857199999999999</c:v>
                </c:pt>
                <c:pt idx="26">
                  <c:v>40.262999999999998</c:v>
                </c:pt>
                <c:pt idx="27">
                  <c:v>40.6706</c:v>
                </c:pt>
                <c:pt idx="28">
                  <c:v>41.074199999999998</c:v>
                </c:pt>
                <c:pt idx="29">
                  <c:v>41.479799999999997</c:v>
                </c:pt>
                <c:pt idx="30">
                  <c:v>41.8857</c:v>
                </c:pt>
                <c:pt idx="31">
                  <c:v>42.293599999999998</c:v>
                </c:pt>
                <c:pt idx="32">
                  <c:v>42.698700000000002</c:v>
                </c:pt>
                <c:pt idx="33">
                  <c:v>43.105200000000004</c:v>
                </c:pt>
                <c:pt idx="34">
                  <c:v>43.516300000000001</c:v>
                </c:pt>
                <c:pt idx="35">
                  <c:v>43.918900000000001</c:v>
                </c:pt>
                <c:pt idx="36">
                  <c:v>44.325299999999999</c:v>
                </c:pt>
                <c:pt idx="37">
                  <c:v>44.731200000000001</c:v>
                </c:pt>
                <c:pt idx="38">
                  <c:v>45.134799999999998</c:v>
                </c:pt>
                <c:pt idx="39">
                  <c:v>45.544600000000003</c:v>
                </c:pt>
                <c:pt idx="40">
                  <c:v>45.951900000000002</c:v>
                </c:pt>
                <c:pt idx="41">
                  <c:v>46.3536</c:v>
                </c:pt>
                <c:pt idx="42">
                  <c:v>46.761400000000002</c:v>
                </c:pt>
                <c:pt idx="43">
                  <c:v>47.168500000000002</c:v>
                </c:pt>
                <c:pt idx="44">
                  <c:v>47.573700000000002</c:v>
                </c:pt>
                <c:pt idx="45">
                  <c:v>47.984900000000003</c:v>
                </c:pt>
                <c:pt idx="46">
                  <c:v>48.385800000000003</c:v>
                </c:pt>
                <c:pt idx="47">
                  <c:v>48.791699999999999</c:v>
                </c:pt>
                <c:pt idx="48">
                  <c:v>49.201500000000003</c:v>
                </c:pt>
                <c:pt idx="49">
                  <c:v>49.607999999999997</c:v>
                </c:pt>
                <c:pt idx="50">
                  <c:v>50.012900000000002</c:v>
                </c:pt>
                <c:pt idx="51">
                  <c:v>50.418700000000001</c:v>
                </c:pt>
                <c:pt idx="52">
                  <c:v>50.8245</c:v>
                </c:pt>
                <c:pt idx="53">
                  <c:v>51.234000000000002</c:v>
                </c:pt>
                <c:pt idx="54">
                  <c:v>51.637900000000002</c:v>
                </c:pt>
                <c:pt idx="55">
                  <c:v>52.045000000000002</c:v>
                </c:pt>
                <c:pt idx="56">
                  <c:v>52.4482</c:v>
                </c:pt>
                <c:pt idx="57">
                  <c:v>52.856499999999997</c:v>
                </c:pt>
                <c:pt idx="58">
                  <c:v>53.261699999999998</c:v>
                </c:pt>
                <c:pt idx="59">
                  <c:v>53.671900000000001</c:v>
                </c:pt>
                <c:pt idx="60">
                  <c:v>54.077500000000001</c:v>
                </c:pt>
                <c:pt idx="61">
                  <c:v>54.480800000000002</c:v>
                </c:pt>
                <c:pt idx="62">
                  <c:v>54.8874</c:v>
                </c:pt>
                <c:pt idx="63">
                  <c:v>55.296399999999998</c:v>
                </c:pt>
                <c:pt idx="64">
                  <c:v>55.700899999999997</c:v>
                </c:pt>
                <c:pt idx="65">
                  <c:v>56.107100000000003</c:v>
                </c:pt>
                <c:pt idx="66">
                  <c:v>56.511299999999999</c:v>
                </c:pt>
                <c:pt idx="67">
                  <c:v>56.916600000000003</c:v>
                </c:pt>
                <c:pt idx="68">
                  <c:v>57.329599999999999</c:v>
                </c:pt>
                <c:pt idx="69">
                  <c:v>57.734299999999998</c:v>
                </c:pt>
                <c:pt idx="70">
                  <c:v>58.140500000000003</c:v>
                </c:pt>
                <c:pt idx="71">
                  <c:v>58.545099999999998</c:v>
                </c:pt>
                <c:pt idx="72">
                  <c:v>58.948500000000003</c:v>
                </c:pt>
                <c:pt idx="73">
                  <c:v>59.356200000000001</c:v>
                </c:pt>
                <c:pt idx="74">
                  <c:v>59.762599999999999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49.215800000000002</c:v>
                </c:pt>
                <c:pt idx="1">
                  <c:v>49.293399999999998</c:v>
                </c:pt>
                <c:pt idx="2">
                  <c:v>49.364699999999999</c:v>
                </c:pt>
                <c:pt idx="3">
                  <c:v>49.4816</c:v>
                </c:pt>
                <c:pt idx="4">
                  <c:v>49.597000000000001</c:v>
                </c:pt>
                <c:pt idx="5">
                  <c:v>49.684800000000003</c:v>
                </c:pt>
                <c:pt idx="6">
                  <c:v>49.776199999999996</c:v>
                </c:pt>
                <c:pt idx="7">
                  <c:v>49.8598</c:v>
                </c:pt>
                <c:pt idx="8">
                  <c:v>49.9009</c:v>
                </c:pt>
                <c:pt idx="9">
                  <c:v>49.896900000000002</c:v>
                </c:pt>
                <c:pt idx="10">
                  <c:v>49.889299999999999</c:v>
                </c:pt>
                <c:pt idx="11">
                  <c:v>49.849800000000002</c:v>
                </c:pt>
                <c:pt idx="12">
                  <c:v>49.816099999999999</c:v>
                </c:pt>
                <c:pt idx="13">
                  <c:v>49.758800000000001</c:v>
                </c:pt>
                <c:pt idx="14">
                  <c:v>49.693199999999997</c:v>
                </c:pt>
                <c:pt idx="15">
                  <c:v>49.607800000000005</c:v>
                </c:pt>
                <c:pt idx="16">
                  <c:v>49.591499999999996</c:v>
                </c:pt>
                <c:pt idx="17">
                  <c:v>49.551200000000001</c:v>
                </c:pt>
                <c:pt idx="18">
                  <c:v>49.502000000000002</c:v>
                </c:pt>
                <c:pt idx="19">
                  <c:v>49.415900000000001</c:v>
                </c:pt>
                <c:pt idx="20">
                  <c:v>49.2973</c:v>
                </c:pt>
                <c:pt idx="21">
                  <c:v>49.192300000000003</c:v>
                </c:pt>
                <c:pt idx="22">
                  <c:v>49.076500000000003</c:v>
                </c:pt>
                <c:pt idx="23">
                  <c:v>48.967399999999998</c:v>
                </c:pt>
                <c:pt idx="24">
                  <c:v>48.838300000000004</c:v>
                </c:pt>
                <c:pt idx="25">
                  <c:v>48.7239</c:v>
                </c:pt>
                <c:pt idx="26">
                  <c:v>48.631799999999998</c:v>
                </c:pt>
                <c:pt idx="27">
                  <c:v>48.513500000000001</c:v>
                </c:pt>
                <c:pt idx="28">
                  <c:v>48.389099999999999</c:v>
                </c:pt>
                <c:pt idx="29">
                  <c:v>48.295100000000005</c:v>
                </c:pt>
                <c:pt idx="30">
                  <c:v>48.229799999999997</c:v>
                </c:pt>
                <c:pt idx="31">
                  <c:v>48.178199999999997</c:v>
                </c:pt>
                <c:pt idx="32">
                  <c:v>48.1524</c:v>
                </c:pt>
                <c:pt idx="33">
                  <c:v>48.128999999999998</c:v>
                </c:pt>
                <c:pt idx="34">
                  <c:v>48.104500000000002</c:v>
                </c:pt>
                <c:pt idx="35">
                  <c:v>48.1</c:v>
                </c:pt>
                <c:pt idx="36">
                  <c:v>48.089799999999997</c:v>
                </c:pt>
                <c:pt idx="37">
                  <c:v>48.023800000000001</c:v>
                </c:pt>
                <c:pt idx="38">
                  <c:v>48.043700000000001</c:v>
                </c:pt>
                <c:pt idx="39">
                  <c:v>48.193100000000001</c:v>
                </c:pt>
                <c:pt idx="40">
                  <c:v>48.239599999999996</c:v>
                </c:pt>
                <c:pt idx="41">
                  <c:v>48.101599999999998</c:v>
                </c:pt>
                <c:pt idx="42">
                  <c:v>47.929899999999996</c:v>
                </c:pt>
                <c:pt idx="43">
                  <c:v>47.715699999999998</c:v>
                </c:pt>
                <c:pt idx="44">
                  <c:v>47.414899999999996</c:v>
                </c:pt>
                <c:pt idx="45">
                  <c:v>47.031500000000001</c:v>
                </c:pt>
                <c:pt idx="46">
                  <c:v>46.7121</c:v>
                </c:pt>
                <c:pt idx="47">
                  <c:v>46.445900000000002</c:v>
                </c:pt>
                <c:pt idx="48">
                  <c:v>46.203400000000002</c:v>
                </c:pt>
                <c:pt idx="49">
                  <c:v>45.972000000000001</c:v>
                </c:pt>
                <c:pt idx="50">
                  <c:v>45.763999999999996</c:v>
                </c:pt>
                <c:pt idx="51">
                  <c:v>45.587600000000002</c:v>
                </c:pt>
                <c:pt idx="52">
                  <c:v>45.3996</c:v>
                </c:pt>
                <c:pt idx="53">
                  <c:v>45.196899999999999</c:v>
                </c:pt>
                <c:pt idx="54">
                  <c:v>44.991999999999997</c:v>
                </c:pt>
                <c:pt idx="55">
                  <c:v>44.790400000000005</c:v>
                </c:pt>
                <c:pt idx="56">
                  <c:v>44.557200000000002</c:v>
                </c:pt>
                <c:pt idx="57">
                  <c:v>44.286900000000003</c:v>
                </c:pt>
                <c:pt idx="58">
                  <c:v>44.020299999999999</c:v>
                </c:pt>
                <c:pt idx="59">
                  <c:v>43.769500000000001</c:v>
                </c:pt>
                <c:pt idx="60">
                  <c:v>43.523299999999999</c:v>
                </c:pt>
                <c:pt idx="61">
                  <c:v>43.268799999999999</c:v>
                </c:pt>
                <c:pt idx="62">
                  <c:v>43.089399999999998</c:v>
                </c:pt>
                <c:pt idx="63">
                  <c:v>42.9041</c:v>
                </c:pt>
                <c:pt idx="64">
                  <c:v>42.731499999999997</c:v>
                </c:pt>
                <c:pt idx="65">
                  <c:v>42.6539</c:v>
                </c:pt>
                <c:pt idx="66">
                  <c:v>42.632300000000001</c:v>
                </c:pt>
                <c:pt idx="67">
                  <c:v>42.610100000000003</c:v>
                </c:pt>
                <c:pt idx="68">
                  <c:v>42.572900000000004</c:v>
                </c:pt>
                <c:pt idx="69">
                  <c:v>42.653300000000002</c:v>
                </c:pt>
                <c:pt idx="70">
                  <c:v>43.0685</c:v>
                </c:pt>
                <c:pt idx="71">
                  <c:v>43.476500000000001</c:v>
                </c:pt>
                <c:pt idx="72">
                  <c:v>43.7926</c:v>
                </c:pt>
                <c:pt idx="73">
                  <c:v>43.861499999999999</c:v>
                </c:pt>
                <c:pt idx="74">
                  <c:v>43.431899999999999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14.94065</c:v>
                </c:pt>
                <c:pt idx="1">
                  <c:v>44.821950000000001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50.611086486486492</c:v>
                </c:pt>
                <c:pt idx="1">
                  <c:v>47.014891891891885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2.4576199999999999</c:v>
                </c:pt>
                <c:pt idx="1">
                  <c:v>2.52074</c:v>
                </c:pt>
                <c:pt idx="2">
                  <c:v>2.5822000000000003</c:v>
                </c:pt>
                <c:pt idx="3">
                  <c:v>2.6420500000000002</c:v>
                </c:pt>
                <c:pt idx="4">
                  <c:v>2.7014199999999997</c:v>
                </c:pt>
                <c:pt idx="5">
                  <c:v>2.7597500000000004</c:v>
                </c:pt>
                <c:pt idx="6">
                  <c:v>2.8174100000000002</c:v>
                </c:pt>
                <c:pt idx="7">
                  <c:v>2.8734900000000003</c:v>
                </c:pt>
                <c:pt idx="8">
                  <c:v>2.9288500000000002</c:v>
                </c:pt>
                <c:pt idx="9">
                  <c:v>2.9840599999999999</c:v>
                </c:pt>
                <c:pt idx="10">
                  <c:v>3.0392999999999999</c:v>
                </c:pt>
                <c:pt idx="11">
                  <c:v>3.0933600000000001</c:v>
                </c:pt>
                <c:pt idx="12">
                  <c:v>3.14697</c:v>
                </c:pt>
                <c:pt idx="13">
                  <c:v>3.1993800000000001</c:v>
                </c:pt>
                <c:pt idx="14">
                  <c:v>3.2488200000000003</c:v>
                </c:pt>
                <c:pt idx="15">
                  <c:v>3.2941599999999998</c:v>
                </c:pt>
                <c:pt idx="16">
                  <c:v>3.33439</c:v>
                </c:pt>
                <c:pt idx="17">
                  <c:v>3.3710899999999997</c:v>
                </c:pt>
                <c:pt idx="18">
                  <c:v>3.4051900000000002</c:v>
                </c:pt>
                <c:pt idx="19">
                  <c:v>3.4372000000000003</c:v>
                </c:pt>
                <c:pt idx="20">
                  <c:v>3.4665900000000001</c:v>
                </c:pt>
                <c:pt idx="21">
                  <c:v>3.4939499999999999</c:v>
                </c:pt>
                <c:pt idx="22">
                  <c:v>3.5199699999999998</c:v>
                </c:pt>
                <c:pt idx="23">
                  <c:v>3.5431900000000001</c:v>
                </c:pt>
                <c:pt idx="24">
                  <c:v>3.5683500000000001</c:v>
                </c:pt>
                <c:pt idx="25">
                  <c:v>3.5914200000000003</c:v>
                </c:pt>
                <c:pt idx="26">
                  <c:v>3.61029</c:v>
                </c:pt>
                <c:pt idx="27">
                  <c:v>3.62296</c:v>
                </c:pt>
                <c:pt idx="28">
                  <c:v>3.63103</c:v>
                </c:pt>
                <c:pt idx="29">
                  <c:v>3.6370499999999999</c:v>
                </c:pt>
                <c:pt idx="30">
                  <c:v>3.6405599999999998</c:v>
                </c:pt>
                <c:pt idx="31">
                  <c:v>3.6423699999999997</c:v>
                </c:pt>
                <c:pt idx="32">
                  <c:v>3.6416399999999998</c:v>
                </c:pt>
                <c:pt idx="33">
                  <c:v>3.6396699999999997</c:v>
                </c:pt>
                <c:pt idx="34">
                  <c:v>3.6356100000000002</c:v>
                </c:pt>
                <c:pt idx="35">
                  <c:v>3.6303299999999998</c:v>
                </c:pt>
                <c:pt idx="36">
                  <c:v>3.6220799999999995</c:v>
                </c:pt>
                <c:pt idx="37">
                  <c:v>3.6111</c:v>
                </c:pt>
                <c:pt idx="38">
                  <c:v>3.6001100000000004</c:v>
                </c:pt>
                <c:pt idx="39">
                  <c:v>3.59334</c:v>
                </c:pt>
                <c:pt idx="40">
                  <c:v>3.5872199999999999</c:v>
                </c:pt>
                <c:pt idx="41">
                  <c:v>3.5820000000000003</c:v>
                </c:pt>
                <c:pt idx="42">
                  <c:v>3.5800900000000002</c:v>
                </c:pt>
                <c:pt idx="43">
                  <c:v>3.5820499999999997</c:v>
                </c:pt>
                <c:pt idx="44">
                  <c:v>3.5865499999999999</c:v>
                </c:pt>
                <c:pt idx="45">
                  <c:v>3.5952600000000001</c:v>
                </c:pt>
                <c:pt idx="46">
                  <c:v>3.609</c:v>
                </c:pt>
                <c:pt idx="47">
                  <c:v>3.6235400000000002</c:v>
                </c:pt>
                <c:pt idx="48">
                  <c:v>3.6365599999999998</c:v>
                </c:pt>
                <c:pt idx="49">
                  <c:v>3.64846</c:v>
                </c:pt>
                <c:pt idx="50">
                  <c:v>3.6522199999999998</c:v>
                </c:pt>
                <c:pt idx="51">
                  <c:v>3.66689</c:v>
                </c:pt>
                <c:pt idx="52">
                  <c:v>3.68858</c:v>
                </c:pt>
                <c:pt idx="53">
                  <c:v>3.7134099999999997</c:v>
                </c:pt>
                <c:pt idx="54">
                  <c:v>3.7364700000000002</c:v>
                </c:pt>
                <c:pt idx="55">
                  <c:v>3.76119</c:v>
                </c:pt>
                <c:pt idx="56">
                  <c:v>3.7854999999999999</c:v>
                </c:pt>
                <c:pt idx="57">
                  <c:v>3.8102100000000001</c:v>
                </c:pt>
                <c:pt idx="58">
                  <c:v>3.8348</c:v>
                </c:pt>
                <c:pt idx="59">
                  <c:v>3.85826</c:v>
                </c:pt>
                <c:pt idx="60">
                  <c:v>3.8828499999999999</c:v>
                </c:pt>
                <c:pt idx="61">
                  <c:v>3.91086</c:v>
                </c:pt>
                <c:pt idx="62">
                  <c:v>3.94028</c:v>
                </c:pt>
                <c:pt idx="63">
                  <c:v>3.9681800000000003</c:v>
                </c:pt>
                <c:pt idx="64">
                  <c:v>3.9916400000000003</c:v>
                </c:pt>
                <c:pt idx="65">
                  <c:v>4.0133999999999999</c:v>
                </c:pt>
                <c:pt idx="66">
                  <c:v>4.0321199999999999</c:v>
                </c:pt>
                <c:pt idx="67">
                  <c:v>4.04582</c:v>
                </c:pt>
                <c:pt idx="68">
                  <c:v>4.05185</c:v>
                </c:pt>
                <c:pt idx="69">
                  <c:v>4.0541400000000003</c:v>
                </c:pt>
                <c:pt idx="70">
                  <c:v>4.0536499999999993</c:v>
                </c:pt>
                <c:pt idx="71">
                  <c:v>4.0486599999999999</c:v>
                </c:pt>
                <c:pt idx="72">
                  <c:v>4.0431099999999995</c:v>
                </c:pt>
                <c:pt idx="73">
                  <c:v>4.0381800000000005</c:v>
                </c:pt>
                <c:pt idx="74">
                  <c:v>4.0283199999999999</c:v>
                </c:pt>
                <c:pt idx="75">
                  <c:v>4.0136500000000002</c:v>
                </c:pt>
                <c:pt idx="76">
                  <c:v>4.0044899999999997</c:v>
                </c:pt>
                <c:pt idx="77">
                  <c:v>3.9939299999999998</c:v>
                </c:pt>
                <c:pt idx="78">
                  <c:v>3.9864100000000002</c:v>
                </c:pt>
                <c:pt idx="79">
                  <c:v>3.9809000000000001</c:v>
                </c:pt>
                <c:pt idx="80">
                  <c:v>3.9758</c:v>
                </c:pt>
                <c:pt idx="81">
                  <c:v>3.9719300000000004</c:v>
                </c:pt>
                <c:pt idx="82">
                  <c:v>3.9674199999999997</c:v>
                </c:pt>
                <c:pt idx="83">
                  <c:v>3.9630000000000001</c:v>
                </c:pt>
                <c:pt idx="84">
                  <c:v>3.9574799999999999</c:v>
                </c:pt>
                <c:pt idx="85">
                  <c:v>3.9479199999999999</c:v>
                </c:pt>
                <c:pt idx="86">
                  <c:v>3.9393699999999998</c:v>
                </c:pt>
                <c:pt idx="87">
                  <c:v>3.9325100000000002</c:v>
                </c:pt>
                <c:pt idx="88">
                  <c:v>3.92536</c:v>
                </c:pt>
                <c:pt idx="89">
                  <c:v>3.9140299999999999</c:v>
                </c:pt>
                <c:pt idx="90">
                  <c:v>3.90367</c:v>
                </c:pt>
                <c:pt idx="91">
                  <c:v>3.89337</c:v>
                </c:pt>
                <c:pt idx="92">
                  <c:v>3.8832699999999996</c:v>
                </c:pt>
                <c:pt idx="93">
                  <c:v>3.8737700000000004</c:v>
                </c:pt>
                <c:pt idx="94">
                  <c:v>3.8633800000000003</c:v>
                </c:pt>
                <c:pt idx="95">
                  <c:v>3.8528800000000003</c:v>
                </c:pt>
                <c:pt idx="96">
                  <c:v>3.8414700000000002</c:v>
                </c:pt>
                <c:pt idx="97">
                  <c:v>3.8270500000000003</c:v>
                </c:pt>
                <c:pt idx="98">
                  <c:v>3.8155299999999999</c:v>
                </c:pt>
                <c:pt idx="99">
                  <c:v>3.8052999999999999</c:v>
                </c:pt>
                <c:pt idx="100">
                  <c:v>3.7922899999999999</c:v>
                </c:pt>
                <c:pt idx="101">
                  <c:v>3.7745600000000001</c:v>
                </c:pt>
                <c:pt idx="102">
                  <c:v>3.7563999999999997</c:v>
                </c:pt>
                <c:pt idx="103">
                  <c:v>3.73732</c:v>
                </c:pt>
                <c:pt idx="104">
                  <c:v>3.7141800000000003</c:v>
                </c:pt>
                <c:pt idx="105">
                  <c:v>3.6905199999999998</c:v>
                </c:pt>
                <c:pt idx="106">
                  <c:v>3.6675499999999999</c:v>
                </c:pt>
                <c:pt idx="107">
                  <c:v>3.6469899999999997</c:v>
                </c:pt>
                <c:pt idx="108">
                  <c:v>3.6274099999999998</c:v>
                </c:pt>
                <c:pt idx="109">
                  <c:v>3.6090400000000002</c:v>
                </c:pt>
                <c:pt idx="110">
                  <c:v>3.5918299999999999</c:v>
                </c:pt>
                <c:pt idx="111">
                  <c:v>3.5708299999999999</c:v>
                </c:pt>
                <c:pt idx="112">
                  <c:v>3.5464000000000002</c:v>
                </c:pt>
                <c:pt idx="113">
                  <c:v>3.5259800000000001</c:v>
                </c:pt>
                <c:pt idx="114">
                  <c:v>3.5120400000000003</c:v>
                </c:pt>
                <c:pt idx="115">
                  <c:v>3.4996999999999998</c:v>
                </c:pt>
                <c:pt idx="116">
                  <c:v>3.4896199999999999</c:v>
                </c:pt>
                <c:pt idx="117">
                  <c:v>3.4843299999999999</c:v>
                </c:pt>
                <c:pt idx="118">
                  <c:v>3.4839399999999996</c:v>
                </c:pt>
                <c:pt idx="119">
                  <c:v>3.4832700000000001</c:v>
                </c:pt>
                <c:pt idx="120">
                  <c:v>3.4824799999999998</c:v>
                </c:pt>
                <c:pt idx="121">
                  <c:v>3.4825499999999998</c:v>
                </c:pt>
                <c:pt idx="122">
                  <c:v>3.4839599999999997</c:v>
                </c:pt>
                <c:pt idx="123">
                  <c:v>3.4864000000000002</c:v>
                </c:pt>
                <c:pt idx="124">
                  <c:v>3.4886499999999998</c:v>
                </c:pt>
                <c:pt idx="125">
                  <c:v>3.4926600000000003</c:v>
                </c:pt>
                <c:pt idx="126">
                  <c:v>3.4995099999999999</c:v>
                </c:pt>
                <c:pt idx="127">
                  <c:v>3.5059100000000001</c:v>
                </c:pt>
                <c:pt idx="128">
                  <c:v>3.5114800000000002</c:v>
                </c:pt>
                <c:pt idx="129">
                  <c:v>3.5196199999999997</c:v>
                </c:pt>
                <c:pt idx="130">
                  <c:v>3.5269400000000002</c:v>
                </c:pt>
                <c:pt idx="131">
                  <c:v>3.5331700000000001</c:v>
                </c:pt>
                <c:pt idx="132">
                  <c:v>3.5365400000000005</c:v>
                </c:pt>
                <c:pt idx="133">
                  <c:v>3.5380799999999999</c:v>
                </c:pt>
                <c:pt idx="134">
                  <c:v>3.5387499999999998</c:v>
                </c:pt>
                <c:pt idx="135">
                  <c:v>3.5382699999999998</c:v>
                </c:pt>
                <c:pt idx="136">
                  <c:v>3.5409000000000002</c:v>
                </c:pt>
                <c:pt idx="137">
                  <c:v>3.5433300000000001</c:v>
                </c:pt>
                <c:pt idx="138">
                  <c:v>3.54209</c:v>
                </c:pt>
                <c:pt idx="139">
                  <c:v>3.5385800000000001</c:v>
                </c:pt>
                <c:pt idx="140">
                  <c:v>3.5341800000000001</c:v>
                </c:pt>
                <c:pt idx="141">
                  <c:v>3.52929</c:v>
                </c:pt>
                <c:pt idx="142">
                  <c:v>3.5208499999999998</c:v>
                </c:pt>
                <c:pt idx="143">
                  <c:v>3.5010699999999999</c:v>
                </c:pt>
                <c:pt idx="144">
                  <c:v>3.4841499999999996</c:v>
                </c:pt>
                <c:pt idx="145">
                  <c:v>3.4705699999999999</c:v>
                </c:pt>
                <c:pt idx="146">
                  <c:v>3.4695199999999997</c:v>
                </c:pt>
                <c:pt idx="147">
                  <c:v>3.48977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61.433000000000007</c:v>
                </c:pt>
                <c:pt idx="1">
                  <c:v>60.867599999999996</c:v>
                </c:pt>
                <c:pt idx="2">
                  <c:v>60.282899999999998</c:v>
                </c:pt>
                <c:pt idx="3">
                  <c:v>59.647099999999995</c:v>
                </c:pt>
                <c:pt idx="4">
                  <c:v>59.056100000000001</c:v>
                </c:pt>
                <c:pt idx="5">
                  <c:v>58.4758</c:v>
                </c:pt>
                <c:pt idx="6">
                  <c:v>57.9375</c:v>
                </c:pt>
                <c:pt idx="7">
                  <c:v>57.324399999999997</c:v>
                </c:pt>
                <c:pt idx="8">
                  <c:v>56.704600000000006</c:v>
                </c:pt>
                <c:pt idx="9">
                  <c:v>55.9392</c:v>
                </c:pt>
                <c:pt idx="10">
                  <c:v>55.145699999999998</c:v>
                </c:pt>
                <c:pt idx="11">
                  <c:v>54.313699999999997</c:v>
                </c:pt>
                <c:pt idx="12">
                  <c:v>53.511800000000001</c:v>
                </c:pt>
                <c:pt idx="13">
                  <c:v>52.770300000000006</c:v>
                </c:pt>
                <c:pt idx="14">
                  <c:v>52.211399999999998</c:v>
                </c:pt>
                <c:pt idx="15">
                  <c:v>51.716799999999999</c:v>
                </c:pt>
                <c:pt idx="16">
                  <c:v>51.276500000000006</c:v>
                </c:pt>
                <c:pt idx="17">
                  <c:v>50.877399999999994</c:v>
                </c:pt>
                <c:pt idx="18">
                  <c:v>50.528600000000004</c:v>
                </c:pt>
                <c:pt idx="19">
                  <c:v>50.227599999999995</c:v>
                </c:pt>
                <c:pt idx="20">
                  <c:v>49.999500000000005</c:v>
                </c:pt>
                <c:pt idx="21">
                  <c:v>49.839199999999998</c:v>
                </c:pt>
                <c:pt idx="22">
                  <c:v>49.647799999999997</c:v>
                </c:pt>
                <c:pt idx="23">
                  <c:v>49.405000000000001</c:v>
                </c:pt>
                <c:pt idx="24">
                  <c:v>49.152699999999996</c:v>
                </c:pt>
                <c:pt idx="25">
                  <c:v>48.949100000000001</c:v>
                </c:pt>
                <c:pt idx="26">
                  <c:v>48.758899999999997</c:v>
                </c:pt>
                <c:pt idx="27">
                  <c:v>48.621499999999997</c:v>
                </c:pt>
                <c:pt idx="28">
                  <c:v>48.524299999999997</c:v>
                </c:pt>
                <c:pt idx="29">
                  <c:v>48.433700000000002</c:v>
                </c:pt>
                <c:pt idx="30">
                  <c:v>48.345199999999998</c:v>
                </c:pt>
                <c:pt idx="31">
                  <c:v>48.281199999999998</c:v>
                </c:pt>
                <c:pt idx="32">
                  <c:v>48.241399999999999</c:v>
                </c:pt>
                <c:pt idx="33">
                  <c:v>48.211799999999997</c:v>
                </c:pt>
                <c:pt idx="34">
                  <c:v>48.193399999999997</c:v>
                </c:pt>
                <c:pt idx="35">
                  <c:v>48.191499999999998</c:v>
                </c:pt>
                <c:pt idx="36">
                  <c:v>48.281500000000001</c:v>
                </c:pt>
                <c:pt idx="37">
                  <c:v>48.440899999999999</c:v>
                </c:pt>
                <c:pt idx="38">
                  <c:v>48.629600000000003</c:v>
                </c:pt>
                <c:pt idx="39">
                  <c:v>48.772599999999997</c:v>
                </c:pt>
                <c:pt idx="40">
                  <c:v>48.959699999999998</c:v>
                </c:pt>
                <c:pt idx="41">
                  <c:v>49.176600000000001</c:v>
                </c:pt>
                <c:pt idx="42">
                  <c:v>49.4041</c:v>
                </c:pt>
                <c:pt idx="43">
                  <c:v>49.576799999999999</c:v>
                </c:pt>
                <c:pt idx="44">
                  <c:v>49.691000000000003</c:v>
                </c:pt>
                <c:pt idx="45">
                  <c:v>49.734699999999997</c:v>
                </c:pt>
                <c:pt idx="46">
                  <c:v>49.659700000000001</c:v>
                </c:pt>
                <c:pt idx="47">
                  <c:v>49.589100000000002</c:v>
                </c:pt>
                <c:pt idx="48">
                  <c:v>49.515000000000001</c:v>
                </c:pt>
                <c:pt idx="49">
                  <c:v>49.366399999999999</c:v>
                </c:pt>
                <c:pt idx="50">
                  <c:v>49.345599999999997</c:v>
                </c:pt>
                <c:pt idx="51">
                  <c:v>49.106999999999999</c:v>
                </c:pt>
                <c:pt idx="52">
                  <c:v>48.808800000000005</c:v>
                </c:pt>
                <c:pt idx="53">
                  <c:v>48.516100000000002</c:v>
                </c:pt>
                <c:pt idx="54">
                  <c:v>48.282000000000004</c:v>
                </c:pt>
                <c:pt idx="55">
                  <c:v>48.0794</c:v>
                </c:pt>
                <c:pt idx="56">
                  <c:v>47.941800000000001</c:v>
                </c:pt>
                <c:pt idx="57">
                  <c:v>47.891600000000004</c:v>
                </c:pt>
                <c:pt idx="58">
                  <c:v>47.883800000000001</c:v>
                </c:pt>
                <c:pt idx="59">
                  <c:v>47.924700000000001</c:v>
                </c:pt>
                <c:pt idx="60">
                  <c:v>48.011700000000005</c:v>
                </c:pt>
                <c:pt idx="61">
                  <c:v>48.092600000000004</c:v>
                </c:pt>
                <c:pt idx="62">
                  <c:v>48.167400000000001</c:v>
                </c:pt>
                <c:pt idx="63">
                  <c:v>48.2712</c:v>
                </c:pt>
                <c:pt idx="64">
                  <c:v>48.421300000000002</c:v>
                </c:pt>
                <c:pt idx="65">
                  <c:v>48.574600000000004</c:v>
                </c:pt>
                <c:pt idx="66">
                  <c:v>48.734000000000002</c:v>
                </c:pt>
                <c:pt idx="67">
                  <c:v>48.8536</c:v>
                </c:pt>
                <c:pt idx="68">
                  <c:v>48.958100000000002</c:v>
                </c:pt>
                <c:pt idx="69">
                  <c:v>49.018000000000001</c:v>
                </c:pt>
                <c:pt idx="70">
                  <c:v>49.056800000000003</c:v>
                </c:pt>
                <c:pt idx="71">
                  <c:v>49.0837</c:v>
                </c:pt>
                <c:pt idx="72">
                  <c:v>49.1389</c:v>
                </c:pt>
                <c:pt idx="73">
                  <c:v>49.215800000000002</c:v>
                </c:pt>
                <c:pt idx="74">
                  <c:v>49.293399999999998</c:v>
                </c:pt>
                <c:pt idx="75">
                  <c:v>49.364699999999999</c:v>
                </c:pt>
                <c:pt idx="76">
                  <c:v>49.4816</c:v>
                </c:pt>
                <c:pt idx="77">
                  <c:v>49.597000000000001</c:v>
                </c:pt>
                <c:pt idx="78">
                  <c:v>49.684800000000003</c:v>
                </c:pt>
                <c:pt idx="79">
                  <c:v>49.776199999999996</c:v>
                </c:pt>
                <c:pt idx="80">
                  <c:v>49.8598</c:v>
                </c:pt>
                <c:pt idx="81">
                  <c:v>49.9009</c:v>
                </c:pt>
                <c:pt idx="82">
                  <c:v>49.896900000000002</c:v>
                </c:pt>
                <c:pt idx="83">
                  <c:v>49.889299999999999</c:v>
                </c:pt>
                <c:pt idx="84">
                  <c:v>49.849800000000002</c:v>
                </c:pt>
                <c:pt idx="85">
                  <c:v>49.816099999999999</c:v>
                </c:pt>
                <c:pt idx="86">
                  <c:v>49.758800000000001</c:v>
                </c:pt>
                <c:pt idx="87">
                  <c:v>49.693199999999997</c:v>
                </c:pt>
                <c:pt idx="88">
                  <c:v>49.607800000000005</c:v>
                </c:pt>
                <c:pt idx="89">
                  <c:v>49.591499999999996</c:v>
                </c:pt>
                <c:pt idx="90">
                  <c:v>49.551200000000001</c:v>
                </c:pt>
                <c:pt idx="91">
                  <c:v>49.502000000000002</c:v>
                </c:pt>
                <c:pt idx="92">
                  <c:v>49.415900000000001</c:v>
                </c:pt>
                <c:pt idx="93">
                  <c:v>49.2973</c:v>
                </c:pt>
                <c:pt idx="94">
                  <c:v>49.192300000000003</c:v>
                </c:pt>
                <c:pt idx="95">
                  <c:v>49.076500000000003</c:v>
                </c:pt>
                <c:pt idx="96">
                  <c:v>48.967399999999998</c:v>
                </c:pt>
                <c:pt idx="97">
                  <c:v>48.838300000000004</c:v>
                </c:pt>
                <c:pt idx="98">
                  <c:v>48.7239</c:v>
                </c:pt>
                <c:pt idx="99">
                  <c:v>48.631799999999998</c:v>
                </c:pt>
                <c:pt idx="100">
                  <c:v>48.513500000000001</c:v>
                </c:pt>
                <c:pt idx="101">
                  <c:v>48.389099999999999</c:v>
                </c:pt>
                <c:pt idx="102">
                  <c:v>48.295100000000005</c:v>
                </c:pt>
                <c:pt idx="103">
                  <c:v>48.229799999999997</c:v>
                </c:pt>
                <c:pt idx="104">
                  <c:v>48.178199999999997</c:v>
                </c:pt>
                <c:pt idx="105">
                  <c:v>48.1524</c:v>
                </c:pt>
                <c:pt idx="106">
                  <c:v>48.128999999999998</c:v>
                </c:pt>
                <c:pt idx="107">
                  <c:v>48.104500000000002</c:v>
                </c:pt>
                <c:pt idx="108">
                  <c:v>48.1</c:v>
                </c:pt>
                <c:pt idx="109">
                  <c:v>48.089799999999997</c:v>
                </c:pt>
                <c:pt idx="110">
                  <c:v>48.023800000000001</c:v>
                </c:pt>
                <c:pt idx="111">
                  <c:v>48.043700000000001</c:v>
                </c:pt>
                <c:pt idx="112">
                  <c:v>48.193100000000001</c:v>
                </c:pt>
                <c:pt idx="113">
                  <c:v>48.239599999999996</c:v>
                </c:pt>
                <c:pt idx="114">
                  <c:v>48.101599999999998</c:v>
                </c:pt>
                <c:pt idx="115">
                  <c:v>47.929899999999996</c:v>
                </c:pt>
                <c:pt idx="116">
                  <c:v>47.715699999999998</c:v>
                </c:pt>
                <c:pt idx="117">
                  <c:v>47.414899999999996</c:v>
                </c:pt>
                <c:pt idx="118">
                  <c:v>47.031500000000001</c:v>
                </c:pt>
                <c:pt idx="119">
                  <c:v>46.7121</c:v>
                </c:pt>
                <c:pt idx="120">
                  <c:v>46.445900000000002</c:v>
                </c:pt>
                <c:pt idx="121">
                  <c:v>46.203400000000002</c:v>
                </c:pt>
                <c:pt idx="122">
                  <c:v>45.972000000000001</c:v>
                </c:pt>
                <c:pt idx="123">
                  <c:v>45.763999999999996</c:v>
                </c:pt>
                <c:pt idx="124">
                  <c:v>45.587600000000002</c:v>
                </c:pt>
                <c:pt idx="125">
                  <c:v>45.3996</c:v>
                </c:pt>
                <c:pt idx="126">
                  <c:v>45.196899999999999</c:v>
                </c:pt>
                <c:pt idx="127">
                  <c:v>44.991999999999997</c:v>
                </c:pt>
                <c:pt idx="128">
                  <c:v>44.790400000000005</c:v>
                </c:pt>
                <c:pt idx="129">
                  <c:v>44.557200000000002</c:v>
                </c:pt>
                <c:pt idx="130">
                  <c:v>44.286900000000003</c:v>
                </c:pt>
                <c:pt idx="131">
                  <c:v>44.020299999999999</c:v>
                </c:pt>
                <c:pt idx="132">
                  <c:v>43.769500000000001</c:v>
                </c:pt>
                <c:pt idx="133">
                  <c:v>43.523299999999999</c:v>
                </c:pt>
                <c:pt idx="134">
                  <c:v>43.268799999999999</c:v>
                </c:pt>
                <c:pt idx="135">
                  <c:v>43.089399999999998</c:v>
                </c:pt>
                <c:pt idx="136">
                  <c:v>42.9041</c:v>
                </c:pt>
                <c:pt idx="137">
                  <c:v>42.731499999999997</c:v>
                </c:pt>
                <c:pt idx="138">
                  <c:v>42.6539</c:v>
                </c:pt>
                <c:pt idx="139">
                  <c:v>42.632300000000001</c:v>
                </c:pt>
                <c:pt idx="140">
                  <c:v>42.610100000000003</c:v>
                </c:pt>
                <c:pt idx="141">
                  <c:v>42.572900000000004</c:v>
                </c:pt>
                <c:pt idx="142">
                  <c:v>42.653300000000002</c:v>
                </c:pt>
                <c:pt idx="143">
                  <c:v>43.0685</c:v>
                </c:pt>
                <c:pt idx="144">
                  <c:v>43.476500000000001</c:v>
                </c:pt>
                <c:pt idx="145">
                  <c:v>43.7926</c:v>
                </c:pt>
                <c:pt idx="146">
                  <c:v>43.861499999999999</c:v>
                </c:pt>
                <c:pt idx="147">
                  <c:v>43.431899999999999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2.4576199999999999</c:v>
                </c:pt>
                <c:pt idx="1">
                  <c:v>2.52074</c:v>
                </c:pt>
                <c:pt idx="2">
                  <c:v>2.5822000000000003</c:v>
                </c:pt>
                <c:pt idx="3">
                  <c:v>2.6420500000000002</c:v>
                </c:pt>
                <c:pt idx="4">
                  <c:v>2.7014199999999997</c:v>
                </c:pt>
                <c:pt idx="5">
                  <c:v>2.7597500000000004</c:v>
                </c:pt>
                <c:pt idx="6">
                  <c:v>2.8174100000000002</c:v>
                </c:pt>
                <c:pt idx="7">
                  <c:v>2.8734900000000003</c:v>
                </c:pt>
                <c:pt idx="8">
                  <c:v>2.9288500000000002</c:v>
                </c:pt>
                <c:pt idx="9">
                  <c:v>2.9840599999999999</c:v>
                </c:pt>
                <c:pt idx="10">
                  <c:v>3.0392999999999999</c:v>
                </c:pt>
                <c:pt idx="11">
                  <c:v>3.0933600000000001</c:v>
                </c:pt>
                <c:pt idx="12">
                  <c:v>3.14697</c:v>
                </c:pt>
                <c:pt idx="13">
                  <c:v>3.1993800000000001</c:v>
                </c:pt>
                <c:pt idx="14">
                  <c:v>3.2488200000000003</c:v>
                </c:pt>
                <c:pt idx="15">
                  <c:v>3.2941599999999998</c:v>
                </c:pt>
                <c:pt idx="16">
                  <c:v>3.33439</c:v>
                </c:pt>
                <c:pt idx="17">
                  <c:v>3.3710899999999997</c:v>
                </c:pt>
                <c:pt idx="18">
                  <c:v>3.4051900000000002</c:v>
                </c:pt>
                <c:pt idx="19">
                  <c:v>3.4372000000000003</c:v>
                </c:pt>
                <c:pt idx="20">
                  <c:v>3.4665900000000001</c:v>
                </c:pt>
                <c:pt idx="21">
                  <c:v>3.4939499999999999</c:v>
                </c:pt>
                <c:pt idx="22">
                  <c:v>3.5199699999999998</c:v>
                </c:pt>
                <c:pt idx="23">
                  <c:v>3.5431900000000001</c:v>
                </c:pt>
                <c:pt idx="24">
                  <c:v>3.5683500000000001</c:v>
                </c:pt>
                <c:pt idx="25">
                  <c:v>3.5914200000000003</c:v>
                </c:pt>
                <c:pt idx="26">
                  <c:v>3.61029</c:v>
                </c:pt>
                <c:pt idx="27">
                  <c:v>3.62296</c:v>
                </c:pt>
                <c:pt idx="28">
                  <c:v>3.63103</c:v>
                </c:pt>
                <c:pt idx="29">
                  <c:v>3.6370499999999999</c:v>
                </c:pt>
                <c:pt idx="30">
                  <c:v>3.6405599999999998</c:v>
                </c:pt>
                <c:pt idx="31">
                  <c:v>3.6423699999999997</c:v>
                </c:pt>
                <c:pt idx="32">
                  <c:v>3.6416399999999998</c:v>
                </c:pt>
                <c:pt idx="33">
                  <c:v>3.6396699999999997</c:v>
                </c:pt>
                <c:pt idx="34">
                  <c:v>3.6356100000000002</c:v>
                </c:pt>
                <c:pt idx="35">
                  <c:v>3.6303299999999998</c:v>
                </c:pt>
                <c:pt idx="36">
                  <c:v>3.6220799999999995</c:v>
                </c:pt>
                <c:pt idx="37">
                  <c:v>3.6111</c:v>
                </c:pt>
                <c:pt idx="38">
                  <c:v>3.6001100000000004</c:v>
                </c:pt>
                <c:pt idx="39">
                  <c:v>3.59334</c:v>
                </c:pt>
                <c:pt idx="40">
                  <c:v>3.5872199999999999</c:v>
                </c:pt>
                <c:pt idx="41">
                  <c:v>3.5820000000000003</c:v>
                </c:pt>
                <c:pt idx="42">
                  <c:v>3.5800900000000002</c:v>
                </c:pt>
                <c:pt idx="43">
                  <c:v>3.5820499999999997</c:v>
                </c:pt>
                <c:pt idx="44">
                  <c:v>3.5865499999999999</c:v>
                </c:pt>
                <c:pt idx="45">
                  <c:v>3.5952600000000001</c:v>
                </c:pt>
                <c:pt idx="46">
                  <c:v>3.609</c:v>
                </c:pt>
                <c:pt idx="47">
                  <c:v>3.6235400000000002</c:v>
                </c:pt>
                <c:pt idx="48">
                  <c:v>3.6365599999999998</c:v>
                </c:pt>
                <c:pt idx="49">
                  <c:v>3.64846</c:v>
                </c:pt>
                <c:pt idx="50">
                  <c:v>3.6522199999999998</c:v>
                </c:pt>
                <c:pt idx="51">
                  <c:v>3.66689</c:v>
                </c:pt>
                <c:pt idx="52">
                  <c:v>3.68858</c:v>
                </c:pt>
                <c:pt idx="53">
                  <c:v>3.7134099999999997</c:v>
                </c:pt>
                <c:pt idx="54">
                  <c:v>3.7364700000000002</c:v>
                </c:pt>
                <c:pt idx="55">
                  <c:v>3.76119</c:v>
                </c:pt>
                <c:pt idx="56">
                  <c:v>3.7854999999999999</c:v>
                </c:pt>
                <c:pt idx="57">
                  <c:v>3.8102100000000001</c:v>
                </c:pt>
                <c:pt idx="58">
                  <c:v>3.8348</c:v>
                </c:pt>
                <c:pt idx="59">
                  <c:v>3.85826</c:v>
                </c:pt>
                <c:pt idx="60">
                  <c:v>3.8828499999999999</c:v>
                </c:pt>
                <c:pt idx="61">
                  <c:v>3.91086</c:v>
                </c:pt>
                <c:pt idx="62">
                  <c:v>3.94028</c:v>
                </c:pt>
                <c:pt idx="63">
                  <c:v>3.9681800000000003</c:v>
                </c:pt>
                <c:pt idx="64">
                  <c:v>3.9916400000000003</c:v>
                </c:pt>
                <c:pt idx="65">
                  <c:v>4.0133999999999999</c:v>
                </c:pt>
                <c:pt idx="66">
                  <c:v>4.0321199999999999</c:v>
                </c:pt>
                <c:pt idx="67">
                  <c:v>4.04582</c:v>
                </c:pt>
                <c:pt idx="68">
                  <c:v>4.05185</c:v>
                </c:pt>
                <c:pt idx="69">
                  <c:v>4.0541400000000003</c:v>
                </c:pt>
                <c:pt idx="70">
                  <c:v>4.0536499999999993</c:v>
                </c:pt>
                <c:pt idx="71">
                  <c:v>4.0486599999999999</c:v>
                </c:pt>
                <c:pt idx="72">
                  <c:v>4.0431099999999995</c:v>
                </c:pt>
                <c:pt idx="73">
                  <c:v>4.0381800000000005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61.433000000000007</c:v>
                </c:pt>
                <c:pt idx="1">
                  <c:v>60.867599999999996</c:v>
                </c:pt>
                <c:pt idx="2">
                  <c:v>60.282899999999998</c:v>
                </c:pt>
                <c:pt idx="3">
                  <c:v>59.647099999999995</c:v>
                </c:pt>
                <c:pt idx="4">
                  <c:v>59.056100000000001</c:v>
                </c:pt>
                <c:pt idx="5">
                  <c:v>58.4758</c:v>
                </c:pt>
                <c:pt idx="6">
                  <c:v>57.9375</c:v>
                </c:pt>
                <c:pt idx="7">
                  <c:v>57.324399999999997</c:v>
                </c:pt>
                <c:pt idx="8">
                  <c:v>56.704600000000006</c:v>
                </c:pt>
                <c:pt idx="9">
                  <c:v>55.9392</c:v>
                </c:pt>
                <c:pt idx="10">
                  <c:v>55.145699999999998</c:v>
                </c:pt>
                <c:pt idx="11">
                  <c:v>54.313699999999997</c:v>
                </c:pt>
                <c:pt idx="12">
                  <c:v>53.511800000000001</c:v>
                </c:pt>
                <c:pt idx="13">
                  <c:v>52.770300000000006</c:v>
                </c:pt>
                <c:pt idx="14">
                  <c:v>52.211399999999998</c:v>
                </c:pt>
                <c:pt idx="15">
                  <c:v>51.716799999999999</c:v>
                </c:pt>
                <c:pt idx="16">
                  <c:v>51.276500000000006</c:v>
                </c:pt>
                <c:pt idx="17">
                  <c:v>50.877399999999994</c:v>
                </c:pt>
                <c:pt idx="18">
                  <c:v>50.528600000000004</c:v>
                </c:pt>
                <c:pt idx="19">
                  <c:v>50.227599999999995</c:v>
                </c:pt>
                <c:pt idx="20">
                  <c:v>49.999500000000005</c:v>
                </c:pt>
                <c:pt idx="21">
                  <c:v>49.839199999999998</c:v>
                </c:pt>
                <c:pt idx="22">
                  <c:v>49.647799999999997</c:v>
                </c:pt>
                <c:pt idx="23">
                  <c:v>49.405000000000001</c:v>
                </c:pt>
                <c:pt idx="24">
                  <c:v>49.152699999999996</c:v>
                </c:pt>
                <c:pt idx="25">
                  <c:v>48.949100000000001</c:v>
                </c:pt>
                <c:pt idx="26">
                  <c:v>48.758899999999997</c:v>
                </c:pt>
                <c:pt idx="27">
                  <c:v>48.621499999999997</c:v>
                </c:pt>
                <c:pt idx="28">
                  <c:v>48.524299999999997</c:v>
                </c:pt>
                <c:pt idx="29">
                  <c:v>48.433700000000002</c:v>
                </c:pt>
                <c:pt idx="30">
                  <c:v>48.345199999999998</c:v>
                </c:pt>
                <c:pt idx="31">
                  <c:v>48.281199999999998</c:v>
                </c:pt>
                <c:pt idx="32">
                  <c:v>48.241399999999999</c:v>
                </c:pt>
                <c:pt idx="33">
                  <c:v>48.211799999999997</c:v>
                </c:pt>
                <c:pt idx="34">
                  <c:v>48.193399999999997</c:v>
                </c:pt>
                <c:pt idx="35">
                  <c:v>48.191499999999998</c:v>
                </c:pt>
                <c:pt idx="36">
                  <c:v>48.281500000000001</c:v>
                </c:pt>
                <c:pt idx="37">
                  <c:v>48.440899999999999</c:v>
                </c:pt>
                <c:pt idx="38">
                  <c:v>48.629600000000003</c:v>
                </c:pt>
                <c:pt idx="39">
                  <c:v>48.772599999999997</c:v>
                </c:pt>
                <c:pt idx="40">
                  <c:v>48.959699999999998</c:v>
                </c:pt>
                <c:pt idx="41">
                  <c:v>49.176600000000001</c:v>
                </c:pt>
                <c:pt idx="42">
                  <c:v>49.4041</c:v>
                </c:pt>
                <c:pt idx="43">
                  <c:v>49.576799999999999</c:v>
                </c:pt>
                <c:pt idx="44">
                  <c:v>49.691000000000003</c:v>
                </c:pt>
                <c:pt idx="45">
                  <c:v>49.734699999999997</c:v>
                </c:pt>
                <c:pt idx="46">
                  <c:v>49.659700000000001</c:v>
                </c:pt>
                <c:pt idx="47">
                  <c:v>49.589100000000002</c:v>
                </c:pt>
                <c:pt idx="48">
                  <c:v>49.515000000000001</c:v>
                </c:pt>
                <c:pt idx="49">
                  <c:v>49.366399999999999</c:v>
                </c:pt>
                <c:pt idx="50">
                  <c:v>49.345599999999997</c:v>
                </c:pt>
                <c:pt idx="51">
                  <c:v>49.106999999999999</c:v>
                </c:pt>
                <c:pt idx="52">
                  <c:v>48.808800000000005</c:v>
                </c:pt>
                <c:pt idx="53">
                  <c:v>48.516100000000002</c:v>
                </c:pt>
                <c:pt idx="54">
                  <c:v>48.282000000000004</c:v>
                </c:pt>
                <c:pt idx="55">
                  <c:v>48.0794</c:v>
                </c:pt>
                <c:pt idx="56">
                  <c:v>47.941800000000001</c:v>
                </c:pt>
                <c:pt idx="57">
                  <c:v>47.891600000000004</c:v>
                </c:pt>
                <c:pt idx="58">
                  <c:v>47.883800000000001</c:v>
                </c:pt>
                <c:pt idx="59">
                  <c:v>47.924700000000001</c:v>
                </c:pt>
                <c:pt idx="60">
                  <c:v>48.011700000000005</c:v>
                </c:pt>
                <c:pt idx="61">
                  <c:v>48.092600000000004</c:v>
                </c:pt>
                <c:pt idx="62">
                  <c:v>48.167400000000001</c:v>
                </c:pt>
                <c:pt idx="63">
                  <c:v>48.2712</c:v>
                </c:pt>
                <c:pt idx="64">
                  <c:v>48.421300000000002</c:v>
                </c:pt>
                <c:pt idx="65">
                  <c:v>48.574600000000004</c:v>
                </c:pt>
                <c:pt idx="66">
                  <c:v>48.734000000000002</c:v>
                </c:pt>
                <c:pt idx="67">
                  <c:v>48.8536</c:v>
                </c:pt>
                <c:pt idx="68">
                  <c:v>48.958100000000002</c:v>
                </c:pt>
                <c:pt idx="69">
                  <c:v>49.018000000000001</c:v>
                </c:pt>
                <c:pt idx="70">
                  <c:v>49.056800000000003</c:v>
                </c:pt>
                <c:pt idx="71">
                  <c:v>49.0837</c:v>
                </c:pt>
                <c:pt idx="72">
                  <c:v>49.1389</c:v>
                </c:pt>
                <c:pt idx="73">
                  <c:v>49.215800000000002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4.0381800000000005</c:v>
                </c:pt>
                <c:pt idx="1">
                  <c:v>4.0283199999999999</c:v>
                </c:pt>
                <c:pt idx="2">
                  <c:v>4.0136500000000002</c:v>
                </c:pt>
                <c:pt idx="3">
                  <c:v>4.0044899999999997</c:v>
                </c:pt>
                <c:pt idx="4">
                  <c:v>3.9939299999999998</c:v>
                </c:pt>
                <c:pt idx="5">
                  <c:v>3.9864100000000002</c:v>
                </c:pt>
                <c:pt idx="6">
                  <c:v>3.9809000000000001</c:v>
                </c:pt>
                <c:pt idx="7">
                  <c:v>3.9758</c:v>
                </c:pt>
                <c:pt idx="8">
                  <c:v>3.9719300000000004</c:v>
                </c:pt>
                <c:pt idx="9">
                  <c:v>3.9674199999999997</c:v>
                </c:pt>
                <c:pt idx="10">
                  <c:v>3.9630000000000001</c:v>
                </c:pt>
                <c:pt idx="11">
                  <c:v>3.9574799999999999</c:v>
                </c:pt>
                <c:pt idx="12">
                  <c:v>3.9479199999999999</c:v>
                </c:pt>
                <c:pt idx="13">
                  <c:v>3.9393699999999998</c:v>
                </c:pt>
                <c:pt idx="14">
                  <c:v>3.9325100000000002</c:v>
                </c:pt>
                <c:pt idx="15">
                  <c:v>3.92536</c:v>
                </c:pt>
                <c:pt idx="16">
                  <c:v>3.9140299999999999</c:v>
                </c:pt>
                <c:pt idx="17">
                  <c:v>3.90367</c:v>
                </c:pt>
                <c:pt idx="18">
                  <c:v>3.89337</c:v>
                </c:pt>
                <c:pt idx="19">
                  <c:v>3.8832699999999996</c:v>
                </c:pt>
                <c:pt idx="20">
                  <c:v>3.8737700000000004</c:v>
                </c:pt>
                <c:pt idx="21">
                  <c:v>3.8633800000000003</c:v>
                </c:pt>
                <c:pt idx="22">
                  <c:v>3.8528800000000003</c:v>
                </c:pt>
                <c:pt idx="23">
                  <c:v>3.8414700000000002</c:v>
                </c:pt>
                <c:pt idx="24">
                  <c:v>3.8270500000000003</c:v>
                </c:pt>
                <c:pt idx="25">
                  <c:v>3.8155299999999999</c:v>
                </c:pt>
                <c:pt idx="26">
                  <c:v>3.8052999999999999</c:v>
                </c:pt>
                <c:pt idx="27">
                  <c:v>3.7922899999999999</c:v>
                </c:pt>
                <c:pt idx="28">
                  <c:v>3.7745600000000001</c:v>
                </c:pt>
                <c:pt idx="29">
                  <c:v>3.7563999999999997</c:v>
                </c:pt>
                <c:pt idx="30">
                  <c:v>3.73732</c:v>
                </c:pt>
                <c:pt idx="31">
                  <c:v>3.7141800000000003</c:v>
                </c:pt>
                <c:pt idx="32">
                  <c:v>3.6905199999999998</c:v>
                </c:pt>
                <c:pt idx="33">
                  <c:v>3.6675499999999999</c:v>
                </c:pt>
                <c:pt idx="34">
                  <c:v>3.6469899999999997</c:v>
                </c:pt>
                <c:pt idx="35">
                  <c:v>3.6274099999999998</c:v>
                </c:pt>
                <c:pt idx="36">
                  <c:v>3.6090400000000002</c:v>
                </c:pt>
                <c:pt idx="37">
                  <c:v>3.5918299999999999</c:v>
                </c:pt>
                <c:pt idx="38">
                  <c:v>3.5708299999999999</c:v>
                </c:pt>
                <c:pt idx="39">
                  <c:v>3.5464000000000002</c:v>
                </c:pt>
                <c:pt idx="40">
                  <c:v>3.5259800000000001</c:v>
                </c:pt>
                <c:pt idx="41">
                  <c:v>3.5120400000000003</c:v>
                </c:pt>
                <c:pt idx="42">
                  <c:v>3.4996999999999998</c:v>
                </c:pt>
                <c:pt idx="43">
                  <c:v>3.4896199999999999</c:v>
                </c:pt>
                <c:pt idx="44">
                  <c:v>3.4843299999999999</c:v>
                </c:pt>
                <c:pt idx="45">
                  <c:v>3.4839399999999996</c:v>
                </c:pt>
                <c:pt idx="46">
                  <c:v>3.4832700000000001</c:v>
                </c:pt>
                <c:pt idx="47">
                  <c:v>3.4824799999999998</c:v>
                </c:pt>
                <c:pt idx="48">
                  <c:v>3.4825499999999998</c:v>
                </c:pt>
                <c:pt idx="49">
                  <c:v>3.4839599999999997</c:v>
                </c:pt>
                <c:pt idx="50">
                  <c:v>3.4864000000000002</c:v>
                </c:pt>
                <c:pt idx="51">
                  <c:v>3.4886499999999998</c:v>
                </c:pt>
                <c:pt idx="52">
                  <c:v>3.4926600000000003</c:v>
                </c:pt>
                <c:pt idx="53">
                  <c:v>3.4995099999999999</c:v>
                </c:pt>
                <c:pt idx="54">
                  <c:v>3.5059100000000001</c:v>
                </c:pt>
                <c:pt idx="55">
                  <c:v>3.5114800000000002</c:v>
                </c:pt>
                <c:pt idx="56">
                  <c:v>3.5196199999999997</c:v>
                </c:pt>
                <c:pt idx="57">
                  <c:v>3.5269400000000002</c:v>
                </c:pt>
                <c:pt idx="58">
                  <c:v>3.5331700000000001</c:v>
                </c:pt>
                <c:pt idx="59">
                  <c:v>3.5365400000000005</c:v>
                </c:pt>
                <c:pt idx="60">
                  <c:v>3.5380799999999999</c:v>
                </c:pt>
                <c:pt idx="61">
                  <c:v>3.5387499999999998</c:v>
                </c:pt>
                <c:pt idx="62">
                  <c:v>3.5382699999999998</c:v>
                </c:pt>
                <c:pt idx="63">
                  <c:v>3.5409000000000002</c:v>
                </c:pt>
                <c:pt idx="64">
                  <c:v>3.5433300000000001</c:v>
                </c:pt>
                <c:pt idx="65">
                  <c:v>3.54209</c:v>
                </c:pt>
                <c:pt idx="66">
                  <c:v>3.5385800000000001</c:v>
                </c:pt>
                <c:pt idx="67">
                  <c:v>3.5341800000000001</c:v>
                </c:pt>
                <c:pt idx="68">
                  <c:v>3.52929</c:v>
                </c:pt>
                <c:pt idx="69">
                  <c:v>3.5208499999999998</c:v>
                </c:pt>
                <c:pt idx="70">
                  <c:v>3.5010699999999999</c:v>
                </c:pt>
                <c:pt idx="71">
                  <c:v>3.4841499999999996</c:v>
                </c:pt>
                <c:pt idx="72">
                  <c:v>3.4705699999999999</c:v>
                </c:pt>
                <c:pt idx="73">
                  <c:v>3.4695199999999997</c:v>
                </c:pt>
                <c:pt idx="74">
                  <c:v>3.48977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49.215800000000002</c:v>
                </c:pt>
                <c:pt idx="1">
                  <c:v>49.293399999999998</c:v>
                </c:pt>
                <c:pt idx="2">
                  <c:v>49.364699999999999</c:v>
                </c:pt>
                <c:pt idx="3">
                  <c:v>49.4816</c:v>
                </c:pt>
                <c:pt idx="4">
                  <c:v>49.597000000000001</c:v>
                </c:pt>
                <c:pt idx="5">
                  <c:v>49.684800000000003</c:v>
                </c:pt>
                <c:pt idx="6">
                  <c:v>49.776199999999996</c:v>
                </c:pt>
                <c:pt idx="7">
                  <c:v>49.8598</c:v>
                </c:pt>
                <c:pt idx="8">
                  <c:v>49.9009</c:v>
                </c:pt>
                <c:pt idx="9">
                  <c:v>49.896900000000002</c:v>
                </c:pt>
                <c:pt idx="10">
                  <c:v>49.889299999999999</c:v>
                </c:pt>
                <c:pt idx="11">
                  <c:v>49.849800000000002</c:v>
                </c:pt>
                <c:pt idx="12">
                  <c:v>49.816099999999999</c:v>
                </c:pt>
                <c:pt idx="13">
                  <c:v>49.758800000000001</c:v>
                </c:pt>
                <c:pt idx="14">
                  <c:v>49.693199999999997</c:v>
                </c:pt>
                <c:pt idx="15">
                  <c:v>49.607800000000005</c:v>
                </c:pt>
                <c:pt idx="16">
                  <c:v>49.591499999999996</c:v>
                </c:pt>
                <c:pt idx="17">
                  <c:v>49.551200000000001</c:v>
                </c:pt>
                <c:pt idx="18">
                  <c:v>49.502000000000002</c:v>
                </c:pt>
                <c:pt idx="19">
                  <c:v>49.415900000000001</c:v>
                </c:pt>
                <c:pt idx="20">
                  <c:v>49.2973</c:v>
                </c:pt>
                <c:pt idx="21">
                  <c:v>49.192300000000003</c:v>
                </c:pt>
                <c:pt idx="22">
                  <c:v>49.076500000000003</c:v>
                </c:pt>
                <c:pt idx="23">
                  <c:v>48.967399999999998</c:v>
                </c:pt>
                <c:pt idx="24">
                  <c:v>48.838300000000004</c:v>
                </c:pt>
                <c:pt idx="25">
                  <c:v>48.7239</c:v>
                </c:pt>
                <c:pt idx="26">
                  <c:v>48.631799999999998</c:v>
                </c:pt>
                <c:pt idx="27">
                  <c:v>48.513500000000001</c:v>
                </c:pt>
                <c:pt idx="28">
                  <c:v>48.389099999999999</c:v>
                </c:pt>
                <c:pt idx="29">
                  <c:v>48.295100000000005</c:v>
                </c:pt>
                <c:pt idx="30">
                  <c:v>48.229799999999997</c:v>
                </c:pt>
                <c:pt idx="31">
                  <c:v>48.178199999999997</c:v>
                </c:pt>
                <c:pt idx="32">
                  <c:v>48.1524</c:v>
                </c:pt>
                <c:pt idx="33">
                  <c:v>48.128999999999998</c:v>
                </c:pt>
                <c:pt idx="34">
                  <c:v>48.104500000000002</c:v>
                </c:pt>
                <c:pt idx="35">
                  <c:v>48.1</c:v>
                </c:pt>
                <c:pt idx="36">
                  <c:v>48.089799999999997</c:v>
                </c:pt>
                <c:pt idx="37">
                  <c:v>48.023800000000001</c:v>
                </c:pt>
                <c:pt idx="38">
                  <c:v>48.043700000000001</c:v>
                </c:pt>
                <c:pt idx="39">
                  <c:v>48.193100000000001</c:v>
                </c:pt>
                <c:pt idx="40">
                  <c:v>48.239599999999996</c:v>
                </c:pt>
                <c:pt idx="41">
                  <c:v>48.101599999999998</c:v>
                </c:pt>
                <c:pt idx="42">
                  <c:v>47.929899999999996</c:v>
                </c:pt>
                <c:pt idx="43">
                  <c:v>47.715699999999998</c:v>
                </c:pt>
                <c:pt idx="44">
                  <c:v>47.414899999999996</c:v>
                </c:pt>
                <c:pt idx="45">
                  <c:v>47.031500000000001</c:v>
                </c:pt>
                <c:pt idx="46">
                  <c:v>46.7121</c:v>
                </c:pt>
                <c:pt idx="47">
                  <c:v>46.445900000000002</c:v>
                </c:pt>
                <c:pt idx="48">
                  <c:v>46.203400000000002</c:v>
                </c:pt>
                <c:pt idx="49">
                  <c:v>45.972000000000001</c:v>
                </c:pt>
                <c:pt idx="50">
                  <c:v>45.763999999999996</c:v>
                </c:pt>
                <c:pt idx="51">
                  <c:v>45.587600000000002</c:v>
                </c:pt>
                <c:pt idx="52">
                  <c:v>45.3996</c:v>
                </c:pt>
                <c:pt idx="53">
                  <c:v>45.196899999999999</c:v>
                </c:pt>
                <c:pt idx="54">
                  <c:v>44.991999999999997</c:v>
                </c:pt>
                <c:pt idx="55">
                  <c:v>44.790400000000005</c:v>
                </c:pt>
                <c:pt idx="56">
                  <c:v>44.557200000000002</c:v>
                </c:pt>
                <c:pt idx="57">
                  <c:v>44.286900000000003</c:v>
                </c:pt>
                <c:pt idx="58">
                  <c:v>44.020299999999999</c:v>
                </c:pt>
                <c:pt idx="59">
                  <c:v>43.769500000000001</c:v>
                </c:pt>
                <c:pt idx="60">
                  <c:v>43.523299999999999</c:v>
                </c:pt>
                <c:pt idx="61">
                  <c:v>43.268799999999999</c:v>
                </c:pt>
                <c:pt idx="62">
                  <c:v>43.089399999999998</c:v>
                </c:pt>
                <c:pt idx="63">
                  <c:v>42.9041</c:v>
                </c:pt>
                <c:pt idx="64">
                  <c:v>42.731499999999997</c:v>
                </c:pt>
                <c:pt idx="65">
                  <c:v>42.6539</c:v>
                </c:pt>
                <c:pt idx="66">
                  <c:v>42.632300000000001</c:v>
                </c:pt>
                <c:pt idx="67">
                  <c:v>42.610100000000003</c:v>
                </c:pt>
                <c:pt idx="68">
                  <c:v>42.572900000000004</c:v>
                </c:pt>
                <c:pt idx="69">
                  <c:v>42.653300000000002</c:v>
                </c:pt>
                <c:pt idx="70">
                  <c:v>43.0685</c:v>
                </c:pt>
                <c:pt idx="71">
                  <c:v>43.476500000000001</c:v>
                </c:pt>
                <c:pt idx="72">
                  <c:v>43.7926</c:v>
                </c:pt>
                <c:pt idx="73">
                  <c:v>43.861499999999999</c:v>
                </c:pt>
                <c:pt idx="74">
                  <c:v>43.431899999999999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2.4576199999999999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61.433000000000007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3.5323251351351352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50.611086486486492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3.6837254054054061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47.014891891891885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3.6837254054054061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47.014891891891885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571</v>
      </c>
      <c r="D5" s="191"/>
      <c r="E5" s="191"/>
      <c r="F5" s="192"/>
      <c r="G5" s="48" t="str">
        <f>lang!B27</f>
        <v>编号</v>
      </c>
      <c r="H5" s="190">
        <v>3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570</v>
      </c>
      <c r="D6" s="145"/>
      <c r="E6" s="145"/>
      <c r="F6" s="146"/>
      <c r="G6" s="49" t="str">
        <f>lang!B28</f>
        <v xml:space="preserve"> 日期</v>
      </c>
      <c r="H6" s="129">
        <f>FH_info!A2</f>
        <v>43613.393425925926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15</v>
      </c>
      <c r="D7" s="148"/>
      <c r="E7" s="148"/>
      <c r="F7" s="149"/>
      <c r="G7" s="50" t="str">
        <f>lang!B29</f>
        <v>误差率（%）</v>
      </c>
      <c r="H7" s="132">
        <f>M!B17*1</f>
        <v>15.374700000000001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39.0839</v>
      </c>
      <c r="O8" s="59">
        <f>M!C5*1</f>
        <v>6.9282899999999996</v>
      </c>
      <c r="P8" s="59">
        <f>M!D5*1</f>
        <v>17.726700000000001</v>
      </c>
      <c r="Q8" s="59">
        <f>M!E5*1</f>
        <v>20</v>
      </c>
      <c r="R8" s="59">
        <f>M!F5*1</f>
        <v>13.938800000000001</v>
      </c>
      <c r="S8" s="59">
        <f>M!G5*1</f>
        <v>50</v>
      </c>
      <c r="T8" s="59">
        <f>M!H5*1</f>
        <v>47.253999999999998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24.128299999999999</v>
      </c>
      <c r="O9" s="59">
        <f>M!C6*1</f>
        <v>2.62818</v>
      </c>
      <c r="P9" s="59">
        <f>M!D6*1</f>
        <v>10.8925</v>
      </c>
      <c r="Q9" s="59">
        <f>M!E6*1</f>
        <v>20</v>
      </c>
      <c r="R9" s="59">
        <f>M!F6*1</f>
        <v>16.371500000000001</v>
      </c>
      <c r="S9" s="59">
        <f>M!G6*1</f>
        <v>40</v>
      </c>
      <c r="T9" s="59">
        <f>M!H6*1</f>
        <v>29.548400000000001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13.938800000000001</v>
      </c>
      <c r="D10" s="99">
        <f>N8</f>
        <v>39.0839</v>
      </c>
      <c r="E10" s="100">
        <f>T8</f>
        <v>47.253999999999998</v>
      </c>
      <c r="F10" s="91">
        <f>P8</f>
        <v>17.726700000000001</v>
      </c>
      <c r="G10" s="81" t="str">
        <f>CONCATENATE(M9,"
(20 ~ 40)")</f>
        <v>压力
(20 ~ 40)</v>
      </c>
      <c r="H10" s="98">
        <f>R9</f>
        <v>16.371500000000001</v>
      </c>
      <c r="I10" s="108">
        <f>N9</f>
        <v>24.128299999999999</v>
      </c>
      <c r="J10" s="98">
        <f>T9</f>
        <v>29.548400000000001</v>
      </c>
      <c r="K10" s="92">
        <f>P9</f>
        <v>10.8925</v>
      </c>
      <c r="L10" s="6"/>
      <c r="M10" s="27" t="str">
        <f>lang!B16</f>
        <v>焦虑</v>
      </c>
      <c r="N10" s="59">
        <f>M!B7*1</f>
        <v>15.369199999999999</v>
      </c>
      <c r="O10" s="59">
        <f>M!C7*1</f>
        <v>4.4378399999999996</v>
      </c>
      <c r="P10" s="59">
        <f>M!D7*1</f>
        <v>28.8749</v>
      </c>
      <c r="Q10" s="59">
        <f>M!E7*1</f>
        <v>15</v>
      </c>
      <c r="R10" s="59">
        <f>M!F7*1</f>
        <v>6.4204600000000003</v>
      </c>
      <c r="S10" s="59">
        <f>M!G7*1</f>
        <v>40</v>
      </c>
      <c r="T10" s="59">
        <f>M!H7*1</f>
        <v>34.396599999999999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6.4204600000000003</v>
      </c>
      <c r="D11" s="102">
        <f>N10</f>
        <v>15.369199999999999</v>
      </c>
      <c r="E11" s="103">
        <f>T10</f>
        <v>34.396599999999999</v>
      </c>
      <c r="F11" s="94">
        <f>P10</f>
        <v>28.8749</v>
      </c>
      <c r="G11" s="52" t="str">
        <f>CONCATENATE(M11,"
(20 ~ 50)")</f>
        <v>可疑
(20 ~ 50)</v>
      </c>
      <c r="H11" s="101">
        <f>R11</f>
        <v>14.5467</v>
      </c>
      <c r="I11" s="104">
        <f>N11</f>
        <v>26.579000000000001</v>
      </c>
      <c r="J11" s="101">
        <f>T11</f>
        <v>29.817299999999999</v>
      </c>
      <c r="K11" s="95">
        <f>P11</f>
        <v>11.379</v>
      </c>
      <c r="L11" s="4"/>
      <c r="M11" s="27" t="str">
        <f>lang!B17</f>
        <v>可疑</v>
      </c>
      <c r="N11" s="59">
        <f>M!B8*1</f>
        <v>26.579000000000001</v>
      </c>
      <c r="O11" s="59">
        <f>M!C8*1</f>
        <v>3.0244200000000001</v>
      </c>
      <c r="P11" s="59">
        <f>M!D8*1</f>
        <v>11.379</v>
      </c>
      <c r="Q11" s="59">
        <f>M!E8*1</f>
        <v>20</v>
      </c>
      <c r="R11" s="59">
        <f>M!F8*1</f>
        <v>14.5467</v>
      </c>
      <c r="S11" s="59">
        <f>M!G8*1</f>
        <v>50</v>
      </c>
      <c r="T11" s="59">
        <f>M!H8*1</f>
        <v>29.817299999999999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46.9574</v>
      </c>
      <c r="D12" s="104">
        <f>N12</f>
        <v>72.554199999999994</v>
      </c>
      <c r="E12" s="101">
        <f>T12</f>
        <v>88.119600000000005</v>
      </c>
      <c r="F12" s="93">
        <f>P12</f>
        <v>10.950200000000001</v>
      </c>
      <c r="G12" s="52" t="str">
        <f>CONCATENATE(M13,"
(40 ~ 100)")</f>
        <v>自信
(40 ~ 100)</v>
      </c>
      <c r="H12" s="101">
        <f>R13</f>
        <v>77.002799999999993</v>
      </c>
      <c r="I12" s="104">
        <f>N13</f>
        <v>81.1631</v>
      </c>
      <c r="J12" s="101">
        <f>T13</f>
        <v>87.8352</v>
      </c>
      <c r="K12" s="95">
        <f>P13</f>
        <v>2.8899699999999999</v>
      </c>
      <c r="L12" s="4"/>
      <c r="M12" s="27" t="str">
        <f>lang!B18</f>
        <v>平衡</v>
      </c>
      <c r="N12" s="59">
        <f>M!B9*1</f>
        <v>72.554199999999994</v>
      </c>
      <c r="O12" s="59">
        <f>M!C9*1</f>
        <v>7.9448499999999997</v>
      </c>
      <c r="P12" s="59">
        <f>M!D9*1</f>
        <v>10.950200000000001</v>
      </c>
      <c r="Q12" s="59">
        <f>M!E9*1</f>
        <v>50</v>
      </c>
      <c r="R12" s="59">
        <f>M!F9*1</f>
        <v>46.9574</v>
      </c>
      <c r="S12" s="59">
        <f>M!G9*1</f>
        <v>100</v>
      </c>
      <c r="T12" s="59">
        <f>M!H9*1</f>
        <v>88.119600000000005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11.7</v>
      </c>
      <c r="D13" s="102">
        <f>N14</f>
        <v>25.423200000000001</v>
      </c>
      <c r="E13" s="103">
        <f>T14</f>
        <v>32.481200000000001</v>
      </c>
      <c r="F13" s="94">
        <f>P14</f>
        <v>16.361499999999999</v>
      </c>
      <c r="G13" s="52" t="str">
        <f>CONCATENATE(M15,"
(50 ~ 100)")</f>
        <v>自我调节
(50 ~ 100)</v>
      </c>
      <c r="H13" s="101">
        <f>R15</f>
        <v>62.132199999999997</v>
      </c>
      <c r="I13" s="104">
        <f>N15</f>
        <v>76.854799999999997</v>
      </c>
      <c r="J13" s="101">
        <f>T15</f>
        <v>87.310100000000006</v>
      </c>
      <c r="K13" s="95">
        <f>P15</f>
        <v>6.1708800000000004</v>
      </c>
      <c r="L13" s="4"/>
      <c r="M13" s="27" t="str">
        <f>lang!B19</f>
        <v>自信</v>
      </c>
      <c r="N13" s="59">
        <f>M!B10*1</f>
        <v>81.1631</v>
      </c>
      <c r="O13" s="59">
        <f>M!C10*1</f>
        <v>2.3455900000000001</v>
      </c>
      <c r="P13" s="59">
        <f>M!D10*1</f>
        <v>2.8899699999999999</v>
      </c>
      <c r="Q13" s="59">
        <f>M!E10*1</f>
        <v>40</v>
      </c>
      <c r="R13" s="59">
        <f>M!F10*1</f>
        <v>77.002799999999993</v>
      </c>
      <c r="S13" s="59">
        <f>M!G10*1</f>
        <v>100</v>
      </c>
      <c r="T13" s="59">
        <f>M!H10*1</f>
        <v>87.8352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16.017900000000001</v>
      </c>
      <c r="D14" s="106">
        <f>N16</f>
        <v>22.679200000000002</v>
      </c>
      <c r="E14" s="107">
        <f>T16</f>
        <v>34.289299999999997</v>
      </c>
      <c r="F14" s="96">
        <f>P16</f>
        <v>16.193000000000001</v>
      </c>
      <c r="G14" s="112" t="str">
        <f>CONCATENATE(M17,"
(10 ~ 50)")</f>
        <v>神经质
(10 ~ 50)</v>
      </c>
      <c r="H14" s="105">
        <f>R17</f>
        <v>2.8052800000000002</v>
      </c>
      <c r="I14" s="106">
        <f>N17</f>
        <v>36.724400000000003</v>
      </c>
      <c r="J14" s="107">
        <f>T17</f>
        <v>38.060499999999998</v>
      </c>
      <c r="K14" s="97">
        <f>P17</f>
        <v>32.308399999999999</v>
      </c>
      <c r="M14" s="27" t="str">
        <f>lang!B20</f>
        <v>活力</v>
      </c>
      <c r="N14" s="59">
        <f>M!B11*1</f>
        <v>25.423200000000001</v>
      </c>
      <c r="O14" s="59">
        <f>M!C11*1</f>
        <v>4.1596200000000003</v>
      </c>
      <c r="P14" s="59">
        <f>M!D11*1</f>
        <v>16.361499999999999</v>
      </c>
      <c r="Q14" s="59">
        <f>M!E11*1</f>
        <v>10</v>
      </c>
      <c r="R14" s="59">
        <f>M!F11*1</f>
        <v>11.7</v>
      </c>
      <c r="S14" s="59">
        <f>M!G11*1</f>
        <v>50</v>
      </c>
      <c r="T14" s="59">
        <f>M!H11*1</f>
        <v>32.481200000000001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76.854799999999997</v>
      </c>
      <c r="O15" s="59">
        <f>M!C12*1</f>
        <v>4.7426199999999996</v>
      </c>
      <c r="P15" s="59">
        <f>M!D12*1</f>
        <v>6.1708800000000004</v>
      </c>
      <c r="Q15" s="59">
        <f>M!E12*1</f>
        <v>50</v>
      </c>
      <c r="R15" s="59">
        <f>M!F12*1</f>
        <v>62.132199999999997</v>
      </c>
      <c r="S15" s="59">
        <f>M!G12*1</f>
        <v>100</v>
      </c>
      <c r="T15" s="59">
        <f>M!H12*1</f>
        <v>87.310100000000006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22.679200000000002</v>
      </c>
      <c r="O16" s="59">
        <f>M!C13*1</f>
        <v>3.6724399999999999</v>
      </c>
      <c r="P16" s="59">
        <f>M!D13*1</f>
        <v>16.193000000000001</v>
      </c>
      <c r="Q16" s="59">
        <f>M!E13*1</f>
        <v>10</v>
      </c>
      <c r="R16" s="59">
        <f>M!F13*1</f>
        <v>16.017900000000001</v>
      </c>
      <c r="S16" s="59">
        <f>M!G13*1</f>
        <v>25</v>
      </c>
      <c r="T16" s="59">
        <f>M!H13*1</f>
        <v>34.289299999999997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36.724400000000003</v>
      </c>
      <c r="O17" s="59">
        <f>M!C14*1</f>
        <v>11.8651</v>
      </c>
      <c r="P17" s="59">
        <f>M!D14*1</f>
        <v>32.308399999999999</v>
      </c>
      <c r="Q17" s="59">
        <f>M!E14*1</f>
        <v>10</v>
      </c>
      <c r="R17" s="59">
        <f>M!F14*1</f>
        <v>2.8052800000000002</v>
      </c>
      <c r="S17" s="59">
        <f>M!G14*1</f>
        <v>50</v>
      </c>
      <c r="T17" s="59">
        <f>M!H14*1</f>
        <v>38.060499999999998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63.998824999999997</v>
      </c>
      <c r="O18" s="22">
        <f>N18/(N18+N19+N20)</f>
        <v>0.53336476631839658</v>
      </c>
      <c r="P18" s="65">
        <f>SUM(P12:P15)/4</f>
        <v>9.093137500000001</v>
      </c>
      <c r="Q18" s="22">
        <f>P18/(P18+P19+P20)</f>
        <v>0.17984093326796818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26.290100000000002</v>
      </c>
      <c r="O19" s="22">
        <f>N19/(N18+N19+N20)</f>
        <v>0.21910110135595898</v>
      </c>
      <c r="P19" s="18">
        <f>SUM(P8:P11)/4</f>
        <v>17.218275000000002</v>
      </c>
      <c r="Q19" s="22">
        <f>P19/(P18+P19+P20)</f>
        <v>0.34053709682323896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29.701800000000002</v>
      </c>
      <c r="O20" s="22">
        <f>N20/(N18+N19+N20)</f>
        <v>0.24753413232564433</v>
      </c>
      <c r="P20" s="18">
        <f>(P16+P17)/2</f>
        <v>24.250700000000002</v>
      </c>
      <c r="Q20" s="22">
        <f>P20/(P18+P19+P20)</f>
        <v>0.47962196990879286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-5.1101972972973086E-2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1.7558116624710092</v>
      </c>
      <c r="D25" s="44" t="str">
        <f>lang!B11</f>
        <v>频率方差</v>
      </c>
      <c r="E25" s="182">
        <f ca="1">FH!L3</f>
        <v>0.54145041251546211</v>
      </c>
      <c r="F25" s="183"/>
      <c r="G25" s="174" t="str">
        <f>lang!B12</f>
        <v>生理变化率</v>
      </c>
      <c r="H25" s="175"/>
      <c r="I25" s="62" t="str">
        <f ca="1">CONCATENATE(info!M7,"-",info!M8)</f>
        <v>42.6-61.4</v>
      </c>
      <c r="J25" s="42" t="str">
        <f>lang!B13</f>
        <v>千卡l/分钟</v>
      </c>
      <c r="K25" s="41" t="str">
        <f ca="1">CONCATENATE(info!M5,"-",info!M6)</f>
        <v>2.5-4.1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60.067400000000006</v>
      </c>
      <c r="F28" s="121"/>
      <c r="G28" s="135" t="str">
        <f>lang!B33</f>
        <v>稳定性</v>
      </c>
      <c r="H28" s="136"/>
      <c r="I28" s="137"/>
      <c r="J28" s="138">
        <f>M!B19*100</f>
        <v>55.803599999999996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43613.393425925926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5.9074999999999989</v>
      </c>
      <c r="O7" s="59">
        <f t="shared" ref="O7:T7" si="2">AG7-X7</f>
        <v>-4.8831100000000003</v>
      </c>
      <c r="P7" s="59">
        <f t="shared" si="2"/>
        <v>-14.884279999999999</v>
      </c>
      <c r="Q7" s="59">
        <f t="shared" si="2"/>
        <v>0</v>
      </c>
      <c r="R7" s="59">
        <f t="shared" si="2"/>
        <v>19.926299999999998</v>
      </c>
      <c r="S7" s="59">
        <f t="shared" si="2"/>
        <v>0</v>
      </c>
      <c r="T7" s="59">
        <f t="shared" si="2"/>
        <v>-0.10759999999999792</v>
      </c>
      <c r="U7" s="14"/>
      <c r="V7" s="27" t="str">
        <f>M7</f>
        <v>攻击性</v>
      </c>
      <c r="W7" s="59">
        <f>'M1'!B5*1</f>
        <v>35.292200000000001</v>
      </c>
      <c r="X7" s="59">
        <f>'M1'!C5*1</f>
        <v>7.4626299999999999</v>
      </c>
      <c r="Y7" s="59">
        <f>'M1'!D5*1</f>
        <v>21.145299999999999</v>
      </c>
      <c r="Z7" s="59">
        <f>'M1'!E5*1</f>
        <v>20</v>
      </c>
      <c r="AA7" s="59">
        <f>'M1'!F5*1</f>
        <v>13.938800000000001</v>
      </c>
      <c r="AB7" s="59">
        <f>'M1'!G5*1</f>
        <v>50</v>
      </c>
      <c r="AC7" s="59">
        <f>'M1'!H5*1</f>
        <v>47.253999999999998</v>
      </c>
      <c r="AE7" s="27" t="str">
        <f>V7</f>
        <v>攻击性</v>
      </c>
      <c r="AF7" s="59">
        <f>'M2'!B5*1</f>
        <v>41.1997</v>
      </c>
      <c r="AG7" s="59">
        <f>'M2'!C5*1</f>
        <v>2.57952</v>
      </c>
      <c r="AH7" s="59">
        <f>'M2'!D5*1</f>
        <v>6.2610200000000003</v>
      </c>
      <c r="AI7" s="59">
        <f>'M2'!E5*1</f>
        <v>20</v>
      </c>
      <c r="AJ7" s="59">
        <f>'M2'!F5*1</f>
        <v>33.865099999999998</v>
      </c>
      <c r="AK7" s="59">
        <f>'M2'!G5*1</f>
        <v>50</v>
      </c>
      <c r="AL7" s="59">
        <f>'M2'!H5*1</f>
        <v>47.1464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0.52379999999999782</v>
      </c>
      <c r="O8" s="59">
        <f t="shared" ref="O8:O16" si="5">AG8-X8</f>
        <v>-0.29005999999999998</v>
      </c>
      <c r="P8" s="59">
        <f t="shared" ref="P8:P16" si="6">AH8-Y8</f>
        <v>-1.4306000000000001</v>
      </c>
      <c r="Q8" s="59">
        <f t="shared" ref="Q8:Q16" si="7">AI8-Z8</f>
        <v>0</v>
      </c>
      <c r="R8" s="59">
        <f t="shared" ref="R8:R16" si="8">AJ8-AA8</f>
        <v>6.1930999999999976</v>
      </c>
      <c r="S8" s="59">
        <f t="shared" ref="S8:S16" si="9">AK8-AB8</f>
        <v>0</v>
      </c>
      <c r="T8" s="59">
        <f t="shared" ref="T8:T16" si="10">AL8-AC8</f>
        <v>3.1240000000000023</v>
      </c>
      <c r="U8" s="15"/>
      <c r="V8" s="27" t="str">
        <f t="shared" ref="V8:V16" si="11">M8</f>
        <v>压力</v>
      </c>
      <c r="W8" s="59">
        <f>'M1'!B6*1</f>
        <v>23.703700000000001</v>
      </c>
      <c r="X8" s="59">
        <f>'M1'!C6*1</f>
        <v>2.5574699999999999</v>
      </c>
      <c r="Y8" s="59">
        <f>'M1'!D6*1</f>
        <v>10.789400000000001</v>
      </c>
      <c r="Z8" s="59">
        <f>'M1'!E6*1</f>
        <v>20</v>
      </c>
      <c r="AA8" s="59">
        <f>'M1'!F6*1</f>
        <v>16.371500000000001</v>
      </c>
      <c r="AB8" s="59">
        <f>'M1'!G6*1</f>
        <v>40</v>
      </c>
      <c r="AC8" s="59">
        <f>'M1'!H6*1</f>
        <v>26.424399999999999</v>
      </c>
      <c r="AE8" s="27" t="str">
        <f t="shared" ref="AE8:AE16" si="12">V8</f>
        <v>压力</v>
      </c>
      <c r="AF8" s="59">
        <f>'M2'!B6*1</f>
        <v>24.227499999999999</v>
      </c>
      <c r="AG8" s="59">
        <f>'M2'!C6*1</f>
        <v>2.2674099999999999</v>
      </c>
      <c r="AH8" s="59">
        <f>'M2'!D6*1</f>
        <v>9.3588000000000005</v>
      </c>
      <c r="AI8" s="59">
        <f>'M2'!E6*1</f>
        <v>20</v>
      </c>
      <c r="AJ8" s="59">
        <f>'M2'!F6*1</f>
        <v>22.564599999999999</v>
      </c>
      <c r="AK8" s="59">
        <f>'M2'!G6*1</f>
        <v>40</v>
      </c>
      <c r="AL8" s="59">
        <f>'M2'!H6*1</f>
        <v>29.548400000000001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19.926299999999998</v>
      </c>
      <c r="D9" s="78">
        <f>N7</f>
        <v>5.9074999999999989</v>
      </c>
      <c r="E9" s="79">
        <f>T7</f>
        <v>-0.10759999999999792</v>
      </c>
      <c r="F9" s="79">
        <f>P7</f>
        <v>-14.884279999999999</v>
      </c>
      <c r="G9" s="80" t="str">
        <f>CONCATENATE(M8,"
(20 ~ 40)")</f>
        <v>压力
(20 ~ 40)</v>
      </c>
      <c r="H9" s="77">
        <f>R8</f>
        <v>6.1930999999999976</v>
      </c>
      <c r="I9" s="81">
        <f>N8</f>
        <v>0.52379999999999782</v>
      </c>
      <c r="J9" s="77">
        <f>T8</f>
        <v>3.1240000000000023</v>
      </c>
      <c r="K9" s="82">
        <f>P8</f>
        <v>-1.4306000000000001</v>
      </c>
      <c r="L9" s="6"/>
      <c r="M9" s="27" t="str">
        <f>lang!B16</f>
        <v>焦虑</v>
      </c>
      <c r="N9" s="59">
        <f t="shared" si="4"/>
        <v>-1.2904999999999998</v>
      </c>
      <c r="O9" s="59">
        <f t="shared" si="5"/>
        <v>-1.8475999999999999</v>
      </c>
      <c r="P9" s="59">
        <f t="shared" si="6"/>
        <v>-9.5960999999999963</v>
      </c>
      <c r="Q9" s="59">
        <f t="shared" si="7"/>
        <v>0</v>
      </c>
      <c r="R9" s="59">
        <f t="shared" si="8"/>
        <v>3.5034100000000006</v>
      </c>
      <c r="S9" s="59">
        <f t="shared" si="9"/>
        <v>0</v>
      </c>
      <c r="T9" s="59">
        <f t="shared" si="10"/>
        <v>-1.2297999999999973</v>
      </c>
      <c r="U9" s="14"/>
      <c r="V9" s="27" t="str">
        <f t="shared" si="11"/>
        <v>焦虑</v>
      </c>
      <c r="W9" s="59">
        <f>'M1'!B7*1</f>
        <v>16.2149</v>
      </c>
      <c r="X9" s="59">
        <f>'M1'!C7*1</f>
        <v>5.2200899999999999</v>
      </c>
      <c r="Y9" s="59">
        <f>'M1'!D7*1</f>
        <v>32.193199999999997</v>
      </c>
      <c r="Z9" s="59">
        <f>'M1'!E7*1</f>
        <v>15</v>
      </c>
      <c r="AA9" s="59">
        <f>'M1'!F7*1</f>
        <v>6.4204600000000003</v>
      </c>
      <c r="AB9" s="59">
        <f>'M1'!G7*1</f>
        <v>40</v>
      </c>
      <c r="AC9" s="59">
        <f>'M1'!H7*1</f>
        <v>34.396599999999999</v>
      </c>
      <c r="AE9" s="27" t="str">
        <f t="shared" si="12"/>
        <v>焦虑</v>
      </c>
      <c r="AF9" s="59">
        <f>'M2'!B7*1</f>
        <v>14.9244</v>
      </c>
      <c r="AG9" s="59">
        <f>'M2'!C7*1</f>
        <v>3.37249</v>
      </c>
      <c r="AH9" s="59">
        <f>'M2'!D7*1</f>
        <v>22.597100000000001</v>
      </c>
      <c r="AI9" s="59">
        <f>'M2'!E7*1</f>
        <v>15</v>
      </c>
      <c r="AJ9" s="59">
        <f>'M2'!F7*1</f>
        <v>9.9238700000000009</v>
      </c>
      <c r="AK9" s="59">
        <f>'M2'!G7*1</f>
        <v>40</v>
      </c>
      <c r="AL9" s="59">
        <f>'M2'!H7*1</f>
        <v>33.166800000000002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3.5034100000000006</v>
      </c>
      <c r="D10" s="51">
        <f>N9</f>
        <v>-1.2904999999999998</v>
      </c>
      <c r="E10" s="53">
        <f>T9</f>
        <v>-1.2297999999999973</v>
      </c>
      <c r="F10" s="53">
        <f>P9</f>
        <v>-9.5960999999999963</v>
      </c>
      <c r="G10" s="73" t="str">
        <f>CONCATENATE(M10,"
(20 ~ 50)")</f>
        <v>可疑
(20 ~ 50)</v>
      </c>
      <c r="H10" s="24">
        <f>R10</f>
        <v>10.513900000000001</v>
      </c>
      <c r="I10" s="52">
        <f>N10</f>
        <v>3.166599999999999</v>
      </c>
      <c r="J10" s="24">
        <f>T10</f>
        <v>0.25929999999999964</v>
      </c>
      <c r="K10" s="25">
        <f>P10</f>
        <v>-9.6057100000000002</v>
      </c>
      <c r="L10" s="4"/>
      <c r="M10" s="27" t="str">
        <f>lang!B17</f>
        <v>可疑</v>
      </c>
      <c r="N10" s="59">
        <f t="shared" si="4"/>
        <v>3.166599999999999</v>
      </c>
      <c r="O10" s="59">
        <f t="shared" si="5"/>
        <v>-2.2202200000000003</v>
      </c>
      <c r="P10" s="59">
        <f t="shared" si="6"/>
        <v>-9.6057100000000002</v>
      </c>
      <c r="Q10" s="59">
        <f t="shared" si="7"/>
        <v>0</v>
      </c>
      <c r="R10" s="59">
        <f t="shared" si="8"/>
        <v>10.513900000000001</v>
      </c>
      <c r="S10" s="59">
        <f t="shared" si="9"/>
        <v>0</v>
      </c>
      <c r="T10" s="59">
        <f t="shared" si="10"/>
        <v>0.25929999999999964</v>
      </c>
      <c r="U10" s="14"/>
      <c r="V10" s="27" t="str">
        <f t="shared" si="11"/>
        <v>可疑</v>
      </c>
      <c r="W10" s="59">
        <f>'M1'!B8*1</f>
        <v>24.4618</v>
      </c>
      <c r="X10" s="59">
        <f>'M1'!C8*1</f>
        <v>3.3502200000000002</v>
      </c>
      <c r="Y10" s="59">
        <f>'M1'!D8*1</f>
        <v>13.6957</v>
      </c>
      <c r="Z10" s="59">
        <f>'M1'!E8*1</f>
        <v>20</v>
      </c>
      <c r="AA10" s="59">
        <f>'M1'!F8*1</f>
        <v>14.5467</v>
      </c>
      <c r="AB10" s="59">
        <f>'M1'!G8*1</f>
        <v>50</v>
      </c>
      <c r="AC10" s="59">
        <f>'M1'!H8*1</f>
        <v>29.558</v>
      </c>
      <c r="AE10" s="27" t="str">
        <f t="shared" si="12"/>
        <v>可疑</v>
      </c>
      <c r="AF10" s="59">
        <f>'M2'!B8*1</f>
        <v>27.628399999999999</v>
      </c>
      <c r="AG10" s="59">
        <f>'M2'!C8*1</f>
        <v>1.1299999999999999</v>
      </c>
      <c r="AH10" s="59">
        <f>'M2'!D8*1</f>
        <v>4.0899900000000002</v>
      </c>
      <c r="AI10" s="59">
        <f>'M2'!E8*1</f>
        <v>20</v>
      </c>
      <c r="AJ10" s="59">
        <f>'M2'!F8*1</f>
        <v>25.060600000000001</v>
      </c>
      <c r="AK10" s="59">
        <f>'M2'!G8*1</f>
        <v>50</v>
      </c>
      <c r="AL10" s="59">
        <f>'M2'!H8*1</f>
        <v>29.817299999999999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-17.605399999999996</v>
      </c>
      <c r="D11" s="52">
        <f>N11</f>
        <v>-2.8425999999999902</v>
      </c>
      <c r="E11" s="24">
        <f>T11</f>
        <v>-5.6247000000000043</v>
      </c>
      <c r="F11" s="24">
        <f>P11</f>
        <v>7.7491699999999994</v>
      </c>
      <c r="G11" s="73" t="str">
        <f>CONCATENATE(M12,"
(40 ~ 100)")</f>
        <v>自信
(40 ~ 100)</v>
      </c>
      <c r="H11" s="24">
        <f>R12</f>
        <v>-1.6835000000000093</v>
      </c>
      <c r="I11" s="52">
        <f>N12</f>
        <v>-0.261099999999999</v>
      </c>
      <c r="J11" s="24">
        <f>T12</f>
        <v>-5.1698999999999984</v>
      </c>
      <c r="K11" s="25">
        <f>P12</f>
        <v>-0.8389300000000004</v>
      </c>
      <c r="L11" s="4"/>
      <c r="M11" s="27" t="str">
        <f>lang!B18</f>
        <v>平衡</v>
      </c>
      <c r="N11" s="59">
        <f t="shared" si="4"/>
        <v>-2.8425999999999902</v>
      </c>
      <c r="O11" s="59">
        <f t="shared" si="5"/>
        <v>5.3106</v>
      </c>
      <c r="P11" s="59">
        <f t="shared" si="6"/>
        <v>7.7491699999999994</v>
      </c>
      <c r="Q11" s="59">
        <f t="shared" si="7"/>
        <v>0</v>
      </c>
      <c r="R11" s="59">
        <f t="shared" si="8"/>
        <v>-17.605399999999996</v>
      </c>
      <c r="S11" s="59">
        <f t="shared" si="9"/>
        <v>0</v>
      </c>
      <c r="T11" s="59">
        <f t="shared" si="10"/>
        <v>-5.6247000000000043</v>
      </c>
      <c r="U11" s="14"/>
      <c r="V11" s="27" t="str">
        <f t="shared" si="11"/>
        <v>平衡</v>
      </c>
      <c r="W11" s="59">
        <f>'M1'!B9*1</f>
        <v>73.447999999999993</v>
      </c>
      <c r="X11" s="59">
        <f>'M1'!C9*1</f>
        <v>4.1528400000000003</v>
      </c>
      <c r="Y11" s="59">
        <f>'M1'!D9*1</f>
        <v>5.6541300000000003</v>
      </c>
      <c r="Z11" s="59">
        <f>'M1'!E9*1</f>
        <v>50</v>
      </c>
      <c r="AA11" s="59">
        <f>'M1'!F9*1</f>
        <v>64.562799999999996</v>
      </c>
      <c r="AB11" s="59">
        <f>'M1'!G9*1</f>
        <v>100</v>
      </c>
      <c r="AC11" s="59">
        <f>'M1'!H9*1</f>
        <v>88.119600000000005</v>
      </c>
      <c r="AE11" s="27" t="str">
        <f t="shared" si="12"/>
        <v>平衡</v>
      </c>
      <c r="AF11" s="59">
        <f>'M2'!B9*1</f>
        <v>70.605400000000003</v>
      </c>
      <c r="AG11" s="59">
        <f>'M2'!C9*1</f>
        <v>9.4634400000000003</v>
      </c>
      <c r="AH11" s="59">
        <f>'M2'!D9*1</f>
        <v>13.4033</v>
      </c>
      <c r="AI11" s="59">
        <f>'M2'!E9*1</f>
        <v>50</v>
      </c>
      <c r="AJ11" s="59">
        <f>'M2'!F9*1</f>
        <v>46.9574</v>
      </c>
      <c r="AK11" s="59">
        <f>'M2'!G9*1</f>
        <v>100</v>
      </c>
      <c r="AL11" s="59">
        <f>'M2'!H9*1</f>
        <v>82.494900000000001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11.527000000000001</v>
      </c>
      <c r="D12" s="51">
        <f>N13</f>
        <v>2.7644999999999982</v>
      </c>
      <c r="E12" s="53">
        <f>T13</f>
        <v>3.6027000000000022</v>
      </c>
      <c r="F12" s="53">
        <f>P13</f>
        <v>-6.5428999999999977</v>
      </c>
      <c r="G12" s="73" t="str">
        <f>CONCATENATE(M14,"
(50 ~ 100)")</f>
        <v>自我调节
(50 ~ 100)</v>
      </c>
      <c r="H12" s="24">
        <f>R14</f>
        <v>-11.626500000000007</v>
      </c>
      <c r="I12" s="52">
        <f>N14</f>
        <v>-1.9098999999999933</v>
      </c>
      <c r="J12" s="24">
        <f>T14</f>
        <v>-5.1242000000000019</v>
      </c>
      <c r="K12" s="25">
        <f>P14</f>
        <v>3.5486599999999999</v>
      </c>
      <c r="L12" s="4"/>
      <c r="M12" s="27" t="str">
        <f>lang!B19</f>
        <v>自信</v>
      </c>
      <c r="N12" s="59">
        <f t="shared" si="4"/>
        <v>-0.261099999999999</v>
      </c>
      <c r="O12" s="59">
        <f t="shared" si="5"/>
        <v>-0.68756999999999979</v>
      </c>
      <c r="P12" s="59">
        <f t="shared" si="6"/>
        <v>-0.8389300000000004</v>
      </c>
      <c r="Q12" s="59">
        <f t="shared" si="7"/>
        <v>0</v>
      </c>
      <c r="R12" s="59">
        <f t="shared" si="8"/>
        <v>-1.6835000000000093</v>
      </c>
      <c r="S12" s="59">
        <f t="shared" si="9"/>
        <v>0</v>
      </c>
      <c r="T12" s="59">
        <f t="shared" si="10"/>
        <v>-5.1698999999999984</v>
      </c>
      <c r="U12" s="15"/>
      <c r="V12" s="27" t="str">
        <f t="shared" si="11"/>
        <v>自信</v>
      </c>
      <c r="W12" s="59">
        <f>'M1'!B10*1</f>
        <v>81.259799999999998</v>
      </c>
      <c r="X12" s="59">
        <f>'M1'!C10*1</f>
        <v>2.5077699999999998</v>
      </c>
      <c r="Y12" s="59">
        <f>'M1'!D10*1</f>
        <v>3.0861200000000002</v>
      </c>
      <c r="Z12" s="59">
        <f>'M1'!E10*1</f>
        <v>40</v>
      </c>
      <c r="AA12" s="59">
        <f>'M1'!F10*1</f>
        <v>78.686300000000003</v>
      </c>
      <c r="AB12" s="59">
        <f>'M1'!G10*1</f>
        <v>100</v>
      </c>
      <c r="AC12" s="59">
        <f>'M1'!H10*1</f>
        <v>87.8352</v>
      </c>
      <c r="AE12" s="27" t="str">
        <f t="shared" si="12"/>
        <v>自信</v>
      </c>
      <c r="AF12" s="59">
        <f>'M2'!B10*1</f>
        <v>80.998699999999999</v>
      </c>
      <c r="AG12" s="59">
        <f>'M2'!C10*1</f>
        <v>1.8202</v>
      </c>
      <c r="AH12" s="59">
        <f>'M2'!D10*1</f>
        <v>2.2471899999999998</v>
      </c>
      <c r="AI12" s="59">
        <f>'M2'!E10*1</f>
        <v>40</v>
      </c>
      <c r="AJ12" s="59">
        <f>'M2'!F10*1</f>
        <v>77.002799999999993</v>
      </c>
      <c r="AK12" s="59">
        <f>'M2'!G10*1</f>
        <v>100</v>
      </c>
      <c r="AL12" s="59">
        <f>'M2'!H10*1</f>
        <v>82.665300000000002</v>
      </c>
    </row>
    <row r="13" spans="2:38" ht="25.5" customHeight="1" thickBot="1">
      <c r="B13" s="72" t="str">
        <f>CONCATENATE(M15,"
(10 ~ 25)")</f>
        <v>抑郁
(10 ~ 25)</v>
      </c>
      <c r="C13" s="54">
        <f>R15</f>
        <v>-1.5228000000000002</v>
      </c>
      <c r="D13" s="55">
        <f>N15</f>
        <v>1.7516999999999996</v>
      </c>
      <c r="E13" s="56">
        <f>T15</f>
        <v>2.6796999999999969</v>
      </c>
      <c r="F13" s="56">
        <f>P15</f>
        <v>-0.77869999999999884</v>
      </c>
      <c r="G13" s="74" t="str">
        <f>CONCATENATE(M16,"
(10 ~ 50)")</f>
        <v>神经质
(10 ~ 50)</v>
      </c>
      <c r="H13" s="54">
        <f>R16</f>
        <v>1.1439899999999996</v>
      </c>
      <c r="I13" s="55">
        <f>N16</f>
        <v>1.0576000000000008</v>
      </c>
      <c r="J13" s="56">
        <f>T16</f>
        <v>-6.2300000000000466E-2</v>
      </c>
      <c r="K13" s="57">
        <f>P16</f>
        <v>1.5946999999999996</v>
      </c>
      <c r="M13" s="27" t="str">
        <f>lang!B20</f>
        <v>活力</v>
      </c>
      <c r="N13" s="59">
        <f t="shared" si="4"/>
        <v>2.7644999999999982</v>
      </c>
      <c r="O13" s="59">
        <f t="shared" si="5"/>
        <v>-1.3600400000000006</v>
      </c>
      <c r="P13" s="59">
        <f t="shared" si="6"/>
        <v>-6.5428999999999977</v>
      </c>
      <c r="Q13" s="59">
        <f t="shared" si="7"/>
        <v>0</v>
      </c>
      <c r="R13" s="59">
        <f t="shared" si="8"/>
        <v>11.527000000000001</v>
      </c>
      <c r="S13" s="59">
        <f t="shared" si="9"/>
        <v>0</v>
      </c>
      <c r="T13" s="59">
        <f t="shared" si="10"/>
        <v>3.6027000000000022</v>
      </c>
      <c r="U13" s="14"/>
      <c r="V13" s="27" t="str">
        <f t="shared" si="11"/>
        <v>活力</v>
      </c>
      <c r="W13" s="59">
        <f>'M1'!B11*1</f>
        <v>25.191700000000001</v>
      </c>
      <c r="X13" s="59">
        <f>'M1'!C11*1</f>
        <v>4.2746700000000004</v>
      </c>
      <c r="Y13" s="59">
        <f>'M1'!D11*1</f>
        <v>16.968599999999999</v>
      </c>
      <c r="Z13" s="59">
        <f>'M1'!E11*1</f>
        <v>10</v>
      </c>
      <c r="AA13" s="59">
        <f>'M1'!F11*1</f>
        <v>11.7</v>
      </c>
      <c r="AB13" s="59">
        <f>'M1'!G11*1</f>
        <v>50</v>
      </c>
      <c r="AC13" s="59">
        <f>'M1'!H11*1</f>
        <v>28.878499999999999</v>
      </c>
      <c r="AE13" s="27" t="str">
        <f t="shared" si="12"/>
        <v>活力</v>
      </c>
      <c r="AF13" s="59">
        <f>'M2'!B11*1</f>
        <v>27.956199999999999</v>
      </c>
      <c r="AG13" s="59">
        <f>'M2'!C11*1</f>
        <v>2.9146299999999998</v>
      </c>
      <c r="AH13" s="59">
        <f>'M2'!D11*1</f>
        <v>10.425700000000001</v>
      </c>
      <c r="AI13" s="59">
        <f>'M2'!E11*1</f>
        <v>10</v>
      </c>
      <c r="AJ13" s="59">
        <f>'M2'!F11*1</f>
        <v>23.227</v>
      </c>
      <c r="AK13" s="59">
        <f>'M2'!G11*1</f>
        <v>50</v>
      </c>
      <c r="AL13" s="59">
        <f>'M2'!H11*1</f>
        <v>32.481200000000001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-1.9098999999999933</v>
      </c>
      <c r="O14" s="59">
        <f t="shared" si="5"/>
        <v>2.6051100000000003</v>
      </c>
      <c r="P14" s="59">
        <f t="shared" si="6"/>
        <v>3.5486599999999999</v>
      </c>
      <c r="Q14" s="59">
        <f t="shared" si="7"/>
        <v>0</v>
      </c>
      <c r="R14" s="59">
        <f t="shared" si="8"/>
        <v>-11.626500000000007</v>
      </c>
      <c r="S14" s="59">
        <f t="shared" si="9"/>
        <v>0</v>
      </c>
      <c r="T14" s="59">
        <f t="shared" si="10"/>
        <v>-5.1242000000000019</v>
      </c>
      <c r="U14" s="14"/>
      <c r="V14" s="27" t="str">
        <f t="shared" si="11"/>
        <v>自我调节</v>
      </c>
      <c r="W14" s="59">
        <f>'M1'!B12*1</f>
        <v>77.275599999999997</v>
      </c>
      <c r="X14" s="59">
        <f>'M1'!C12*1</f>
        <v>2.8066900000000001</v>
      </c>
      <c r="Y14" s="59">
        <f>'M1'!D12*1</f>
        <v>3.6320600000000001</v>
      </c>
      <c r="Z14" s="59">
        <f>'M1'!E12*1</f>
        <v>50</v>
      </c>
      <c r="AA14" s="59">
        <f>'M1'!F12*1</f>
        <v>73.758700000000005</v>
      </c>
      <c r="AB14" s="59">
        <f>'M1'!G12*1</f>
        <v>100</v>
      </c>
      <c r="AC14" s="59">
        <f>'M1'!H12*1</f>
        <v>87.310100000000006</v>
      </c>
      <c r="AE14" s="27" t="str">
        <f t="shared" si="12"/>
        <v>自我调节</v>
      </c>
      <c r="AF14" s="59">
        <f>'M2'!B12*1</f>
        <v>75.365700000000004</v>
      </c>
      <c r="AG14" s="59">
        <f>'M2'!C12*1</f>
        <v>5.4118000000000004</v>
      </c>
      <c r="AH14" s="59">
        <f>'M2'!D12*1</f>
        <v>7.18072</v>
      </c>
      <c r="AI14" s="59">
        <f>'M2'!E12*1</f>
        <v>50</v>
      </c>
      <c r="AJ14" s="59">
        <f>'M2'!F12*1</f>
        <v>62.132199999999997</v>
      </c>
      <c r="AK14" s="59">
        <f>'M2'!G12*1</f>
        <v>100</v>
      </c>
      <c r="AL14" s="59">
        <f>'M2'!H12*1</f>
        <v>82.185900000000004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1.7516999999999996</v>
      </c>
      <c r="O15" s="59">
        <f t="shared" si="5"/>
        <v>0.10576000000000008</v>
      </c>
      <c r="P15" s="59">
        <f t="shared" si="6"/>
        <v>-0.77869999999999884</v>
      </c>
      <c r="Q15" s="59">
        <f t="shared" si="7"/>
        <v>0</v>
      </c>
      <c r="R15" s="59">
        <f t="shared" si="8"/>
        <v>-1.5228000000000002</v>
      </c>
      <c r="S15" s="59">
        <f t="shared" si="9"/>
        <v>0</v>
      </c>
      <c r="T15" s="59">
        <f t="shared" si="10"/>
        <v>2.6796999999999969</v>
      </c>
      <c r="U15" s="14"/>
      <c r="V15" s="27" t="str">
        <f t="shared" si="11"/>
        <v>抑郁</v>
      </c>
      <c r="W15" s="59">
        <f>'M1'!B13*1</f>
        <v>21.714200000000002</v>
      </c>
      <c r="X15" s="59">
        <f>'M1'!C13*1</f>
        <v>3.5759599999999998</v>
      </c>
      <c r="Y15" s="59">
        <f>'M1'!D13*1</f>
        <v>16.468299999999999</v>
      </c>
      <c r="Z15" s="59">
        <f>'M1'!E13*1</f>
        <v>10</v>
      </c>
      <c r="AA15" s="59">
        <f>'M1'!F13*1</f>
        <v>17.540700000000001</v>
      </c>
      <c r="AB15" s="59">
        <f>'M1'!G13*1</f>
        <v>25</v>
      </c>
      <c r="AC15" s="59">
        <f>'M1'!H13*1</f>
        <v>31.6096</v>
      </c>
      <c r="AE15" s="27" t="str">
        <f t="shared" si="12"/>
        <v>抑郁</v>
      </c>
      <c r="AF15" s="59">
        <f>'M2'!B13*1</f>
        <v>23.465900000000001</v>
      </c>
      <c r="AG15" s="59">
        <f>'M2'!C13*1</f>
        <v>3.6817199999999999</v>
      </c>
      <c r="AH15" s="59">
        <f>'M2'!D13*1</f>
        <v>15.6896</v>
      </c>
      <c r="AI15" s="59">
        <f>'M2'!E13*1</f>
        <v>10</v>
      </c>
      <c r="AJ15" s="59">
        <f>'M2'!F13*1</f>
        <v>16.017900000000001</v>
      </c>
      <c r="AK15" s="59">
        <f>'M2'!G13*1</f>
        <v>25</v>
      </c>
      <c r="AL15" s="59">
        <f>'M2'!H13*1</f>
        <v>34.289299999999997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1.0576000000000008</v>
      </c>
      <c r="O16" s="59">
        <f t="shared" si="5"/>
        <v>0.91460000000000008</v>
      </c>
      <c r="P16" s="59">
        <f t="shared" si="6"/>
        <v>1.5946999999999996</v>
      </c>
      <c r="Q16" s="59">
        <f t="shared" si="7"/>
        <v>0</v>
      </c>
      <c r="R16" s="59">
        <f t="shared" si="8"/>
        <v>1.1439899999999996</v>
      </c>
      <c r="S16" s="59">
        <f t="shared" si="9"/>
        <v>0</v>
      </c>
      <c r="T16" s="59">
        <f t="shared" si="10"/>
        <v>-6.2300000000000466E-2</v>
      </c>
      <c r="U16" s="15"/>
      <c r="V16" s="27" t="str">
        <f t="shared" si="11"/>
        <v>神经质</v>
      </c>
      <c r="W16" s="59">
        <f>'M1'!B14*1</f>
        <v>35.759599999999999</v>
      </c>
      <c r="X16" s="59">
        <f>'M1'!C14*1</f>
        <v>11.0726</v>
      </c>
      <c r="Y16" s="59">
        <f>'M1'!D14*1</f>
        <v>30.964099999999998</v>
      </c>
      <c r="Z16" s="59">
        <f>'M1'!E14*1</f>
        <v>10</v>
      </c>
      <c r="AA16" s="59">
        <f>'M1'!F14*1</f>
        <v>2.8052800000000002</v>
      </c>
      <c r="AB16" s="59">
        <f>'M1'!G14*1</f>
        <v>50</v>
      </c>
      <c r="AC16" s="59">
        <f>'M1'!H14*1</f>
        <v>38.060499999999998</v>
      </c>
      <c r="AE16" s="27" t="str">
        <f t="shared" si="12"/>
        <v>神经质</v>
      </c>
      <c r="AF16" s="59">
        <f>'M2'!B14*1</f>
        <v>36.8172</v>
      </c>
      <c r="AG16" s="59">
        <f>'M2'!C14*1</f>
        <v>11.9872</v>
      </c>
      <c r="AH16" s="59">
        <f>'M2'!D14*1</f>
        <v>32.558799999999998</v>
      </c>
      <c r="AI16" s="59">
        <f>'M2'!E14*1</f>
        <v>10</v>
      </c>
      <c r="AJ16" s="59">
        <f>'M2'!F14*1</f>
        <v>3.9492699999999998</v>
      </c>
      <c r="AK16" s="59">
        <f>'M2'!G14*1</f>
        <v>50</v>
      </c>
      <c r="AL16" s="59">
        <f>'M2'!H14*1</f>
        <v>37.998199999999997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-0.56227499999999608</v>
      </c>
      <c r="O17" s="22">
        <f>N17/(N17+N18+N19)</f>
        <v>-0.19261105259101149</v>
      </c>
      <c r="P17" s="65">
        <f>SUM(P11:P14)/4</f>
        <v>0.97900000000000031</v>
      </c>
      <c r="Q17" s="22">
        <f>P17/(P17+P18+P19)</f>
        <v>-0.13066970895291058</v>
      </c>
      <c r="R17" s="14"/>
      <c r="S17" s="14"/>
      <c r="T17" s="14"/>
      <c r="U17" s="14"/>
      <c r="V17" s="21" t="str">
        <f>M17</f>
        <v>Positive</v>
      </c>
      <c r="W17" s="65">
        <f>SUM(W11:W14)/4</f>
        <v>64.293774999999997</v>
      </c>
      <c r="X17" s="22">
        <f>W17/(W17+W18+W19)</f>
        <v>0.54509890200262701</v>
      </c>
      <c r="Y17" s="65">
        <f>SUM(Y11:Y14)/4</f>
        <v>7.3352274999999993</v>
      </c>
      <c r="Z17" s="22">
        <f>Y17/(Y17+Y18+Y19)</f>
        <v>0.14523095683492657</v>
      </c>
      <c r="AA17" s="14"/>
      <c r="AB17" s="14"/>
      <c r="AC17" s="14"/>
      <c r="AE17" s="21" t="str">
        <f>V17</f>
        <v>Positive</v>
      </c>
      <c r="AF17" s="65">
        <f>SUM(AF11:AF14)/4</f>
        <v>63.731500000000004</v>
      </c>
      <c r="AG17" s="22">
        <f>AF17/(AF17+AF18+AF19)</f>
        <v>0.52728160998708917</v>
      </c>
      <c r="AH17" s="65">
        <f>SUM(AH11:AH14)/4</f>
        <v>8.3142274999999994</v>
      </c>
      <c r="AI17" s="22">
        <f>AH17/(AH17+AH18+AH19)</f>
        <v>0.19328600582748107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2.076849999999999</v>
      </c>
      <c r="O18" s="22">
        <f>N18/(N17+N18+N19)</f>
        <v>0.71143882366038824</v>
      </c>
      <c r="P18" s="18">
        <f>SUM(P7:P10)/4</f>
        <v>-8.8791724999999992</v>
      </c>
      <c r="Q18" s="22">
        <f>P18/(P17+P18+P19)</f>
        <v>1.185126543736146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24.918150000000001</v>
      </c>
      <c r="X18" s="22">
        <f>W18/(W17+W18+W19)</f>
        <v>0.21126238434337943</v>
      </c>
      <c r="Y18" s="18">
        <f>SUM(Y7:Y10)/4</f>
        <v>19.4559</v>
      </c>
      <c r="Z18" s="22">
        <f>Y18/(Y17+Y18+Y19)</f>
        <v>0.38520945302441512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26.995000000000001</v>
      </c>
      <c r="AG18" s="22">
        <f>AF18/(AF17+AF18+AF19)</f>
        <v>0.22334272787556347</v>
      </c>
      <c r="AH18" s="18">
        <f>SUM(AH7:AH10)/4</f>
        <v>10.576727500000001</v>
      </c>
      <c r="AI18" s="22">
        <f>AH18/(AH17+AH18+AH19)</f>
        <v>0.24588374725140483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1.4046500000000002</v>
      </c>
      <c r="O19" s="22">
        <f>N19/(N17+N18+N19)</f>
        <v>0.48117222893062328</v>
      </c>
      <c r="P19" s="18">
        <f>(P15+P16)/2</f>
        <v>0.40800000000000036</v>
      </c>
      <c r="Q19" s="22">
        <f>P19/(P17+P18+P19)</f>
        <v>-5.4456834783235493E-2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28.736899999999999</v>
      </c>
      <c r="X19" s="22">
        <f>W19/(W17+W18+W19)</f>
        <v>0.24363871365399359</v>
      </c>
      <c r="Y19" s="18">
        <f>(Y15+Y16)/2</f>
        <v>23.716200000000001</v>
      </c>
      <c r="Z19" s="22">
        <f>Y19/(Y17+Y18+Y19)</f>
        <v>0.46955959014065829</v>
      </c>
      <c r="AA19" s="14"/>
      <c r="AB19" s="14"/>
      <c r="AC19" s="14"/>
      <c r="AE19" s="21" t="str">
        <f t="shared" si="14"/>
        <v>Physiological</v>
      </c>
      <c r="AF19" s="18">
        <f>(AF15+AF16)/2</f>
        <v>30.141550000000002</v>
      </c>
      <c r="AG19" s="22">
        <f>AF19/(AF17+AF18+AF19)</f>
        <v>0.2493756621373473</v>
      </c>
      <c r="AH19" s="18">
        <f>(AH15+AH16)/2</f>
        <v>24.124199999999998</v>
      </c>
      <c r="AI19" s="22">
        <f>AH19/(AH17+AH18+AH19)</f>
        <v>0.56083024692111427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1.63/1.86</v>
      </c>
      <c r="D24" s="44" t="str">
        <f>lang!B11</f>
        <v>频率方差</v>
      </c>
      <c r="E24" s="182" t="str">
        <f ca="1">CONCATENATE(ROUND('FH1'!L3,2),"/",ROUND('FH2'!L3,2))</f>
        <v>0.53/0.53</v>
      </c>
      <c r="F24" s="183"/>
      <c r="G24" s="174" t="str">
        <f>lang!B12</f>
        <v>生理变化率</v>
      </c>
      <c r="H24" s="175"/>
      <c r="I24" s="62" t="str">
        <f ca="1">CONCATENATE(info!M7,"-",info!M8)</f>
        <v>42.6-61.4</v>
      </c>
      <c r="J24" s="42" t="str">
        <f>lang!B13</f>
        <v>千卡l/分钟</v>
      </c>
      <c r="K24" s="41" t="str">
        <f ca="1">CONCATENATE(info!M5,"-",info!M6)</f>
        <v>2.5-4.1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1.2605000000000088</v>
      </c>
      <c r="F27" s="121"/>
      <c r="G27" s="135" t="str">
        <f>lang!B33</f>
        <v>稳定性</v>
      </c>
      <c r="H27" s="136"/>
      <c r="I27" s="137"/>
      <c r="J27" s="138">
        <f>dM!B19*100</f>
        <v>1.9012999999999947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-0.92396502027959115</v>
      </c>
      <c r="C2">
        <f t="array" aca="1" ref="C2" ca="1">CORREL(FT_E02,FT_PH02)</f>
        <v>0.79542961547389957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2.4576199999999999</v>
      </c>
      <c r="G2" s="61">
        <f>IF(FT!B2&lt;&gt;"",FT!B2*100,"")</f>
        <v>61.433000000000007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2.52074</v>
      </c>
      <c r="G3" s="61">
        <f>IF(FT!B3&lt;&gt;"",FT!B3*100,"")</f>
        <v>60.867599999999996</v>
      </c>
      <c r="H3" s="61">
        <f t="shared" ref="H3:H66" si="1">(IF(F3&lt;&gt;"",1,""))</f>
        <v>1</v>
      </c>
      <c r="I3" t="str">
        <f>IF(FT!B3&lt;&gt;"",FT!E3,"")</f>
        <v>1 [0.385419]</v>
      </c>
      <c r="J3">
        <f>IF(FT!B3&lt;&gt;"",FT!C3,"")</f>
        <v>0.38541900000000001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0.5061108648648649</v>
      </c>
      <c r="V3">
        <f ca="1">AVERAGE(OFFSET(FT!B2,info!$L$3/2,0,info!$L$3/2,1))</f>
        <v>0.47014891891891886</v>
      </c>
      <c r="W3">
        <f ca="1">AVERAGE(OFFSET(FT!A2,0,0,info!$L$3/2,1))</f>
        <v>0.35323251351351354</v>
      </c>
      <c r="X3">
        <f ca="1">AVERAGE(OFFSET(FT!A2,info!$L$3/2,0,info!$L$3/2,1))</f>
        <v>0.36837254054054058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2.5822000000000003</v>
      </c>
      <c r="G4" s="61">
        <f>IF(FT!B4&lt;&gt;"",FT!B4*100,"")</f>
        <v>60.282899999999998</v>
      </c>
      <c r="H4" s="61">
        <f t="shared" si="1"/>
        <v>1</v>
      </c>
      <c r="I4" t="str">
        <f>IF(FT!B4&lt;&gt;"",FT!E4,"")</f>
        <v>1 [0.793234]</v>
      </c>
      <c r="J4">
        <f>IF(FT!B4&lt;&gt;"",FT!C4,"")</f>
        <v>0.79323399999999999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14.94065</v>
      </c>
      <c r="V4">
        <f>U4*3</f>
        <v>44.821950000000001</v>
      </c>
      <c r="W4">
        <f>U4</f>
        <v>14.94065</v>
      </c>
      <c r="X4">
        <f>V4</f>
        <v>44.821950000000001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2.6420500000000002</v>
      </c>
      <c r="G5" s="61">
        <f>IF(FT!B5&lt;&gt;"",FT!B5*100,"")</f>
        <v>59.647099999999995</v>
      </c>
      <c r="H5" s="61">
        <f t="shared" si="1"/>
        <v>1</v>
      </c>
      <c r="I5" t="str">
        <f>IF(FT!B5&lt;&gt;"",FT!E5,"")</f>
        <v>1 [1.197894]</v>
      </c>
      <c r="J5">
        <f>IF(FT!B5&lt;&gt;"",FT!C5,"")</f>
        <v>1.1978899999999999</v>
      </c>
      <c r="K5" t="s">
        <v>53</v>
      </c>
      <c r="L5" s="63">
        <f ca="1">MIN(FT_E)</f>
        <v>2.4576199999999999</v>
      </c>
      <c r="M5" s="63">
        <f ca="1">ROUND(L5,1)</f>
        <v>2.5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50.611086486486492</v>
      </c>
      <c r="V5">
        <f ca="1">V3*100</f>
        <v>47.014891891891885</v>
      </c>
      <c r="W5">
        <f ca="1">W3*10</f>
        <v>3.5323251351351352</v>
      </c>
      <c r="X5">
        <f ca="1">X3*10</f>
        <v>3.6837254054054061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2.7014199999999997</v>
      </c>
      <c r="G6" s="61">
        <f>IF(FT!B6&lt;&gt;"",FT!B6*100,"")</f>
        <v>59.056100000000001</v>
      </c>
      <c r="H6" s="61">
        <f t="shared" si="1"/>
        <v>1</v>
      </c>
      <c r="I6" t="str">
        <f>IF(FT!B6&lt;&gt;"",FT!E6,"")</f>
        <v>1 [1.608553]</v>
      </c>
      <c r="J6">
        <f>IF(FT!B6&lt;&gt;"",FT!C6,"")</f>
        <v>1.6085499999999999</v>
      </c>
      <c r="K6" t="s">
        <v>54</v>
      </c>
      <c r="L6" s="63">
        <f ca="1">MAX(FT_E)</f>
        <v>4.0541400000000003</v>
      </c>
      <c r="M6" s="63">
        <f ca="1">ROUND(L6,1)</f>
        <v>4.0999999999999996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2.7597500000000004</v>
      </c>
      <c r="G7" s="61">
        <f>IF(FT!B7&lt;&gt;"",FT!B7*100,"")</f>
        <v>58.4758</v>
      </c>
      <c r="H7" s="61">
        <f t="shared" si="1"/>
        <v>1</v>
      </c>
      <c r="I7" t="str">
        <f>IF(FT!B7&lt;&gt;"",FT!E7,"")</f>
        <v>1 [2.014685]</v>
      </c>
      <c r="J7">
        <f>IF(FT!B7&lt;&gt;"",FT!C7,"")</f>
        <v>2.0146899999999999</v>
      </c>
      <c r="K7" t="s">
        <v>55</v>
      </c>
      <c r="L7" s="63">
        <f ca="1">MIN(FT_PH)</f>
        <v>42.572900000000004</v>
      </c>
      <c r="M7" s="63">
        <f ca="1">ROUND(L7,1)</f>
        <v>42.6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584</v>
      </c>
      <c r="D8" s="61">
        <f>FH!B8*1</f>
        <v>584</v>
      </c>
      <c r="E8">
        <f t="shared" si="3"/>
        <v>6</v>
      </c>
      <c r="F8" s="61">
        <f>IF(FT!A8&lt;&gt;"",FT!A8*10,"")</f>
        <v>2.8174100000000002</v>
      </c>
      <c r="G8" s="61">
        <f>IF(FT!B8&lt;&gt;"",FT!B8*100,"")</f>
        <v>57.9375</v>
      </c>
      <c r="H8" s="61">
        <f t="shared" si="1"/>
        <v>1</v>
      </c>
      <c r="I8" t="str">
        <f>IF(FT!B8&lt;&gt;"",FT!E8,"")</f>
        <v>1 [2.417031]</v>
      </c>
      <c r="J8">
        <f>IF(FT!B8&lt;&gt;"",FT!C8,"")</f>
        <v>2.41703</v>
      </c>
      <c r="K8" t="s">
        <v>56</v>
      </c>
      <c r="L8" s="63">
        <f ca="1">MAX(FT_PH)</f>
        <v>61.433000000000007</v>
      </c>
      <c r="M8" s="63">
        <f ca="1">ROUND(L8,1)</f>
        <v>61.4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2.8734900000000003</v>
      </c>
      <c r="G9" s="61">
        <f>IF(FT!B9&lt;&gt;"",FT!B9*100,"")</f>
        <v>57.324399999999997</v>
      </c>
      <c r="H9" s="61">
        <f t="shared" si="1"/>
        <v>1</v>
      </c>
      <c r="I9" t="str">
        <f>IF(FT!B9&lt;&gt;"",FT!E9,"")</f>
        <v>1 [2.821908]</v>
      </c>
      <c r="J9">
        <f>IF(FT!B9&lt;&gt;"",FT!C9,"")</f>
        <v>2.8219099999999999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606</v>
      </c>
      <c r="D10" s="61">
        <f>FH!B10*1</f>
        <v>606</v>
      </c>
      <c r="E10">
        <f t="shared" si="3"/>
        <v>8</v>
      </c>
      <c r="F10" s="61">
        <f>IF(FT!A10&lt;&gt;"",FT!A10*10,"")</f>
        <v>2.9288500000000002</v>
      </c>
      <c r="G10" s="61">
        <f>IF(FT!B10&lt;&gt;"",FT!B10*100,"")</f>
        <v>56.704600000000006</v>
      </c>
      <c r="H10" s="61">
        <f t="shared" si="1"/>
        <v>1</v>
      </c>
      <c r="I10" t="str">
        <f>IF(FT!B10&lt;&gt;"",FT!E10,"")</f>
        <v>1 [3.233591]</v>
      </c>
      <c r="J10">
        <f>IF(FT!B10&lt;&gt;"",FT!C10,"")</f>
        <v>3.23359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2.9840599999999999</v>
      </c>
      <c r="G11" s="61">
        <f>IF(FT!B11&lt;&gt;"",FT!B11*100,"")</f>
        <v>55.9392</v>
      </c>
      <c r="H11" s="61">
        <f t="shared" si="1"/>
        <v>1</v>
      </c>
      <c r="I11" t="str">
        <f>IF(FT!B11&lt;&gt;"",FT!E11,"")</f>
        <v>1 [3.639886]</v>
      </c>
      <c r="J11">
        <f>IF(FT!B11&lt;&gt;"",FT!C11,"")</f>
        <v>3.6398899999999998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3.0392999999999999</v>
      </c>
      <c r="G12" s="61">
        <f>IF(FT!B12&lt;&gt;"",FT!B12*100,"")</f>
        <v>55.145699999999998</v>
      </c>
      <c r="H12" s="61">
        <f t="shared" si="1"/>
        <v>1</v>
      </c>
      <c r="I12" t="str">
        <f>IF(FT!B12&lt;&gt;"",FT!E12,"")</f>
        <v>1 [4.044696]</v>
      </c>
      <c r="J12">
        <f>IF(FT!B12&lt;&gt;"",FT!C12,"")</f>
        <v>4.0446999999999997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390</v>
      </c>
      <c r="D13" s="61">
        <f>FH!B13*1</f>
        <v>390</v>
      </c>
      <c r="E13">
        <f t="shared" si="3"/>
        <v>11</v>
      </c>
      <c r="F13" s="61">
        <f>IF(FT!A13&lt;&gt;"",FT!A13*10,"")</f>
        <v>3.0933600000000001</v>
      </c>
      <c r="G13" s="61">
        <f>IF(FT!B13&lt;&gt;"",FT!B13*100,"")</f>
        <v>54.313699999999997</v>
      </c>
      <c r="H13" s="61">
        <f t="shared" si="1"/>
        <v>1</v>
      </c>
      <c r="I13" t="str">
        <f>IF(FT!B13&lt;&gt;"",FT!E13,"")</f>
        <v>1 [4.447885]</v>
      </c>
      <c r="J13">
        <f>IF(FT!B13&lt;&gt;"",FT!C13,"")</f>
        <v>4.4478799999999996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3.14697</v>
      </c>
      <c r="G14" s="61">
        <f>IF(FT!B14&lt;&gt;"",FT!B14*100,"")</f>
        <v>53.511800000000001</v>
      </c>
      <c r="H14" s="61">
        <f t="shared" si="1"/>
        <v>1</v>
      </c>
      <c r="I14" t="str">
        <f>IF(FT!B14&lt;&gt;"",FT!E14,"")</f>
        <v>1 [4.855586]</v>
      </c>
      <c r="J14">
        <f>IF(FT!B14&lt;&gt;"",FT!C14,"")</f>
        <v>4.8555900000000003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576</v>
      </c>
      <c r="D15" s="61">
        <f>FH!B15*1</f>
        <v>576</v>
      </c>
      <c r="E15">
        <f t="shared" si="3"/>
        <v>13</v>
      </c>
      <c r="F15" s="61">
        <f>IF(FT!A15&lt;&gt;"",FT!A15*10,"")</f>
        <v>3.1993800000000001</v>
      </c>
      <c r="G15" s="61">
        <f>IF(FT!B15&lt;&gt;"",FT!B15*100,"")</f>
        <v>52.770300000000006</v>
      </c>
      <c r="H15" s="61">
        <f t="shared" si="1"/>
        <v>1</v>
      </c>
      <c r="I15" t="str">
        <f>IF(FT!B15&lt;&gt;"",FT!E15,"")</f>
        <v>1 [5.260058]</v>
      </c>
      <c r="J15">
        <f>IF(FT!B15&lt;&gt;"",FT!C15,"")</f>
        <v>5.2600600000000002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3.2488200000000003</v>
      </c>
      <c r="G16" s="61">
        <f>IF(FT!B16&lt;&gt;"",FT!B16*100,"")</f>
        <v>52.211399999999998</v>
      </c>
      <c r="H16" s="61">
        <f t="shared" si="1"/>
        <v>1</v>
      </c>
      <c r="I16" t="str">
        <f>IF(FT!B16&lt;&gt;"",FT!E16,"")</f>
        <v>1 [5.671737]</v>
      </c>
      <c r="J16">
        <f>IF(FT!B16&lt;&gt;"",FT!C16,"")</f>
        <v>5.6717399999999998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3.2941599999999998</v>
      </c>
      <c r="G17" s="61">
        <f>IF(FT!B17&lt;&gt;"",FT!B17*100,"")</f>
        <v>51.716799999999999</v>
      </c>
      <c r="H17" s="61">
        <f t="shared" si="1"/>
        <v>1</v>
      </c>
      <c r="I17" t="str">
        <f>IF(FT!B17&lt;&gt;"",FT!E17,"")</f>
        <v>1 [6.076762]</v>
      </c>
      <c r="J17">
        <f>IF(FT!B17&lt;&gt;"",FT!C17,"")</f>
        <v>6.0767600000000002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2272</v>
      </c>
      <c r="D18" s="61">
        <f>FH!B18*1</f>
        <v>2272</v>
      </c>
      <c r="E18">
        <f t="shared" si="3"/>
        <v>16</v>
      </c>
      <c r="F18" s="61">
        <f>IF(FT!A18&lt;&gt;"",FT!A18*10,"")</f>
        <v>3.33439</v>
      </c>
      <c r="G18" s="61">
        <f>IF(FT!B18&lt;&gt;"",FT!B18*100,"")</f>
        <v>51.276500000000006</v>
      </c>
      <c r="H18" s="61">
        <f t="shared" si="1"/>
        <v>1</v>
      </c>
      <c r="I18" t="str">
        <f>IF(FT!B18&lt;&gt;"",FT!E18,"")</f>
        <v>1 [6.480367]</v>
      </c>
      <c r="J18">
        <f>IF(FT!B18&lt;&gt;"",FT!C18,"")</f>
        <v>6.4803699999999997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3.3710899999999997</v>
      </c>
      <c r="G19" s="61">
        <f>IF(FT!B19&lt;&gt;"",FT!B19*100,"")</f>
        <v>50.877399999999994</v>
      </c>
      <c r="H19" s="61">
        <f t="shared" si="1"/>
        <v>1</v>
      </c>
      <c r="I19" t="str">
        <f>IF(FT!B19&lt;&gt;"",FT!E19,"")</f>
        <v>1 [6.886287]</v>
      </c>
      <c r="J19">
        <f>IF(FT!B19&lt;&gt;"",FT!C19,"")</f>
        <v>6.8862899999999998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3.4051900000000002</v>
      </c>
      <c r="G20" s="61">
        <f>IF(FT!B20&lt;&gt;"",FT!B20*100,"")</f>
        <v>50.528600000000004</v>
      </c>
      <c r="H20" s="61">
        <f t="shared" si="1"/>
        <v>1</v>
      </c>
      <c r="I20" t="str">
        <f>IF(FT!B20&lt;&gt;"",FT!E20,"")</f>
        <v>1 [7.294527]</v>
      </c>
      <c r="J20">
        <f>IF(FT!B20&lt;&gt;"",FT!C20,"")</f>
        <v>7.29453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4825</v>
      </c>
      <c r="D21" s="61">
        <f>FH!B21*1</f>
        <v>4825</v>
      </c>
      <c r="E21">
        <f t="shared" si="3"/>
        <v>19</v>
      </c>
      <c r="F21" s="61">
        <f>IF(FT!A21&lt;&gt;"",FT!A21*10,"")</f>
        <v>3.4372000000000003</v>
      </c>
      <c r="G21" s="61">
        <f>IF(FT!B21&lt;&gt;"",FT!B21*100,"")</f>
        <v>50.227599999999995</v>
      </c>
      <c r="H21" s="61">
        <f t="shared" si="1"/>
        <v>1</v>
      </c>
      <c r="I21" t="str">
        <f>IF(FT!B21&lt;&gt;"",FT!E21,"")</f>
        <v>1 [7.701906]</v>
      </c>
      <c r="J21">
        <f>IF(FT!B21&lt;&gt;"",FT!C21,"")</f>
        <v>7.7019099999999998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3.4665900000000001</v>
      </c>
      <c r="G22" s="61">
        <f>IF(FT!B22&lt;&gt;"",FT!B22*100,"")</f>
        <v>49.999500000000005</v>
      </c>
      <c r="H22" s="61">
        <f t="shared" si="1"/>
        <v>1</v>
      </c>
      <c r="I22" t="str">
        <f>IF(FT!B22&lt;&gt;"",FT!E22,"")</f>
        <v>1 [8.108443]</v>
      </c>
      <c r="J22">
        <f>IF(FT!B22&lt;&gt;"",FT!C22,"")</f>
        <v>8.1084399999999999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6500</v>
      </c>
      <c r="D23" s="61">
        <f>FH!B23*1</f>
        <v>6500</v>
      </c>
      <c r="E23">
        <f t="shared" si="3"/>
        <v>21</v>
      </c>
      <c r="F23" s="61">
        <f>IF(FT!A23&lt;&gt;"",FT!A23*10,"")</f>
        <v>3.4939499999999999</v>
      </c>
      <c r="G23" s="61">
        <f>IF(FT!B23&lt;&gt;"",FT!B23*100,"")</f>
        <v>49.839199999999998</v>
      </c>
      <c r="H23" s="61">
        <f t="shared" si="1"/>
        <v>1</v>
      </c>
      <c r="I23" t="str">
        <f>IF(FT!B23&lt;&gt;"",FT!E23,"")</f>
        <v>1 [8.511418]</v>
      </c>
      <c r="J23">
        <f>IF(FT!B23&lt;&gt;"",FT!C23,"")</f>
        <v>8.5114199999999993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3.5199699999999998</v>
      </c>
      <c r="G24" s="61">
        <f>IF(FT!B24&lt;&gt;"",FT!B24*100,"")</f>
        <v>49.647799999999997</v>
      </c>
      <c r="H24" s="61">
        <f t="shared" si="1"/>
        <v>1</v>
      </c>
      <c r="I24" t="str">
        <f>IF(FT!B24&lt;&gt;"",FT!E24,"")</f>
        <v>1 [8.917711]</v>
      </c>
      <c r="J24">
        <f>IF(FT!B24&lt;&gt;"",FT!C24,"")</f>
        <v>8.9177099999999996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3.5431900000000001</v>
      </c>
      <c r="G25" s="61">
        <f>IF(FT!B25&lt;&gt;"",FT!B25*100,"")</f>
        <v>49.405000000000001</v>
      </c>
      <c r="H25" s="61">
        <f t="shared" si="1"/>
        <v>1</v>
      </c>
      <c r="I25" t="str">
        <f>IF(FT!B25&lt;&gt;"",FT!E25,"")</f>
        <v>1 [9.326404]</v>
      </c>
      <c r="J25">
        <f>IF(FT!B25&lt;&gt;"",FT!C25,"")</f>
        <v>9.3263999999999996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9190</v>
      </c>
      <c r="D26" s="61">
        <f>FH!B26*1</f>
        <v>9190</v>
      </c>
      <c r="E26">
        <f t="shared" si="3"/>
        <v>24</v>
      </c>
      <c r="F26" s="61">
        <f>IF(FT!A26&lt;&gt;"",FT!A26*10,"")</f>
        <v>3.5683500000000001</v>
      </c>
      <c r="G26" s="61">
        <f>IF(FT!B26&lt;&gt;"",FT!B26*100,"")</f>
        <v>49.152699999999996</v>
      </c>
      <c r="H26" s="61">
        <f t="shared" si="1"/>
        <v>1</v>
      </c>
      <c r="I26" t="str">
        <f>IF(FT!B26&lt;&gt;"",FT!E26,"")</f>
        <v>1 [9.734206]</v>
      </c>
      <c r="J26">
        <f>IF(FT!B26&lt;&gt;"",FT!C26,"")</f>
        <v>9.7342099999999991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3.5914200000000003</v>
      </c>
      <c r="G27" s="61">
        <f>IF(FT!B27&lt;&gt;"",FT!B27*100,"")</f>
        <v>48.949100000000001</v>
      </c>
      <c r="H27" s="61">
        <f t="shared" si="1"/>
        <v>1</v>
      </c>
      <c r="I27" t="str">
        <f>IF(FT!B27&lt;&gt;"",FT!E27,"")</f>
        <v>1 [10.139358]</v>
      </c>
      <c r="J27">
        <f>IF(FT!B27&lt;&gt;"",FT!C27,"")</f>
        <v>10.1394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15675</v>
      </c>
      <c r="D28" s="61">
        <f>FH!B28*1</f>
        <v>15675</v>
      </c>
      <c r="E28">
        <f t="shared" si="3"/>
        <v>26</v>
      </c>
      <c r="F28" s="61">
        <f>IF(FT!A28&lt;&gt;"",FT!A28*10,"")</f>
        <v>3.61029</v>
      </c>
      <c r="G28" s="61">
        <f>IF(FT!B28&lt;&gt;"",FT!B28*100,"")</f>
        <v>48.758899999999997</v>
      </c>
      <c r="H28" s="61">
        <f t="shared" si="1"/>
        <v>1</v>
      </c>
      <c r="I28" t="str">
        <f>IF(FT!B28&lt;&gt;"",FT!E28,"")</f>
        <v>1 [10.545626]</v>
      </c>
      <c r="J28">
        <f>IF(FT!B28&lt;&gt;"",FT!C28,"")</f>
        <v>10.5456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3.62296</v>
      </c>
      <c r="G29" s="61">
        <f>IF(FT!B29&lt;&gt;"",FT!B29*100,"")</f>
        <v>48.621499999999997</v>
      </c>
      <c r="H29" s="61">
        <f t="shared" si="1"/>
        <v>1</v>
      </c>
      <c r="I29" t="str">
        <f>IF(FT!B29&lt;&gt;"",FT!E29,"")</f>
        <v>1 [10.952134]</v>
      </c>
      <c r="J29">
        <f>IF(FT!B29&lt;&gt;"",FT!C29,"")</f>
        <v>10.9521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3.63103</v>
      </c>
      <c r="G30" s="61">
        <f>IF(FT!B30&lt;&gt;"",FT!B30*100,"")</f>
        <v>48.524299999999997</v>
      </c>
      <c r="H30" s="61">
        <f t="shared" si="1"/>
        <v>1</v>
      </c>
      <c r="I30" t="str">
        <f>IF(FT!B30&lt;&gt;"",FT!E30,"")</f>
        <v>1 [11.355197]</v>
      </c>
      <c r="J30">
        <f>IF(FT!B30&lt;&gt;"",FT!C30,"")</f>
        <v>11.3552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26060</v>
      </c>
      <c r="D31" s="61">
        <f>FH!B31*1</f>
        <v>26060</v>
      </c>
      <c r="E31">
        <f t="shared" si="3"/>
        <v>29</v>
      </c>
      <c r="F31" s="61">
        <f>IF(FT!A31&lt;&gt;"",FT!A31*10,"")</f>
        <v>3.6370499999999999</v>
      </c>
      <c r="G31" s="61">
        <f>IF(FT!B31&lt;&gt;"",FT!B31*100,"")</f>
        <v>48.433700000000002</v>
      </c>
      <c r="H31" s="61">
        <f t="shared" si="1"/>
        <v>1</v>
      </c>
      <c r="I31" t="str">
        <f>IF(FT!B31&lt;&gt;"",FT!E31,"")</f>
        <v>1 [11.765376]</v>
      </c>
      <c r="J31">
        <f>IF(FT!B31&lt;&gt;"",FT!C31,"")</f>
        <v>11.7654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3.6405599999999998</v>
      </c>
      <c r="G32" s="61">
        <f>IF(FT!B32&lt;&gt;"",FT!B32*100,"")</f>
        <v>48.345199999999998</v>
      </c>
      <c r="H32" s="61">
        <f t="shared" si="1"/>
        <v>1</v>
      </c>
      <c r="I32" t="str">
        <f>IF(FT!B32&lt;&gt;"",FT!E32,"")</f>
        <v>1 [12.174068]</v>
      </c>
      <c r="J32">
        <f>IF(FT!B32&lt;&gt;"",FT!C32,"")</f>
        <v>12.174099999999999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31815</v>
      </c>
      <c r="D33" s="61">
        <f>FH!B33*1</f>
        <v>31815</v>
      </c>
      <c r="E33">
        <f t="shared" si="3"/>
        <v>31</v>
      </c>
      <c r="F33" s="61">
        <f>IF(FT!A33&lt;&gt;"",FT!A33*10,"")</f>
        <v>3.6423699999999997</v>
      </c>
      <c r="G33" s="61">
        <f>IF(FT!B33&lt;&gt;"",FT!B33*100,"")</f>
        <v>48.281199999999998</v>
      </c>
      <c r="H33" s="61">
        <f t="shared" si="1"/>
        <v>1</v>
      </c>
      <c r="I33" t="str">
        <f>IF(FT!B33&lt;&gt;"",FT!E33,"")</f>
        <v>1 [12.576809]</v>
      </c>
      <c r="J33">
        <f>IF(FT!B33&lt;&gt;"",FT!C33,"")</f>
        <v>12.5768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3.6416399999999998</v>
      </c>
      <c r="G34" s="61">
        <f>IF(FT!B34&lt;&gt;"",FT!B34*100,"")</f>
        <v>48.241399999999999</v>
      </c>
      <c r="H34" s="61">
        <f t="shared" si="1"/>
        <v>1</v>
      </c>
      <c r="I34" t="str">
        <f>IF(FT!B34&lt;&gt;"",FT!E34,"")</f>
        <v>1 [12.980001]</v>
      </c>
      <c r="J34">
        <f>IF(FT!B34&lt;&gt;"",FT!C34,"")</f>
        <v>12.98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3.6396699999999997</v>
      </c>
      <c r="G35" s="61">
        <f>IF(FT!B35&lt;&gt;"",FT!B35*100,"")</f>
        <v>48.211799999999997</v>
      </c>
      <c r="H35" s="61">
        <f t="shared" si="1"/>
        <v>1</v>
      </c>
      <c r="I35" t="str">
        <f>IF(FT!B35&lt;&gt;"",FT!E35,"")</f>
        <v>1 [13.386705]</v>
      </c>
      <c r="J35">
        <f>IF(FT!B35&lt;&gt;"",FT!C35,"")</f>
        <v>13.386699999999999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35843</v>
      </c>
      <c r="D36" s="61">
        <f>FH!B36*1</f>
        <v>35843</v>
      </c>
      <c r="E36">
        <f t="shared" si="3"/>
        <v>34</v>
      </c>
      <c r="F36" s="61">
        <f>IF(FT!A36&lt;&gt;"",FT!A36*10,"")</f>
        <v>3.6356100000000002</v>
      </c>
      <c r="G36" s="61">
        <f>IF(FT!B36&lt;&gt;"",FT!B36*100,"")</f>
        <v>48.193399999999997</v>
      </c>
      <c r="H36" s="61">
        <f t="shared" si="1"/>
        <v>1</v>
      </c>
      <c r="I36" t="str">
        <f>IF(FT!B36&lt;&gt;"",FT!E36,"")</f>
        <v>1 [13.794649]</v>
      </c>
      <c r="J36">
        <f>IF(FT!B36&lt;&gt;"",FT!C36,"")</f>
        <v>13.794600000000001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3.6303299999999998</v>
      </c>
      <c r="G37" s="61">
        <f>IF(FT!B37&lt;&gt;"",FT!B37*100,"")</f>
        <v>48.191499999999998</v>
      </c>
      <c r="H37" s="61">
        <f t="shared" si="1"/>
        <v>1</v>
      </c>
      <c r="I37" t="str">
        <f>IF(FT!B37&lt;&gt;"",FT!E37,"")</f>
        <v>1 [14.200370]</v>
      </c>
      <c r="J37">
        <f>IF(FT!B37&lt;&gt;"",FT!C37,"")</f>
        <v>14.2004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3.6220799999999995</v>
      </c>
      <c r="G38" s="61">
        <f>IF(FT!B38&lt;&gt;"",FT!B38*100,"")</f>
        <v>48.281500000000001</v>
      </c>
      <c r="H38" s="61">
        <f t="shared" si="1"/>
        <v>1</v>
      </c>
      <c r="I38" t="str">
        <f>IF(FT!B38&lt;&gt;"",FT!E38,"")</f>
        <v>1 [14.607323]</v>
      </c>
      <c r="J38">
        <f>IF(FT!B38&lt;&gt;"",FT!C38,"")</f>
        <v>14.6073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42771</v>
      </c>
      <c r="D39" s="61">
        <f>FH!B39*1</f>
        <v>42771</v>
      </c>
      <c r="E39">
        <f t="shared" si="3"/>
        <v>37</v>
      </c>
      <c r="F39" s="61">
        <f>IF(FT!A39&lt;&gt;"",FT!A39*10,"")</f>
        <v>3.6111</v>
      </c>
      <c r="G39" s="61">
        <f>IF(FT!B39&lt;&gt;"",FT!B39*100,"")</f>
        <v>48.440899999999999</v>
      </c>
      <c r="H39" s="61">
        <f t="shared" si="1"/>
        <v>1</v>
      </c>
      <c r="I39" t="str">
        <f>IF(FT!B39&lt;&gt;"",FT!E39,"")</f>
        <v>1 [15.010970]</v>
      </c>
      <c r="J39">
        <f>IF(FT!B39&lt;&gt;"",FT!C39,"")</f>
        <v>15.010999999999999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3.6001100000000004</v>
      </c>
      <c r="G40" s="61">
        <f>IF(FT!B40&lt;&gt;"",FT!B40*100,"")</f>
        <v>48.629600000000003</v>
      </c>
      <c r="H40" s="61">
        <f t="shared" si="1"/>
        <v>1</v>
      </c>
      <c r="I40" t="str">
        <f>IF(FT!B40&lt;&gt;"",FT!E40,"")</f>
        <v>1 [15.420887]</v>
      </c>
      <c r="J40">
        <f>IF(FT!B40&lt;&gt;"",FT!C40,"")</f>
        <v>15.4209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58639</v>
      </c>
      <c r="D41" s="61">
        <f>FH!B41*1</f>
        <v>58639</v>
      </c>
      <c r="E41">
        <f t="shared" si="3"/>
        <v>39</v>
      </c>
      <c r="F41" s="61">
        <f>IF(FT!A41&lt;&gt;"",FT!A41*10,"")</f>
        <v>3.59334</v>
      </c>
      <c r="G41" s="61">
        <f>IF(FT!B41&lt;&gt;"",FT!B41*100,"")</f>
        <v>48.772599999999997</v>
      </c>
      <c r="H41" s="61">
        <f t="shared" si="1"/>
        <v>1</v>
      </c>
      <c r="I41" t="str">
        <f>IF(FT!B41&lt;&gt;"",FT!E41,"")</f>
        <v>1 [15.823420]</v>
      </c>
      <c r="J41">
        <f>IF(FT!B41&lt;&gt;"",FT!C41,"")</f>
        <v>15.823399999999999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3.5872199999999999</v>
      </c>
      <c r="G42" s="61">
        <f>IF(FT!B42&lt;&gt;"",FT!B42*100,"")</f>
        <v>48.959699999999998</v>
      </c>
      <c r="H42" s="61">
        <f t="shared" si="1"/>
        <v>1</v>
      </c>
      <c r="I42" t="str">
        <f>IF(FT!B42&lt;&gt;"",FT!E42,"")</f>
        <v>1 [16.234960]</v>
      </c>
      <c r="J42">
        <f>IF(FT!B42&lt;&gt;"",FT!C42,"")</f>
        <v>16.234999999999999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3.5820000000000003</v>
      </c>
      <c r="G43" s="61">
        <f>IF(FT!B43&lt;&gt;"",FT!B43*100,"")</f>
        <v>49.176600000000001</v>
      </c>
      <c r="H43" s="61">
        <f t="shared" si="1"/>
        <v>1</v>
      </c>
      <c r="I43" t="str">
        <f>IF(FT!B43&lt;&gt;"",FT!E43,"")</f>
        <v>1 [16.637145]</v>
      </c>
      <c r="J43">
        <f>IF(FT!B43&lt;&gt;"",FT!C43,"")</f>
        <v>16.6371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73566</v>
      </c>
      <c r="D44" s="61">
        <f>FH!B44*1</f>
        <v>73566</v>
      </c>
      <c r="E44">
        <f t="shared" si="3"/>
        <v>42</v>
      </c>
      <c r="F44" s="61">
        <f>IF(FT!A44&lt;&gt;"",FT!A44*10,"")</f>
        <v>3.5800900000000002</v>
      </c>
      <c r="G44" s="61">
        <f>IF(FT!B44&lt;&gt;"",FT!B44*100,"")</f>
        <v>49.4041</v>
      </c>
      <c r="H44" s="61">
        <f t="shared" si="1"/>
        <v>1</v>
      </c>
      <c r="I44" t="str">
        <f>IF(FT!B44&lt;&gt;"",FT!E44,"")</f>
        <v>1 [17.042498]</v>
      </c>
      <c r="J44">
        <f>IF(FT!B44&lt;&gt;"",FT!C44,"")</f>
        <v>17.0425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3.5820499999999997</v>
      </c>
      <c r="G45" s="61">
        <f>IF(FT!B45&lt;&gt;"",FT!B45*100,"")</f>
        <v>49.576799999999999</v>
      </c>
      <c r="H45" s="61">
        <f t="shared" si="1"/>
        <v>1</v>
      </c>
      <c r="I45" t="str">
        <f>IF(FT!B45&lt;&gt;"",FT!E45,"")</f>
        <v>1 [17.450710]</v>
      </c>
      <c r="J45">
        <f>IF(FT!B45&lt;&gt;"",FT!C45,"")</f>
        <v>17.450700000000001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86539</v>
      </c>
      <c r="D46" s="61">
        <f>FH!B46*1</f>
        <v>86539</v>
      </c>
      <c r="E46">
        <f t="shared" si="3"/>
        <v>44</v>
      </c>
      <c r="F46" s="61">
        <f>IF(FT!A46&lt;&gt;"",FT!A46*10,"")</f>
        <v>3.5865499999999999</v>
      </c>
      <c r="G46" s="61">
        <f>IF(FT!B46&lt;&gt;"",FT!B46*100,"")</f>
        <v>49.691000000000003</v>
      </c>
      <c r="H46" s="61">
        <f t="shared" si="1"/>
        <v>1</v>
      </c>
      <c r="I46" t="str">
        <f>IF(FT!B46&lt;&gt;"",FT!E46,"")</f>
        <v>1 [17.854419]</v>
      </c>
      <c r="J46">
        <f>IF(FT!B46&lt;&gt;"",FT!C46,"")</f>
        <v>17.854399999999998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3.5952600000000001</v>
      </c>
      <c r="G47" s="61">
        <f>IF(FT!B47&lt;&gt;"",FT!B47*100,"")</f>
        <v>49.734699999999997</v>
      </c>
      <c r="H47" s="61">
        <f t="shared" si="1"/>
        <v>1</v>
      </c>
      <c r="I47" t="str">
        <f>IF(FT!B47&lt;&gt;"",FT!E47,"")</f>
        <v>1 [18.266140]</v>
      </c>
      <c r="J47">
        <f>IF(FT!B47&lt;&gt;"",FT!C47,"")</f>
        <v>18.266100000000002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3.609</v>
      </c>
      <c r="G48" s="61">
        <f>IF(FT!B48&lt;&gt;"",FT!B48*100,"")</f>
        <v>49.659700000000001</v>
      </c>
      <c r="H48" s="61">
        <f t="shared" si="1"/>
        <v>1</v>
      </c>
      <c r="I48" t="str">
        <f>IF(FT!B48&lt;&gt;"",FT!E48,"")</f>
        <v>1 [18.669424]</v>
      </c>
      <c r="J48">
        <f>IF(FT!B48&lt;&gt;"",FT!C48,"")</f>
        <v>18.6694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94097</v>
      </c>
      <c r="D49" s="61">
        <f>FH!B49*1</f>
        <v>94097</v>
      </c>
      <c r="E49">
        <f t="shared" si="3"/>
        <v>47</v>
      </c>
      <c r="F49" s="61">
        <f>IF(FT!A49&lt;&gt;"",FT!A49*10,"")</f>
        <v>3.6235400000000002</v>
      </c>
      <c r="G49" s="61">
        <f>IF(FT!B49&lt;&gt;"",FT!B49*100,"")</f>
        <v>49.589100000000002</v>
      </c>
      <c r="H49" s="61">
        <f t="shared" si="1"/>
        <v>1</v>
      </c>
      <c r="I49" t="str">
        <f>IF(FT!B49&lt;&gt;"",FT!E49,"")</f>
        <v>1 [19.072846]</v>
      </c>
      <c r="J49">
        <f>IF(FT!B49&lt;&gt;"",FT!C49,"")</f>
        <v>19.072800000000001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3.6365599999999998</v>
      </c>
      <c r="G50" s="61">
        <f>IF(FT!B50&lt;&gt;"",FT!B50*100,"")</f>
        <v>49.515000000000001</v>
      </c>
      <c r="H50" s="61">
        <f t="shared" si="1"/>
        <v>1</v>
      </c>
      <c r="I50" t="str">
        <f>IF(FT!B50&lt;&gt;"",FT!E50,"")</f>
        <v>1 [19.478269]</v>
      </c>
      <c r="J50">
        <f>IF(FT!B50&lt;&gt;"",FT!C50,"")</f>
        <v>19.478300000000001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111708</v>
      </c>
      <c r="D51" s="61">
        <f>FH!B51*1</f>
        <v>111708</v>
      </c>
      <c r="E51">
        <f t="shared" si="3"/>
        <v>49</v>
      </c>
      <c r="F51" s="61">
        <f>IF(FT!A51&lt;&gt;"",FT!A51*10,"")</f>
        <v>3.64846</v>
      </c>
      <c r="G51" s="61">
        <f>IF(FT!B51&lt;&gt;"",FT!B51*100,"")</f>
        <v>49.366399999999999</v>
      </c>
      <c r="H51" s="61">
        <f t="shared" si="1"/>
        <v>1</v>
      </c>
      <c r="I51" t="str">
        <f>IF(FT!B51&lt;&gt;"",FT!E51,"")</f>
        <v>1 [19.886959]</v>
      </c>
      <c r="J51">
        <f>IF(FT!B51&lt;&gt;"",FT!C51,"")</f>
        <v>19.887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3.6522199999999998</v>
      </c>
      <c r="G52" s="61">
        <f>IF(FT!B52&lt;&gt;"",FT!B52*100,"")</f>
        <v>49.345599999999997</v>
      </c>
      <c r="H52" s="61">
        <f t="shared" si="1"/>
        <v>1</v>
      </c>
      <c r="I52" t="str">
        <f>IF(FT!B52&lt;&gt;"",FT!E52,"")</f>
        <v>1 [20.295229]</v>
      </c>
      <c r="J52">
        <f>IF(FT!B52&lt;&gt;"",FT!C52,"")</f>
        <v>20.295200000000001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3.66689</v>
      </c>
      <c r="G53" s="61">
        <f>IF(FT!B53&lt;&gt;"",FT!B53*100,"")</f>
        <v>49.106999999999999</v>
      </c>
      <c r="H53" s="61">
        <f t="shared" si="1"/>
        <v>1</v>
      </c>
      <c r="I53" t="str">
        <f>IF(FT!B53&lt;&gt;"",FT!E53,"")</f>
        <v>1 [20.702255]</v>
      </c>
      <c r="J53">
        <f>IF(FT!B53&lt;&gt;"",FT!C53,"")</f>
        <v>20.702300000000001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115028</v>
      </c>
      <c r="D54" s="61">
        <f>FH!B54*1</f>
        <v>115028</v>
      </c>
      <c r="E54">
        <f t="shared" si="3"/>
        <v>52</v>
      </c>
      <c r="F54" s="61">
        <f>IF(FT!A54&lt;&gt;"",FT!A54*10,"")</f>
        <v>3.68858</v>
      </c>
      <c r="G54" s="61">
        <f>IF(FT!B54&lt;&gt;"",FT!B54*100,"")</f>
        <v>48.808800000000005</v>
      </c>
      <c r="H54" s="61">
        <f t="shared" si="1"/>
        <v>1</v>
      </c>
      <c r="I54" t="str">
        <f>IF(FT!B54&lt;&gt;"",FT!E54,"")</f>
        <v>1 [21.106365]</v>
      </c>
      <c r="J54">
        <f>IF(FT!B54&lt;&gt;"",FT!C54,"")</f>
        <v>21.106400000000001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3.7134099999999997</v>
      </c>
      <c r="G55" s="61">
        <f>IF(FT!B55&lt;&gt;"",FT!B55*100,"")</f>
        <v>48.516100000000002</v>
      </c>
      <c r="H55" s="61">
        <f t="shared" si="1"/>
        <v>1</v>
      </c>
      <c r="I55" t="str">
        <f>IF(FT!B55&lt;&gt;"",FT!E55,"")</f>
        <v>1 [21.516534]</v>
      </c>
      <c r="J55">
        <f>IF(FT!B55&lt;&gt;"",FT!C55,"")</f>
        <v>21.516500000000001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3.7364700000000002</v>
      </c>
      <c r="G56" s="61">
        <f>IF(FT!B56&lt;&gt;"",FT!B56*100,"")</f>
        <v>48.282000000000004</v>
      </c>
      <c r="H56" s="61">
        <f t="shared" si="1"/>
        <v>1</v>
      </c>
      <c r="I56" t="str">
        <f>IF(FT!B56&lt;&gt;"",FT!E56,"")</f>
        <v>1 [21.919572]</v>
      </c>
      <c r="J56">
        <f>IF(FT!B56&lt;&gt;"",FT!C56,"")</f>
        <v>21.919599999999999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138995</v>
      </c>
      <c r="D57" s="61">
        <f>FH!B57*1</f>
        <v>138995</v>
      </c>
      <c r="E57">
        <f t="shared" si="3"/>
        <v>55</v>
      </c>
      <c r="F57" s="61">
        <f>IF(FT!A57&lt;&gt;"",FT!A57*10,"")</f>
        <v>3.76119</v>
      </c>
      <c r="G57" s="61">
        <f>IF(FT!B57&lt;&gt;"",FT!B57*100,"")</f>
        <v>48.0794</v>
      </c>
      <c r="H57" s="61">
        <f t="shared" si="1"/>
        <v>1</v>
      </c>
      <c r="I57" t="str">
        <f>IF(FT!B57&lt;&gt;"",FT!E57,"")</f>
        <v>1 [22.321493]</v>
      </c>
      <c r="J57">
        <f>IF(FT!B57&lt;&gt;"",FT!C57,"")</f>
        <v>22.3215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3.7854999999999999</v>
      </c>
      <c r="G58" s="61">
        <f>IF(FT!B58&lt;&gt;"",FT!B58*100,"")</f>
        <v>47.941800000000001</v>
      </c>
      <c r="H58" s="61">
        <f t="shared" si="1"/>
        <v>1</v>
      </c>
      <c r="I58" t="str">
        <f>IF(FT!B58&lt;&gt;"",FT!E58,"")</f>
        <v>1 [22.728303]</v>
      </c>
      <c r="J58">
        <f>IF(FT!B58&lt;&gt;"",FT!C58,"")</f>
        <v>22.728300000000001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142152</v>
      </c>
      <c r="D59" s="61">
        <f>FH!B59*1</f>
        <v>142152</v>
      </c>
      <c r="E59">
        <f t="shared" si="3"/>
        <v>57</v>
      </c>
      <c r="F59" s="61">
        <f>IF(FT!A59&lt;&gt;"",FT!A59*10,"")</f>
        <v>3.8102100000000001</v>
      </c>
      <c r="G59" s="61">
        <f>IF(FT!B59&lt;&gt;"",FT!B59*100,"")</f>
        <v>47.891600000000004</v>
      </c>
      <c r="H59" s="61">
        <f t="shared" si="1"/>
        <v>1</v>
      </c>
      <c r="I59" t="str">
        <f>IF(FT!B59&lt;&gt;"",FT!E59,"")</f>
        <v>1 [23.140408]</v>
      </c>
      <c r="J59">
        <f>IF(FT!B59&lt;&gt;"",FT!C59,"")</f>
        <v>23.1404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3.8348</v>
      </c>
      <c r="G60" s="61">
        <f>IF(FT!B60&lt;&gt;"",FT!B60*100,"")</f>
        <v>47.883800000000001</v>
      </c>
      <c r="H60" s="61">
        <f t="shared" si="1"/>
        <v>1</v>
      </c>
      <c r="I60" t="str">
        <f>IF(FT!B60&lt;&gt;"",FT!E60,"")</f>
        <v>1 [23.546489]</v>
      </c>
      <c r="J60">
        <f>IF(FT!B60&lt;&gt;"",FT!C60,"")</f>
        <v>23.546500000000002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3.85826</v>
      </c>
      <c r="G61" s="61">
        <f>IF(FT!B61&lt;&gt;"",FT!B61*100,"")</f>
        <v>47.924700000000001</v>
      </c>
      <c r="H61" s="61">
        <f t="shared" si="1"/>
        <v>1</v>
      </c>
      <c r="I61" t="str">
        <f>IF(FT!B61&lt;&gt;"",FT!E61,"")</f>
        <v>1 [23.951107]</v>
      </c>
      <c r="J61">
        <f>IF(FT!B61&lt;&gt;"",FT!C61,"")</f>
        <v>23.9511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151660</v>
      </c>
      <c r="D62" s="61">
        <f>FH!B62*1</f>
        <v>151660</v>
      </c>
      <c r="E62">
        <f t="shared" si="3"/>
        <v>60</v>
      </c>
      <c r="F62" s="61">
        <f>IF(FT!A62&lt;&gt;"",FT!A62*10,"")</f>
        <v>3.8828499999999999</v>
      </c>
      <c r="G62" s="61">
        <f>IF(FT!B62&lt;&gt;"",FT!B62*100,"")</f>
        <v>48.011700000000005</v>
      </c>
      <c r="H62" s="61">
        <f t="shared" si="1"/>
        <v>1</v>
      </c>
      <c r="I62" t="str">
        <f>IF(FT!B62&lt;&gt;"",FT!E62,"")</f>
        <v>1 [24.353746]</v>
      </c>
      <c r="J62">
        <f>IF(FT!B62&lt;&gt;"",FT!C62,"")</f>
        <v>24.3537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3.91086</v>
      </c>
      <c r="G63" s="61">
        <f>IF(FT!B63&lt;&gt;"",FT!B63*100,"")</f>
        <v>48.092600000000004</v>
      </c>
      <c r="H63" s="61">
        <f t="shared" si="1"/>
        <v>1</v>
      </c>
      <c r="I63" t="str">
        <f>IF(FT!B63&lt;&gt;"",FT!E63,"")</f>
        <v>1 [24.763620]</v>
      </c>
      <c r="J63">
        <f>IF(FT!B63&lt;&gt;"",FT!C63,"")</f>
        <v>24.7636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150702</v>
      </c>
      <c r="D64" s="61">
        <f>FH!B64*1</f>
        <v>150702</v>
      </c>
      <c r="E64">
        <f t="shared" si="3"/>
        <v>62</v>
      </c>
      <c r="F64" s="61">
        <f>IF(FT!A64&lt;&gt;"",FT!A64*10,"")</f>
        <v>3.94028</v>
      </c>
      <c r="G64" s="61">
        <f>IF(FT!B64&lt;&gt;"",FT!B64*100,"")</f>
        <v>48.167400000000001</v>
      </c>
      <c r="H64" s="61">
        <f t="shared" si="1"/>
        <v>1</v>
      </c>
      <c r="I64" t="str">
        <f>IF(FT!B64&lt;&gt;"",FT!E64,"")</f>
        <v>1 [25.170848]</v>
      </c>
      <c r="J64">
        <f>IF(FT!B64&lt;&gt;"",FT!C64,"")</f>
        <v>25.1708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3.9681800000000003</v>
      </c>
      <c r="G65" s="61">
        <f>IF(FT!B65&lt;&gt;"",FT!B65*100,"")</f>
        <v>48.2712</v>
      </c>
      <c r="H65" s="61">
        <f t="shared" si="1"/>
        <v>1</v>
      </c>
      <c r="I65" t="str">
        <f>IF(FT!B65&lt;&gt;"",FT!E65,"")</f>
        <v>1 [25.578161]</v>
      </c>
      <c r="J65">
        <f>IF(FT!B65&lt;&gt;"",FT!C65,"")</f>
        <v>25.578199999999999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3.9916400000000003</v>
      </c>
      <c r="G66" s="61">
        <f>IF(FT!B66&lt;&gt;"",FT!B66*100,"")</f>
        <v>48.421300000000002</v>
      </c>
      <c r="H66" s="61">
        <f t="shared" si="1"/>
        <v>1</v>
      </c>
      <c r="I66" t="str">
        <f>IF(FT!B66&lt;&gt;"",FT!E66,"")</f>
        <v>1 [25.980847]</v>
      </c>
      <c r="J66">
        <f>IF(FT!B66&lt;&gt;"",FT!C66,"")</f>
        <v>25.980799999999999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160453</v>
      </c>
      <c r="D67" s="61">
        <f>FH!B67*1</f>
        <v>160453</v>
      </c>
      <c r="E67">
        <f t="shared" si="3"/>
        <v>65</v>
      </c>
      <c r="F67" s="61">
        <f>IF(FT!A67&lt;&gt;"",FT!A67*10,"")</f>
        <v>4.0133999999999999</v>
      </c>
      <c r="G67" s="61">
        <f>IF(FT!B67&lt;&gt;"",FT!B67*100,"")</f>
        <v>48.574600000000004</v>
      </c>
      <c r="H67" s="61">
        <f t="shared" ref="H67:H130" si="9">(IF(F67&lt;&gt;"",1,""))</f>
        <v>1</v>
      </c>
      <c r="I67" t="str">
        <f>IF(FT!B67&lt;&gt;"",FT!E67,"")</f>
        <v>1 [26.388883]</v>
      </c>
      <c r="J67">
        <f>IF(FT!B67&lt;&gt;"",FT!C67,"")</f>
        <v>26.3889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4.0321199999999999</v>
      </c>
      <c r="G68" s="61">
        <f>IF(FT!B68&lt;&gt;"",FT!B68*100,"")</f>
        <v>48.734000000000002</v>
      </c>
      <c r="H68" s="61">
        <f t="shared" si="9"/>
        <v>1</v>
      </c>
      <c r="I68" t="str">
        <f>IF(FT!B68&lt;&gt;"",FT!E68,"")</f>
        <v>1 [26.792868]</v>
      </c>
      <c r="J68">
        <f>IF(FT!B68&lt;&gt;"",FT!C68,"")</f>
        <v>26.792899999999999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169051</v>
      </c>
      <c r="D69" s="61">
        <f>FH!B69*1</f>
        <v>169051</v>
      </c>
      <c r="E69">
        <f t="shared" si="11"/>
        <v>67</v>
      </c>
      <c r="F69" s="61">
        <f>IF(FT!A69&lt;&gt;"",FT!A69*10,"")</f>
        <v>4.04582</v>
      </c>
      <c r="G69" s="61">
        <f>IF(FT!B69&lt;&gt;"",FT!B69*100,"")</f>
        <v>48.8536</v>
      </c>
      <c r="H69" s="61">
        <f t="shared" si="9"/>
        <v>1</v>
      </c>
      <c r="I69" t="str">
        <f>IF(FT!B69&lt;&gt;"",FT!E69,"")</f>
        <v>1 [27.200326]</v>
      </c>
      <c r="J69">
        <f>IF(FT!B69&lt;&gt;"",FT!C69,"")</f>
        <v>27.200299999999999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4.05185</v>
      </c>
      <c r="G70" s="61">
        <f>IF(FT!B70&lt;&gt;"",FT!B70*100,"")</f>
        <v>48.958100000000002</v>
      </c>
      <c r="H70" s="61">
        <f t="shared" si="9"/>
        <v>1</v>
      </c>
      <c r="I70" t="str">
        <f>IF(FT!B70&lt;&gt;"",FT!E70,"")</f>
        <v>1 [27.604929]</v>
      </c>
      <c r="J70">
        <f>IF(FT!B70&lt;&gt;"",FT!C70,"")</f>
        <v>27.604900000000001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4.0541400000000003</v>
      </c>
      <c r="G71" s="61">
        <f>IF(FT!B71&lt;&gt;"",FT!B71*100,"")</f>
        <v>49.018000000000001</v>
      </c>
      <c r="H71" s="61">
        <f t="shared" si="9"/>
        <v>1</v>
      </c>
      <c r="I71" t="str">
        <f>IF(FT!B71&lt;&gt;"",FT!E71,"")</f>
        <v>1 [28.010983]</v>
      </c>
      <c r="J71">
        <f>IF(FT!B71&lt;&gt;"",FT!C71,"")</f>
        <v>28.010999999999999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177778</v>
      </c>
      <c r="D72" s="61">
        <f>FH!B72*1</f>
        <v>177778</v>
      </c>
      <c r="E72">
        <f t="shared" si="11"/>
        <v>70</v>
      </c>
      <c r="F72" s="61">
        <f>IF(FT!A72&lt;&gt;"",FT!A72*10,"")</f>
        <v>4.0536499999999993</v>
      </c>
      <c r="G72" s="61">
        <f>IF(FT!B72&lt;&gt;"",FT!B72*100,"")</f>
        <v>49.056800000000003</v>
      </c>
      <c r="H72" s="61">
        <f t="shared" si="9"/>
        <v>1</v>
      </c>
      <c r="I72" t="str">
        <f>IF(FT!B72&lt;&gt;"",FT!E72,"")</f>
        <v>1 [28.417022]</v>
      </c>
      <c r="J72">
        <f>IF(FT!B72&lt;&gt;"",FT!C72,"")</f>
        <v>28.417000000000002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4.0486599999999999</v>
      </c>
      <c r="G73" s="61">
        <f>IF(FT!B73&lt;&gt;"",FT!B73*100,"")</f>
        <v>49.0837</v>
      </c>
      <c r="H73" s="61">
        <f t="shared" si="9"/>
        <v>1</v>
      </c>
      <c r="I73" t="str">
        <f>IF(FT!B73&lt;&gt;"",FT!E73,"")</f>
        <v>1 [28.822672]</v>
      </c>
      <c r="J73">
        <f>IF(FT!B73&lt;&gt;"",FT!C73,"")</f>
        <v>28.822700000000001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4.0431099999999995</v>
      </c>
      <c r="G74" s="61">
        <f>IF(FT!B74&lt;&gt;"",FT!B74*100,"")</f>
        <v>49.1389</v>
      </c>
      <c r="H74" s="61">
        <f t="shared" si="9"/>
        <v>1</v>
      </c>
      <c r="I74" t="str">
        <f>IF(FT!B74&lt;&gt;"",FT!E74,"")</f>
        <v>1 [29.228856]</v>
      </c>
      <c r="J74">
        <f>IF(FT!B74&lt;&gt;"",FT!C74,"")</f>
        <v>29.228899999999999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185752</v>
      </c>
      <c r="D75" s="61">
        <f>FH!B75*1</f>
        <v>185752</v>
      </c>
      <c r="E75">
        <f t="shared" si="11"/>
        <v>73</v>
      </c>
      <c r="F75" s="61">
        <f>IF(FT!A75&lt;&gt;"",FT!A75*10,"")</f>
        <v>4.0381800000000005</v>
      </c>
      <c r="G75" s="61">
        <f>IF(FT!B75&lt;&gt;"",FT!B75*100,"")</f>
        <v>49.215800000000002</v>
      </c>
      <c r="H75" s="61">
        <f t="shared" si="9"/>
        <v>1</v>
      </c>
      <c r="I75" t="str">
        <f>IF(FT!B75&lt;&gt;"",FT!E75,"")</f>
        <v>1 [29.639094]</v>
      </c>
      <c r="J75">
        <f>IF(FT!B75&lt;&gt;"",FT!C75,"")</f>
        <v>29.639099999999999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4.0283199999999999</v>
      </c>
      <c r="G76" s="61">
        <f>IF(FT!B76&lt;&gt;"",FT!B76*100,"")</f>
        <v>49.293399999999998</v>
      </c>
      <c r="H76" s="61">
        <f t="shared" si="9"/>
        <v>1</v>
      </c>
      <c r="I76" t="str">
        <f>IF(FT!B76&lt;&gt;"",FT!E76,"")</f>
        <v>2 [30.044657]</v>
      </c>
      <c r="J76">
        <f>IF(FT!B76&lt;&gt;"",FT!C76,"")</f>
        <v>30.044699999999999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185846</v>
      </c>
      <c r="D77" s="61">
        <f>FH!B77*1</f>
        <v>185846</v>
      </c>
      <c r="E77">
        <f t="shared" si="11"/>
        <v>75</v>
      </c>
      <c r="F77" s="61">
        <f>IF(FT!A77&lt;&gt;"",FT!A77*10,"")</f>
        <v>4.0136500000000002</v>
      </c>
      <c r="G77" s="61">
        <f>IF(FT!B77&lt;&gt;"",FT!B77*100,"")</f>
        <v>49.364699999999999</v>
      </c>
      <c r="H77" s="61">
        <f t="shared" si="9"/>
        <v>1</v>
      </c>
      <c r="I77" t="str">
        <f>IF(FT!B77&lt;&gt;"",FT!E77,"")</f>
        <v>2 [30.638257]</v>
      </c>
      <c r="J77">
        <f>IF(FT!B77&lt;&gt;"",FT!C77,"")</f>
        <v>30.638300000000001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4.0044899999999997</v>
      </c>
      <c r="G78" s="61">
        <f>IF(FT!B78&lt;&gt;"",FT!B78*100,"")</f>
        <v>49.4816</v>
      </c>
      <c r="H78" s="61">
        <f t="shared" si="9"/>
        <v>1</v>
      </c>
      <c r="I78" t="str">
        <f>IF(FT!B78&lt;&gt;"",FT!E78,"")</f>
        <v>2 [31.009871]</v>
      </c>
      <c r="J78">
        <f>IF(FT!B78&lt;&gt;"",FT!C78,"")</f>
        <v>31.009899999999998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3.9939299999999998</v>
      </c>
      <c r="G79" s="61">
        <f>IF(FT!B79&lt;&gt;"",FT!B79*100,"")</f>
        <v>49.597000000000001</v>
      </c>
      <c r="H79" s="61">
        <f t="shared" si="9"/>
        <v>1</v>
      </c>
      <c r="I79" t="str">
        <f>IF(FT!B79&lt;&gt;"",FT!E79,"")</f>
        <v>2 [31.386596]</v>
      </c>
      <c r="J79">
        <f>IF(FT!B79&lt;&gt;"",FT!C79,"")</f>
        <v>31.386600000000001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190646</v>
      </c>
      <c r="D80" s="61">
        <f>FH!B80*1</f>
        <v>190646</v>
      </c>
      <c r="E80">
        <f t="shared" si="11"/>
        <v>78</v>
      </c>
      <c r="F80" s="61">
        <f>IF(FT!A80&lt;&gt;"",FT!A80*10,"")</f>
        <v>3.9864100000000002</v>
      </c>
      <c r="G80" s="61">
        <f>IF(FT!B80&lt;&gt;"",FT!B80*100,"")</f>
        <v>49.684800000000003</v>
      </c>
      <c r="H80" s="61">
        <f t="shared" si="9"/>
        <v>1</v>
      </c>
      <c r="I80" t="str">
        <f>IF(FT!B80&lt;&gt;"",FT!E80,"")</f>
        <v>2 [31.761985]</v>
      </c>
      <c r="J80">
        <f>IF(FT!B80&lt;&gt;"",FT!C80,"")</f>
        <v>31.762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3.9809000000000001</v>
      </c>
      <c r="G81" s="61">
        <f>IF(FT!B81&lt;&gt;"",FT!B81*100,"")</f>
        <v>49.776199999999996</v>
      </c>
      <c r="H81" s="61">
        <f t="shared" si="9"/>
        <v>1</v>
      </c>
      <c r="I81" t="str">
        <f>IF(FT!B81&lt;&gt;"",FT!E81,"")</f>
        <v>2 [32.140739]</v>
      </c>
      <c r="J81">
        <f>IF(FT!B81&lt;&gt;"",FT!C81,"")</f>
        <v>32.140700000000002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204502</v>
      </c>
      <c r="D82" s="61">
        <f>FH!B82*1</f>
        <v>204502</v>
      </c>
      <c r="E82">
        <f t="shared" si="11"/>
        <v>80</v>
      </c>
      <c r="F82" s="61">
        <f>IF(FT!A82&lt;&gt;"",FT!A82*10,"")</f>
        <v>3.9758</v>
      </c>
      <c r="G82" s="61">
        <f>IF(FT!B82&lt;&gt;"",FT!B82*100,"")</f>
        <v>49.8598</v>
      </c>
      <c r="H82" s="61">
        <f t="shared" si="9"/>
        <v>1</v>
      </c>
      <c r="I82" t="str">
        <f>IF(FT!B82&lt;&gt;"",FT!E82,"")</f>
        <v>2 [32.543467]</v>
      </c>
      <c r="J82">
        <f>IF(FT!B82&lt;&gt;"",FT!C82,"")</f>
        <v>32.543500000000002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3.9719300000000004</v>
      </c>
      <c r="G83" s="61">
        <f>IF(FT!B83&lt;&gt;"",FT!B83*100,"")</f>
        <v>49.9009</v>
      </c>
      <c r="H83" s="61">
        <f t="shared" si="9"/>
        <v>1</v>
      </c>
      <c r="I83" t="str">
        <f>IF(FT!B83&lt;&gt;"",FT!E83,"")</f>
        <v>2 [32.948832]</v>
      </c>
      <c r="J83">
        <f>IF(FT!B83&lt;&gt;"",FT!C83,"")</f>
        <v>32.948799999999999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3.9674199999999997</v>
      </c>
      <c r="G84" s="61">
        <f>IF(FT!B84&lt;&gt;"",FT!B84*100,"")</f>
        <v>49.896900000000002</v>
      </c>
      <c r="H84" s="61">
        <f t="shared" si="9"/>
        <v>1</v>
      </c>
      <c r="I84" t="str">
        <f>IF(FT!B84&lt;&gt;"",FT!E84,"")</f>
        <v>2 [33.355044]</v>
      </c>
      <c r="J84">
        <f>IF(FT!B84&lt;&gt;"",FT!C84,"")</f>
        <v>33.354999999999997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216487</v>
      </c>
      <c r="D85" s="61">
        <f>FH!B85*1</f>
        <v>216487</v>
      </c>
      <c r="E85">
        <f t="shared" si="11"/>
        <v>83</v>
      </c>
      <c r="F85" s="61">
        <f>IF(FT!A85&lt;&gt;"",FT!A85*10,"")</f>
        <v>3.9630000000000001</v>
      </c>
      <c r="G85" s="61">
        <f>IF(FT!B85&lt;&gt;"",FT!B85*100,"")</f>
        <v>49.889299999999999</v>
      </c>
      <c r="H85" s="61">
        <f t="shared" si="9"/>
        <v>1</v>
      </c>
      <c r="I85" t="str">
        <f>IF(FT!B85&lt;&gt;"",FT!E85,"")</f>
        <v>2 [33.763135]</v>
      </c>
      <c r="J85">
        <f>IF(FT!B85&lt;&gt;"",FT!C85,"")</f>
        <v>33.763100000000001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3.9574799999999999</v>
      </c>
      <c r="G86" s="61">
        <f>IF(FT!B86&lt;&gt;"",FT!B86*100,"")</f>
        <v>49.849800000000002</v>
      </c>
      <c r="H86" s="61">
        <f t="shared" si="9"/>
        <v>1</v>
      </c>
      <c r="I86" t="str">
        <f>IF(FT!B86&lt;&gt;"",FT!E86,"")</f>
        <v>2 [34.172006]</v>
      </c>
      <c r="J86">
        <f>IF(FT!B86&lt;&gt;"",FT!C86,"")</f>
        <v>34.171999999999997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3.9479199999999999</v>
      </c>
      <c r="G87" s="61">
        <f>IF(FT!B87&lt;&gt;"",FT!B87*100,"")</f>
        <v>49.816099999999999</v>
      </c>
      <c r="H87" s="61">
        <f t="shared" si="9"/>
        <v>1</v>
      </c>
      <c r="I87" t="str">
        <f>IF(FT!B87&lt;&gt;"",FT!E87,"")</f>
        <v>2 [34.575738]</v>
      </c>
      <c r="J87">
        <f>IF(FT!B87&lt;&gt;"",FT!C87,"")</f>
        <v>34.575699999999998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217490</v>
      </c>
      <c r="D88" s="61">
        <f>FH!B88*1</f>
        <v>217490</v>
      </c>
      <c r="E88">
        <f t="shared" si="11"/>
        <v>86</v>
      </c>
      <c r="F88" s="61">
        <f>IF(FT!A88&lt;&gt;"",FT!A88*10,"")</f>
        <v>3.9393699999999998</v>
      </c>
      <c r="G88" s="61">
        <f>IF(FT!B88&lt;&gt;"",FT!B88*100,"")</f>
        <v>49.758800000000001</v>
      </c>
      <c r="H88" s="61">
        <f t="shared" si="9"/>
        <v>1</v>
      </c>
      <c r="I88" t="str">
        <f>IF(FT!B88&lt;&gt;"",FT!E88,"")</f>
        <v>2 [34.980800]</v>
      </c>
      <c r="J88">
        <f>IF(FT!B88&lt;&gt;"",FT!C88,"")</f>
        <v>34.980800000000002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3.9325100000000002</v>
      </c>
      <c r="G89" s="61">
        <f>IF(FT!B89&lt;&gt;"",FT!B89*100,"")</f>
        <v>49.693199999999997</v>
      </c>
      <c r="H89" s="61">
        <f t="shared" si="9"/>
        <v>1</v>
      </c>
      <c r="I89" t="str">
        <f>IF(FT!B89&lt;&gt;"",FT!E89,"")</f>
        <v>2 [35.387295]</v>
      </c>
      <c r="J89">
        <f>IF(FT!B89&lt;&gt;"",FT!C89,"")</f>
        <v>35.387300000000003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233927</v>
      </c>
      <c r="D90" s="61">
        <f>FH!B90*1</f>
        <v>233927</v>
      </c>
      <c r="E90">
        <f t="shared" si="11"/>
        <v>88</v>
      </c>
      <c r="F90" s="61">
        <f>IF(FT!A90&lt;&gt;"",FT!A90*10,"")</f>
        <v>3.92536</v>
      </c>
      <c r="G90" s="61">
        <f>IF(FT!B90&lt;&gt;"",FT!B90*100,"")</f>
        <v>49.607800000000005</v>
      </c>
      <c r="H90" s="61">
        <f t="shared" si="9"/>
        <v>1</v>
      </c>
      <c r="I90" t="str">
        <f>IF(FT!B90&lt;&gt;"",FT!E90,"")</f>
        <v>2 [35.797334]</v>
      </c>
      <c r="J90">
        <f>IF(FT!B90&lt;&gt;"",FT!C90,"")</f>
        <v>35.7973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3.9140299999999999</v>
      </c>
      <c r="G91" s="61">
        <f>IF(FT!B91&lt;&gt;"",FT!B91*100,"")</f>
        <v>49.591499999999996</v>
      </c>
      <c r="H91" s="61">
        <f t="shared" si="9"/>
        <v>1</v>
      </c>
      <c r="I91" t="str">
        <f>IF(FT!B91&lt;&gt;"",FT!E91,"")</f>
        <v>2 [36.198252]</v>
      </c>
      <c r="J91">
        <f>IF(FT!B91&lt;&gt;"",FT!C91,"")</f>
        <v>36.198300000000003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3.90367</v>
      </c>
      <c r="G92" s="61">
        <f>IF(FT!B92&lt;&gt;"",FT!B92*100,"")</f>
        <v>49.551200000000001</v>
      </c>
      <c r="H92" s="61">
        <f t="shared" si="9"/>
        <v>1</v>
      </c>
      <c r="I92" t="str">
        <f>IF(FT!B92&lt;&gt;"",FT!E92,"")</f>
        <v>2 [36.606394]</v>
      </c>
      <c r="J92">
        <f>IF(FT!B92&lt;&gt;"",FT!C92,"")</f>
        <v>36.606400000000001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242248</v>
      </c>
      <c r="D93" s="61">
        <f>FH!B93*1</f>
        <v>242248</v>
      </c>
      <c r="E93">
        <f t="shared" si="11"/>
        <v>91</v>
      </c>
      <c r="F93" s="61">
        <f>IF(FT!A93&lt;&gt;"",FT!A93*10,"")</f>
        <v>3.89337</v>
      </c>
      <c r="G93" s="61">
        <f>IF(FT!B93&lt;&gt;"",FT!B93*100,"")</f>
        <v>49.502000000000002</v>
      </c>
      <c r="H93" s="61">
        <f t="shared" si="9"/>
        <v>1</v>
      </c>
      <c r="I93" t="str">
        <f>IF(FT!B93&lt;&gt;"",FT!E93,"")</f>
        <v>2 [37.010539]</v>
      </c>
      <c r="J93">
        <f>IF(FT!B93&lt;&gt;"",FT!C93,"")</f>
        <v>37.0105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3.8832699999999996</v>
      </c>
      <c r="G94" s="61">
        <f>IF(FT!B94&lt;&gt;"",FT!B94*100,"")</f>
        <v>49.415900000000001</v>
      </c>
      <c r="H94" s="61">
        <f t="shared" si="9"/>
        <v>1</v>
      </c>
      <c r="I94" t="str">
        <f>IF(FT!B94&lt;&gt;"",FT!E94,"")</f>
        <v>2 [37.416118]</v>
      </c>
      <c r="J94">
        <f>IF(FT!B94&lt;&gt;"",FT!C94,"")</f>
        <v>37.4161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230333</v>
      </c>
      <c r="D95" s="61">
        <f>FH!B95*1</f>
        <v>230333</v>
      </c>
      <c r="E95">
        <f t="shared" si="11"/>
        <v>93</v>
      </c>
      <c r="F95" s="61">
        <f>IF(FT!A95&lt;&gt;"",FT!A95*10,"")</f>
        <v>3.8737700000000004</v>
      </c>
      <c r="G95" s="61">
        <f>IF(FT!B95&lt;&gt;"",FT!B95*100,"")</f>
        <v>49.2973</v>
      </c>
      <c r="H95" s="61">
        <f t="shared" si="9"/>
        <v>1</v>
      </c>
      <c r="I95" t="str">
        <f>IF(FT!B95&lt;&gt;"",FT!E95,"")</f>
        <v>2 [37.823214]</v>
      </c>
      <c r="J95">
        <f>IF(FT!B95&lt;&gt;"",FT!C95,"")</f>
        <v>37.8232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3.8633800000000003</v>
      </c>
      <c r="G96" s="61">
        <f>IF(FT!B96&lt;&gt;"",FT!B96*100,"")</f>
        <v>49.192300000000003</v>
      </c>
      <c r="H96" s="61">
        <f t="shared" si="9"/>
        <v>1</v>
      </c>
      <c r="I96" t="str">
        <f>IF(FT!B96&lt;&gt;"",FT!E96,"")</f>
        <v>2 [38.232259]</v>
      </c>
      <c r="J96">
        <f>IF(FT!B96&lt;&gt;"",FT!C96,"")</f>
        <v>38.232300000000002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3.8528800000000003</v>
      </c>
      <c r="G97" s="61">
        <f>IF(FT!B97&lt;&gt;"",FT!B97*100,"")</f>
        <v>49.076500000000003</v>
      </c>
      <c r="H97" s="61">
        <f t="shared" si="9"/>
        <v>1</v>
      </c>
      <c r="I97" t="str">
        <f>IF(FT!B97&lt;&gt;"",FT!E97,"")</f>
        <v>2 [38.638583]</v>
      </c>
      <c r="J97">
        <f>IF(FT!B97&lt;&gt;"",FT!C97,"")</f>
        <v>38.638599999999997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229274</v>
      </c>
      <c r="D98" s="61">
        <f>FH!B98*1</f>
        <v>229274</v>
      </c>
      <c r="E98">
        <f t="shared" si="11"/>
        <v>96</v>
      </c>
      <c r="F98" s="61">
        <f>IF(FT!A98&lt;&gt;"",FT!A98*10,"")</f>
        <v>3.8414700000000002</v>
      </c>
      <c r="G98" s="61">
        <f>IF(FT!B98&lt;&gt;"",FT!B98*100,"")</f>
        <v>48.967399999999998</v>
      </c>
      <c r="H98" s="61">
        <f t="shared" si="9"/>
        <v>1</v>
      </c>
      <c r="I98" t="str">
        <f>IF(FT!B98&lt;&gt;"",FT!E98,"")</f>
        <v>2 [39.043297]</v>
      </c>
      <c r="J98">
        <f>IF(FT!B98&lt;&gt;"",FT!C98,"")</f>
        <v>39.043300000000002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3.8270500000000003</v>
      </c>
      <c r="G99" s="61">
        <f>IF(FT!B99&lt;&gt;"",FT!B99*100,"")</f>
        <v>48.838300000000004</v>
      </c>
      <c r="H99" s="61">
        <f t="shared" si="9"/>
        <v>1</v>
      </c>
      <c r="I99" t="str">
        <f>IF(FT!B99&lt;&gt;"",FT!E99,"")</f>
        <v>2 [39.447834]</v>
      </c>
      <c r="J99">
        <f>IF(FT!B99&lt;&gt;"",FT!C99,"")</f>
        <v>39.447800000000001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228013</v>
      </c>
      <c r="D100" s="61">
        <f>FH!B100*1</f>
        <v>228013</v>
      </c>
      <c r="E100">
        <f t="shared" si="11"/>
        <v>98</v>
      </c>
      <c r="F100" s="61">
        <f>IF(FT!A100&lt;&gt;"",FT!A100*10,"")</f>
        <v>3.8155299999999999</v>
      </c>
      <c r="G100" s="61">
        <f>IF(FT!B100&lt;&gt;"",FT!B100*100,"")</f>
        <v>48.7239</v>
      </c>
      <c r="H100" s="61">
        <f t="shared" si="9"/>
        <v>1</v>
      </c>
      <c r="I100" t="str">
        <f>IF(FT!B100&lt;&gt;"",FT!E100,"")</f>
        <v>2 [39.857161]</v>
      </c>
      <c r="J100">
        <f>IF(FT!B100&lt;&gt;"",FT!C100,"")</f>
        <v>39.857199999999999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3.8052999999999999</v>
      </c>
      <c r="G101" s="61">
        <f>IF(FT!B101&lt;&gt;"",FT!B101*100,"")</f>
        <v>48.631799999999998</v>
      </c>
      <c r="H101" s="61">
        <f t="shared" si="9"/>
        <v>1</v>
      </c>
      <c r="I101" t="str">
        <f>IF(FT!B101&lt;&gt;"",FT!E101,"")</f>
        <v>2 [40.262974]</v>
      </c>
      <c r="J101">
        <f>IF(FT!B101&lt;&gt;"",FT!C101,"")</f>
        <v>40.262999999999998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3.7922899999999999</v>
      </c>
      <c r="G102" s="61">
        <f>IF(FT!B102&lt;&gt;"",FT!B102*100,"")</f>
        <v>48.513500000000001</v>
      </c>
      <c r="H102" s="61">
        <f t="shared" si="9"/>
        <v>1</v>
      </c>
      <c r="I102" t="str">
        <f>IF(FT!B102&lt;&gt;"",FT!E102,"")</f>
        <v>2 [40.670593]</v>
      </c>
      <c r="J102">
        <f>IF(FT!B102&lt;&gt;"",FT!C102,"")</f>
        <v>40.6706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242980</v>
      </c>
      <c r="D103" s="61">
        <f>FH!B103*1</f>
        <v>242980</v>
      </c>
      <c r="E103">
        <f t="shared" si="11"/>
        <v>101</v>
      </c>
      <c r="F103" s="61">
        <f>IF(FT!A103&lt;&gt;"",FT!A103*10,"")</f>
        <v>3.7745600000000001</v>
      </c>
      <c r="G103" s="61">
        <f>IF(FT!B103&lt;&gt;"",FT!B103*100,"")</f>
        <v>48.389099999999999</v>
      </c>
      <c r="H103" s="61">
        <f t="shared" si="9"/>
        <v>1</v>
      </c>
      <c r="I103" t="str">
        <f>IF(FT!B103&lt;&gt;"",FT!E103,"")</f>
        <v>2 [41.074212]</v>
      </c>
      <c r="J103">
        <f>IF(FT!B103&lt;&gt;"",FT!C103,"")</f>
        <v>41.074199999999998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3.7563999999999997</v>
      </c>
      <c r="G104" s="61">
        <f>IF(FT!B104&lt;&gt;"",FT!B104*100,"")</f>
        <v>48.295100000000005</v>
      </c>
      <c r="H104" s="61">
        <f t="shared" si="9"/>
        <v>1</v>
      </c>
      <c r="I104" t="str">
        <f>IF(FT!B104&lt;&gt;"",FT!E104,"")</f>
        <v>2 [41.479828]</v>
      </c>
      <c r="J104">
        <f>IF(FT!B104&lt;&gt;"",FT!C104,"")</f>
        <v>41.479799999999997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3.73732</v>
      </c>
      <c r="G105" s="61">
        <f>IF(FT!B105&lt;&gt;"",FT!B105*100,"")</f>
        <v>48.229799999999997</v>
      </c>
      <c r="H105" s="61">
        <f t="shared" si="9"/>
        <v>1</v>
      </c>
      <c r="I105" t="str">
        <f>IF(FT!B105&lt;&gt;"",FT!E105,"")</f>
        <v>2 [41.885738]</v>
      </c>
      <c r="J105">
        <f>IF(FT!B105&lt;&gt;"",FT!C105,"")</f>
        <v>41.8857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229214</v>
      </c>
      <c r="D106" s="61">
        <f>FH!B106*1</f>
        <v>229214</v>
      </c>
      <c r="E106">
        <f t="shared" si="11"/>
        <v>104</v>
      </c>
      <c r="F106" s="61">
        <f>IF(FT!A106&lt;&gt;"",FT!A106*10,"")</f>
        <v>3.7141800000000003</v>
      </c>
      <c r="G106" s="61">
        <f>IF(FT!B106&lt;&gt;"",FT!B106*100,"")</f>
        <v>48.178199999999997</v>
      </c>
      <c r="H106" s="61">
        <f t="shared" si="9"/>
        <v>1</v>
      </c>
      <c r="I106" t="str">
        <f>IF(FT!B106&lt;&gt;"",FT!E106,"")</f>
        <v>2 [42.293648]</v>
      </c>
      <c r="J106">
        <f>IF(FT!B106&lt;&gt;"",FT!C106,"")</f>
        <v>42.293599999999998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3.6905199999999998</v>
      </c>
      <c r="G107" s="61">
        <f>IF(FT!B107&lt;&gt;"",FT!B107*100,"")</f>
        <v>48.1524</v>
      </c>
      <c r="H107" s="61">
        <f t="shared" si="9"/>
        <v>1</v>
      </c>
      <c r="I107" t="str">
        <f>IF(FT!B107&lt;&gt;"",FT!E107,"")</f>
        <v>2 [42.698652]</v>
      </c>
      <c r="J107">
        <f>IF(FT!B107&lt;&gt;"",FT!C107,"")</f>
        <v>42.698700000000002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222661</v>
      </c>
      <c r="D108" s="61">
        <f>FH!B108*1</f>
        <v>222661</v>
      </c>
      <c r="E108">
        <f t="shared" si="11"/>
        <v>106</v>
      </c>
      <c r="F108" s="61">
        <f>IF(FT!A108&lt;&gt;"",FT!A108*10,"")</f>
        <v>3.6675499999999999</v>
      </c>
      <c r="G108" s="61">
        <f>IF(FT!B108&lt;&gt;"",FT!B108*100,"")</f>
        <v>48.128999999999998</v>
      </c>
      <c r="H108" s="61">
        <f t="shared" si="9"/>
        <v>1</v>
      </c>
      <c r="I108" t="str">
        <f>IF(FT!B108&lt;&gt;"",FT!E108,"")</f>
        <v>2 [43.105150]</v>
      </c>
      <c r="J108">
        <f>IF(FT!B108&lt;&gt;"",FT!C108,"")</f>
        <v>43.105200000000004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3.6469899999999997</v>
      </c>
      <c r="G109" s="61">
        <f>IF(FT!B109&lt;&gt;"",FT!B109*100,"")</f>
        <v>48.104500000000002</v>
      </c>
      <c r="H109" s="61">
        <f t="shared" si="9"/>
        <v>1</v>
      </c>
      <c r="I109" t="str">
        <f>IF(FT!B109&lt;&gt;"",FT!E109,"")</f>
        <v>2 [43.516286]</v>
      </c>
      <c r="J109">
        <f>IF(FT!B109&lt;&gt;"",FT!C109,"")</f>
        <v>43.516300000000001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3.6274099999999998</v>
      </c>
      <c r="G110" s="61">
        <f>IF(FT!B110&lt;&gt;"",FT!B110*100,"")</f>
        <v>48.1</v>
      </c>
      <c r="H110" s="61">
        <f t="shared" si="9"/>
        <v>1</v>
      </c>
      <c r="I110" t="str">
        <f>IF(FT!B110&lt;&gt;"",FT!E110,"")</f>
        <v>2 [43.918879]</v>
      </c>
      <c r="J110">
        <f>IF(FT!B110&lt;&gt;"",FT!C110,"")</f>
        <v>43.918900000000001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229719</v>
      </c>
      <c r="D111" s="61">
        <f>FH!B111*1</f>
        <v>229719</v>
      </c>
      <c r="E111">
        <f t="shared" si="11"/>
        <v>109</v>
      </c>
      <c r="F111" s="61">
        <f>IF(FT!A111&lt;&gt;"",FT!A111*10,"")</f>
        <v>3.6090400000000002</v>
      </c>
      <c r="G111" s="61">
        <f>IF(FT!B111&lt;&gt;"",FT!B111*100,"")</f>
        <v>48.089799999999997</v>
      </c>
      <c r="H111" s="61">
        <f t="shared" si="9"/>
        <v>1</v>
      </c>
      <c r="I111" t="str">
        <f>IF(FT!B111&lt;&gt;"",FT!E111,"")</f>
        <v>2 [44.325326]</v>
      </c>
      <c r="J111">
        <f>IF(FT!B111&lt;&gt;"",FT!C111,"")</f>
        <v>44.325299999999999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3.5918299999999999</v>
      </c>
      <c r="G112" s="61">
        <f>IF(FT!B112&lt;&gt;"",FT!B112*100,"")</f>
        <v>48.023800000000001</v>
      </c>
      <c r="H112" s="61">
        <f t="shared" si="9"/>
        <v>1</v>
      </c>
      <c r="I112" t="str">
        <f>IF(FT!B112&lt;&gt;"",FT!E112,"")</f>
        <v>2 [44.731229]</v>
      </c>
      <c r="J112">
        <f>IF(FT!B112&lt;&gt;"",FT!C112,"")</f>
        <v>44.731200000000001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224373</v>
      </c>
      <c r="D113" s="61">
        <f>FH!B113*1</f>
        <v>224373</v>
      </c>
      <c r="E113">
        <f t="shared" si="11"/>
        <v>111</v>
      </c>
      <c r="F113" s="61">
        <f>IF(FT!A113&lt;&gt;"",FT!A113*10,"")</f>
        <v>3.5708299999999999</v>
      </c>
      <c r="G113" s="61">
        <f>IF(FT!B113&lt;&gt;"",FT!B113*100,"")</f>
        <v>48.043700000000001</v>
      </c>
      <c r="H113" s="61">
        <f t="shared" si="9"/>
        <v>1</v>
      </c>
      <c r="I113" t="str">
        <f>IF(FT!B113&lt;&gt;"",FT!E113,"")</f>
        <v>2 [45.134751]</v>
      </c>
      <c r="J113">
        <f>IF(FT!B113&lt;&gt;"",FT!C113,"")</f>
        <v>45.134799999999998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3.5464000000000002</v>
      </c>
      <c r="G114" s="61">
        <f>IF(FT!B114&lt;&gt;"",FT!B114*100,"")</f>
        <v>48.193100000000001</v>
      </c>
      <c r="H114" s="61">
        <f t="shared" si="9"/>
        <v>1</v>
      </c>
      <c r="I114" t="str">
        <f>IF(FT!B114&lt;&gt;"",FT!E114,"")</f>
        <v>2 [45.544552]</v>
      </c>
      <c r="J114">
        <f>IF(FT!B114&lt;&gt;"",FT!C114,"")</f>
        <v>45.544600000000003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3.5259800000000001</v>
      </c>
      <c r="G115" s="61">
        <f>IF(FT!B115&lt;&gt;"",FT!B115*100,"")</f>
        <v>48.239599999999996</v>
      </c>
      <c r="H115" s="61">
        <f t="shared" si="9"/>
        <v>1</v>
      </c>
      <c r="I115" t="str">
        <f>IF(FT!B115&lt;&gt;"",FT!E115,"")</f>
        <v>2 [45.951897]</v>
      </c>
      <c r="J115">
        <f>IF(FT!B115&lt;&gt;"",FT!C115,"")</f>
        <v>45.951900000000002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217644</v>
      </c>
      <c r="D116" s="61">
        <f>FH!B116*1</f>
        <v>217644</v>
      </c>
      <c r="E116">
        <f t="shared" si="11"/>
        <v>114</v>
      </c>
      <c r="F116" s="61">
        <f>IF(FT!A116&lt;&gt;"",FT!A116*10,"")</f>
        <v>3.5120400000000003</v>
      </c>
      <c r="G116" s="61">
        <f>IF(FT!B116&lt;&gt;"",FT!B116*100,"")</f>
        <v>48.101599999999998</v>
      </c>
      <c r="H116" s="61">
        <f t="shared" si="9"/>
        <v>1</v>
      </c>
      <c r="I116" t="str">
        <f>IF(FT!B116&lt;&gt;"",FT!E116,"")</f>
        <v>2 [46.353606]</v>
      </c>
      <c r="J116">
        <f>IF(FT!B116&lt;&gt;"",FT!C116,"")</f>
        <v>46.3536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3.4996999999999998</v>
      </c>
      <c r="G117" s="61">
        <f>IF(FT!B117&lt;&gt;"",FT!B117*100,"")</f>
        <v>47.929899999999996</v>
      </c>
      <c r="H117" s="61">
        <f t="shared" si="9"/>
        <v>1</v>
      </c>
      <c r="I117" t="str">
        <f>IF(FT!B117&lt;&gt;"",FT!E117,"")</f>
        <v>2 [46.761377]</v>
      </c>
      <c r="J117">
        <f>IF(FT!B117&lt;&gt;"",FT!C117,"")</f>
        <v>46.761400000000002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200655</v>
      </c>
      <c r="D118" s="61">
        <f>FH!B118*1</f>
        <v>200655</v>
      </c>
      <c r="E118">
        <f t="shared" si="11"/>
        <v>116</v>
      </c>
      <c r="F118" s="61">
        <f>IF(FT!A118&lt;&gt;"",FT!A118*10,"")</f>
        <v>3.4896199999999999</v>
      </c>
      <c r="G118" s="61">
        <f>IF(FT!B118&lt;&gt;"",FT!B118*100,"")</f>
        <v>47.715699999999998</v>
      </c>
      <c r="H118" s="61">
        <f t="shared" si="9"/>
        <v>1</v>
      </c>
      <c r="I118" t="str">
        <f>IF(FT!B118&lt;&gt;"",FT!E118,"")</f>
        <v>2 [47.168529]</v>
      </c>
      <c r="J118">
        <f>IF(FT!B118&lt;&gt;"",FT!C118,"")</f>
        <v>47.168500000000002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3.4843299999999999</v>
      </c>
      <c r="G119" s="61">
        <f>IF(FT!B119&lt;&gt;"",FT!B119*100,"")</f>
        <v>47.414899999999996</v>
      </c>
      <c r="H119" s="61">
        <f t="shared" si="9"/>
        <v>1</v>
      </c>
      <c r="I119" t="str">
        <f>IF(FT!B119&lt;&gt;"",FT!E119,"")</f>
        <v>2 [47.573650]</v>
      </c>
      <c r="J119">
        <f>IF(FT!B119&lt;&gt;"",FT!C119,"")</f>
        <v>47.573700000000002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3.4839399999999996</v>
      </c>
      <c r="G120" s="61">
        <f>IF(FT!B120&lt;&gt;"",FT!B120*100,"")</f>
        <v>47.031500000000001</v>
      </c>
      <c r="H120" s="61">
        <f t="shared" si="9"/>
        <v>1</v>
      </c>
      <c r="I120" t="str">
        <f>IF(FT!B120&lt;&gt;"",FT!E120,"")</f>
        <v>2 [47.984884]</v>
      </c>
      <c r="J120">
        <f>IF(FT!B120&lt;&gt;"",FT!C120,"")</f>
        <v>47.984900000000003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179201</v>
      </c>
      <c r="D121" s="61">
        <f>FH!B121*1</f>
        <v>179201</v>
      </c>
      <c r="E121">
        <f t="shared" si="11"/>
        <v>119</v>
      </c>
      <c r="F121" s="61">
        <f>IF(FT!A121&lt;&gt;"",FT!A121*10,"")</f>
        <v>3.4832700000000001</v>
      </c>
      <c r="G121" s="61">
        <f>IF(FT!B121&lt;&gt;"",FT!B121*100,"")</f>
        <v>46.7121</v>
      </c>
      <c r="H121" s="61">
        <f t="shared" si="9"/>
        <v>1</v>
      </c>
      <c r="I121" t="str">
        <f>IF(FT!B121&lt;&gt;"",FT!E121,"")</f>
        <v>2 [48.385774]</v>
      </c>
      <c r="J121">
        <f>IF(FT!B121&lt;&gt;"",FT!C121,"")</f>
        <v>48.385800000000003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3.4824799999999998</v>
      </c>
      <c r="G122" s="61">
        <f>IF(FT!B122&lt;&gt;"",FT!B122*100,"")</f>
        <v>46.445900000000002</v>
      </c>
      <c r="H122" s="61">
        <f t="shared" si="9"/>
        <v>1</v>
      </c>
      <c r="I122" t="str">
        <f>IF(FT!B122&lt;&gt;"",FT!E122,"")</f>
        <v>2 [48.791671]</v>
      </c>
      <c r="J122">
        <f>IF(FT!B122&lt;&gt;"",FT!C122,"")</f>
        <v>48.791699999999999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3.4825499999999998</v>
      </c>
      <c r="G123" s="61">
        <f>IF(FT!B123&lt;&gt;"",FT!B123*100,"")</f>
        <v>46.203400000000002</v>
      </c>
      <c r="H123" s="61">
        <f t="shared" si="9"/>
        <v>1</v>
      </c>
      <c r="I123" t="str">
        <f>IF(FT!B123&lt;&gt;"",FT!E123,"")</f>
        <v>2 [49.201456]</v>
      </c>
      <c r="J123">
        <f>IF(FT!B123&lt;&gt;"",FT!C123,"")</f>
        <v>49.201500000000003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156897</v>
      </c>
      <c r="D124" s="61">
        <f>FH!B124*1</f>
        <v>156897</v>
      </c>
      <c r="E124">
        <f t="shared" si="11"/>
        <v>122</v>
      </c>
      <c r="F124" s="61">
        <f>IF(FT!A124&lt;&gt;"",FT!A124*10,"")</f>
        <v>3.4839599999999997</v>
      </c>
      <c r="G124" s="61">
        <f>IF(FT!B124&lt;&gt;"",FT!B124*100,"")</f>
        <v>45.972000000000001</v>
      </c>
      <c r="H124" s="61">
        <f t="shared" si="9"/>
        <v>1</v>
      </c>
      <c r="I124" t="str">
        <f>IF(FT!B124&lt;&gt;"",FT!E124,"")</f>
        <v>2 [49.608047]</v>
      </c>
      <c r="J124">
        <f>IF(FT!B124&lt;&gt;"",FT!C124,"")</f>
        <v>49.607999999999997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3.4864000000000002</v>
      </c>
      <c r="G125" s="61">
        <f>IF(FT!B125&lt;&gt;"",FT!B125*100,"")</f>
        <v>45.763999999999996</v>
      </c>
      <c r="H125" s="61">
        <f t="shared" si="9"/>
        <v>1</v>
      </c>
      <c r="I125" t="str">
        <f>IF(FT!B125&lt;&gt;"",FT!E125,"")</f>
        <v>2 [50.012870]</v>
      </c>
      <c r="J125">
        <f>IF(FT!B125&lt;&gt;"",FT!C125,"")</f>
        <v>50.012900000000002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147537</v>
      </c>
      <c r="D126" s="61">
        <f>FH!B126*1</f>
        <v>147537</v>
      </c>
      <c r="E126">
        <f t="shared" si="11"/>
        <v>124</v>
      </c>
      <c r="F126" s="61">
        <f>IF(FT!A126&lt;&gt;"",FT!A126*10,"")</f>
        <v>3.4886499999999998</v>
      </c>
      <c r="G126" s="61">
        <f>IF(FT!B126&lt;&gt;"",FT!B126*100,"")</f>
        <v>45.587600000000002</v>
      </c>
      <c r="H126" s="61">
        <f t="shared" si="9"/>
        <v>1</v>
      </c>
      <c r="I126" t="str">
        <f>IF(FT!B126&lt;&gt;"",FT!E126,"")</f>
        <v>2 [50.418659]</v>
      </c>
      <c r="J126">
        <f>IF(FT!B126&lt;&gt;"",FT!C126,"")</f>
        <v>50.418700000000001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3.4926600000000003</v>
      </c>
      <c r="G127" s="61">
        <f>IF(FT!B127&lt;&gt;"",FT!B127*100,"")</f>
        <v>45.3996</v>
      </c>
      <c r="H127" s="61">
        <f t="shared" si="9"/>
        <v>1</v>
      </c>
      <c r="I127" t="str">
        <f>IF(FT!B127&lt;&gt;"",FT!E127,"")</f>
        <v>2 [50.824460]</v>
      </c>
      <c r="J127">
        <f>IF(FT!B127&lt;&gt;"",FT!C127,"")</f>
        <v>50.8245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3.4995099999999999</v>
      </c>
      <c r="G128" s="61">
        <f>IF(FT!B128&lt;&gt;"",FT!B128*100,"")</f>
        <v>45.196899999999999</v>
      </c>
      <c r="H128" s="61">
        <f t="shared" si="9"/>
        <v>1</v>
      </c>
      <c r="I128" t="str">
        <f>IF(FT!B128&lt;&gt;"",FT!E128,"")</f>
        <v>2 [51.234036]</v>
      </c>
      <c r="J128">
        <f>IF(FT!B128&lt;&gt;"",FT!C128,"")</f>
        <v>51.234000000000002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127539</v>
      </c>
      <c r="D129" s="61">
        <f>FH!B129*1</f>
        <v>127539</v>
      </c>
      <c r="E129">
        <f t="shared" si="11"/>
        <v>127</v>
      </c>
      <c r="F129" s="61">
        <f>IF(FT!A129&lt;&gt;"",FT!A129*10,"")</f>
        <v>3.5059100000000001</v>
      </c>
      <c r="G129" s="61">
        <f>IF(FT!B129&lt;&gt;"",FT!B129*100,"")</f>
        <v>44.991999999999997</v>
      </c>
      <c r="H129" s="61">
        <f t="shared" si="9"/>
        <v>1</v>
      </c>
      <c r="I129" t="str">
        <f>IF(FT!B129&lt;&gt;"",FT!E129,"")</f>
        <v>2 [51.637868]</v>
      </c>
      <c r="J129">
        <f>IF(FT!B129&lt;&gt;"",FT!C129,"")</f>
        <v>51.637900000000002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3.5114800000000002</v>
      </c>
      <c r="G130" s="61">
        <f>IF(FT!B130&lt;&gt;"",FT!B130*100,"")</f>
        <v>44.790400000000005</v>
      </c>
      <c r="H130" s="61">
        <f t="shared" si="9"/>
        <v>1</v>
      </c>
      <c r="I130" t="str">
        <f>IF(FT!B130&lt;&gt;"",FT!E130,"")</f>
        <v>2 [52.044952]</v>
      </c>
      <c r="J130">
        <f>IF(FT!B130&lt;&gt;"",FT!C130,"")</f>
        <v>52.045000000000002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107067</v>
      </c>
      <c r="D131" s="61">
        <f>FH!B131*1</f>
        <v>107067</v>
      </c>
      <c r="E131">
        <f t="shared" si="11"/>
        <v>129</v>
      </c>
      <c r="F131" s="61">
        <f>IF(FT!A131&lt;&gt;"",FT!A131*10,"")</f>
        <v>3.5196199999999997</v>
      </c>
      <c r="G131" s="61">
        <f>IF(FT!B131&lt;&gt;"",FT!B131*100,"")</f>
        <v>44.557200000000002</v>
      </c>
      <c r="H131" s="61">
        <f t="shared" ref="H131:H194" si="13">(IF(F131&lt;&gt;"",1,""))</f>
        <v>1</v>
      </c>
      <c r="I131" t="str">
        <f>IF(FT!B131&lt;&gt;"",FT!E131,"")</f>
        <v>2 [52.448181]</v>
      </c>
      <c r="J131">
        <f>IF(FT!B131&lt;&gt;"",FT!C131,"")</f>
        <v>52.4482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3.5269400000000002</v>
      </c>
      <c r="G132" s="61">
        <f>IF(FT!B132&lt;&gt;"",FT!B132*100,"")</f>
        <v>44.286900000000003</v>
      </c>
      <c r="H132" s="61">
        <f t="shared" si="13"/>
        <v>1</v>
      </c>
      <c r="I132" t="str">
        <f>IF(FT!B132&lt;&gt;"",FT!E132,"")</f>
        <v>2 [52.856478]</v>
      </c>
      <c r="J132">
        <f>IF(FT!B132&lt;&gt;"",FT!C132,"")</f>
        <v>52.856499999999997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3.5331700000000001</v>
      </c>
      <c r="G133" s="61">
        <f>IF(FT!B133&lt;&gt;"",FT!B133*100,"")</f>
        <v>44.020299999999999</v>
      </c>
      <c r="H133" s="61">
        <f t="shared" si="13"/>
        <v>1</v>
      </c>
      <c r="I133" t="str">
        <f>IF(FT!B133&lt;&gt;"",FT!E133,"")</f>
        <v>2 [53.261673]</v>
      </c>
      <c r="J133">
        <f>IF(FT!B133&lt;&gt;"",FT!C133,"")</f>
        <v>53.261699999999998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89893</v>
      </c>
      <c r="D134" s="61">
        <f>FH!B134*1</f>
        <v>89893</v>
      </c>
      <c r="E134">
        <f t="shared" si="15"/>
        <v>132</v>
      </c>
      <c r="F134" s="61">
        <f>IF(FT!A134&lt;&gt;"",FT!A134*10,"")</f>
        <v>3.5365400000000005</v>
      </c>
      <c r="G134" s="61">
        <f>IF(FT!B134&lt;&gt;"",FT!B134*100,"")</f>
        <v>43.769500000000001</v>
      </c>
      <c r="H134" s="61">
        <f t="shared" si="13"/>
        <v>1</v>
      </c>
      <c r="I134" t="str">
        <f>IF(FT!B134&lt;&gt;"",FT!E134,"")</f>
        <v>2 [53.671929]</v>
      </c>
      <c r="J134">
        <f>IF(FT!B134&lt;&gt;"",FT!C134,"")</f>
        <v>53.671900000000001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3.5380799999999999</v>
      </c>
      <c r="G135" s="61">
        <f>IF(FT!B135&lt;&gt;"",FT!B135*100,"")</f>
        <v>43.523299999999999</v>
      </c>
      <c r="H135" s="61">
        <f t="shared" si="13"/>
        <v>1</v>
      </c>
      <c r="I135" t="str">
        <f>IF(FT!B135&lt;&gt;"",FT!E135,"")</f>
        <v>2 [54.077503]</v>
      </c>
      <c r="J135">
        <f>IF(FT!B135&lt;&gt;"",FT!C135,"")</f>
        <v>54.077500000000001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73160</v>
      </c>
      <c r="D136" s="61">
        <f>FH!B136*1</f>
        <v>73160</v>
      </c>
      <c r="E136">
        <f t="shared" si="15"/>
        <v>134</v>
      </c>
      <c r="F136" s="61">
        <f>IF(FT!A136&lt;&gt;"",FT!A136*10,"")</f>
        <v>3.5387499999999998</v>
      </c>
      <c r="G136" s="61">
        <f>IF(FT!B136&lt;&gt;"",FT!B136*100,"")</f>
        <v>43.268799999999999</v>
      </c>
      <c r="H136" s="61">
        <f t="shared" si="13"/>
        <v>1</v>
      </c>
      <c r="I136" t="str">
        <f>IF(FT!B136&lt;&gt;"",FT!E136,"")</f>
        <v>2 [54.480765]</v>
      </c>
      <c r="J136">
        <f>IF(FT!B136&lt;&gt;"",FT!C136,"")</f>
        <v>54.480800000000002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3.5382699999999998</v>
      </c>
      <c r="G137" s="61">
        <f>IF(FT!B137&lt;&gt;"",FT!B137*100,"")</f>
        <v>43.089399999999998</v>
      </c>
      <c r="H137" s="61">
        <f t="shared" si="13"/>
        <v>1</v>
      </c>
      <c r="I137" t="str">
        <f>IF(FT!B137&lt;&gt;"",FT!E137,"")</f>
        <v>2 [54.887385]</v>
      </c>
      <c r="J137">
        <f>IF(FT!B137&lt;&gt;"",FT!C137,"")</f>
        <v>54.8874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3.5409000000000002</v>
      </c>
      <c r="G138" s="61">
        <f>IF(FT!B138&lt;&gt;"",FT!B138*100,"")</f>
        <v>42.9041</v>
      </c>
      <c r="H138" s="61">
        <f t="shared" si="13"/>
        <v>1</v>
      </c>
      <c r="I138" t="str">
        <f>IF(FT!B138&lt;&gt;"",FT!E138,"")</f>
        <v>2 [55.296420]</v>
      </c>
      <c r="J138">
        <f>IF(FT!B138&lt;&gt;"",FT!C138,"")</f>
        <v>55.296399999999998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61075</v>
      </c>
      <c r="D139" s="61">
        <f>FH!B139*1</f>
        <v>61075</v>
      </c>
      <c r="E139">
        <f t="shared" si="15"/>
        <v>137</v>
      </c>
      <c r="F139" s="61">
        <f>IF(FT!A139&lt;&gt;"",FT!A139*10,"")</f>
        <v>3.5433300000000001</v>
      </c>
      <c r="G139" s="61">
        <f>IF(FT!B139&lt;&gt;"",FT!B139*100,"")</f>
        <v>42.731499999999997</v>
      </c>
      <c r="H139" s="61">
        <f t="shared" si="13"/>
        <v>1</v>
      </c>
      <c r="I139" t="str">
        <f>IF(FT!B139&lt;&gt;"",FT!E139,"")</f>
        <v>2 [55.700882]</v>
      </c>
      <c r="J139">
        <f>IF(FT!B139&lt;&gt;"",FT!C139,"")</f>
        <v>55.700899999999997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3.54209</v>
      </c>
      <c r="G140" s="61">
        <f>IF(FT!B140&lt;&gt;"",FT!B140*100,"")</f>
        <v>42.6539</v>
      </c>
      <c r="H140" s="61">
        <f t="shared" si="13"/>
        <v>1</v>
      </c>
      <c r="I140" t="str">
        <f>IF(FT!B140&lt;&gt;"",FT!E140,"")</f>
        <v>2 [56.107065]</v>
      </c>
      <c r="J140">
        <f>IF(FT!B140&lt;&gt;"",FT!C140,"")</f>
        <v>56.107100000000003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3.5385800000000001</v>
      </c>
      <c r="G141" s="61">
        <f>IF(FT!B141&lt;&gt;"",FT!B141*100,"")</f>
        <v>42.632300000000001</v>
      </c>
      <c r="H141" s="61">
        <f t="shared" si="13"/>
        <v>1</v>
      </c>
      <c r="I141" t="str">
        <f>IF(FT!B141&lt;&gt;"",FT!E141,"")</f>
        <v>2 [56.511312]</v>
      </c>
      <c r="J141">
        <f>IF(FT!B141&lt;&gt;"",FT!C141,"")</f>
        <v>56.511299999999999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56177</v>
      </c>
      <c r="D142" s="61">
        <f>FH!B142*1</f>
        <v>56177</v>
      </c>
      <c r="E142">
        <f t="shared" si="15"/>
        <v>140</v>
      </c>
      <c r="F142" s="61">
        <f>IF(FT!A142&lt;&gt;"",FT!A142*10,"")</f>
        <v>3.5341800000000001</v>
      </c>
      <c r="G142" s="61">
        <f>IF(FT!B142&lt;&gt;"",FT!B142*100,"")</f>
        <v>42.610100000000003</v>
      </c>
      <c r="H142" s="61">
        <f t="shared" si="13"/>
        <v>1</v>
      </c>
      <c r="I142" t="str">
        <f>IF(FT!B142&lt;&gt;"",FT!E142,"")</f>
        <v>2 [56.916569]</v>
      </c>
      <c r="J142">
        <f>IF(FT!B142&lt;&gt;"",FT!C142,"")</f>
        <v>56.916600000000003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3.52929</v>
      </c>
      <c r="G143" s="61">
        <f>IF(FT!B143&lt;&gt;"",FT!B143*100,"")</f>
        <v>42.572900000000004</v>
      </c>
      <c r="H143" s="61">
        <f t="shared" si="13"/>
        <v>1</v>
      </c>
      <c r="I143" t="str">
        <f>IF(FT!B143&lt;&gt;"",FT!E143,"")</f>
        <v>2 [57.329573]</v>
      </c>
      <c r="J143">
        <f>IF(FT!B143&lt;&gt;"",FT!C143,"")</f>
        <v>57.329599999999999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48178</v>
      </c>
      <c r="D144" s="61">
        <f>FH!B144*1</f>
        <v>48178</v>
      </c>
      <c r="E144">
        <f t="shared" si="15"/>
        <v>142</v>
      </c>
      <c r="F144" s="61">
        <f>IF(FT!A144&lt;&gt;"",FT!A144*10,"")</f>
        <v>3.5208499999999998</v>
      </c>
      <c r="G144" s="61">
        <f>IF(FT!B144&lt;&gt;"",FT!B144*100,"")</f>
        <v>42.653300000000002</v>
      </c>
      <c r="H144" s="61">
        <f t="shared" si="13"/>
        <v>1</v>
      </c>
      <c r="I144" t="str">
        <f>IF(FT!B144&lt;&gt;"",FT!E144,"")</f>
        <v>2 [57.734342]</v>
      </c>
      <c r="J144">
        <f>IF(FT!B144&lt;&gt;"",FT!C144,"")</f>
        <v>57.734299999999998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3.5010699999999999</v>
      </c>
      <c r="G145" s="61">
        <f>IF(FT!B145&lt;&gt;"",FT!B145*100,"")</f>
        <v>43.0685</v>
      </c>
      <c r="H145" s="61">
        <f t="shared" si="13"/>
        <v>1</v>
      </c>
      <c r="I145" t="str">
        <f>IF(FT!B145&lt;&gt;"",FT!E145,"")</f>
        <v>2 [58.140468]</v>
      </c>
      <c r="J145">
        <f>IF(FT!B145&lt;&gt;"",FT!C145,"")</f>
        <v>58.140500000000003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3.4841499999999996</v>
      </c>
      <c r="G146" s="61">
        <f>IF(FT!B146&lt;&gt;"",FT!B146*100,"")</f>
        <v>43.476500000000001</v>
      </c>
      <c r="H146" s="61">
        <f t="shared" si="13"/>
        <v>1</v>
      </c>
      <c r="I146" t="str">
        <f>IF(FT!B146&lt;&gt;"",FT!E146,"")</f>
        <v>2 [58.545100]</v>
      </c>
      <c r="J146">
        <f>IF(FT!B146&lt;&gt;"",FT!C146,"")</f>
        <v>58.545099999999998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34958</v>
      </c>
      <c r="D147" s="61">
        <f>FH!B147*1</f>
        <v>34958</v>
      </c>
      <c r="E147">
        <f t="shared" si="15"/>
        <v>145</v>
      </c>
      <c r="F147" s="61">
        <f>IF(FT!A147&lt;&gt;"",FT!A147*10,"")</f>
        <v>3.4705699999999999</v>
      </c>
      <c r="G147" s="61">
        <f>IF(FT!B147&lt;&gt;"",FT!B147*100,"")</f>
        <v>43.7926</v>
      </c>
      <c r="H147" s="61">
        <f t="shared" si="13"/>
        <v>1</v>
      </c>
      <c r="I147" t="str">
        <f>IF(FT!B147&lt;&gt;"",FT!E147,"")</f>
        <v>2 [58.948494]</v>
      </c>
      <c r="J147">
        <f>IF(FT!B147&lt;&gt;"",FT!C147,"")</f>
        <v>58.948500000000003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3.4695199999999997</v>
      </c>
      <c r="G148" s="61">
        <f>IF(FT!B148&lt;&gt;"",FT!B148*100,"")</f>
        <v>43.861499999999999</v>
      </c>
      <c r="H148" s="61">
        <f t="shared" si="13"/>
        <v>1</v>
      </c>
      <c r="I148" t="str">
        <f>IF(FT!B148&lt;&gt;"",FT!E148,"")</f>
        <v>2 [59.356199]</v>
      </c>
      <c r="J148">
        <f>IF(FT!B148&lt;&gt;"",FT!C148,"")</f>
        <v>59.356200000000001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28603</v>
      </c>
      <c r="D149" s="61">
        <f>FH!B149*1</f>
        <v>28603</v>
      </c>
      <c r="E149">
        <f t="shared" si="15"/>
        <v>147</v>
      </c>
      <c r="F149" s="61">
        <f>IF(FT!A149&lt;&gt;"",FT!A149*10,"")</f>
        <v>3.48977</v>
      </c>
      <c r="G149" s="61">
        <f>IF(FT!B149&lt;&gt;"",FT!B149*100,"")</f>
        <v>43.431899999999999</v>
      </c>
      <c r="H149" s="61">
        <f t="shared" si="13"/>
        <v>1</v>
      </c>
      <c r="I149" t="str">
        <f>IF(FT!B149&lt;&gt;"",FT!E149,"")</f>
        <v>2 [59.762641]</v>
      </c>
      <c r="J149">
        <f>IF(FT!B149&lt;&gt;"",FT!C149,"")</f>
        <v>59.762599999999999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23649</v>
      </c>
      <c r="D152" s="61">
        <f>FH!B152*1</f>
        <v>23649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23913</v>
      </c>
      <c r="D154" s="61">
        <f>FH!B154*1</f>
        <v>23913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17671</v>
      </c>
      <c r="D157" s="61">
        <f>FH!B157*1</f>
        <v>17671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14843</v>
      </c>
      <c r="D160" s="61">
        <f>FH!B160*1</f>
        <v>14843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9844</v>
      </c>
      <c r="D162" s="61">
        <f>FH!B162*1</f>
        <v>9844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9122</v>
      </c>
      <c r="D165" s="61">
        <f>FH!B165*1</f>
        <v>9122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6984</v>
      </c>
      <c r="D167" s="61">
        <f>FH!B167*1</f>
        <v>6984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3914</v>
      </c>
      <c r="D170" s="61">
        <f>FH!B170*1</f>
        <v>3914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1201</v>
      </c>
      <c r="D173" s="61">
        <f>FH!B173*1</f>
        <v>1201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684</v>
      </c>
      <c r="D175" s="61">
        <f>FH!B175*1</f>
        <v>684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638</v>
      </c>
      <c r="D178" s="61">
        <f>FH!B178*1</f>
        <v>638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322</v>
      </c>
      <c r="D180" s="61">
        <f>FH!B180*1</f>
        <v>322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39.0839</v>
      </c>
      <c r="C5" s="66">
        <v>6.9282899999999996</v>
      </c>
      <c r="D5" s="66">
        <v>17.726700000000001</v>
      </c>
      <c r="E5" s="66">
        <v>20</v>
      </c>
      <c r="F5" s="66">
        <v>13.938800000000001</v>
      </c>
      <c r="G5" s="66">
        <v>50</v>
      </c>
      <c r="H5" s="66">
        <v>47.253999999999998</v>
      </c>
    </row>
    <row r="6" spans="1:8">
      <c r="A6" s="58" t="s">
        <v>303</v>
      </c>
      <c r="B6" s="66">
        <v>24.128299999999999</v>
      </c>
      <c r="C6" s="66">
        <v>2.62818</v>
      </c>
      <c r="D6" s="66">
        <v>10.8925</v>
      </c>
      <c r="E6" s="66">
        <v>20</v>
      </c>
      <c r="F6" s="66">
        <v>16.371500000000001</v>
      </c>
      <c r="G6" s="66">
        <v>40</v>
      </c>
      <c r="H6" s="66">
        <v>29.548400000000001</v>
      </c>
    </row>
    <row r="7" spans="1:8">
      <c r="A7" s="58" t="s">
        <v>304</v>
      </c>
      <c r="B7" s="66">
        <v>15.369199999999999</v>
      </c>
      <c r="C7" s="66">
        <v>4.4378399999999996</v>
      </c>
      <c r="D7" s="66">
        <v>28.8749</v>
      </c>
      <c r="E7" s="66">
        <v>15</v>
      </c>
      <c r="F7" s="66">
        <v>6.4204600000000003</v>
      </c>
      <c r="G7" s="66">
        <v>40</v>
      </c>
      <c r="H7" s="66">
        <v>34.396599999999999</v>
      </c>
    </row>
    <row r="8" spans="1:8">
      <c r="A8" s="58" t="s">
        <v>305</v>
      </c>
      <c r="B8" s="66">
        <v>26.579000000000001</v>
      </c>
      <c r="C8" s="66">
        <v>3.0244200000000001</v>
      </c>
      <c r="D8" s="66">
        <v>11.379</v>
      </c>
      <c r="E8" s="66">
        <v>20</v>
      </c>
      <c r="F8" s="66">
        <v>14.5467</v>
      </c>
      <c r="G8" s="66">
        <v>50</v>
      </c>
      <c r="H8" s="66">
        <v>29.817299999999999</v>
      </c>
    </row>
    <row r="9" spans="1:8">
      <c r="A9" s="58" t="s">
        <v>306</v>
      </c>
      <c r="B9" s="66">
        <v>72.554199999999994</v>
      </c>
      <c r="C9" s="66">
        <v>7.9448499999999997</v>
      </c>
      <c r="D9" s="66">
        <v>10.950200000000001</v>
      </c>
      <c r="E9" s="66">
        <v>50</v>
      </c>
      <c r="F9" s="66">
        <v>46.9574</v>
      </c>
      <c r="G9" s="66">
        <v>100</v>
      </c>
      <c r="H9" s="66">
        <v>88.119600000000005</v>
      </c>
    </row>
    <row r="10" spans="1:8">
      <c r="A10" s="58" t="s">
        <v>307</v>
      </c>
      <c r="B10" s="66">
        <v>81.1631</v>
      </c>
      <c r="C10" s="66">
        <v>2.3455900000000001</v>
      </c>
      <c r="D10" s="66">
        <v>2.8899699999999999</v>
      </c>
      <c r="E10" s="66">
        <v>40</v>
      </c>
      <c r="F10" s="66">
        <v>77.002799999999993</v>
      </c>
      <c r="G10" s="66">
        <v>100</v>
      </c>
      <c r="H10" s="66">
        <v>87.8352</v>
      </c>
    </row>
    <row r="11" spans="1:8">
      <c r="A11" s="58" t="s">
        <v>308</v>
      </c>
      <c r="B11" s="66">
        <v>25.423200000000001</v>
      </c>
      <c r="C11" s="66">
        <v>4.1596200000000003</v>
      </c>
      <c r="D11" s="66">
        <v>16.361499999999999</v>
      </c>
      <c r="E11" s="66">
        <v>10</v>
      </c>
      <c r="F11" s="66">
        <v>11.7</v>
      </c>
      <c r="G11" s="66">
        <v>50</v>
      </c>
      <c r="H11" s="66">
        <v>32.481200000000001</v>
      </c>
    </row>
    <row r="12" spans="1:8">
      <c r="A12" s="58" t="s">
        <v>309</v>
      </c>
      <c r="B12" s="66">
        <v>76.854799999999997</v>
      </c>
      <c r="C12" s="66">
        <v>4.7426199999999996</v>
      </c>
      <c r="D12" s="66">
        <v>6.1708800000000004</v>
      </c>
      <c r="E12" s="66">
        <v>50</v>
      </c>
      <c r="F12" s="66">
        <v>62.132199999999997</v>
      </c>
      <c r="G12" s="66">
        <v>100</v>
      </c>
      <c r="H12" s="66">
        <v>87.310100000000006</v>
      </c>
    </row>
    <row r="13" spans="1:8">
      <c r="A13" s="58" t="s">
        <v>310</v>
      </c>
      <c r="B13" s="66">
        <v>22.679200000000002</v>
      </c>
      <c r="C13" s="66">
        <v>3.6724399999999999</v>
      </c>
      <c r="D13" s="66">
        <v>16.193000000000001</v>
      </c>
      <c r="E13" s="66">
        <v>10</v>
      </c>
      <c r="F13" s="66">
        <v>16.017900000000001</v>
      </c>
      <c r="G13" s="66">
        <v>25</v>
      </c>
      <c r="H13" s="66">
        <v>34.289299999999997</v>
      </c>
    </row>
    <row r="14" spans="1:8">
      <c r="A14" s="58" t="s">
        <v>311</v>
      </c>
      <c r="B14" s="66">
        <v>36.724400000000003</v>
      </c>
      <c r="C14" s="66">
        <v>11.8651</v>
      </c>
      <c r="D14" s="66">
        <v>32.308399999999999</v>
      </c>
      <c r="E14" s="66">
        <v>10</v>
      </c>
      <c r="F14" s="66">
        <v>2.8052800000000002</v>
      </c>
      <c r="G14" s="66">
        <v>50</v>
      </c>
      <c r="H14" s="66">
        <v>38.060499999999998</v>
      </c>
    </row>
    <row r="15" spans="1:8">
      <c r="A15" s="58" t="s">
        <v>312</v>
      </c>
      <c r="B15" s="66">
        <v>-1.0765200000000001E-2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-2.06889E-2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15.374700000000001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0.60067400000000004</v>
      </c>
      <c r="C18" s="66">
        <v>3.0218600000000002E-2</v>
      </c>
      <c r="D18" s="66">
        <v>5.03078E-2</v>
      </c>
      <c r="E18" s="66">
        <v>0</v>
      </c>
      <c r="F18" s="66">
        <v>0.57045500000000005</v>
      </c>
      <c r="G18" s="66">
        <v>0</v>
      </c>
      <c r="H18" s="66">
        <v>0.63089300000000004</v>
      </c>
    </row>
    <row r="19" spans="1:8">
      <c r="A19" s="58" t="s">
        <v>316</v>
      </c>
      <c r="B19" s="66">
        <v>0.55803599999999998</v>
      </c>
      <c r="C19" s="66">
        <v>4.1139999999999996E-3</v>
      </c>
      <c r="D19" s="66">
        <v>7.3722900000000001E-3</v>
      </c>
      <c r="E19" s="66">
        <v>0</v>
      </c>
      <c r="F19" s="66">
        <v>0.55392200000000003</v>
      </c>
      <c r="G19" s="66">
        <v>0</v>
      </c>
      <c r="H19" s="66">
        <v>0.56215000000000004</v>
      </c>
    </row>
    <row r="20" spans="1:8">
      <c r="A20" s="58" t="s">
        <v>317</v>
      </c>
      <c r="B20" s="66">
        <v>1.2940499999999999E-3</v>
      </c>
      <c r="C20" s="66">
        <v>8.9407199999999992E-3</v>
      </c>
      <c r="D20" s="66">
        <v>6.90909</v>
      </c>
      <c r="E20" s="66">
        <v>0</v>
      </c>
      <c r="F20" s="66">
        <v>0</v>
      </c>
      <c r="G20" s="66">
        <v>0</v>
      </c>
      <c r="H20" s="66">
        <v>0.10051400000000001</v>
      </c>
    </row>
    <row r="21" spans="1:8">
      <c r="A21" s="58" t="s">
        <v>318</v>
      </c>
      <c r="B21" s="66">
        <v>0.13616200000000001</v>
      </c>
      <c r="C21" s="66">
        <v>0.22046499999999999</v>
      </c>
      <c r="D21" s="66">
        <v>1.61914</v>
      </c>
      <c r="E21" s="66">
        <v>0</v>
      </c>
      <c r="F21" s="66">
        <v>1.6666000000000001E-3</v>
      </c>
      <c r="G21" s="66">
        <v>0</v>
      </c>
      <c r="H21" s="66">
        <v>1.39209</v>
      </c>
    </row>
    <row r="22" spans="1:8">
      <c r="A22" s="58" t="s">
        <v>319</v>
      </c>
      <c r="B22" s="66">
        <v>37.741900000000001</v>
      </c>
      <c r="C22" s="66">
        <v>6.8188599999999999</v>
      </c>
      <c r="D22" s="66">
        <v>0.180671</v>
      </c>
      <c r="E22" s="66">
        <v>0</v>
      </c>
      <c r="F22" s="66">
        <v>21.790299999999998</v>
      </c>
      <c r="G22" s="66">
        <v>0</v>
      </c>
      <c r="H22" s="66">
        <v>60.627899999999997</v>
      </c>
    </row>
    <row r="23" spans="1:8">
      <c r="A23" s="58" t="s">
        <v>320</v>
      </c>
      <c r="B23" s="66">
        <v>16.711200000000002</v>
      </c>
      <c r="C23" s="66">
        <v>1.78546</v>
      </c>
      <c r="D23" s="66">
        <v>0.10684299999999999</v>
      </c>
      <c r="E23" s="66">
        <v>0</v>
      </c>
      <c r="F23" s="66">
        <v>10.357699999999999</v>
      </c>
      <c r="G23" s="66">
        <v>0</v>
      </c>
      <c r="H23" s="66">
        <v>19.046299999999999</v>
      </c>
    </row>
    <row r="24" spans="1:8">
      <c r="A24" s="58" t="s">
        <v>321</v>
      </c>
      <c r="B24" s="66">
        <v>2.4692199999999998E-3</v>
      </c>
      <c r="C24" s="66">
        <v>6.0977399999999999E-3</v>
      </c>
      <c r="D24" s="66">
        <v>2.4695</v>
      </c>
      <c r="E24" s="66">
        <v>0</v>
      </c>
      <c r="F24" s="196">
        <v>4.8838999999999998E-5</v>
      </c>
      <c r="G24" s="66">
        <v>0</v>
      </c>
      <c r="H24" s="66">
        <v>3.1351700000000003E-2</v>
      </c>
    </row>
    <row r="25" spans="1:8">
      <c r="A25" s="58" t="s">
        <v>322</v>
      </c>
      <c r="B25" s="66">
        <v>0.18820200000000001</v>
      </c>
      <c r="C25" s="66">
        <v>0.102779</v>
      </c>
      <c r="D25" s="66">
        <v>0.54611100000000001</v>
      </c>
      <c r="E25" s="66">
        <v>0</v>
      </c>
      <c r="F25" s="66">
        <v>6.5772700000000003E-2</v>
      </c>
      <c r="G25" s="66">
        <v>0</v>
      </c>
      <c r="H25" s="66">
        <v>0.653972</v>
      </c>
    </row>
    <row r="26" spans="1:8">
      <c r="A26" s="58" t="s">
        <v>323</v>
      </c>
      <c r="B26" s="66">
        <v>5.1043900000000001E-4</v>
      </c>
      <c r="C26" s="66">
        <v>1.6655000000000001E-3</v>
      </c>
      <c r="D26" s="66">
        <v>3.26288</v>
      </c>
      <c r="E26" s="66">
        <v>0</v>
      </c>
      <c r="F26" s="66">
        <v>0</v>
      </c>
      <c r="G26" s="66">
        <v>0</v>
      </c>
      <c r="H26" s="66">
        <v>1.2611600000000001E-2</v>
      </c>
    </row>
    <row r="27" spans="1:8">
      <c r="A27" s="58" t="s">
        <v>324</v>
      </c>
      <c r="B27" s="196">
        <v>-6.5651299999999996E-6</v>
      </c>
      <c r="C27" s="66">
        <v>6.9011599999999995E-4</v>
      </c>
      <c r="D27" s="66">
        <v>-105.11799999999999</v>
      </c>
      <c r="E27" s="66">
        <v>0</v>
      </c>
      <c r="F27" s="66">
        <v>-4.4019200000000001E-3</v>
      </c>
      <c r="G27" s="66">
        <v>0</v>
      </c>
      <c r="H27" s="66">
        <v>5.9381599999999996E-3</v>
      </c>
    </row>
    <row r="28" spans="1:8">
      <c r="A28" s="58" t="s">
        <v>325</v>
      </c>
      <c r="B28" s="66">
        <v>2.04329E-2</v>
      </c>
      <c r="C28" s="66">
        <v>2.0007199999999999E-2</v>
      </c>
      <c r="D28" s="66">
        <v>0.97916499999999995</v>
      </c>
      <c r="E28" s="66">
        <v>0</v>
      </c>
      <c r="F28" s="66">
        <v>7.2265600000000001E-4</v>
      </c>
      <c r="G28" s="66">
        <v>0</v>
      </c>
      <c r="H28" s="66">
        <v>0.11314100000000001</v>
      </c>
    </row>
    <row r="29" spans="1:8">
      <c r="A29" s="58" t="s">
        <v>326</v>
      </c>
      <c r="B29" s="66">
        <v>73.787400000000005</v>
      </c>
      <c r="C29" s="66">
        <v>8.4026300000000003</v>
      </c>
      <c r="D29" s="66">
        <v>0.113876</v>
      </c>
      <c r="E29" s="66">
        <v>0</v>
      </c>
      <c r="F29" s="66">
        <v>54.581000000000003</v>
      </c>
      <c r="G29" s="66">
        <v>0</v>
      </c>
      <c r="H29" s="66">
        <v>97.6584</v>
      </c>
    </row>
    <row r="30" spans="1:8">
      <c r="A30" s="58" t="s">
        <v>327</v>
      </c>
      <c r="B30" s="66">
        <v>26.454999999999998</v>
      </c>
      <c r="C30" s="66">
        <v>3.77704</v>
      </c>
      <c r="D30" s="66">
        <v>0.14277200000000001</v>
      </c>
      <c r="E30" s="66">
        <v>0</v>
      </c>
      <c r="F30" s="66">
        <v>12.489599999999999</v>
      </c>
      <c r="G30" s="66">
        <v>0</v>
      </c>
      <c r="H30" s="66">
        <v>29.908100000000001</v>
      </c>
    </row>
    <row r="31" spans="1:8">
      <c r="A31" s="58" t="s">
        <v>328</v>
      </c>
      <c r="B31" s="66">
        <v>114.122</v>
      </c>
      <c r="C31" s="66">
        <v>26.3612</v>
      </c>
      <c r="D31" s="66">
        <v>0.23099</v>
      </c>
      <c r="E31" s="66">
        <v>0</v>
      </c>
      <c r="F31" s="66">
        <v>55.543300000000002</v>
      </c>
      <c r="G31" s="66">
        <v>0</v>
      </c>
      <c r="H31" s="66">
        <v>176.95500000000001</v>
      </c>
    </row>
    <row r="32" spans="1:8">
      <c r="A32" s="58" t="s">
        <v>329</v>
      </c>
      <c r="B32" s="66">
        <v>0.153692</v>
      </c>
      <c r="C32" s="66">
        <v>4.4378399999999998E-2</v>
      </c>
      <c r="D32" s="66">
        <v>0.28874899999999998</v>
      </c>
      <c r="E32" s="66">
        <v>0.15</v>
      </c>
      <c r="F32" s="66">
        <v>6.4204600000000001E-2</v>
      </c>
      <c r="G32" s="66">
        <v>0.4</v>
      </c>
      <c r="H32" s="66">
        <v>0.34396599999999999</v>
      </c>
    </row>
    <row r="33" spans="1:8">
      <c r="A33" s="58" t="s">
        <v>330</v>
      </c>
      <c r="B33" s="66">
        <v>0.337148</v>
      </c>
      <c r="C33" s="66">
        <v>2.4840899999999999E-2</v>
      </c>
      <c r="D33" s="66">
        <v>7.3679400000000006E-2</v>
      </c>
      <c r="E33" s="66">
        <v>0</v>
      </c>
      <c r="F33" s="66">
        <v>0.28949799999999998</v>
      </c>
      <c r="G33" s="66">
        <v>0</v>
      </c>
      <c r="H33" s="66">
        <v>0.393814</v>
      </c>
    </row>
    <row r="34" spans="1:8">
      <c r="A34" s="58" t="s">
        <v>331</v>
      </c>
      <c r="B34" s="66">
        <v>0.22679199999999999</v>
      </c>
      <c r="C34" s="66">
        <v>3.6724399999999997E-2</v>
      </c>
      <c r="D34" s="66">
        <v>0.16192999999999999</v>
      </c>
      <c r="E34" s="66">
        <v>0.1</v>
      </c>
      <c r="F34" s="66">
        <v>0.16017899999999999</v>
      </c>
      <c r="G34" s="66">
        <v>0.25</v>
      </c>
      <c r="H34" s="66">
        <v>0.342893</v>
      </c>
    </row>
    <row r="35" spans="1:8">
      <c r="A35" s="58" t="s">
        <v>332</v>
      </c>
      <c r="B35" s="66">
        <v>8.5965700000000006E-2</v>
      </c>
      <c r="C35" s="66">
        <v>2.8232500000000001E-2</v>
      </c>
      <c r="D35" s="66">
        <v>0.32841599999999999</v>
      </c>
      <c r="E35" s="66">
        <v>0</v>
      </c>
      <c r="F35" s="66">
        <v>2.9101599999999998E-2</v>
      </c>
      <c r="G35" s="66">
        <v>0</v>
      </c>
      <c r="H35" s="66">
        <v>0.17111000000000001</v>
      </c>
    </row>
    <row r="36" spans="1:8">
      <c r="A36" s="58" t="s">
        <v>333</v>
      </c>
      <c r="B36" s="66">
        <v>0.20772199999999999</v>
      </c>
      <c r="C36" s="66">
        <v>0.104963</v>
      </c>
      <c r="D36" s="66">
        <v>0.50530299999999995</v>
      </c>
      <c r="E36" s="66">
        <v>0</v>
      </c>
      <c r="F36" s="66">
        <v>3.6233399999999999E-2</v>
      </c>
      <c r="G36" s="66">
        <v>0</v>
      </c>
      <c r="H36" s="66">
        <v>0.60082000000000002</v>
      </c>
    </row>
    <row r="37" spans="1:8">
      <c r="A37" s="58" t="s">
        <v>334</v>
      </c>
      <c r="B37" s="66">
        <v>0.36724400000000001</v>
      </c>
      <c r="C37" s="66">
        <v>0.11865100000000001</v>
      </c>
      <c r="D37" s="66">
        <v>0.32308399999999998</v>
      </c>
      <c r="E37" s="66">
        <v>0.1</v>
      </c>
      <c r="F37" s="66">
        <v>2.8052799999999999E-2</v>
      </c>
      <c r="G37" s="66">
        <v>0.5</v>
      </c>
      <c r="H37" s="66">
        <v>0.38060500000000003</v>
      </c>
    </row>
    <row r="38" spans="1:8">
      <c r="A38" s="58" t="s">
        <v>335</v>
      </c>
      <c r="B38" s="66">
        <v>-22.594200000000001</v>
      </c>
      <c r="C38" s="66">
        <v>40.207799999999999</v>
      </c>
      <c r="D38" s="66">
        <v>-1.7795700000000001</v>
      </c>
      <c r="E38" s="66">
        <v>0</v>
      </c>
      <c r="F38" s="66">
        <v>-374.09199999999998</v>
      </c>
      <c r="G38" s="66">
        <v>0</v>
      </c>
      <c r="H38" s="66">
        <v>102.30200000000001</v>
      </c>
    </row>
    <row r="39" spans="1:8">
      <c r="A39" s="58" t="s">
        <v>336</v>
      </c>
      <c r="B39" s="66">
        <v>-7.7009800000000004</v>
      </c>
      <c r="C39" s="66">
        <v>4.1866599999999998</v>
      </c>
      <c r="D39" s="66">
        <v>-0.54365200000000002</v>
      </c>
      <c r="E39" s="66">
        <v>0</v>
      </c>
      <c r="F39" s="66">
        <v>-23.0105</v>
      </c>
      <c r="G39" s="66">
        <v>0</v>
      </c>
      <c r="H39" s="66">
        <v>5.3670799999999996</v>
      </c>
    </row>
    <row r="40" spans="1:8">
      <c r="A40" s="58" t="s">
        <v>337</v>
      </c>
      <c r="B40" s="66">
        <v>-2.7746499999999998</v>
      </c>
      <c r="C40" s="66">
        <v>0.85996700000000004</v>
      </c>
      <c r="D40" s="66">
        <v>-0.30993700000000002</v>
      </c>
      <c r="E40" s="66">
        <v>0</v>
      </c>
      <c r="F40" s="66">
        <v>-4.4098300000000004</v>
      </c>
      <c r="G40" s="66">
        <v>0</v>
      </c>
      <c r="H40" s="66">
        <v>-0.81194699999999997</v>
      </c>
    </row>
    <row r="41" spans="1:8">
      <c r="A41" s="58" t="s">
        <v>338</v>
      </c>
      <c r="B41" s="66">
        <v>-0.17966499999999999</v>
      </c>
      <c r="C41" s="66">
        <v>0.25219000000000003</v>
      </c>
      <c r="D41" s="66">
        <v>-1.40367</v>
      </c>
      <c r="E41" s="66">
        <v>0</v>
      </c>
      <c r="F41" s="66">
        <v>-0.70177400000000001</v>
      </c>
      <c r="G41" s="66">
        <v>0</v>
      </c>
      <c r="H41" s="66">
        <v>0.95876300000000003</v>
      </c>
    </row>
    <row r="42" spans="1:8">
      <c r="A42" s="58" t="s">
        <v>339</v>
      </c>
      <c r="B42" s="66">
        <v>-0.17300299999999999</v>
      </c>
      <c r="C42" s="66">
        <v>8.0191700000000005E-2</v>
      </c>
      <c r="D42" s="66">
        <v>-0.46352900000000002</v>
      </c>
      <c r="E42" s="66">
        <v>0</v>
      </c>
      <c r="F42" s="66">
        <v>-0.41198099999999999</v>
      </c>
      <c r="G42" s="66">
        <v>0</v>
      </c>
      <c r="H42" s="66">
        <v>3.7784400000000003E-2</v>
      </c>
    </row>
    <row r="43" spans="1:8">
      <c r="A43" s="58" t="s">
        <v>340</v>
      </c>
      <c r="B43" s="66">
        <v>-0.111586</v>
      </c>
      <c r="C43" s="66">
        <v>2.7411100000000001E-2</v>
      </c>
      <c r="D43" s="66">
        <v>-0.24565000000000001</v>
      </c>
      <c r="E43" s="66">
        <v>0</v>
      </c>
      <c r="F43" s="66">
        <v>-0.16155800000000001</v>
      </c>
      <c r="G43" s="66">
        <v>0</v>
      </c>
      <c r="H43" s="66">
        <v>-3.8707999999999999E-2</v>
      </c>
    </row>
    <row r="44" spans="1:8">
      <c r="A44" s="58" t="s">
        <v>341</v>
      </c>
      <c r="B44" s="66">
        <v>-14.767300000000001</v>
      </c>
      <c r="C44" s="66">
        <v>11.141299999999999</v>
      </c>
      <c r="D44" s="66">
        <v>-0.75445799999999996</v>
      </c>
      <c r="E44" s="66">
        <v>0</v>
      </c>
      <c r="F44" s="66">
        <v>-38.2637</v>
      </c>
      <c r="G44" s="66">
        <v>0</v>
      </c>
      <c r="H44" s="66">
        <v>10.407500000000001</v>
      </c>
    </row>
    <row r="45" spans="1:8">
      <c r="A45" s="58" t="s">
        <v>342</v>
      </c>
      <c r="B45" s="66">
        <v>46.879100000000001</v>
      </c>
      <c r="C45" s="66">
        <v>7.1058500000000002</v>
      </c>
      <c r="D45" s="66">
        <v>0.15157799999999999</v>
      </c>
      <c r="E45" s="66">
        <v>0</v>
      </c>
      <c r="F45" s="66">
        <v>34.603099999999998</v>
      </c>
      <c r="G45" s="66">
        <v>0</v>
      </c>
      <c r="H45" s="66">
        <v>64.809899999999999</v>
      </c>
    </row>
    <row r="46" spans="1:8">
      <c r="A46" s="58" t="s">
        <v>343</v>
      </c>
      <c r="B46" s="66">
        <v>27.214200000000002</v>
      </c>
      <c r="C46" s="66">
        <v>5.0489499999999996</v>
      </c>
      <c r="D46" s="66">
        <v>0.185526</v>
      </c>
      <c r="E46" s="66">
        <v>0</v>
      </c>
      <c r="F46" s="66">
        <v>8.1633399999999998</v>
      </c>
      <c r="G46" s="66">
        <v>0</v>
      </c>
      <c r="H46" s="66">
        <v>31.177499999999998</v>
      </c>
    </row>
    <row r="47" spans="1:8">
      <c r="A47" s="58" t="s">
        <v>344</v>
      </c>
      <c r="B47" s="66">
        <v>1.3677900000000001</v>
      </c>
      <c r="C47" s="66">
        <v>0.45586300000000002</v>
      </c>
      <c r="D47" s="66">
        <v>0.333285</v>
      </c>
      <c r="E47" s="66">
        <v>0</v>
      </c>
      <c r="F47" s="66">
        <v>0.65007099999999995</v>
      </c>
      <c r="G47" s="66">
        <v>0</v>
      </c>
      <c r="H47" s="66">
        <v>2.9413499999999999</v>
      </c>
    </row>
    <row r="48" spans="1:8">
      <c r="A48" s="58" t="s">
        <v>345</v>
      </c>
      <c r="B48" s="66">
        <v>1.2539899999999999</v>
      </c>
      <c r="C48" s="66">
        <v>0.20313300000000001</v>
      </c>
      <c r="D48" s="66">
        <v>0.16198899999999999</v>
      </c>
      <c r="E48" s="66">
        <v>0</v>
      </c>
      <c r="F48" s="66">
        <v>0.93084</v>
      </c>
      <c r="G48" s="66">
        <v>0</v>
      </c>
      <c r="H48" s="66">
        <v>1.96275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5.9074999999999989</v>
      </c>
      <c r="C5" s="66">
        <f>'M2'!C5-'M1'!C5</f>
        <v>-4.8831100000000003</v>
      </c>
      <c r="D5" s="66">
        <f>'M2'!D5-'M1'!D5</f>
        <v>-14.884279999999999</v>
      </c>
      <c r="E5" s="66">
        <f>'M2'!E5-'M1'!E5</f>
        <v>0</v>
      </c>
      <c r="F5" s="66">
        <f>'M2'!F5-'M1'!F5</f>
        <v>19.926299999999998</v>
      </c>
      <c r="G5" s="66">
        <f>'M2'!G5-'M1'!G5</f>
        <v>0</v>
      </c>
      <c r="H5" s="66">
        <f>'M2'!H5-'M1'!H5</f>
        <v>-0.10759999999999792</v>
      </c>
    </row>
    <row r="6" spans="1:8">
      <c r="A6" s="66" t="s">
        <v>244</v>
      </c>
      <c r="B6" s="66">
        <f>'M2'!B6-'M1'!B6</f>
        <v>0.52379999999999782</v>
      </c>
      <c r="C6" s="66">
        <f>'M2'!C6-'M1'!C6</f>
        <v>-0.29005999999999998</v>
      </c>
      <c r="D6" s="66">
        <f>'M2'!D6-'M1'!D6</f>
        <v>-1.4306000000000001</v>
      </c>
      <c r="E6" s="66">
        <f>'M2'!E6-'M1'!E6</f>
        <v>0</v>
      </c>
      <c r="F6" s="66">
        <f>'M2'!F6-'M1'!F6</f>
        <v>6.1930999999999976</v>
      </c>
      <c r="G6" s="66">
        <f>'M2'!G6-'M1'!G6</f>
        <v>0</v>
      </c>
      <c r="H6" s="66">
        <f>'M2'!H6-'M1'!H6</f>
        <v>3.1240000000000023</v>
      </c>
    </row>
    <row r="7" spans="1:8">
      <c r="A7" s="66" t="s">
        <v>245</v>
      </c>
      <c r="B7" s="66">
        <f>'M2'!B7-'M1'!B7</f>
        <v>-1.2904999999999998</v>
      </c>
      <c r="C7" s="66">
        <f>'M2'!C7-'M1'!C7</f>
        <v>-1.8475999999999999</v>
      </c>
      <c r="D7" s="66">
        <f>'M2'!D7-'M1'!D7</f>
        <v>-9.5960999999999963</v>
      </c>
      <c r="E7" s="66">
        <f>'M2'!E7-'M1'!E7</f>
        <v>0</v>
      </c>
      <c r="F7" s="66">
        <f>'M2'!F7-'M1'!F7</f>
        <v>3.5034100000000006</v>
      </c>
      <c r="G7" s="66">
        <f>'M2'!G7-'M1'!G7</f>
        <v>0</v>
      </c>
      <c r="H7" s="66">
        <f>'M2'!H7-'M1'!H7</f>
        <v>-1.2297999999999973</v>
      </c>
    </row>
    <row r="8" spans="1:8">
      <c r="A8" s="66" t="s">
        <v>246</v>
      </c>
      <c r="B8" s="66">
        <f>'M2'!B8-'M1'!B8</f>
        <v>3.166599999999999</v>
      </c>
      <c r="C8" s="66">
        <f>'M2'!C8-'M1'!C8</f>
        <v>-2.2202200000000003</v>
      </c>
      <c r="D8" s="66">
        <f>'M2'!D8-'M1'!D8</f>
        <v>-9.6057100000000002</v>
      </c>
      <c r="E8" s="66">
        <f>'M2'!E8-'M1'!E8</f>
        <v>0</v>
      </c>
      <c r="F8" s="66">
        <f>'M2'!F8-'M1'!F8</f>
        <v>10.513900000000001</v>
      </c>
      <c r="G8" s="66">
        <f>'M2'!G8-'M1'!G8</f>
        <v>0</v>
      </c>
      <c r="H8" s="66">
        <f>'M2'!H8-'M1'!H8</f>
        <v>0.25929999999999964</v>
      </c>
    </row>
    <row r="9" spans="1:8">
      <c r="A9" s="66" t="s">
        <v>247</v>
      </c>
      <c r="B9" s="66">
        <f>'M2'!B9-'M1'!B9</f>
        <v>-2.8425999999999902</v>
      </c>
      <c r="C9" s="66">
        <f>'M2'!C9-'M1'!C9</f>
        <v>5.3106</v>
      </c>
      <c r="D9" s="66">
        <f>'M2'!D9-'M1'!D9</f>
        <v>7.7491699999999994</v>
      </c>
      <c r="E9" s="66">
        <f>'M2'!E9-'M1'!E9</f>
        <v>0</v>
      </c>
      <c r="F9" s="66">
        <f>'M2'!F9-'M1'!F9</f>
        <v>-17.605399999999996</v>
      </c>
      <c r="G9" s="66">
        <f>'M2'!G9-'M1'!G9</f>
        <v>0</v>
      </c>
      <c r="H9" s="66">
        <f>'M2'!H9-'M1'!H9</f>
        <v>-5.6247000000000043</v>
      </c>
    </row>
    <row r="10" spans="1:8">
      <c r="A10" s="66" t="s">
        <v>248</v>
      </c>
      <c r="B10" s="66">
        <f>'M2'!B10-'M1'!B10</f>
        <v>-0.261099999999999</v>
      </c>
      <c r="C10" s="66">
        <f>'M2'!C10-'M1'!C10</f>
        <v>-0.68756999999999979</v>
      </c>
      <c r="D10" s="66">
        <f>'M2'!D10-'M1'!D10</f>
        <v>-0.8389300000000004</v>
      </c>
      <c r="E10" s="66">
        <f>'M2'!E10-'M1'!E10</f>
        <v>0</v>
      </c>
      <c r="F10" s="66">
        <f>'M2'!F10-'M1'!F10</f>
        <v>-1.6835000000000093</v>
      </c>
      <c r="G10" s="66">
        <f>'M2'!G10-'M1'!G10</f>
        <v>0</v>
      </c>
      <c r="H10" s="66">
        <f>'M2'!H10-'M1'!H10</f>
        <v>-5.1698999999999984</v>
      </c>
    </row>
    <row r="11" spans="1:8">
      <c r="A11" s="66" t="s">
        <v>249</v>
      </c>
      <c r="B11" s="66">
        <f>'M2'!B11-'M1'!B11</f>
        <v>2.7644999999999982</v>
      </c>
      <c r="C11" s="66">
        <f>'M2'!C11-'M1'!C11</f>
        <v>-1.3600400000000006</v>
      </c>
      <c r="D11" s="66">
        <f>'M2'!D11-'M1'!D11</f>
        <v>-6.5428999999999977</v>
      </c>
      <c r="E11" s="66">
        <f>'M2'!E11-'M1'!E11</f>
        <v>0</v>
      </c>
      <c r="F11" s="66">
        <f>'M2'!F11-'M1'!F11</f>
        <v>11.527000000000001</v>
      </c>
      <c r="G11" s="66">
        <f>'M2'!G11-'M1'!G11</f>
        <v>0</v>
      </c>
      <c r="H11" s="66">
        <f>'M2'!H11-'M1'!H11</f>
        <v>3.6027000000000022</v>
      </c>
    </row>
    <row r="12" spans="1:8">
      <c r="A12" s="66" t="s">
        <v>250</v>
      </c>
      <c r="B12" s="66">
        <f>'M2'!B12-'M1'!B12</f>
        <v>-1.9098999999999933</v>
      </c>
      <c r="C12" s="66">
        <f>'M2'!C12-'M1'!C12</f>
        <v>2.6051100000000003</v>
      </c>
      <c r="D12" s="66">
        <f>'M2'!D12-'M1'!D12</f>
        <v>3.5486599999999999</v>
      </c>
      <c r="E12" s="66">
        <f>'M2'!E12-'M1'!E12</f>
        <v>0</v>
      </c>
      <c r="F12" s="66">
        <f>'M2'!F12-'M1'!F12</f>
        <v>-11.626500000000007</v>
      </c>
      <c r="G12" s="66">
        <f>'M2'!G12-'M1'!G12</f>
        <v>0</v>
      </c>
      <c r="H12" s="66">
        <f>'M2'!H12-'M1'!H12</f>
        <v>-5.1242000000000019</v>
      </c>
    </row>
    <row r="13" spans="1:8">
      <c r="A13" s="66" t="s">
        <v>251</v>
      </c>
      <c r="B13" s="66">
        <f>'M2'!B13-'M1'!B13</f>
        <v>1.7516999999999996</v>
      </c>
      <c r="C13" s="66">
        <f>'M2'!C13-'M1'!C13</f>
        <v>0.10576000000000008</v>
      </c>
      <c r="D13" s="66">
        <f>'M2'!D13-'M1'!D13</f>
        <v>-0.77869999999999884</v>
      </c>
      <c r="E13" s="66">
        <f>'M2'!E13-'M1'!E13</f>
        <v>0</v>
      </c>
      <c r="F13" s="66">
        <f>'M2'!F13-'M1'!F13</f>
        <v>-1.5228000000000002</v>
      </c>
      <c r="G13" s="66">
        <f>'M2'!G13-'M1'!G13</f>
        <v>0</v>
      </c>
      <c r="H13" s="66">
        <f>'M2'!H13-'M1'!H13</f>
        <v>2.6796999999999969</v>
      </c>
    </row>
    <row r="14" spans="1:8">
      <c r="A14" s="66" t="s">
        <v>252</v>
      </c>
      <c r="B14" s="66">
        <f>'M2'!B14-'M1'!B14</f>
        <v>1.0576000000000008</v>
      </c>
      <c r="C14" s="66">
        <f>'M2'!C14-'M1'!C14</f>
        <v>0.91460000000000008</v>
      </c>
      <c r="D14" s="66">
        <f>'M2'!D14-'M1'!D14</f>
        <v>1.5946999999999996</v>
      </c>
      <c r="E14" s="66">
        <f>'M2'!E14-'M1'!E14</f>
        <v>0</v>
      </c>
      <c r="F14" s="66">
        <f>'M2'!F14-'M1'!F14</f>
        <v>1.1439899999999996</v>
      </c>
      <c r="G14" s="66">
        <f>'M2'!G14-'M1'!G14</f>
        <v>0</v>
      </c>
      <c r="H14" s="66">
        <f>'M2'!H14-'M1'!H14</f>
        <v>-6.2300000000000466E-2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1.2605000000000088E-2</v>
      </c>
      <c r="C18" s="66">
        <f>'M2'!C18-'M1'!C18</f>
        <v>3.0218600000000002E-2</v>
      </c>
      <c r="D18" s="66">
        <f>'M2'!D18-'M1'!D18</f>
        <v>5.03078E-2</v>
      </c>
      <c r="E18" s="66">
        <f>'M2'!E18-'M1'!E18</f>
        <v>0</v>
      </c>
      <c r="F18" s="66">
        <f>'M2'!F18-'M1'!F18</f>
        <v>0.57045500000000005</v>
      </c>
      <c r="G18" s="66">
        <f>'M2'!G18-'M1'!G18</f>
        <v>0</v>
      </c>
      <c r="H18" s="66">
        <f>'M2'!H18-'M1'!H18</f>
        <v>0.63089300000000004</v>
      </c>
    </row>
    <row r="19" spans="1:8">
      <c r="A19" s="66" t="s">
        <v>256</v>
      </c>
      <c r="B19" s="66">
        <f>'M2'!B19-'M1'!B19</f>
        <v>1.9012999999999947E-2</v>
      </c>
      <c r="C19" s="66">
        <f>'M2'!C19-'M1'!C19</f>
        <v>4.1139999999999996E-3</v>
      </c>
      <c r="D19" s="66">
        <f>'M2'!D19-'M1'!D19</f>
        <v>7.3722900000000001E-3</v>
      </c>
      <c r="E19" s="66">
        <f>'M2'!E19-'M1'!E19</f>
        <v>0</v>
      </c>
      <c r="F19" s="66">
        <f>'M2'!F19-'M1'!F19</f>
        <v>0.55392200000000003</v>
      </c>
      <c r="G19" s="66">
        <f>'M2'!G19-'M1'!G19</f>
        <v>0</v>
      </c>
      <c r="H19" s="66">
        <f>'M2'!H19-'M1'!H19</f>
        <v>0.56215000000000004</v>
      </c>
    </row>
    <row r="20" spans="1:8">
      <c r="A20" s="66" t="s">
        <v>63</v>
      </c>
      <c r="B20" s="66">
        <f>'M2'!B20-'M1'!B20</f>
        <v>3.4438000000000003E-4</v>
      </c>
      <c r="C20" s="66">
        <f>'M2'!C20-'M1'!C20</f>
        <v>2.0888100000000008E-3</v>
      </c>
      <c r="D20" s="66">
        <f>'M2'!D20-'M1'!D20</f>
        <v>-0.15824000000000016</v>
      </c>
      <c r="E20" s="66">
        <f>'M2'!E20-'M1'!E20</f>
        <v>0</v>
      </c>
      <c r="F20" s="66">
        <f>'M2'!F20-'M1'!F20</f>
        <v>-2.8706300000000001E-6</v>
      </c>
      <c r="G20" s="66">
        <f>'M2'!G20-'M1'!G20</f>
        <v>0</v>
      </c>
      <c r="H20" s="66">
        <f>'M2'!H20-'M1'!H20</f>
        <v>-2.7953600000000009E-2</v>
      </c>
    </row>
    <row r="21" spans="1:8">
      <c r="A21" s="66" t="s">
        <v>64</v>
      </c>
      <c r="B21" s="66">
        <f>'M2'!B21-'M1'!B21</f>
        <v>2.5011000000000005E-2</v>
      </c>
      <c r="C21" s="66">
        <f>'M2'!C21-'M1'!C21</f>
        <v>1.3209999999999888E-3</v>
      </c>
      <c r="D21" s="66">
        <f>'M2'!D21-'M1'!D21</f>
        <v>-0.29474</v>
      </c>
      <c r="E21" s="66">
        <f>'M2'!E21-'M1'!E21</f>
        <v>0</v>
      </c>
      <c r="F21" s="66">
        <f>'M2'!F21-'M1'!F21</f>
        <v>-2.0702899999999998E-3</v>
      </c>
      <c r="G21" s="66">
        <f>'M2'!G21-'M1'!G21</f>
        <v>0</v>
      </c>
      <c r="H21" s="66">
        <f>'M2'!H21-'M1'!H21</f>
        <v>-0.13745000000000007</v>
      </c>
    </row>
    <row r="22" spans="1:8">
      <c r="A22" s="66" t="s">
        <v>65</v>
      </c>
      <c r="B22" s="66">
        <f>'M2'!B22-'M1'!B22</f>
        <v>5.9014999999999986</v>
      </c>
      <c r="C22" s="66">
        <f>'M2'!C22-'M1'!C22</f>
        <v>1.8735799999999996</v>
      </c>
      <c r="D22" s="66">
        <f>'M2'!D22-'M1'!D22</f>
        <v>2.4189999999999989E-2</v>
      </c>
      <c r="E22" s="66">
        <f>'M2'!E22-'M1'!E22</f>
        <v>0</v>
      </c>
      <c r="F22" s="66">
        <f>'M2'!F22-'M1'!F22</f>
        <v>7.6578000000000017</v>
      </c>
      <c r="G22" s="66">
        <f>'M2'!G22-'M1'!G22</f>
        <v>0</v>
      </c>
      <c r="H22" s="66">
        <f>'M2'!H22-'M1'!H22</f>
        <v>12.898199999999996</v>
      </c>
    </row>
    <row r="23" spans="1:8">
      <c r="A23" s="66" t="s">
        <v>66</v>
      </c>
      <c r="B23" s="66">
        <f>'M2'!B23-'M1'!B23</f>
        <v>1.7887999999999984</v>
      </c>
      <c r="C23" s="66">
        <f>'M2'!C23-'M1'!C23</f>
        <v>-0.60508000000000006</v>
      </c>
      <c r="D23" s="66">
        <f>'M2'!D23-'M1'!D23</f>
        <v>-4.5793200000000006E-2</v>
      </c>
      <c r="E23" s="66">
        <f>'M2'!E23-'M1'!E23</f>
        <v>0</v>
      </c>
      <c r="F23" s="66">
        <f>'M2'!F23-'M1'!F23</f>
        <v>4.1980000000000004</v>
      </c>
      <c r="G23" s="66">
        <f>'M2'!G23-'M1'!G23</f>
        <v>0</v>
      </c>
      <c r="H23" s="66">
        <f>'M2'!H23-'M1'!H23</f>
        <v>0.77199999999999847</v>
      </c>
    </row>
    <row r="24" spans="1:8">
      <c r="A24" s="66" t="s">
        <v>67</v>
      </c>
      <c r="B24" s="66">
        <f>'M2'!B24-'M1'!B24</f>
        <v>1.27553E-3</v>
      </c>
      <c r="C24" s="66">
        <f>'M2'!C24-'M1'!C24</f>
        <v>1.0056900000000001E-3</v>
      </c>
      <c r="D24" s="66">
        <f>'M2'!D24-'M1'!D24</f>
        <v>-0.72509000000000023</v>
      </c>
      <c r="E24" s="66">
        <f>'M2'!E24-'M1'!E24</f>
        <v>0</v>
      </c>
      <c r="F24" s="66">
        <f>'M2'!F24-'M1'!F24</f>
        <v>8.8500000000000254E-7</v>
      </c>
      <c r="G24" s="66">
        <f>'M2'!G24-'M1'!G24</f>
        <v>0</v>
      </c>
      <c r="H24" s="66">
        <f>'M2'!H24-'M1'!H24</f>
        <v>-6.9780000000000189E-4</v>
      </c>
    </row>
    <row r="25" spans="1:8">
      <c r="A25" s="66" t="s">
        <v>68</v>
      </c>
      <c r="B25" s="66">
        <f>'M2'!B25-'M1'!B25</f>
        <v>1.0280000000000011E-3</v>
      </c>
      <c r="C25" s="66">
        <f>'M2'!C25-'M1'!C25</f>
        <v>3.7453799999999995E-2</v>
      </c>
      <c r="D25" s="66">
        <f>'M2'!D25-'M1'!D25</f>
        <v>0.19589100000000004</v>
      </c>
      <c r="E25" s="66">
        <f>'M2'!E25-'M1'!E25</f>
        <v>0</v>
      </c>
      <c r="F25" s="66">
        <f>'M2'!F25-'M1'!F25</f>
        <v>-2.1579999999999933E-3</v>
      </c>
      <c r="G25" s="66">
        <f>'M2'!G25-'M1'!G25</f>
        <v>0</v>
      </c>
      <c r="H25" s="66">
        <f>'M2'!H25-'M1'!H25</f>
        <v>0.21825299999999997</v>
      </c>
    </row>
    <row r="26" spans="1:8">
      <c r="A26" s="66" t="s">
        <v>69</v>
      </c>
      <c r="B26" s="66">
        <f>'M2'!B26-'M1'!B26</f>
        <v>8.5346000000000033E-5</v>
      </c>
      <c r="C26" s="66">
        <f>'M2'!C26-'M1'!C26</f>
        <v>2.0932000000000004E-4</v>
      </c>
      <c r="D26" s="66">
        <f>'M2'!D26-'M1'!D26</f>
        <v>-0.14590999999999976</v>
      </c>
      <c r="E26" s="66">
        <f>'M2'!E26-'M1'!E26</f>
        <v>0</v>
      </c>
      <c r="F26" s="66">
        <f>'M2'!F26-'M1'!F26</f>
        <v>-3.2825599999999999E-6</v>
      </c>
      <c r="G26" s="66">
        <f>'M2'!G26-'M1'!G26</f>
        <v>0</v>
      </c>
      <c r="H26" s="66">
        <f>'M2'!H26-'M1'!H26</f>
        <v>9.6830000000000006E-4</v>
      </c>
    </row>
    <row r="27" spans="1:8">
      <c r="A27" s="66" t="s">
        <v>70</v>
      </c>
      <c r="B27" s="66">
        <f>'M2'!B27-'M1'!B27</f>
        <v>-3.2825600000000003E-6</v>
      </c>
      <c r="C27" s="66">
        <f>'M2'!C27-'M1'!C27</f>
        <v>1.1433999999999999E-4</v>
      </c>
      <c r="D27" s="66">
        <f>'M2'!D27-'M1'!D27</f>
        <v>20.416399999999996</v>
      </c>
      <c r="E27" s="66">
        <f>'M2'!E27-'M1'!E27</f>
        <v>0</v>
      </c>
      <c r="F27" s="66">
        <f>'M2'!F27-'M1'!F27</f>
        <v>-6.7292999999999997E-4</v>
      </c>
      <c r="G27" s="66">
        <f>'M2'!G27-'M1'!G27</f>
        <v>0</v>
      </c>
      <c r="H27" s="66">
        <f>'M2'!H27-'M1'!H27</f>
        <v>2.6490299999999997E-3</v>
      </c>
    </row>
    <row r="28" spans="1:8">
      <c r="A28" s="66" t="s">
        <v>71</v>
      </c>
      <c r="B28" s="66">
        <f>'M2'!B28-'M1'!B28</f>
        <v>1.2809000000000015E-3</v>
      </c>
      <c r="C28" s="66">
        <f>'M2'!C28-'M1'!C28</f>
        <v>4.7699999999999826E-4</v>
      </c>
      <c r="D28" s="66">
        <f>'M2'!D28-'M1'!D28</f>
        <v>-3.7298000000000053E-2</v>
      </c>
      <c r="E28" s="66">
        <f>'M2'!E28-'M1'!E28</f>
        <v>0</v>
      </c>
      <c r="F28" s="66">
        <f>'M2'!F28-'M1'!F28</f>
        <v>-8.1380399999999989E-4</v>
      </c>
      <c r="G28" s="66">
        <f>'M2'!G28-'M1'!G28</f>
        <v>0</v>
      </c>
      <c r="H28" s="66">
        <f>'M2'!H28-'M1'!H28</f>
        <v>-6.9400000000000017E-3</v>
      </c>
    </row>
    <row r="29" spans="1:8">
      <c r="A29" s="66" t="s">
        <v>72</v>
      </c>
      <c r="B29" s="66">
        <f>'M2'!B29-'M1'!B29</f>
        <v>5.8941000000000088</v>
      </c>
      <c r="C29" s="66">
        <f>'M2'!C29-'M1'!C29</f>
        <v>0.76457999999999959</v>
      </c>
      <c r="D29" s="66">
        <f>'M2'!D29-'M1'!D29</f>
        <v>1.8400000000000083E-3</v>
      </c>
      <c r="E29" s="66">
        <f>'M2'!E29-'M1'!E29</f>
        <v>0</v>
      </c>
      <c r="F29" s="66">
        <f>'M2'!F29-'M1'!F29</f>
        <v>5.1657999999999973</v>
      </c>
      <c r="G29" s="66">
        <f>'M2'!G29-'M1'!G29</f>
        <v>0</v>
      </c>
      <c r="H29" s="66">
        <f>'M2'!H29-'M1'!H29</f>
        <v>10.071399999999997</v>
      </c>
    </row>
    <row r="30" spans="1:8">
      <c r="A30" s="66" t="s">
        <v>73</v>
      </c>
      <c r="B30" s="66">
        <f>'M2'!B30-'M1'!B30</f>
        <v>2.5751999999999988</v>
      </c>
      <c r="C30" s="66">
        <f>'M2'!C30-'M1'!C30</f>
        <v>-2.3277000000000001</v>
      </c>
      <c r="D30" s="66">
        <f>'M2'!D30-'M1'!D30</f>
        <v>-9.8897399999999983E-2</v>
      </c>
      <c r="E30" s="66">
        <f>'M2'!E30-'M1'!E30</f>
        <v>0</v>
      </c>
      <c r="F30" s="66">
        <f>'M2'!F30-'M1'!F30</f>
        <v>10.866900000000001</v>
      </c>
      <c r="G30" s="66">
        <f>'M2'!G30-'M1'!G30</f>
        <v>0</v>
      </c>
      <c r="H30" s="66">
        <f>'M2'!H30-'M1'!H30</f>
        <v>0.6606000000000023</v>
      </c>
    </row>
    <row r="31" spans="1:8">
      <c r="A31" s="66" t="s">
        <v>74</v>
      </c>
      <c r="B31" s="66">
        <f>'M2'!B31-'M1'!B31</f>
        <v>30.587999999999994</v>
      </c>
      <c r="C31" s="66">
        <f>'M2'!C31-'M1'!C31</f>
        <v>6.9070999999999998</v>
      </c>
      <c r="D31" s="66">
        <f>'M2'!D31-'M1'!D31</f>
        <v>9.106000000000003E-3</v>
      </c>
      <c r="E31" s="66">
        <f>'M2'!E31-'M1'!E31</f>
        <v>0</v>
      </c>
      <c r="F31" s="66">
        <f>'M2'!F31-'M1'!F31</f>
        <v>39.890699999999995</v>
      </c>
      <c r="G31" s="66">
        <f>'M2'!G31-'M1'!G31</f>
        <v>0</v>
      </c>
      <c r="H31" s="66">
        <f>'M2'!H31-'M1'!H31</f>
        <v>36.64700000000002</v>
      </c>
    </row>
    <row r="32" spans="1:8">
      <c r="A32" s="66" t="s">
        <v>75</v>
      </c>
      <c r="B32" s="66">
        <f>'M2'!B32-'M1'!B32</f>
        <v>-1.2905E-2</v>
      </c>
      <c r="C32" s="66">
        <f>'M2'!C32-'M1'!C32</f>
        <v>-1.8475999999999999E-2</v>
      </c>
      <c r="D32" s="66">
        <f>'M2'!D32-'M1'!D32</f>
        <v>-9.5960999999999991E-2</v>
      </c>
      <c r="E32" s="66">
        <f>'M2'!E32-'M1'!E32</f>
        <v>0</v>
      </c>
      <c r="F32" s="66">
        <f>'M2'!F32-'M1'!F32</f>
        <v>3.5034099999999999E-2</v>
      </c>
      <c r="G32" s="66">
        <f>'M2'!G32-'M1'!G32</f>
        <v>0</v>
      </c>
      <c r="H32" s="66">
        <f>'M2'!H32-'M1'!H32</f>
        <v>-1.2297999999999976E-2</v>
      </c>
    </row>
    <row r="33" spans="1:8">
      <c r="A33" s="66" t="s">
        <v>76</v>
      </c>
      <c r="B33" s="66">
        <f>'M2'!B33-'M1'!B33</f>
        <v>-4.0667000000000009E-2</v>
      </c>
      <c r="C33" s="66">
        <f>'M2'!C33-'M1'!C33</f>
        <v>2.2586000000000012E-3</v>
      </c>
      <c r="D33" s="66">
        <f>'M2'!D33-'M1'!D33</f>
        <v>1.2691899999999999E-2</v>
      </c>
      <c r="E33" s="66">
        <f>'M2'!E33-'M1'!E33</f>
        <v>0</v>
      </c>
      <c r="F33" s="66">
        <f>'M2'!F33-'M1'!F33</f>
        <v>-3.5135000000000027E-2</v>
      </c>
      <c r="G33" s="66">
        <f>'M2'!G33-'M1'!G33</f>
        <v>0</v>
      </c>
      <c r="H33" s="66">
        <f>'M2'!H33-'M1'!H33</f>
        <v>3.3219999999999916E-3</v>
      </c>
    </row>
    <row r="34" spans="1:8">
      <c r="A34" s="66" t="s">
        <v>77</v>
      </c>
      <c r="B34" s="66">
        <f>'M2'!B34-'M1'!B34</f>
        <v>1.7517000000000005E-2</v>
      </c>
      <c r="C34" s="66">
        <f>'M2'!C34-'M1'!C34</f>
        <v>1.0575999999999988E-3</v>
      </c>
      <c r="D34" s="66">
        <f>'M2'!D34-'M1'!D34</f>
        <v>-7.7869999999999884E-3</v>
      </c>
      <c r="E34" s="66">
        <f>'M2'!E34-'M1'!E34</f>
        <v>0</v>
      </c>
      <c r="F34" s="66">
        <f>'M2'!F34-'M1'!F34</f>
        <v>-1.5228000000000019E-2</v>
      </c>
      <c r="G34" s="66">
        <f>'M2'!G34-'M1'!G34</f>
        <v>0</v>
      </c>
      <c r="H34" s="66">
        <f>'M2'!H34-'M1'!H34</f>
        <v>2.6797000000000015E-2</v>
      </c>
    </row>
    <row r="35" spans="1:8">
      <c r="A35" s="66" t="s">
        <v>78</v>
      </c>
      <c r="B35" s="66">
        <f>'M2'!B35-'M1'!B35</f>
        <v>1.2123599999999998E-2</v>
      </c>
      <c r="C35" s="66">
        <f>'M2'!C35-'M1'!C35</f>
        <v>1.4796000000000004E-2</v>
      </c>
      <c r="D35" s="66">
        <f>'M2'!D35-'M1'!D35</f>
        <v>0.12658499999999998</v>
      </c>
      <c r="E35" s="66">
        <f>'M2'!E35-'M1'!E35</f>
        <v>0</v>
      </c>
      <c r="F35" s="66">
        <f>'M2'!F35-'M1'!F35</f>
        <v>7.7986000000000028E-3</v>
      </c>
      <c r="G35" s="66">
        <f>'M2'!G35-'M1'!G35</f>
        <v>0</v>
      </c>
      <c r="H35" s="66">
        <f>'M2'!H35-'M1'!H35</f>
        <v>4.8165000000000013E-2</v>
      </c>
    </row>
    <row r="36" spans="1:8">
      <c r="A36" s="66" t="s">
        <v>79</v>
      </c>
      <c r="B36" s="66">
        <f>'M2'!B36-'M1'!B36</f>
        <v>-1.5026000000000012E-2</v>
      </c>
      <c r="C36" s="66">
        <f>'M2'!C36-'M1'!C36</f>
        <v>1.8746199999999991E-2</v>
      </c>
      <c r="D36" s="66">
        <f>'M2'!D36-'M1'!D36</f>
        <v>0.127253</v>
      </c>
      <c r="E36" s="66">
        <f>'M2'!E36-'M1'!E36</f>
        <v>0</v>
      </c>
      <c r="F36" s="66">
        <f>'M2'!F36-'M1'!F36</f>
        <v>-9.6369999999999997E-3</v>
      </c>
      <c r="G36" s="66">
        <f>'M2'!G36-'M1'!G36</f>
        <v>0</v>
      </c>
      <c r="H36" s="66">
        <f>'M2'!H36-'M1'!H36</f>
        <v>0.13004500000000002</v>
      </c>
    </row>
    <row r="37" spans="1:8">
      <c r="A37" s="66" t="s">
        <v>80</v>
      </c>
      <c r="B37" s="66">
        <f>'M2'!B37-'M1'!B37</f>
        <v>1.0575999999999974E-2</v>
      </c>
      <c r="C37" s="66">
        <f>'M2'!C37-'M1'!C37</f>
        <v>9.1460000000000014E-3</v>
      </c>
      <c r="D37" s="66">
        <f>'M2'!D37-'M1'!D37</f>
        <v>1.5947999999999962E-2</v>
      </c>
      <c r="E37" s="66">
        <f>'M2'!E37-'M1'!E37</f>
        <v>0</v>
      </c>
      <c r="F37" s="66">
        <f>'M2'!F37-'M1'!F37</f>
        <v>1.1439899999999999E-2</v>
      </c>
      <c r="G37" s="66">
        <f>'M2'!G37-'M1'!G37</f>
        <v>0</v>
      </c>
      <c r="H37" s="66">
        <f>'M2'!H37-'M1'!H37</f>
        <v>-6.2300000000004019E-4</v>
      </c>
    </row>
    <row r="38" spans="1:8">
      <c r="A38" s="66" t="s">
        <v>81</v>
      </c>
      <c r="B38" s="66">
        <f>'M2'!B38-'M1'!B38</f>
        <v>-3.6244999999999976</v>
      </c>
      <c r="C38" s="66">
        <f>'M2'!C38-'M1'!C38</f>
        <v>-9.3285999999999945</v>
      </c>
      <c r="D38" s="66">
        <f>'M2'!D38-'M1'!D38</f>
        <v>0.70977000000000001</v>
      </c>
      <c r="E38" s="66">
        <f>'M2'!E38-'M1'!E38</f>
        <v>0</v>
      </c>
      <c r="F38" s="66">
        <f>'M2'!F38-'M1'!F38</f>
        <v>252.53799999999998</v>
      </c>
      <c r="G38" s="66">
        <f>'M2'!G38-'M1'!G38</f>
        <v>0</v>
      </c>
      <c r="H38" s="66">
        <f>'M2'!H38-'M1'!H38</f>
        <v>9.3273000000000081</v>
      </c>
    </row>
    <row r="39" spans="1:8">
      <c r="A39" s="66" t="s">
        <v>82</v>
      </c>
      <c r="B39" s="66">
        <f>'M2'!B39-'M1'!B39</f>
        <v>-1.0089000000000006</v>
      </c>
      <c r="C39" s="66">
        <f>'M2'!C39-'M1'!C39</f>
        <v>1.1686999999999999</v>
      </c>
      <c r="D39" s="66">
        <f>'M2'!D39-'M1'!D39</f>
        <v>-8.2973999999999992E-2</v>
      </c>
      <c r="E39" s="66">
        <f>'M2'!E39-'M1'!E39</f>
        <v>0</v>
      </c>
      <c r="F39" s="66">
        <f>'M2'!F39-'M1'!F39</f>
        <v>-9.1173999999999999</v>
      </c>
      <c r="G39" s="66">
        <f>'M2'!G39-'M1'!G39</f>
        <v>0</v>
      </c>
      <c r="H39" s="66">
        <f>'M2'!H39-'M1'!H39</f>
        <v>-1.1747699999999996</v>
      </c>
    </row>
    <row r="40" spans="1:8">
      <c r="A40" s="66" t="s">
        <v>83</v>
      </c>
      <c r="B40" s="66">
        <f>'M2'!B40-'M1'!B40</f>
        <v>-0.79757000000000033</v>
      </c>
      <c r="C40" s="66">
        <f>'M2'!C40-'M1'!C40</f>
        <v>-0.11746999999999996</v>
      </c>
      <c r="D40" s="66">
        <f>'M2'!D40-'M1'!D40</f>
        <v>0.14070199999999997</v>
      </c>
      <c r="E40" s="66">
        <f>'M2'!E40-'M1'!E40</f>
        <v>0</v>
      </c>
      <c r="F40" s="66">
        <f>'M2'!F40-'M1'!F40</f>
        <v>-0.38311000000000028</v>
      </c>
      <c r="G40" s="66">
        <f>'M2'!G40-'M1'!G40</f>
        <v>0</v>
      </c>
      <c r="H40" s="66">
        <f>'M2'!H40-'M1'!H40</f>
        <v>-1.2472129999999999</v>
      </c>
    </row>
    <row r="41" spans="1:8">
      <c r="A41" s="66" t="s">
        <v>84</v>
      </c>
      <c r="B41" s="66">
        <f>'M2'!B41-'M1'!B41</f>
        <v>1.097999999999999E-2</v>
      </c>
      <c r="C41" s="66">
        <f>'M2'!C41-'M1'!C41</f>
        <v>-1.196400000000003E-2</v>
      </c>
      <c r="D41" s="66">
        <f>'M2'!D41-'M1'!D41</f>
        <v>-2.088000000000001E-2</v>
      </c>
      <c r="E41" s="66">
        <f>'M2'!E41-'M1'!E41</f>
        <v>0</v>
      </c>
      <c r="F41" s="66">
        <f>'M2'!F41-'M1'!F41</f>
        <v>-3.7966000000000055E-2</v>
      </c>
      <c r="G41" s="66">
        <f>'M2'!G41-'M1'!G41</f>
        <v>0</v>
      </c>
      <c r="H41" s="66">
        <f>'M2'!H41-'M1'!H41</f>
        <v>0.23019200000000006</v>
      </c>
    </row>
    <row r="42" spans="1:8">
      <c r="A42" s="66" t="s">
        <v>85</v>
      </c>
      <c r="B42" s="66">
        <f>'M2'!B42-'M1'!B42</f>
        <v>1.3160999999999978E-2</v>
      </c>
      <c r="C42" s="66">
        <f>'M2'!C42-'M1'!C42</f>
        <v>3.5307999999999867E-3</v>
      </c>
      <c r="D42" s="66">
        <f>'M2'!D42-'M1'!D42</f>
        <v>-5.487599999999998E-2</v>
      </c>
      <c r="E42" s="66">
        <f>'M2'!E42-'M1'!E42</f>
        <v>0</v>
      </c>
      <c r="F42" s="66">
        <f>'M2'!F42-'M1'!F42</f>
        <v>-0.135075</v>
      </c>
      <c r="G42" s="66">
        <f>'M2'!G42-'M1'!G42</f>
        <v>0</v>
      </c>
      <c r="H42" s="66">
        <f>'M2'!H42-'M1'!H42</f>
        <v>2.5413000000000033E-3</v>
      </c>
    </row>
    <row r="43" spans="1:8">
      <c r="A43" s="66" t="s">
        <v>86</v>
      </c>
      <c r="B43" s="66">
        <f>'M2'!B43-'M1'!B43</f>
        <v>6.627999999999995E-3</v>
      </c>
      <c r="C43" s="66">
        <f>'M2'!C43-'M1'!C43</f>
        <v>4.8461999999999984E-3</v>
      </c>
      <c r="D43" s="66">
        <f>'M2'!D43-'M1'!D43</f>
        <v>-5.6281999999999999E-2</v>
      </c>
      <c r="E43" s="66">
        <f>'M2'!E43-'M1'!E43</f>
        <v>0</v>
      </c>
      <c r="F43" s="66">
        <f>'M2'!F43-'M1'!F43</f>
        <v>1.0420000000000151E-3</v>
      </c>
      <c r="G43" s="66">
        <f>'M2'!G43-'M1'!G43</f>
        <v>0</v>
      </c>
      <c r="H43" s="66">
        <f>'M2'!H43-'M1'!H43</f>
        <v>3.8655799999999997E-2</v>
      </c>
    </row>
    <row r="44" spans="1:8">
      <c r="A44" s="66" t="s">
        <v>87</v>
      </c>
      <c r="B44" s="66">
        <f>'M2'!B44-'M1'!B44</f>
        <v>-4.0030000000000001</v>
      </c>
      <c r="C44" s="66">
        <f>'M2'!C44-'M1'!C44</f>
        <v>6.6897699999999993</v>
      </c>
      <c r="D44" s="66">
        <f>'M2'!D44-'M1'!D44</f>
        <v>-0.25462799999999997</v>
      </c>
      <c r="E44" s="66">
        <f>'M2'!E44-'M1'!E44</f>
        <v>0</v>
      </c>
      <c r="F44" s="66">
        <f>'M2'!F44-'M1'!F44</f>
        <v>-11.459499999999998</v>
      </c>
      <c r="G44" s="66">
        <f>'M2'!G44-'M1'!G44</f>
        <v>0</v>
      </c>
      <c r="H44" s="66">
        <f>'M2'!H44-'M1'!H44</f>
        <v>5.076690000000001</v>
      </c>
    </row>
    <row r="45" spans="1:8">
      <c r="A45" s="66" t="s">
        <v>88</v>
      </c>
      <c r="B45" s="66">
        <f>'M2'!B45-'M1'!B45</f>
        <v>4.7071000000000041</v>
      </c>
      <c r="C45" s="66">
        <f>'M2'!C45-'M1'!C45</f>
        <v>-0.26796000000000042</v>
      </c>
      <c r="D45" s="66">
        <f>'M2'!D45-'M1'!D45</f>
        <v>-2.0212000000000008E-2</v>
      </c>
      <c r="E45" s="66">
        <f>'M2'!E45-'M1'!E45</f>
        <v>0</v>
      </c>
      <c r="F45" s="66">
        <f>'M2'!F45-'M1'!F45</f>
        <v>1.3032000000000039</v>
      </c>
      <c r="G45" s="66">
        <f>'M2'!G45-'M1'!G45</f>
        <v>0</v>
      </c>
      <c r="H45" s="66">
        <f>'M2'!H45-'M1'!H45</f>
        <v>-0.78310000000000457</v>
      </c>
    </row>
    <row r="46" spans="1:8">
      <c r="A46" s="66" t="s">
        <v>89</v>
      </c>
      <c r="B46" s="66">
        <f>'M2'!B46-'M1'!B46</f>
        <v>2.0353999999999992</v>
      </c>
      <c r="C46" s="66">
        <f>'M2'!C46-'M1'!C46</f>
        <v>-4.7174399999999999</v>
      </c>
      <c r="D46" s="66">
        <f>'M2'!D46-'M1'!D46</f>
        <v>-0.1873137</v>
      </c>
      <c r="E46" s="66">
        <f>'M2'!E46-'M1'!E46</f>
        <v>0</v>
      </c>
      <c r="F46" s="66">
        <f>'M2'!F46-'M1'!F46</f>
        <v>17.547460000000001</v>
      </c>
      <c r="G46" s="66">
        <f>'M2'!G46-'M1'!G46</f>
        <v>0</v>
      </c>
      <c r="H46" s="66">
        <f>'M2'!H46-'M1'!H46</f>
        <v>0.8600999999999992</v>
      </c>
    </row>
    <row r="47" spans="1:8">
      <c r="A47" s="66" t="s">
        <v>90</v>
      </c>
      <c r="B47" s="66">
        <f>'M2'!B47-'M1'!B47</f>
        <v>7.3630000000000084E-2</v>
      </c>
      <c r="C47" s="66">
        <f>'M2'!C47-'M1'!C47</f>
        <v>0.16127799999999998</v>
      </c>
      <c r="D47" s="66">
        <f>'M2'!D47-'M1'!D47</f>
        <v>0.10048400000000002</v>
      </c>
      <c r="E47" s="66">
        <f>'M2'!E47-'M1'!E47</f>
        <v>0</v>
      </c>
      <c r="F47" s="66">
        <f>'M2'!F47-'M1'!F47</f>
        <v>-0.12588600000000005</v>
      </c>
      <c r="G47" s="66">
        <f>'M2'!G47-'M1'!G47</f>
        <v>0</v>
      </c>
      <c r="H47" s="66">
        <f>'M2'!H47-'M1'!H47</f>
        <v>0.45494999999999974</v>
      </c>
    </row>
    <row r="48" spans="1:8">
      <c r="A48" s="66" t="s">
        <v>91</v>
      </c>
      <c r="B48" s="66">
        <f>'M2'!B48-'M1'!B48</f>
        <v>-6.8359999999999976E-2</v>
      </c>
      <c r="C48" s="66">
        <f>'M2'!C48-'M1'!C48</f>
        <v>-8.2774000000000014E-2</v>
      </c>
      <c r="D48" s="66">
        <f>'M2'!D48-'M1'!D48</f>
        <v>-5.7985000000000009E-2</v>
      </c>
      <c r="E48" s="66">
        <f>'M2'!E48-'M1'!E48</f>
        <v>0</v>
      </c>
      <c r="F48" s="66">
        <f>'M2'!F48-'M1'!F48</f>
        <v>-3.6038000000000014E-2</v>
      </c>
      <c r="G48" s="66">
        <f>'M2'!G48-'M1'!G48</f>
        <v>0</v>
      </c>
      <c r="H48" s="66">
        <f>'M2'!H48-'M1'!H48</f>
        <v>-0.34732000000000007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35.292200000000001</v>
      </c>
      <c r="C5" s="66">
        <v>7.4626299999999999</v>
      </c>
      <c r="D5" s="66">
        <v>21.145299999999999</v>
      </c>
      <c r="E5" s="66">
        <v>20</v>
      </c>
      <c r="F5" s="66">
        <v>13.938800000000001</v>
      </c>
      <c r="G5" s="66">
        <v>50</v>
      </c>
      <c r="H5" s="66">
        <v>47.253999999999998</v>
      </c>
    </row>
    <row r="6" spans="1:8">
      <c r="A6" s="66" t="s">
        <v>358</v>
      </c>
      <c r="B6" s="66">
        <v>23.703700000000001</v>
      </c>
      <c r="C6" s="66">
        <v>2.5574699999999999</v>
      </c>
      <c r="D6" s="66">
        <v>10.789400000000001</v>
      </c>
      <c r="E6" s="66">
        <v>20</v>
      </c>
      <c r="F6" s="66">
        <v>16.371500000000001</v>
      </c>
      <c r="G6" s="66">
        <v>40</v>
      </c>
      <c r="H6" s="66">
        <v>26.424399999999999</v>
      </c>
    </row>
    <row r="7" spans="1:8">
      <c r="A7" s="66" t="s">
        <v>359</v>
      </c>
      <c r="B7" s="66">
        <v>16.2149</v>
      </c>
      <c r="C7" s="66">
        <v>5.2200899999999999</v>
      </c>
      <c r="D7" s="66">
        <v>32.193199999999997</v>
      </c>
      <c r="E7" s="66">
        <v>15</v>
      </c>
      <c r="F7" s="66">
        <v>6.4204600000000003</v>
      </c>
      <c r="G7" s="66">
        <v>40</v>
      </c>
      <c r="H7" s="66">
        <v>34.396599999999999</v>
      </c>
    </row>
    <row r="8" spans="1:8">
      <c r="A8" s="66" t="s">
        <v>360</v>
      </c>
      <c r="B8" s="66">
        <v>24.4618</v>
      </c>
      <c r="C8" s="66">
        <v>3.3502200000000002</v>
      </c>
      <c r="D8" s="66">
        <v>13.6957</v>
      </c>
      <c r="E8" s="66">
        <v>20</v>
      </c>
      <c r="F8" s="66">
        <v>14.5467</v>
      </c>
      <c r="G8" s="66">
        <v>50</v>
      </c>
      <c r="H8" s="66">
        <v>29.558</v>
      </c>
    </row>
    <row r="9" spans="1:8">
      <c r="A9" s="66" t="s">
        <v>361</v>
      </c>
      <c r="B9" s="66">
        <v>73.447999999999993</v>
      </c>
      <c r="C9" s="66">
        <v>4.1528400000000003</v>
      </c>
      <c r="D9" s="66">
        <v>5.6541300000000003</v>
      </c>
      <c r="E9" s="66">
        <v>50</v>
      </c>
      <c r="F9" s="66">
        <v>64.562799999999996</v>
      </c>
      <c r="G9" s="66">
        <v>100</v>
      </c>
      <c r="H9" s="66">
        <v>88.119600000000005</v>
      </c>
    </row>
    <row r="10" spans="1:8">
      <c r="A10" s="66" t="s">
        <v>362</v>
      </c>
      <c r="B10" s="66">
        <v>81.259799999999998</v>
      </c>
      <c r="C10" s="66">
        <v>2.5077699999999998</v>
      </c>
      <c r="D10" s="66">
        <v>3.0861200000000002</v>
      </c>
      <c r="E10" s="66">
        <v>40</v>
      </c>
      <c r="F10" s="66">
        <v>78.686300000000003</v>
      </c>
      <c r="G10" s="66">
        <v>100</v>
      </c>
      <c r="H10" s="66">
        <v>87.8352</v>
      </c>
    </row>
    <row r="11" spans="1:8">
      <c r="A11" s="66" t="s">
        <v>363</v>
      </c>
      <c r="B11" s="66">
        <v>25.191700000000001</v>
      </c>
      <c r="C11" s="66">
        <v>4.2746700000000004</v>
      </c>
      <c r="D11" s="66">
        <v>16.968599999999999</v>
      </c>
      <c r="E11" s="66">
        <v>10</v>
      </c>
      <c r="F11" s="66">
        <v>11.7</v>
      </c>
      <c r="G11" s="66">
        <v>50</v>
      </c>
      <c r="H11" s="66">
        <v>28.878499999999999</v>
      </c>
    </row>
    <row r="12" spans="1:8">
      <c r="A12" s="66" t="s">
        <v>364</v>
      </c>
      <c r="B12" s="66">
        <v>77.275599999999997</v>
      </c>
      <c r="C12" s="66">
        <v>2.8066900000000001</v>
      </c>
      <c r="D12" s="66">
        <v>3.6320600000000001</v>
      </c>
      <c r="E12" s="66">
        <v>50</v>
      </c>
      <c r="F12" s="66">
        <v>73.758700000000005</v>
      </c>
      <c r="G12" s="66">
        <v>100</v>
      </c>
      <c r="H12" s="66">
        <v>87.310100000000006</v>
      </c>
    </row>
    <row r="13" spans="1:8">
      <c r="A13" s="66" t="s">
        <v>365</v>
      </c>
      <c r="B13" s="66">
        <v>21.714200000000002</v>
      </c>
      <c r="C13" s="66">
        <v>3.5759599999999998</v>
      </c>
      <c r="D13" s="66">
        <v>16.468299999999999</v>
      </c>
      <c r="E13" s="66">
        <v>10</v>
      </c>
      <c r="F13" s="66">
        <v>17.540700000000001</v>
      </c>
      <c r="G13" s="66">
        <v>25</v>
      </c>
      <c r="H13" s="66">
        <v>31.6096</v>
      </c>
    </row>
    <row r="14" spans="1:8">
      <c r="A14" s="66" t="s">
        <v>366</v>
      </c>
      <c r="B14" s="66">
        <v>35.759599999999999</v>
      </c>
      <c r="C14" s="66">
        <v>11.0726</v>
      </c>
      <c r="D14" s="66">
        <v>30.964099999999998</v>
      </c>
      <c r="E14" s="66">
        <v>10</v>
      </c>
      <c r="F14" s="66">
        <v>2.8052800000000002</v>
      </c>
      <c r="G14" s="66">
        <v>50</v>
      </c>
      <c r="H14" s="66">
        <v>38.060499999999998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0.58806899999999995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0.53902300000000003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1.1541100000000001E-3</v>
      </c>
      <c r="C20" s="66">
        <v>7.7948799999999997E-3</v>
      </c>
      <c r="D20" s="66">
        <v>6.7540100000000001</v>
      </c>
      <c r="E20" s="66">
        <v>0</v>
      </c>
      <c r="F20" s="196">
        <v>2.8706300000000001E-6</v>
      </c>
      <c r="G20" s="66">
        <v>0</v>
      </c>
      <c r="H20" s="66">
        <v>0.10051400000000001</v>
      </c>
    </row>
    <row r="21" spans="1:8">
      <c r="A21" s="66" t="s">
        <v>373</v>
      </c>
      <c r="B21" s="66">
        <v>0.122534</v>
      </c>
      <c r="C21" s="66">
        <v>0.219525</v>
      </c>
      <c r="D21" s="66">
        <v>1.7915399999999999</v>
      </c>
      <c r="E21" s="66">
        <v>0</v>
      </c>
      <c r="F21" s="66">
        <v>3.7368900000000001E-3</v>
      </c>
      <c r="G21" s="66">
        <v>0</v>
      </c>
      <c r="H21" s="66">
        <v>1.39209</v>
      </c>
    </row>
    <row r="22" spans="1:8">
      <c r="A22" s="66" t="s">
        <v>374</v>
      </c>
      <c r="B22" s="66">
        <v>35.0212</v>
      </c>
      <c r="C22" s="66">
        <v>5.2440800000000003</v>
      </c>
      <c r="D22" s="66">
        <v>0.14974000000000001</v>
      </c>
      <c r="E22" s="66">
        <v>0</v>
      </c>
      <c r="F22" s="66">
        <v>21.790299999999998</v>
      </c>
      <c r="G22" s="66">
        <v>0</v>
      </c>
      <c r="H22" s="66">
        <v>47.729700000000001</v>
      </c>
    </row>
    <row r="23" spans="1:8">
      <c r="A23" s="66" t="s">
        <v>375</v>
      </c>
      <c r="B23" s="66">
        <v>15.7239</v>
      </c>
      <c r="C23" s="66">
        <v>1.73048</v>
      </c>
      <c r="D23" s="66">
        <v>0.110055</v>
      </c>
      <c r="E23" s="66">
        <v>0</v>
      </c>
      <c r="F23" s="66">
        <v>10.357699999999999</v>
      </c>
      <c r="G23" s="66">
        <v>0</v>
      </c>
      <c r="H23" s="66">
        <v>18.2743</v>
      </c>
    </row>
    <row r="24" spans="1:8">
      <c r="A24" s="66" t="s">
        <v>376</v>
      </c>
      <c r="B24" s="66">
        <v>2.05506E-3</v>
      </c>
      <c r="C24" s="66">
        <v>5.5111600000000002E-3</v>
      </c>
      <c r="D24" s="66">
        <v>2.6817600000000001</v>
      </c>
      <c r="E24" s="66">
        <v>0</v>
      </c>
      <c r="F24" s="196">
        <v>4.8838999999999998E-5</v>
      </c>
      <c r="G24" s="66">
        <v>0</v>
      </c>
      <c r="H24" s="66">
        <v>3.1351700000000003E-2</v>
      </c>
    </row>
    <row r="25" spans="1:8">
      <c r="A25" s="66" t="s">
        <v>377</v>
      </c>
      <c r="B25" s="66">
        <v>0.18789400000000001</v>
      </c>
      <c r="C25" s="66">
        <v>8.1517199999999998E-2</v>
      </c>
      <c r="D25" s="66">
        <v>0.43384699999999998</v>
      </c>
      <c r="E25" s="66">
        <v>0</v>
      </c>
      <c r="F25" s="66">
        <v>6.7930699999999997E-2</v>
      </c>
      <c r="G25" s="66">
        <v>0</v>
      </c>
      <c r="H25" s="66">
        <v>0.43571900000000002</v>
      </c>
    </row>
    <row r="26" spans="1:8">
      <c r="A26" s="66" t="s">
        <v>378</v>
      </c>
      <c r="B26" s="66">
        <v>4.5955900000000001E-4</v>
      </c>
      <c r="C26" s="66">
        <v>1.55517E-3</v>
      </c>
      <c r="D26" s="66">
        <v>3.3840599999999998</v>
      </c>
      <c r="E26" s="66">
        <v>0</v>
      </c>
      <c r="F26" s="196">
        <v>3.2825599999999999E-6</v>
      </c>
      <c r="G26" s="66">
        <v>0</v>
      </c>
      <c r="H26" s="66">
        <v>1.1643300000000001E-2</v>
      </c>
    </row>
    <row r="27" spans="1:8">
      <c r="A27" s="66" t="s">
        <v>379</v>
      </c>
      <c r="B27" s="196">
        <v>-6.5651299999999996E-6</v>
      </c>
      <c r="C27" s="66">
        <v>6.3078799999999997E-4</v>
      </c>
      <c r="D27" s="66">
        <v>-96.081699999999998</v>
      </c>
      <c r="E27" s="66">
        <v>0</v>
      </c>
      <c r="F27" s="66">
        <v>-3.7289900000000002E-3</v>
      </c>
      <c r="G27" s="66">
        <v>0</v>
      </c>
      <c r="H27" s="66">
        <v>3.2891299999999999E-3</v>
      </c>
    </row>
    <row r="28" spans="1:8">
      <c r="A28" s="66" t="s">
        <v>380</v>
      </c>
      <c r="B28" s="66">
        <v>1.9944699999999999E-2</v>
      </c>
      <c r="C28" s="66">
        <v>1.9753400000000001E-2</v>
      </c>
      <c r="D28" s="66">
        <v>0.99041100000000004</v>
      </c>
      <c r="E28" s="66">
        <v>0</v>
      </c>
      <c r="F28" s="66">
        <v>1.5364599999999999E-3</v>
      </c>
      <c r="G28" s="66">
        <v>0</v>
      </c>
      <c r="H28" s="66">
        <v>0.11314100000000001</v>
      </c>
    </row>
    <row r="29" spans="1:8">
      <c r="A29" s="66" t="s">
        <v>381</v>
      </c>
      <c r="B29" s="66">
        <v>70.052099999999996</v>
      </c>
      <c r="C29" s="66">
        <v>7.4262100000000002</v>
      </c>
      <c r="D29" s="66">
        <v>0.10600999999999999</v>
      </c>
      <c r="E29" s="66">
        <v>0</v>
      </c>
      <c r="F29" s="66">
        <v>54.581000000000003</v>
      </c>
      <c r="G29" s="66">
        <v>0</v>
      </c>
      <c r="H29" s="66">
        <v>87.587000000000003</v>
      </c>
    </row>
    <row r="30" spans="1:8">
      <c r="A30" s="66" t="s">
        <v>382</v>
      </c>
      <c r="B30" s="66">
        <v>25.176300000000001</v>
      </c>
      <c r="C30" s="66">
        <v>4.0753700000000004</v>
      </c>
      <c r="D30" s="66">
        <v>0.16187299999999999</v>
      </c>
      <c r="E30" s="66">
        <v>0</v>
      </c>
      <c r="F30" s="66">
        <v>12.489599999999999</v>
      </c>
      <c r="G30" s="66">
        <v>0</v>
      </c>
      <c r="H30" s="66">
        <v>29.247499999999999</v>
      </c>
    </row>
    <row r="31" spans="1:8">
      <c r="A31" s="66" t="s">
        <v>383</v>
      </c>
      <c r="B31" s="66">
        <v>105.477</v>
      </c>
      <c r="C31" s="66">
        <v>19.545100000000001</v>
      </c>
      <c r="D31" s="66">
        <v>0.185303</v>
      </c>
      <c r="E31" s="66">
        <v>0</v>
      </c>
      <c r="F31" s="66">
        <v>55.543300000000002</v>
      </c>
      <c r="G31" s="66">
        <v>0</v>
      </c>
      <c r="H31" s="66">
        <v>140.30799999999999</v>
      </c>
    </row>
    <row r="32" spans="1:8">
      <c r="A32" s="66" t="s">
        <v>384</v>
      </c>
      <c r="B32" s="66">
        <v>0.16214899999999999</v>
      </c>
      <c r="C32" s="66">
        <v>5.2200900000000001E-2</v>
      </c>
      <c r="D32" s="66">
        <v>0.321932</v>
      </c>
      <c r="E32" s="66">
        <v>0.15</v>
      </c>
      <c r="F32" s="66">
        <v>6.4204600000000001E-2</v>
      </c>
      <c r="G32" s="66">
        <v>0.4</v>
      </c>
      <c r="H32" s="66">
        <v>0.34396599999999999</v>
      </c>
    </row>
    <row r="33" spans="1:8">
      <c r="A33" s="66" t="s">
        <v>385</v>
      </c>
      <c r="B33" s="66">
        <v>0.35699999999999998</v>
      </c>
      <c r="C33" s="66">
        <v>1.5417999999999999E-2</v>
      </c>
      <c r="D33" s="66">
        <v>4.3187799999999998E-2</v>
      </c>
      <c r="E33" s="66">
        <v>0</v>
      </c>
      <c r="F33" s="66">
        <v>0.324633</v>
      </c>
      <c r="G33" s="66">
        <v>0</v>
      </c>
      <c r="H33" s="66">
        <v>0.39049200000000001</v>
      </c>
    </row>
    <row r="34" spans="1:8">
      <c r="A34" s="66" t="s">
        <v>386</v>
      </c>
      <c r="B34" s="66">
        <v>0.217142</v>
      </c>
      <c r="C34" s="66">
        <v>3.5759600000000002E-2</v>
      </c>
      <c r="D34" s="66">
        <v>0.164683</v>
      </c>
      <c r="E34" s="66">
        <v>0.1</v>
      </c>
      <c r="F34" s="66">
        <v>0.17540700000000001</v>
      </c>
      <c r="G34" s="66">
        <v>0.25</v>
      </c>
      <c r="H34" s="66">
        <v>0.31609599999999999</v>
      </c>
    </row>
    <row r="35" spans="1:8">
      <c r="A35" s="66" t="s">
        <v>387</v>
      </c>
      <c r="B35" s="66">
        <v>8.3314899999999997E-2</v>
      </c>
      <c r="C35" s="66">
        <v>1.8657699999999999E-2</v>
      </c>
      <c r="D35" s="66">
        <v>0.223942</v>
      </c>
      <c r="E35" s="66">
        <v>0</v>
      </c>
      <c r="F35" s="66">
        <v>2.9101599999999998E-2</v>
      </c>
      <c r="G35" s="66">
        <v>0</v>
      </c>
      <c r="H35" s="66">
        <v>0.122945</v>
      </c>
    </row>
    <row r="36" spans="1:8">
      <c r="A36" s="66" t="s">
        <v>388</v>
      </c>
      <c r="B36" s="66">
        <v>0.21468100000000001</v>
      </c>
      <c r="C36" s="66">
        <v>9.5161800000000005E-2</v>
      </c>
      <c r="D36" s="66">
        <v>0.44327100000000003</v>
      </c>
      <c r="E36" s="66">
        <v>0</v>
      </c>
      <c r="F36" s="66">
        <v>4.5870399999999999E-2</v>
      </c>
      <c r="G36" s="66">
        <v>0</v>
      </c>
      <c r="H36" s="66">
        <v>0.470775</v>
      </c>
    </row>
    <row r="37" spans="1:8">
      <c r="A37" s="66" t="s">
        <v>389</v>
      </c>
      <c r="B37" s="66">
        <v>0.35759600000000002</v>
      </c>
      <c r="C37" s="66">
        <v>0.110726</v>
      </c>
      <c r="D37" s="66">
        <v>0.30964000000000003</v>
      </c>
      <c r="E37" s="66">
        <v>0.1</v>
      </c>
      <c r="F37" s="66">
        <v>2.8052799999999999E-2</v>
      </c>
      <c r="G37" s="66">
        <v>0.5</v>
      </c>
      <c r="H37" s="66">
        <v>0.38060500000000003</v>
      </c>
    </row>
    <row r="38" spans="1:8">
      <c r="A38" s="66" t="s">
        <v>390</v>
      </c>
      <c r="B38" s="66">
        <v>-20.583100000000002</v>
      </c>
      <c r="C38" s="66">
        <v>44.597299999999997</v>
      </c>
      <c r="D38" s="66">
        <v>-2.1667000000000001</v>
      </c>
      <c r="E38" s="66">
        <v>0</v>
      </c>
      <c r="F38" s="66">
        <v>-374.09199999999998</v>
      </c>
      <c r="G38" s="66">
        <v>0</v>
      </c>
      <c r="H38" s="66">
        <v>92.974699999999999</v>
      </c>
    </row>
    <row r="39" spans="1:8">
      <c r="A39" s="66" t="s">
        <v>391</v>
      </c>
      <c r="B39" s="66">
        <v>-6.9905099999999996</v>
      </c>
      <c r="C39" s="66">
        <v>3.4987699999999999</v>
      </c>
      <c r="D39" s="66">
        <v>-0.50050300000000003</v>
      </c>
      <c r="E39" s="66">
        <v>0</v>
      </c>
      <c r="F39" s="66">
        <v>-13.8931</v>
      </c>
      <c r="G39" s="66">
        <v>0</v>
      </c>
      <c r="H39" s="66">
        <v>5.3670799999999996</v>
      </c>
    </row>
    <row r="40" spans="1:8">
      <c r="A40" s="66" t="s">
        <v>392</v>
      </c>
      <c r="B40" s="66">
        <v>-2.1358199999999998</v>
      </c>
      <c r="C40" s="66">
        <v>0.79068899999999998</v>
      </c>
      <c r="D40" s="66">
        <v>-0.37020399999999998</v>
      </c>
      <c r="E40" s="66">
        <v>0</v>
      </c>
      <c r="F40" s="66">
        <v>-4.0267200000000001</v>
      </c>
      <c r="G40" s="66">
        <v>0</v>
      </c>
      <c r="H40" s="66">
        <v>-0.81194699999999997</v>
      </c>
    </row>
    <row r="41" spans="1:8">
      <c r="A41" s="66" t="s">
        <v>393</v>
      </c>
      <c r="B41" s="66">
        <v>-0.18227199999999999</v>
      </c>
      <c r="C41" s="66">
        <v>0.25799100000000003</v>
      </c>
      <c r="D41" s="66">
        <v>-1.4154199999999999</v>
      </c>
      <c r="E41" s="66">
        <v>0</v>
      </c>
      <c r="F41" s="66">
        <v>-0.66380799999999995</v>
      </c>
      <c r="G41" s="66">
        <v>0</v>
      </c>
      <c r="H41" s="66">
        <v>0.72857099999999997</v>
      </c>
    </row>
    <row r="42" spans="1:8">
      <c r="A42" s="66" t="s">
        <v>394</v>
      </c>
      <c r="B42" s="66">
        <v>-0.18113499999999999</v>
      </c>
      <c r="C42" s="66">
        <v>7.8270500000000007E-2</v>
      </c>
      <c r="D42" s="66">
        <v>-0.43211100000000002</v>
      </c>
      <c r="E42" s="66">
        <v>0</v>
      </c>
      <c r="F42" s="66">
        <v>-0.27690599999999999</v>
      </c>
      <c r="G42" s="66">
        <v>0</v>
      </c>
      <c r="H42" s="66">
        <v>3.5243099999999999E-2</v>
      </c>
    </row>
    <row r="43" spans="1:8">
      <c r="A43" s="66" t="s">
        <v>395</v>
      </c>
      <c r="B43" s="66">
        <v>-0.117243</v>
      </c>
      <c r="C43" s="66">
        <v>2.44008E-2</v>
      </c>
      <c r="D43" s="66">
        <v>-0.208121</v>
      </c>
      <c r="E43" s="66">
        <v>0</v>
      </c>
      <c r="F43" s="66">
        <v>-0.16155800000000001</v>
      </c>
      <c r="G43" s="66">
        <v>0</v>
      </c>
      <c r="H43" s="66">
        <v>-7.7363799999999996E-2</v>
      </c>
    </row>
    <row r="44" spans="1:8">
      <c r="A44" s="66" t="s">
        <v>396</v>
      </c>
      <c r="B44" s="66">
        <v>-14.2745</v>
      </c>
      <c r="C44" s="66">
        <v>7.25943</v>
      </c>
      <c r="D44" s="66">
        <v>-0.50856000000000001</v>
      </c>
      <c r="E44" s="66">
        <v>0</v>
      </c>
      <c r="F44" s="66">
        <v>-26.804200000000002</v>
      </c>
      <c r="G44" s="66">
        <v>0</v>
      </c>
      <c r="H44" s="66">
        <v>5.3308099999999996</v>
      </c>
    </row>
    <row r="45" spans="1:8">
      <c r="A45" s="66" t="s">
        <v>397</v>
      </c>
      <c r="B45" s="66">
        <v>45.088299999999997</v>
      </c>
      <c r="C45" s="66">
        <v>7.0736100000000004</v>
      </c>
      <c r="D45" s="66">
        <v>0.156884</v>
      </c>
      <c r="E45" s="66">
        <v>0</v>
      </c>
      <c r="F45" s="66">
        <v>34.603099999999998</v>
      </c>
      <c r="G45" s="66">
        <v>0</v>
      </c>
      <c r="H45" s="66">
        <v>64.809899999999999</v>
      </c>
    </row>
    <row r="46" spans="1:8">
      <c r="A46" s="66" t="s">
        <v>398</v>
      </c>
      <c r="B46" s="66">
        <v>25.709099999999999</v>
      </c>
      <c r="C46" s="66">
        <v>6.05626</v>
      </c>
      <c r="D46" s="66">
        <v>0.235569</v>
      </c>
      <c r="E46" s="66">
        <v>0</v>
      </c>
      <c r="F46" s="66">
        <v>8.1633399999999998</v>
      </c>
      <c r="G46" s="66">
        <v>0</v>
      </c>
      <c r="H46" s="66">
        <v>30.317399999999999</v>
      </c>
    </row>
    <row r="47" spans="1:8">
      <c r="A47" s="66" t="s">
        <v>399</v>
      </c>
      <c r="B47" s="66">
        <v>1.3309599999999999</v>
      </c>
      <c r="C47" s="66">
        <v>0.364068</v>
      </c>
      <c r="D47" s="66">
        <v>0.273538</v>
      </c>
      <c r="E47" s="66">
        <v>0</v>
      </c>
      <c r="F47" s="66">
        <v>0.77595700000000001</v>
      </c>
      <c r="G47" s="66">
        <v>0</v>
      </c>
      <c r="H47" s="66">
        <v>2.4864000000000002</v>
      </c>
    </row>
    <row r="48" spans="1:8">
      <c r="A48" s="66" t="s">
        <v>400</v>
      </c>
      <c r="B48" s="66">
        <v>1.27739</v>
      </c>
      <c r="C48" s="66">
        <v>0.236711</v>
      </c>
      <c r="D48" s="66">
        <v>0.185308</v>
      </c>
      <c r="E48" s="66">
        <v>0</v>
      </c>
      <c r="F48" s="66">
        <v>0.96687800000000002</v>
      </c>
      <c r="G48" s="66">
        <v>0</v>
      </c>
      <c r="H48" s="66">
        <v>1.96275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41.1997</v>
      </c>
      <c r="C5" s="66">
        <v>2.57952</v>
      </c>
      <c r="D5" s="66">
        <v>6.2610200000000003</v>
      </c>
      <c r="E5" s="66">
        <v>20</v>
      </c>
      <c r="F5" s="66">
        <v>33.865099999999998</v>
      </c>
      <c r="G5" s="66">
        <v>50</v>
      </c>
      <c r="H5" s="66">
        <v>47.1464</v>
      </c>
    </row>
    <row r="6" spans="1:8">
      <c r="A6" s="66" t="s">
        <v>358</v>
      </c>
      <c r="B6" s="66">
        <v>24.227499999999999</v>
      </c>
      <c r="C6" s="66">
        <v>2.2674099999999999</v>
      </c>
      <c r="D6" s="66">
        <v>9.3588000000000005</v>
      </c>
      <c r="E6" s="66">
        <v>20</v>
      </c>
      <c r="F6" s="66">
        <v>22.564599999999999</v>
      </c>
      <c r="G6" s="66">
        <v>40</v>
      </c>
      <c r="H6" s="66">
        <v>29.548400000000001</v>
      </c>
    </row>
    <row r="7" spans="1:8">
      <c r="A7" s="66" t="s">
        <v>359</v>
      </c>
      <c r="B7" s="66">
        <v>14.9244</v>
      </c>
      <c r="C7" s="66">
        <v>3.37249</v>
      </c>
      <c r="D7" s="66">
        <v>22.597100000000001</v>
      </c>
      <c r="E7" s="66">
        <v>15</v>
      </c>
      <c r="F7" s="66">
        <v>9.9238700000000009</v>
      </c>
      <c r="G7" s="66">
        <v>40</v>
      </c>
      <c r="H7" s="66">
        <v>33.166800000000002</v>
      </c>
    </row>
    <row r="8" spans="1:8">
      <c r="A8" s="66" t="s">
        <v>360</v>
      </c>
      <c r="B8" s="66">
        <v>27.628399999999999</v>
      </c>
      <c r="C8" s="66">
        <v>1.1299999999999999</v>
      </c>
      <c r="D8" s="66">
        <v>4.0899900000000002</v>
      </c>
      <c r="E8" s="66">
        <v>20</v>
      </c>
      <c r="F8" s="66">
        <v>25.060600000000001</v>
      </c>
      <c r="G8" s="66">
        <v>50</v>
      </c>
      <c r="H8" s="66">
        <v>29.817299999999999</v>
      </c>
    </row>
    <row r="9" spans="1:8">
      <c r="A9" s="66" t="s">
        <v>361</v>
      </c>
      <c r="B9" s="66">
        <v>70.605400000000003</v>
      </c>
      <c r="C9" s="66">
        <v>9.4634400000000003</v>
      </c>
      <c r="D9" s="66">
        <v>13.4033</v>
      </c>
      <c r="E9" s="66">
        <v>50</v>
      </c>
      <c r="F9" s="66">
        <v>46.9574</v>
      </c>
      <c r="G9" s="66">
        <v>100</v>
      </c>
      <c r="H9" s="66">
        <v>82.494900000000001</v>
      </c>
    </row>
    <row r="10" spans="1:8">
      <c r="A10" s="66" t="s">
        <v>362</v>
      </c>
      <c r="B10" s="66">
        <v>80.998699999999999</v>
      </c>
      <c r="C10" s="66">
        <v>1.8202</v>
      </c>
      <c r="D10" s="66">
        <v>2.2471899999999998</v>
      </c>
      <c r="E10" s="66">
        <v>40</v>
      </c>
      <c r="F10" s="66">
        <v>77.002799999999993</v>
      </c>
      <c r="G10" s="66">
        <v>100</v>
      </c>
      <c r="H10" s="66">
        <v>82.665300000000002</v>
      </c>
    </row>
    <row r="11" spans="1:8">
      <c r="A11" s="66" t="s">
        <v>363</v>
      </c>
      <c r="B11" s="66">
        <v>27.956199999999999</v>
      </c>
      <c r="C11" s="66">
        <v>2.9146299999999998</v>
      </c>
      <c r="D11" s="66">
        <v>10.425700000000001</v>
      </c>
      <c r="E11" s="66">
        <v>10</v>
      </c>
      <c r="F11" s="66">
        <v>23.227</v>
      </c>
      <c r="G11" s="66">
        <v>50</v>
      </c>
      <c r="H11" s="66">
        <v>32.481200000000001</v>
      </c>
    </row>
    <row r="12" spans="1:8">
      <c r="A12" s="66" t="s">
        <v>364</v>
      </c>
      <c r="B12" s="66">
        <v>75.365700000000004</v>
      </c>
      <c r="C12" s="66">
        <v>5.4118000000000004</v>
      </c>
      <c r="D12" s="66">
        <v>7.18072</v>
      </c>
      <c r="E12" s="66">
        <v>50</v>
      </c>
      <c r="F12" s="66">
        <v>62.132199999999997</v>
      </c>
      <c r="G12" s="66">
        <v>100</v>
      </c>
      <c r="H12" s="66">
        <v>82.185900000000004</v>
      </c>
    </row>
    <row r="13" spans="1:8">
      <c r="A13" s="66" t="s">
        <v>365</v>
      </c>
      <c r="B13" s="66">
        <v>23.465900000000001</v>
      </c>
      <c r="C13" s="66">
        <v>3.6817199999999999</v>
      </c>
      <c r="D13" s="66">
        <v>15.6896</v>
      </c>
      <c r="E13" s="66">
        <v>10</v>
      </c>
      <c r="F13" s="66">
        <v>16.017900000000001</v>
      </c>
      <c r="G13" s="66">
        <v>25</v>
      </c>
      <c r="H13" s="66">
        <v>34.289299999999997</v>
      </c>
    </row>
    <row r="14" spans="1:8">
      <c r="A14" s="66" t="s">
        <v>366</v>
      </c>
      <c r="B14" s="66">
        <v>36.8172</v>
      </c>
      <c r="C14" s="66">
        <v>11.9872</v>
      </c>
      <c r="D14" s="66">
        <v>32.558799999999998</v>
      </c>
      <c r="E14" s="66">
        <v>10</v>
      </c>
      <c r="F14" s="66">
        <v>3.9492699999999998</v>
      </c>
      <c r="G14" s="66">
        <v>50</v>
      </c>
      <c r="H14" s="66">
        <v>37.998199999999997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0.60067400000000004</v>
      </c>
      <c r="C18" s="66">
        <v>3.0218600000000002E-2</v>
      </c>
      <c r="D18" s="66">
        <v>5.03078E-2</v>
      </c>
      <c r="E18" s="66">
        <v>0</v>
      </c>
      <c r="F18" s="66">
        <v>0.57045500000000005</v>
      </c>
      <c r="G18" s="66">
        <v>0</v>
      </c>
      <c r="H18" s="66">
        <v>0.63089300000000004</v>
      </c>
    </row>
    <row r="19" spans="1:8">
      <c r="A19" s="66" t="s">
        <v>371</v>
      </c>
      <c r="B19" s="66">
        <v>0.55803599999999998</v>
      </c>
      <c r="C19" s="66">
        <v>4.1139999999999996E-3</v>
      </c>
      <c r="D19" s="66">
        <v>7.3722900000000001E-3</v>
      </c>
      <c r="E19" s="66">
        <v>0</v>
      </c>
      <c r="F19" s="66">
        <v>0.55392200000000003</v>
      </c>
      <c r="G19" s="66">
        <v>0</v>
      </c>
      <c r="H19" s="66">
        <v>0.56215000000000004</v>
      </c>
    </row>
    <row r="20" spans="1:8">
      <c r="A20" s="66" t="s">
        <v>401</v>
      </c>
      <c r="B20" s="66">
        <v>1.4984900000000001E-3</v>
      </c>
      <c r="C20" s="66">
        <v>9.8836900000000005E-3</v>
      </c>
      <c r="D20" s="66">
        <v>6.5957699999999999</v>
      </c>
      <c r="E20" s="66">
        <v>0</v>
      </c>
      <c r="F20" s="66">
        <v>0</v>
      </c>
      <c r="G20" s="66">
        <v>0</v>
      </c>
      <c r="H20" s="66">
        <v>7.2560399999999997E-2</v>
      </c>
    </row>
    <row r="21" spans="1:8">
      <c r="A21" s="66" t="s">
        <v>373</v>
      </c>
      <c r="B21" s="66">
        <v>0.14754500000000001</v>
      </c>
      <c r="C21" s="66">
        <v>0.22084599999999999</v>
      </c>
      <c r="D21" s="66">
        <v>1.4967999999999999</v>
      </c>
      <c r="E21" s="66">
        <v>0</v>
      </c>
      <c r="F21" s="66">
        <v>1.6666000000000001E-3</v>
      </c>
      <c r="G21" s="66">
        <v>0</v>
      </c>
      <c r="H21" s="66">
        <v>1.25464</v>
      </c>
    </row>
    <row r="22" spans="1:8">
      <c r="A22" s="66" t="s">
        <v>374</v>
      </c>
      <c r="B22" s="66">
        <v>40.922699999999999</v>
      </c>
      <c r="C22" s="66">
        <v>7.1176599999999999</v>
      </c>
      <c r="D22" s="66">
        <v>0.17393</v>
      </c>
      <c r="E22" s="66">
        <v>0</v>
      </c>
      <c r="F22" s="66">
        <v>29.4481</v>
      </c>
      <c r="G22" s="66">
        <v>0</v>
      </c>
      <c r="H22" s="66">
        <v>60.627899999999997</v>
      </c>
    </row>
    <row r="23" spans="1:8">
      <c r="A23" s="66" t="s">
        <v>375</v>
      </c>
      <c r="B23" s="66">
        <v>17.512699999999999</v>
      </c>
      <c r="C23" s="66">
        <v>1.1254</v>
      </c>
      <c r="D23" s="66">
        <v>6.4261799999999994E-2</v>
      </c>
      <c r="E23" s="66">
        <v>0</v>
      </c>
      <c r="F23" s="66">
        <v>14.5557</v>
      </c>
      <c r="G23" s="66">
        <v>0</v>
      </c>
      <c r="H23" s="66">
        <v>19.046299999999999</v>
      </c>
    </row>
    <row r="24" spans="1:8">
      <c r="A24" s="66" t="s">
        <v>376</v>
      </c>
      <c r="B24" s="66">
        <v>3.33059E-3</v>
      </c>
      <c r="C24" s="66">
        <v>6.5168500000000002E-3</v>
      </c>
      <c r="D24" s="66">
        <v>1.9566699999999999</v>
      </c>
      <c r="E24" s="66">
        <v>0</v>
      </c>
      <c r="F24" s="196">
        <v>4.9724E-5</v>
      </c>
      <c r="G24" s="66">
        <v>0</v>
      </c>
      <c r="H24" s="66">
        <v>3.0653900000000001E-2</v>
      </c>
    </row>
    <row r="25" spans="1:8">
      <c r="A25" s="66" t="s">
        <v>377</v>
      </c>
      <c r="B25" s="66">
        <v>0.18892200000000001</v>
      </c>
      <c r="C25" s="66">
        <v>0.11897099999999999</v>
      </c>
      <c r="D25" s="66">
        <v>0.62973800000000002</v>
      </c>
      <c r="E25" s="66">
        <v>0</v>
      </c>
      <c r="F25" s="66">
        <v>6.5772700000000003E-2</v>
      </c>
      <c r="G25" s="66">
        <v>0</v>
      </c>
      <c r="H25" s="66">
        <v>0.653972</v>
      </c>
    </row>
    <row r="26" spans="1:8">
      <c r="A26" s="66" t="s">
        <v>378</v>
      </c>
      <c r="B26" s="66">
        <v>5.4490500000000004E-4</v>
      </c>
      <c r="C26" s="66">
        <v>1.7644900000000001E-3</v>
      </c>
      <c r="D26" s="66">
        <v>3.2381500000000001</v>
      </c>
      <c r="E26" s="66">
        <v>0</v>
      </c>
      <c r="F26" s="66">
        <v>0</v>
      </c>
      <c r="G26" s="66">
        <v>0</v>
      </c>
      <c r="H26" s="66">
        <v>1.2611600000000001E-2</v>
      </c>
    </row>
    <row r="27" spans="1:8">
      <c r="A27" s="66" t="s">
        <v>379</v>
      </c>
      <c r="B27" s="196">
        <v>-9.8476899999999999E-6</v>
      </c>
      <c r="C27" s="66">
        <v>7.4512799999999996E-4</v>
      </c>
      <c r="D27" s="66">
        <v>-75.665300000000002</v>
      </c>
      <c r="E27" s="66">
        <v>0</v>
      </c>
      <c r="F27" s="66">
        <v>-4.4019200000000001E-3</v>
      </c>
      <c r="G27" s="66">
        <v>0</v>
      </c>
      <c r="H27" s="66">
        <v>5.9381599999999996E-3</v>
      </c>
    </row>
    <row r="28" spans="1:8">
      <c r="A28" s="66" t="s">
        <v>380</v>
      </c>
      <c r="B28" s="66">
        <v>2.1225600000000001E-2</v>
      </c>
      <c r="C28" s="66">
        <v>2.0230399999999999E-2</v>
      </c>
      <c r="D28" s="66">
        <v>0.95311299999999999</v>
      </c>
      <c r="E28" s="66">
        <v>0</v>
      </c>
      <c r="F28" s="66">
        <v>7.2265600000000001E-4</v>
      </c>
      <c r="G28" s="66">
        <v>0</v>
      </c>
      <c r="H28" s="66">
        <v>0.106201</v>
      </c>
    </row>
    <row r="29" spans="1:8">
      <c r="A29" s="66" t="s">
        <v>381</v>
      </c>
      <c r="B29" s="66">
        <v>75.946200000000005</v>
      </c>
      <c r="C29" s="66">
        <v>8.1907899999999998</v>
      </c>
      <c r="D29" s="66">
        <v>0.10785</v>
      </c>
      <c r="E29" s="66">
        <v>0</v>
      </c>
      <c r="F29" s="66">
        <v>59.7468</v>
      </c>
      <c r="G29" s="66">
        <v>0</v>
      </c>
      <c r="H29" s="66">
        <v>97.6584</v>
      </c>
    </row>
    <row r="30" spans="1:8">
      <c r="A30" s="66" t="s">
        <v>382</v>
      </c>
      <c r="B30" s="66">
        <v>27.7515</v>
      </c>
      <c r="C30" s="66">
        <v>1.7476700000000001</v>
      </c>
      <c r="D30" s="66">
        <v>6.2975600000000007E-2</v>
      </c>
      <c r="E30" s="66">
        <v>0</v>
      </c>
      <c r="F30" s="66">
        <v>23.3565</v>
      </c>
      <c r="G30" s="66">
        <v>0</v>
      </c>
      <c r="H30" s="66">
        <v>29.908100000000001</v>
      </c>
    </row>
    <row r="31" spans="1:8">
      <c r="A31" s="66" t="s">
        <v>383</v>
      </c>
      <c r="B31" s="66">
        <v>136.065</v>
      </c>
      <c r="C31" s="66">
        <v>26.452200000000001</v>
      </c>
      <c r="D31" s="66">
        <v>0.194409</v>
      </c>
      <c r="E31" s="66">
        <v>0</v>
      </c>
      <c r="F31" s="66">
        <v>95.433999999999997</v>
      </c>
      <c r="G31" s="66">
        <v>0</v>
      </c>
      <c r="H31" s="66">
        <v>176.95500000000001</v>
      </c>
    </row>
    <row r="32" spans="1:8">
      <c r="A32" s="66" t="s">
        <v>384</v>
      </c>
      <c r="B32" s="66">
        <v>0.14924399999999999</v>
      </c>
      <c r="C32" s="66">
        <v>3.3724900000000002E-2</v>
      </c>
      <c r="D32" s="66">
        <v>0.22597100000000001</v>
      </c>
      <c r="E32" s="66">
        <v>0.15</v>
      </c>
      <c r="F32" s="66">
        <v>9.9238699999999999E-2</v>
      </c>
      <c r="G32" s="66">
        <v>0.4</v>
      </c>
      <c r="H32" s="66">
        <v>0.33166800000000002</v>
      </c>
    </row>
    <row r="33" spans="1:8">
      <c r="A33" s="66" t="s">
        <v>385</v>
      </c>
      <c r="B33" s="66">
        <v>0.31633299999999998</v>
      </c>
      <c r="C33" s="66">
        <v>1.7676600000000001E-2</v>
      </c>
      <c r="D33" s="66">
        <v>5.5879699999999997E-2</v>
      </c>
      <c r="E33" s="66">
        <v>0</v>
      </c>
      <c r="F33" s="66">
        <v>0.28949799999999998</v>
      </c>
      <c r="G33" s="66">
        <v>0</v>
      </c>
      <c r="H33" s="66">
        <v>0.393814</v>
      </c>
    </row>
    <row r="34" spans="1:8">
      <c r="A34" s="66" t="s">
        <v>386</v>
      </c>
      <c r="B34" s="66">
        <v>0.23465900000000001</v>
      </c>
      <c r="C34" s="66">
        <v>3.6817200000000001E-2</v>
      </c>
      <c r="D34" s="66">
        <v>0.15689600000000001</v>
      </c>
      <c r="E34" s="66">
        <v>0.1</v>
      </c>
      <c r="F34" s="66">
        <v>0.16017899999999999</v>
      </c>
      <c r="G34" s="66">
        <v>0.25</v>
      </c>
      <c r="H34" s="66">
        <v>0.342893</v>
      </c>
    </row>
    <row r="35" spans="1:8">
      <c r="A35" s="66" t="s">
        <v>387</v>
      </c>
      <c r="B35" s="66">
        <v>9.5438499999999996E-2</v>
      </c>
      <c r="C35" s="66">
        <v>3.3453700000000003E-2</v>
      </c>
      <c r="D35" s="66">
        <v>0.35052699999999998</v>
      </c>
      <c r="E35" s="66">
        <v>0</v>
      </c>
      <c r="F35" s="66">
        <v>3.6900200000000001E-2</v>
      </c>
      <c r="G35" s="66">
        <v>0</v>
      </c>
      <c r="H35" s="66">
        <v>0.17111000000000001</v>
      </c>
    </row>
    <row r="36" spans="1:8">
      <c r="A36" s="66" t="s">
        <v>388</v>
      </c>
      <c r="B36" s="66">
        <v>0.199655</v>
      </c>
      <c r="C36" s="66">
        <v>0.113908</v>
      </c>
      <c r="D36" s="66">
        <v>0.57052400000000003</v>
      </c>
      <c r="E36" s="66">
        <v>0</v>
      </c>
      <c r="F36" s="66">
        <v>3.6233399999999999E-2</v>
      </c>
      <c r="G36" s="66">
        <v>0</v>
      </c>
      <c r="H36" s="66">
        <v>0.60082000000000002</v>
      </c>
    </row>
    <row r="37" spans="1:8">
      <c r="A37" s="66" t="s">
        <v>389</v>
      </c>
      <c r="B37" s="66">
        <v>0.368172</v>
      </c>
      <c r="C37" s="66">
        <v>0.11987200000000001</v>
      </c>
      <c r="D37" s="66">
        <v>0.32558799999999999</v>
      </c>
      <c r="E37" s="66">
        <v>0.1</v>
      </c>
      <c r="F37" s="66">
        <v>3.9492699999999999E-2</v>
      </c>
      <c r="G37" s="66">
        <v>0.5</v>
      </c>
      <c r="H37" s="66">
        <v>0.37998199999999999</v>
      </c>
    </row>
    <row r="38" spans="1:8">
      <c r="A38" s="66" t="s">
        <v>390</v>
      </c>
      <c r="B38" s="66">
        <v>-24.207599999999999</v>
      </c>
      <c r="C38" s="66">
        <v>35.268700000000003</v>
      </c>
      <c r="D38" s="66">
        <v>-1.4569300000000001</v>
      </c>
      <c r="E38" s="66">
        <v>0</v>
      </c>
      <c r="F38" s="66">
        <v>-121.554</v>
      </c>
      <c r="G38" s="66">
        <v>0</v>
      </c>
      <c r="H38" s="66">
        <v>102.30200000000001</v>
      </c>
    </row>
    <row r="39" spans="1:8">
      <c r="A39" s="66" t="s">
        <v>391</v>
      </c>
      <c r="B39" s="66">
        <v>-7.9994100000000001</v>
      </c>
      <c r="C39" s="66">
        <v>4.6674699999999998</v>
      </c>
      <c r="D39" s="66">
        <v>-0.58347700000000002</v>
      </c>
      <c r="E39" s="66">
        <v>0</v>
      </c>
      <c r="F39" s="66">
        <v>-23.0105</v>
      </c>
      <c r="G39" s="66">
        <v>0</v>
      </c>
      <c r="H39" s="66">
        <v>4.19231</v>
      </c>
    </row>
    <row r="40" spans="1:8">
      <c r="A40" s="66" t="s">
        <v>392</v>
      </c>
      <c r="B40" s="66">
        <v>-2.9333900000000002</v>
      </c>
      <c r="C40" s="66">
        <v>0.67321900000000001</v>
      </c>
      <c r="D40" s="66">
        <v>-0.22950200000000001</v>
      </c>
      <c r="E40" s="66">
        <v>0</v>
      </c>
      <c r="F40" s="66">
        <v>-4.4098300000000004</v>
      </c>
      <c r="G40" s="66">
        <v>0</v>
      </c>
      <c r="H40" s="66">
        <v>-2.0591599999999999</v>
      </c>
    </row>
    <row r="41" spans="1:8">
      <c r="A41" s="66" t="s">
        <v>393</v>
      </c>
      <c r="B41" s="66">
        <v>-0.171292</v>
      </c>
      <c r="C41" s="66">
        <v>0.246027</v>
      </c>
      <c r="D41" s="66">
        <v>-1.4362999999999999</v>
      </c>
      <c r="E41" s="66">
        <v>0</v>
      </c>
      <c r="F41" s="66">
        <v>-0.70177400000000001</v>
      </c>
      <c r="G41" s="66">
        <v>0</v>
      </c>
      <c r="H41" s="66">
        <v>0.95876300000000003</v>
      </c>
    </row>
    <row r="42" spans="1:8">
      <c r="A42" s="66" t="s">
        <v>394</v>
      </c>
      <c r="B42" s="66">
        <v>-0.16797400000000001</v>
      </c>
      <c r="C42" s="66">
        <v>8.1801299999999993E-2</v>
      </c>
      <c r="D42" s="66">
        <v>-0.486987</v>
      </c>
      <c r="E42" s="66">
        <v>0</v>
      </c>
      <c r="F42" s="66">
        <v>-0.41198099999999999</v>
      </c>
      <c r="G42" s="66">
        <v>0</v>
      </c>
      <c r="H42" s="66">
        <v>3.7784400000000003E-2</v>
      </c>
    </row>
    <row r="43" spans="1:8">
      <c r="A43" s="66" t="s">
        <v>395</v>
      </c>
      <c r="B43" s="66">
        <v>-0.110615</v>
      </c>
      <c r="C43" s="66">
        <v>2.9246999999999999E-2</v>
      </c>
      <c r="D43" s="66">
        <v>-0.264403</v>
      </c>
      <c r="E43" s="66">
        <v>0</v>
      </c>
      <c r="F43" s="66">
        <v>-0.16051599999999999</v>
      </c>
      <c r="G43" s="66">
        <v>0</v>
      </c>
      <c r="H43" s="66">
        <v>-3.8707999999999999E-2</v>
      </c>
    </row>
    <row r="44" spans="1:8">
      <c r="A44" s="66" t="s">
        <v>396</v>
      </c>
      <c r="B44" s="66">
        <v>-18.2775</v>
      </c>
      <c r="C44" s="66">
        <v>13.949199999999999</v>
      </c>
      <c r="D44" s="66">
        <v>-0.76318799999999998</v>
      </c>
      <c r="E44" s="66">
        <v>0</v>
      </c>
      <c r="F44" s="66">
        <v>-38.2637</v>
      </c>
      <c r="G44" s="66">
        <v>0</v>
      </c>
      <c r="H44" s="66">
        <v>10.407500000000001</v>
      </c>
    </row>
    <row r="45" spans="1:8">
      <c r="A45" s="66" t="s">
        <v>397</v>
      </c>
      <c r="B45" s="66">
        <v>49.795400000000001</v>
      </c>
      <c r="C45" s="66">
        <v>6.80565</v>
      </c>
      <c r="D45" s="66">
        <v>0.13667199999999999</v>
      </c>
      <c r="E45" s="66">
        <v>0</v>
      </c>
      <c r="F45" s="66">
        <v>35.906300000000002</v>
      </c>
      <c r="G45" s="66">
        <v>0</v>
      </c>
      <c r="H45" s="66">
        <v>64.026799999999994</v>
      </c>
    </row>
    <row r="46" spans="1:8">
      <c r="A46" s="66" t="s">
        <v>398</v>
      </c>
      <c r="B46" s="66">
        <v>27.744499999999999</v>
      </c>
      <c r="C46" s="66">
        <v>1.3388199999999999</v>
      </c>
      <c r="D46" s="66">
        <v>4.8255300000000001E-2</v>
      </c>
      <c r="E46" s="66">
        <v>0</v>
      </c>
      <c r="F46" s="66">
        <v>25.710799999999999</v>
      </c>
      <c r="G46" s="66">
        <v>0</v>
      </c>
      <c r="H46" s="66">
        <v>31.177499999999998</v>
      </c>
    </row>
    <row r="47" spans="1:8">
      <c r="A47" s="66" t="s">
        <v>399</v>
      </c>
      <c r="B47" s="66">
        <v>1.40459</v>
      </c>
      <c r="C47" s="66">
        <v>0.52534599999999998</v>
      </c>
      <c r="D47" s="66">
        <v>0.37402200000000002</v>
      </c>
      <c r="E47" s="66">
        <v>0</v>
      </c>
      <c r="F47" s="66">
        <v>0.65007099999999995</v>
      </c>
      <c r="G47" s="66">
        <v>0</v>
      </c>
      <c r="H47" s="66">
        <v>2.9413499999999999</v>
      </c>
    </row>
    <row r="48" spans="1:8">
      <c r="A48" s="66" t="s">
        <v>400</v>
      </c>
      <c r="B48" s="66">
        <v>1.20903</v>
      </c>
      <c r="C48" s="66">
        <v>0.15393699999999999</v>
      </c>
      <c r="D48" s="66">
        <v>0.12732299999999999</v>
      </c>
      <c r="E48" s="66">
        <v>0</v>
      </c>
      <c r="F48" s="66">
        <v>0.93084</v>
      </c>
      <c r="G48" s="66">
        <v>0</v>
      </c>
      <c r="H48" s="66">
        <v>1.6154299999999999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90.939404585461574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1.7558116624710092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0.54145041251546211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584</v>
      </c>
      <c r="B8" s="66">
        <v>584</v>
      </c>
      <c r="D8">
        <f t="shared" si="0"/>
        <v>2.403489999176887E-3</v>
      </c>
      <c r="E8">
        <f t="shared" si="0"/>
        <v>2.403489999176887E-3</v>
      </c>
      <c r="G8">
        <f t="shared" ca="1" si="1"/>
        <v>6</v>
      </c>
      <c r="H8">
        <f t="shared" ca="1" si="2"/>
        <v>1.4420939995061322E-2</v>
      </c>
      <c r="I8">
        <f t="shared" ca="1" si="3"/>
        <v>17.340465188815191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606</v>
      </c>
      <c r="B10" s="66">
        <v>606</v>
      </c>
      <c r="D10">
        <f t="shared" si="0"/>
        <v>2.4940324306527285E-3</v>
      </c>
      <c r="E10">
        <f t="shared" si="0"/>
        <v>2.4940324306527285E-3</v>
      </c>
      <c r="G10">
        <f t="shared" ca="1" si="1"/>
        <v>8</v>
      </c>
      <c r="H10">
        <f t="shared" ca="1" si="2"/>
        <v>1.9952259445221828E-2</v>
      </c>
      <c r="I10">
        <f t="shared" ca="1" si="3"/>
        <v>17.156311502150285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390</v>
      </c>
      <c r="B13" s="66">
        <v>390</v>
      </c>
      <c r="D13">
        <f t="shared" si="0"/>
        <v>1.6050703761626471E-3</v>
      </c>
      <c r="E13">
        <f t="shared" si="0"/>
        <v>1.6050703761626471E-3</v>
      </c>
      <c r="G13">
        <f t="shared" ca="1" si="1"/>
        <v>11</v>
      </c>
      <c r="H13">
        <f t="shared" ca="1" si="2"/>
        <v>1.7655774137789119E-2</v>
      </c>
      <c r="I13">
        <f t="shared" ca="1" si="3"/>
        <v>10.256894716176083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576</v>
      </c>
      <c r="B15" s="66">
        <v>576</v>
      </c>
      <c r="D15">
        <f t="shared" si="0"/>
        <v>2.3705654786402171E-3</v>
      </c>
      <c r="E15">
        <f t="shared" si="0"/>
        <v>2.3705654786402171E-3</v>
      </c>
      <c r="G15">
        <f t="shared" ca="1" si="1"/>
        <v>13</v>
      </c>
      <c r="H15">
        <f t="shared" ca="1" si="2"/>
        <v>3.0817351222322823E-2</v>
      </c>
      <c r="I15">
        <f t="shared" ca="1" si="3"/>
        <v>14.400120394231998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2272</v>
      </c>
      <c r="B18" s="66">
        <v>2272</v>
      </c>
      <c r="D18">
        <f t="shared" si="0"/>
        <v>9.3505638324141906E-3</v>
      </c>
      <c r="E18">
        <f t="shared" si="0"/>
        <v>9.3505638324141906E-3</v>
      </c>
      <c r="G18">
        <f t="shared" ca="1" si="1"/>
        <v>16</v>
      </c>
      <c r="H18">
        <f t="shared" ca="1" si="2"/>
        <v>0.14960902131862705</v>
      </c>
      <c r="I18">
        <f t="shared" ca="1" si="3"/>
        <v>52.511965697030988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4825</v>
      </c>
      <c r="B21" s="66">
        <v>4825</v>
      </c>
      <c r="D21">
        <f t="shared" si="0"/>
        <v>1.9857601448678902E-2</v>
      </c>
      <c r="E21">
        <f t="shared" si="0"/>
        <v>1.9857601448678902E-2</v>
      </c>
      <c r="G21">
        <f t="shared" ca="1" si="1"/>
        <v>19</v>
      </c>
      <c r="H21">
        <f t="shared" ca="1" si="2"/>
        <v>0.37729442752489917</v>
      </c>
      <c r="I21">
        <f t="shared" ca="1" si="3"/>
        <v>102.76860656199798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6500</v>
      </c>
      <c r="B23" s="66">
        <v>6500</v>
      </c>
      <c r="D23">
        <f t="shared" si="0"/>
        <v>2.6751172936044117E-2</v>
      </c>
      <c r="E23">
        <f t="shared" si="0"/>
        <v>2.6751172936044117E-2</v>
      </c>
      <c r="G23">
        <f t="shared" ca="1" si="1"/>
        <v>21</v>
      </c>
      <c r="H23">
        <f t="shared" ca="1" si="2"/>
        <v>0.56177463165692643</v>
      </c>
      <c r="I23">
        <f t="shared" ca="1" si="3"/>
        <v>130.85390583380416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9190</v>
      </c>
      <c r="B26" s="66">
        <v>9190</v>
      </c>
      <c r="D26">
        <f t="shared" si="0"/>
        <v>3.7822042966499297E-2</v>
      </c>
      <c r="E26">
        <f t="shared" si="0"/>
        <v>3.7822042966499297E-2</v>
      </c>
      <c r="G26">
        <f t="shared" ca="1" si="1"/>
        <v>24</v>
      </c>
      <c r="H26">
        <f t="shared" ca="1" si="2"/>
        <v>0.90772903119598314</v>
      </c>
      <c r="I26">
        <f t="shared" ca="1" si="3"/>
        <v>169.47618287387311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15675</v>
      </c>
      <c r="B28" s="66">
        <v>15675</v>
      </c>
      <c r="D28">
        <f t="shared" si="0"/>
        <v>6.4511482426537162E-2</v>
      </c>
      <c r="E28">
        <f t="shared" si="0"/>
        <v>6.4511482426537162E-2</v>
      </c>
      <c r="G28">
        <f t="shared" ca="1" si="1"/>
        <v>26</v>
      </c>
      <c r="H28">
        <f t="shared" ca="1" si="2"/>
        <v>1.6772985430899663</v>
      </c>
      <c r="I28">
        <f t="shared" ca="1" si="3"/>
        <v>272.05306712303951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26060</v>
      </c>
      <c r="B31" s="66">
        <v>26060</v>
      </c>
      <c r="D31">
        <f t="shared" si="0"/>
        <v>0.1072516256482015</v>
      </c>
      <c r="E31">
        <f t="shared" si="0"/>
        <v>0.1072516256482015</v>
      </c>
      <c r="G31">
        <f t="shared" ca="1" si="1"/>
        <v>29</v>
      </c>
      <c r="H31">
        <f t="shared" ca="1" si="2"/>
        <v>3.1102971437978435</v>
      </c>
      <c r="I31">
        <f t="shared" ca="1" si="3"/>
        <v>411.46977216586981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31815</v>
      </c>
      <c r="B33" s="66">
        <v>31815</v>
      </c>
      <c r="D33">
        <f t="shared" si="0"/>
        <v>0.13093670260926826</v>
      </c>
      <c r="E33">
        <f t="shared" si="0"/>
        <v>0.13093670260926826</v>
      </c>
      <c r="G33">
        <f t="shared" ca="1" si="1"/>
        <v>31</v>
      </c>
      <c r="H33">
        <f t="shared" ca="1" si="2"/>
        <v>4.0590377808873157</v>
      </c>
      <c r="I33">
        <f t="shared" ca="1" si="3"/>
        <v>470.42051051456019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35843</v>
      </c>
      <c r="B36" s="66">
        <v>35843</v>
      </c>
      <c r="D36">
        <f t="shared" si="0"/>
        <v>0.14751419869948143</v>
      </c>
      <c r="E36">
        <f t="shared" si="0"/>
        <v>0.14751419869948143</v>
      </c>
      <c r="G36">
        <f t="shared" ca="1" si="1"/>
        <v>34</v>
      </c>
      <c r="H36">
        <f t="shared" ca="1" si="2"/>
        <v>5.0154827557823687</v>
      </c>
      <c r="I36">
        <f t="shared" ca="1" si="3"/>
        <v>478.25516323954196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42771</v>
      </c>
      <c r="B39" s="66">
        <v>42771</v>
      </c>
      <c r="D39">
        <f t="shared" si="0"/>
        <v>0.17602683348423739</v>
      </c>
      <c r="E39">
        <f t="shared" si="0"/>
        <v>0.17602683348423739</v>
      </c>
      <c r="G39">
        <f t="shared" ca="1" si="1"/>
        <v>37</v>
      </c>
      <c r="H39">
        <f t="shared" ca="1" si="2"/>
        <v>6.5129928389167837</v>
      </c>
      <c r="I39">
        <f t="shared" ca="1" si="3"/>
        <v>512.14291953006853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58639</v>
      </c>
      <c r="B41" s="66">
        <v>58639</v>
      </c>
      <c r="D41">
        <f t="shared" si="0"/>
        <v>0.24133261996872171</v>
      </c>
      <c r="E41">
        <f t="shared" si="0"/>
        <v>0.24133261996872171</v>
      </c>
      <c r="G41">
        <f t="shared" ca="1" si="1"/>
        <v>39</v>
      </c>
      <c r="H41">
        <f t="shared" ca="1" si="2"/>
        <v>9.4119721787801467</v>
      </c>
      <c r="I41">
        <f t="shared" ca="1" si="3"/>
        <v>651.04343090610689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73566</v>
      </c>
      <c r="B44" s="66">
        <v>73566</v>
      </c>
      <c r="D44">
        <f t="shared" si="0"/>
        <v>0.30276565972508024</v>
      </c>
      <c r="E44">
        <f t="shared" si="0"/>
        <v>0.30276565972508024</v>
      </c>
      <c r="G44">
        <f t="shared" ca="1" si="1"/>
        <v>42</v>
      </c>
      <c r="H44">
        <f t="shared" ca="1" si="2"/>
        <v>12.71615770845337</v>
      </c>
      <c r="I44">
        <f t="shared" ca="1" si="3"/>
        <v>725.1435320515717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86539</v>
      </c>
      <c r="B46" s="66">
        <v>86539</v>
      </c>
      <c r="D46">
        <f t="shared" si="0"/>
        <v>0.35615688534035722</v>
      </c>
      <c r="E46">
        <f t="shared" si="0"/>
        <v>0.35615688534035722</v>
      </c>
      <c r="G46">
        <f t="shared" ca="1" si="1"/>
        <v>44</v>
      </c>
      <c r="H46">
        <f t="shared" ca="1" si="2"/>
        <v>15.670902954975718</v>
      </c>
      <c r="I46">
        <f t="shared" ca="1" si="3"/>
        <v>784.72320888907518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94097</v>
      </c>
      <c r="B49" s="66">
        <v>94097</v>
      </c>
      <c r="D49">
        <f t="shared" si="0"/>
        <v>0.38726232611737593</v>
      </c>
      <c r="E49">
        <f t="shared" si="0"/>
        <v>0.38726232611737593</v>
      </c>
      <c r="G49">
        <f t="shared" ca="1" si="1"/>
        <v>47</v>
      </c>
      <c r="H49">
        <f t="shared" ca="1" si="2"/>
        <v>18.201329327516667</v>
      </c>
      <c r="I49">
        <f t="shared" ca="1" si="3"/>
        <v>747.67624905031437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111708</v>
      </c>
      <c r="B51" s="66">
        <v>111708</v>
      </c>
      <c r="D51">
        <f t="shared" si="0"/>
        <v>0.45974154251378713</v>
      </c>
      <c r="E51">
        <f t="shared" si="0"/>
        <v>0.45974154251378713</v>
      </c>
      <c r="G51">
        <f t="shared" ca="1" si="1"/>
        <v>49</v>
      </c>
      <c r="H51">
        <f t="shared" ca="1" si="2"/>
        <v>22.527335583175571</v>
      </c>
      <c r="I51">
        <f t="shared" ca="1" si="3"/>
        <v>808.64567780994685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115028</v>
      </c>
      <c r="B54" s="66">
        <v>115028</v>
      </c>
      <c r="D54">
        <f t="shared" si="0"/>
        <v>0.47340521853650508</v>
      </c>
      <c r="E54">
        <f t="shared" si="0"/>
        <v>0.47340521853650508</v>
      </c>
      <c r="G54">
        <f t="shared" ca="1" si="1"/>
        <v>52</v>
      </c>
      <c r="H54">
        <f t="shared" ca="1" si="2"/>
        <v>24.617071363898265</v>
      </c>
      <c r="I54">
        <f t="shared" ca="1" si="3"/>
        <v>717.81355317929763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138995</v>
      </c>
      <c r="B57" s="66">
        <v>138995</v>
      </c>
      <c r="D57">
        <f t="shared" si="0"/>
        <v>0.57204296649930031</v>
      </c>
      <c r="E57">
        <f t="shared" si="0"/>
        <v>0.57204296649930031</v>
      </c>
      <c r="G57">
        <f t="shared" ca="1" si="1"/>
        <v>55</v>
      </c>
      <c r="H57">
        <f t="shared" ca="1" si="2"/>
        <v>31.462363157461517</v>
      </c>
      <c r="I57">
        <f t="shared" ca="1" si="3"/>
        <v>738.87403600330151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142152</v>
      </c>
      <c r="B59" s="66">
        <v>142152</v>
      </c>
      <c r="D59">
        <f t="shared" si="0"/>
        <v>0.58503580541608358</v>
      </c>
      <c r="E59">
        <f t="shared" si="0"/>
        <v>0.58503580541608358</v>
      </c>
      <c r="G59">
        <f t="shared" ca="1" si="1"/>
        <v>57</v>
      </c>
      <c r="H59">
        <f t="shared" ca="1" si="2"/>
        <v>33.347040908716764</v>
      </c>
      <c r="I59">
        <f t="shared" ca="1" si="3"/>
        <v>673.89290607182431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151660</v>
      </c>
      <c r="B62" s="66">
        <v>151660</v>
      </c>
      <c r="D62">
        <f t="shared" si="0"/>
        <v>0.6241665980739155</v>
      </c>
      <c r="E62">
        <f t="shared" si="0"/>
        <v>0.6241665980739155</v>
      </c>
      <c r="G62">
        <f t="shared" ca="1" si="1"/>
        <v>60</v>
      </c>
      <c r="H62">
        <f t="shared" ca="1" si="2"/>
        <v>37.449995884434927</v>
      </c>
      <c r="I62">
        <f t="shared" ca="1" si="3"/>
        <v>597.4814512740262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150702</v>
      </c>
      <c r="B64" s="66">
        <v>150702</v>
      </c>
      <c r="D64">
        <f t="shared" si="0"/>
        <v>0.62022388673964934</v>
      </c>
      <c r="E64">
        <f t="shared" si="0"/>
        <v>0.62022388673964934</v>
      </c>
      <c r="G64">
        <f t="shared" ca="1" si="1"/>
        <v>62</v>
      </c>
      <c r="H64">
        <f t="shared" ca="1" si="2"/>
        <v>38.453880977858262</v>
      </c>
      <c r="I64">
        <f t="shared" ca="1" si="3"/>
        <v>519.43076812438642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160453</v>
      </c>
      <c r="B67" s="66">
        <v>160453</v>
      </c>
      <c r="D67">
        <f t="shared" ref="D67:E130" si="4">IFERROR( A67/MAX(A$2:A$257), 0 )</f>
        <v>0.6603547617087826</v>
      </c>
      <c r="E67">
        <f t="shared" si="4"/>
        <v>0.6603547617087826</v>
      </c>
      <c r="G67">
        <f t="shared" ref="G67:G130" ca="1" si="5">CELL("row",D67)-2</f>
        <v>65</v>
      </c>
      <c r="H67">
        <f t="shared" ref="H67:H130" ca="1" si="6">D67*G67</f>
        <v>42.923059511070868</v>
      </c>
      <c r="I67">
        <f t="shared" ref="I67:I130" ca="1" si="7">D67*((G67-$L$1)^2)</f>
        <v>444.32149114110149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169051</v>
      </c>
      <c r="B69" s="66">
        <v>169051</v>
      </c>
      <c r="D69">
        <f t="shared" si="4"/>
        <v>0.69574039015556832</v>
      </c>
      <c r="E69">
        <f t="shared" si="4"/>
        <v>0.69574039015556832</v>
      </c>
      <c r="G69">
        <f t="shared" ca="1" si="5"/>
        <v>67</v>
      </c>
      <c r="H69">
        <f t="shared" ca="1" si="6"/>
        <v>46.614606140423078</v>
      </c>
      <c r="I69">
        <f t="shared" ca="1" si="7"/>
        <v>398.72540283921296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177778</v>
      </c>
      <c r="B72" s="66">
        <v>177778</v>
      </c>
      <c r="D72">
        <f t="shared" si="4"/>
        <v>0.73165692649600789</v>
      </c>
      <c r="E72">
        <f t="shared" si="4"/>
        <v>0.73165692649600789</v>
      </c>
      <c r="G72">
        <f t="shared" ca="1" si="5"/>
        <v>70</v>
      </c>
      <c r="H72">
        <f t="shared" ca="1" si="6"/>
        <v>51.215984854720553</v>
      </c>
      <c r="I72">
        <f t="shared" ca="1" si="7"/>
        <v>320.80131878580198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185752</v>
      </c>
      <c r="B75" s="66">
        <v>185752</v>
      </c>
      <c r="D75">
        <f t="shared" si="4"/>
        <v>0.76447444234093342</v>
      </c>
      <c r="E75">
        <f t="shared" si="4"/>
        <v>0.76447444234093342</v>
      </c>
      <c r="G75">
        <f t="shared" ca="1" si="5"/>
        <v>73</v>
      </c>
      <c r="H75">
        <f t="shared" ca="1" si="6"/>
        <v>55.806634290888141</v>
      </c>
      <c r="I75">
        <f t="shared" ca="1" si="7"/>
        <v>246.02487507242233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185846</v>
      </c>
      <c r="B77" s="66">
        <v>185846</v>
      </c>
      <c r="D77">
        <f t="shared" si="4"/>
        <v>0.76486130545723929</v>
      </c>
      <c r="E77">
        <f t="shared" si="4"/>
        <v>0.76486130545723929</v>
      </c>
      <c r="G77">
        <f t="shared" ca="1" si="5"/>
        <v>75</v>
      </c>
      <c r="H77">
        <f t="shared" ca="1" si="6"/>
        <v>57.364597909292947</v>
      </c>
      <c r="I77">
        <f t="shared" ca="1" si="7"/>
        <v>194.32419580626066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190646</v>
      </c>
      <c r="B80" s="66">
        <v>190646</v>
      </c>
      <c r="D80">
        <f t="shared" si="4"/>
        <v>0.78461601777924106</v>
      </c>
      <c r="E80">
        <f t="shared" si="4"/>
        <v>0.78461601777924106</v>
      </c>
      <c r="G80">
        <f t="shared" ca="1" si="5"/>
        <v>78</v>
      </c>
      <c r="H80">
        <f t="shared" ca="1" si="6"/>
        <v>61.200049386780805</v>
      </c>
      <c r="I80">
        <f t="shared" ca="1" si="7"/>
        <v>131.36684050700933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204502</v>
      </c>
      <c r="B82" s="66">
        <v>204502</v>
      </c>
      <c r="D82">
        <f t="shared" si="4"/>
        <v>0.84164128734875299</v>
      </c>
      <c r="E82">
        <f t="shared" si="4"/>
        <v>0.84164128734875299</v>
      </c>
      <c r="G82">
        <f t="shared" ca="1" si="5"/>
        <v>80</v>
      </c>
      <c r="H82">
        <f t="shared" ca="1" si="6"/>
        <v>67.331302987900244</v>
      </c>
      <c r="I82">
        <f t="shared" ca="1" si="7"/>
        <v>100.71969485187583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216487</v>
      </c>
      <c r="B85" s="66">
        <v>216487</v>
      </c>
      <c r="D85">
        <f t="shared" si="4"/>
        <v>0.89096633467775121</v>
      </c>
      <c r="E85">
        <f t="shared" si="4"/>
        <v>0.89096633467775121</v>
      </c>
      <c r="G85">
        <f t="shared" ca="1" si="5"/>
        <v>83</v>
      </c>
      <c r="H85">
        <f t="shared" ca="1" si="6"/>
        <v>73.950205778253348</v>
      </c>
      <c r="I85">
        <f t="shared" ca="1" si="7"/>
        <v>56.161301283128729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217490</v>
      </c>
      <c r="B88" s="66">
        <v>217490</v>
      </c>
      <c r="D88">
        <f t="shared" si="4"/>
        <v>0.89509424644003621</v>
      </c>
      <c r="E88">
        <f t="shared" si="4"/>
        <v>0.89509424644003621</v>
      </c>
      <c r="G88">
        <f t="shared" ca="1" si="5"/>
        <v>86</v>
      </c>
      <c r="H88">
        <f t="shared" ca="1" si="6"/>
        <v>76.97810519384312</v>
      </c>
      <c r="I88">
        <f t="shared" ca="1" si="7"/>
        <v>21.838256702730906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233927</v>
      </c>
      <c r="B90" s="66">
        <v>233927</v>
      </c>
      <c r="D90">
        <f t="shared" si="4"/>
        <v>0.96274178944769118</v>
      </c>
      <c r="E90">
        <f t="shared" si="4"/>
        <v>0.96274178944769118</v>
      </c>
      <c r="G90">
        <f t="shared" ca="1" si="5"/>
        <v>88</v>
      </c>
      <c r="H90">
        <f t="shared" ca="1" si="6"/>
        <v>84.721277471396817</v>
      </c>
      <c r="I90">
        <f t="shared" ca="1" si="7"/>
        <v>8.3181846774856698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242248</v>
      </c>
      <c r="B93" s="66">
        <v>242248</v>
      </c>
      <c r="D93">
        <f t="shared" si="4"/>
        <v>0.99698740637089467</v>
      </c>
      <c r="E93">
        <f t="shared" si="4"/>
        <v>0.99698740637089467</v>
      </c>
      <c r="G93">
        <f t="shared" ca="1" si="5"/>
        <v>91</v>
      </c>
      <c r="H93">
        <f t="shared" ca="1" si="6"/>
        <v>90.72585397975142</v>
      </c>
      <c r="I93">
        <f t="shared" ca="1" si="7"/>
        <v>3.6607426089533992E-3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230333</v>
      </c>
      <c r="B95" s="66">
        <v>230333</v>
      </c>
      <c r="D95">
        <f t="shared" si="4"/>
        <v>0.94795044859659228</v>
      </c>
      <c r="E95">
        <f t="shared" si="4"/>
        <v>0.94795044859659228</v>
      </c>
      <c r="G95">
        <f t="shared" ca="1" si="5"/>
        <v>93</v>
      </c>
      <c r="H95">
        <f t="shared" ca="1" si="6"/>
        <v>88.159391719483082</v>
      </c>
      <c r="I95">
        <f t="shared" ca="1" si="7"/>
        <v>4.0250482844631073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229274</v>
      </c>
      <c r="B98" s="66">
        <v>229274</v>
      </c>
      <c r="D98">
        <f t="shared" si="4"/>
        <v>0.94359206519055061</v>
      </c>
      <c r="E98">
        <f t="shared" si="4"/>
        <v>0.94359206519055061</v>
      </c>
      <c r="G98">
        <f t="shared" ca="1" si="5"/>
        <v>96</v>
      </c>
      <c r="H98">
        <f t="shared" ca="1" si="6"/>
        <v>90.584838258292862</v>
      </c>
      <c r="I98">
        <f t="shared" ca="1" si="7"/>
        <v>24.165039838585255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228013</v>
      </c>
      <c r="B100" s="66">
        <v>228013</v>
      </c>
      <c r="D100">
        <f t="shared" si="4"/>
        <v>0.93840233764095815</v>
      </c>
      <c r="E100">
        <f t="shared" si="4"/>
        <v>0.93840233764095815</v>
      </c>
      <c r="G100">
        <f t="shared" ca="1" si="5"/>
        <v>98</v>
      </c>
      <c r="H100">
        <f t="shared" ca="1" si="6"/>
        <v>91.963429088813896</v>
      </c>
      <c r="I100">
        <f t="shared" ca="1" si="7"/>
        <v>46.781240475255338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242980</v>
      </c>
      <c r="B103" s="66">
        <v>242980</v>
      </c>
      <c r="D103">
        <f t="shared" si="4"/>
        <v>1</v>
      </c>
      <c r="E103">
        <f t="shared" si="4"/>
        <v>1</v>
      </c>
      <c r="G103">
        <f t="shared" ca="1" si="5"/>
        <v>101</v>
      </c>
      <c r="H103">
        <f t="shared" ca="1" si="6"/>
        <v>101</v>
      </c>
      <c r="I103">
        <f t="shared" ca="1" si="7"/>
        <v>101.2155800950316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229214</v>
      </c>
      <c r="B106" s="66">
        <v>229214</v>
      </c>
      <c r="D106">
        <f t="shared" si="4"/>
        <v>0.94334513128652564</v>
      </c>
      <c r="E106">
        <f t="shared" si="4"/>
        <v>0.94334513128652564</v>
      </c>
      <c r="G106">
        <f t="shared" ca="1" si="5"/>
        <v>104</v>
      </c>
      <c r="H106">
        <f t="shared" ca="1" si="6"/>
        <v>98.107893653798669</v>
      </c>
      <c r="I106">
        <f t="shared" ca="1" si="7"/>
        <v>160.91501308745839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222661</v>
      </c>
      <c r="B108" s="66">
        <v>222661</v>
      </c>
      <c r="D108">
        <f t="shared" si="4"/>
        <v>0.91637583340192608</v>
      </c>
      <c r="E108">
        <f t="shared" si="4"/>
        <v>0.91637583340192608</v>
      </c>
      <c r="G108">
        <f t="shared" ca="1" si="5"/>
        <v>106</v>
      </c>
      <c r="H108">
        <f t="shared" ca="1" si="6"/>
        <v>97.135838340604167</v>
      </c>
      <c r="I108">
        <f t="shared" ca="1" si="7"/>
        <v>207.85377247306459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229719</v>
      </c>
      <c r="B111" s="66">
        <v>229719</v>
      </c>
      <c r="D111">
        <f t="shared" si="4"/>
        <v>0.94542349164540296</v>
      </c>
      <c r="E111">
        <f t="shared" si="4"/>
        <v>0.94542349164540296</v>
      </c>
      <c r="G111">
        <f t="shared" ca="1" si="5"/>
        <v>109</v>
      </c>
      <c r="H111">
        <f t="shared" ca="1" si="6"/>
        <v>103.05116058934892</v>
      </c>
      <c r="I111">
        <f t="shared" ca="1" si="7"/>
        <v>308.38306252517992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224373</v>
      </c>
      <c r="B113" s="66">
        <v>224373</v>
      </c>
      <c r="D113">
        <f t="shared" si="4"/>
        <v>0.92342168079677345</v>
      </c>
      <c r="E113">
        <f t="shared" si="4"/>
        <v>0.92342168079677345</v>
      </c>
      <c r="G113">
        <f t="shared" ca="1" si="5"/>
        <v>111</v>
      </c>
      <c r="H113">
        <f t="shared" ca="1" si="6"/>
        <v>102.49980656844185</v>
      </c>
      <c r="I113">
        <f t="shared" ca="1" si="7"/>
        <v>371.6102677240396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217644</v>
      </c>
      <c r="B116" s="66">
        <v>217644</v>
      </c>
      <c r="D116">
        <f t="shared" si="4"/>
        <v>0.89572804346036716</v>
      </c>
      <c r="E116">
        <f t="shared" si="4"/>
        <v>0.89572804346036716</v>
      </c>
      <c r="G116">
        <f t="shared" ca="1" si="5"/>
        <v>114</v>
      </c>
      <c r="H116">
        <f t="shared" ca="1" si="6"/>
        <v>102.11299695448186</v>
      </c>
      <c r="I116">
        <f t="shared" ca="1" si="7"/>
        <v>476.34016648551278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200655</v>
      </c>
      <c r="B118" s="66">
        <v>200655</v>
      </c>
      <c r="D118">
        <f t="shared" si="4"/>
        <v>0.825808708535682</v>
      </c>
      <c r="E118">
        <f t="shared" si="4"/>
        <v>0.825808708535682</v>
      </c>
      <c r="G118">
        <f t="shared" ca="1" si="5"/>
        <v>116</v>
      </c>
      <c r="H118">
        <f t="shared" ca="1" si="6"/>
        <v>95.793810190139112</v>
      </c>
      <c r="I118">
        <f t="shared" ca="1" si="7"/>
        <v>518.63548609389579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179201</v>
      </c>
      <c r="B121" s="66">
        <v>179201</v>
      </c>
      <c r="D121">
        <f t="shared" si="4"/>
        <v>0.73751337558646801</v>
      </c>
      <c r="E121">
        <f t="shared" si="4"/>
        <v>0.73751337558646801</v>
      </c>
      <c r="G121">
        <f t="shared" ca="1" si="5"/>
        <v>119</v>
      </c>
      <c r="H121">
        <f t="shared" ca="1" si="6"/>
        <v>87.764091694789698</v>
      </c>
      <c r="I121">
        <f t="shared" ca="1" si="7"/>
        <v>580.71583047294007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156897</v>
      </c>
      <c r="B124" s="66">
        <v>156897</v>
      </c>
      <c r="D124">
        <f t="shared" si="4"/>
        <v>0.6457198123302329</v>
      </c>
      <c r="E124">
        <f t="shared" si="4"/>
        <v>0.6457198123302329</v>
      </c>
      <c r="G124">
        <f t="shared" ca="1" si="5"/>
        <v>122</v>
      </c>
      <c r="H124">
        <f t="shared" ca="1" si="6"/>
        <v>78.777817104288417</v>
      </c>
      <c r="I124">
        <f t="shared" ca="1" si="7"/>
        <v>622.96502550775062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147537</v>
      </c>
      <c r="B126" s="66">
        <v>147537</v>
      </c>
      <c r="D126">
        <f t="shared" si="4"/>
        <v>0.60719812330232936</v>
      </c>
      <c r="E126">
        <f t="shared" si="4"/>
        <v>0.60719812330232936</v>
      </c>
      <c r="G126">
        <f t="shared" ca="1" si="5"/>
        <v>124</v>
      </c>
      <c r="H126">
        <f t="shared" ca="1" si="6"/>
        <v>75.292567289488844</v>
      </c>
      <c r="I126">
        <f t="shared" ca="1" si="7"/>
        <v>663.66935164013262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127539</v>
      </c>
      <c r="B129" s="66">
        <v>127539</v>
      </c>
      <c r="D129">
        <f t="shared" si="4"/>
        <v>0.52489505309078932</v>
      </c>
      <c r="E129">
        <f t="shared" si="4"/>
        <v>0.52489505309078932</v>
      </c>
      <c r="G129">
        <f t="shared" ca="1" si="5"/>
        <v>127</v>
      </c>
      <c r="H129">
        <f t="shared" ca="1" si="6"/>
        <v>66.661671742530245</v>
      </c>
      <c r="I129">
        <f t="shared" ca="1" si="7"/>
        <v>682.55596491740334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107067</v>
      </c>
      <c r="B131" s="66">
        <v>107067</v>
      </c>
      <c r="D131">
        <f t="shared" ref="D131:E194" si="8">IFERROR( A131/MAX(A$2:A$257), 0 )</f>
        <v>0.44064120503745163</v>
      </c>
      <c r="E131">
        <f t="shared" si="8"/>
        <v>0.44064120503745163</v>
      </c>
      <c r="G131">
        <f t="shared" ref="G131:G194" ca="1" si="9">CELL("row",D131)-2</f>
        <v>129</v>
      </c>
      <c r="H131">
        <f t="shared" ref="H131:H194" ca="1" si="10">D131*G131</f>
        <v>56.84271544983126</v>
      </c>
      <c r="I131">
        <f t="shared" ref="I131:I194" ca="1" si="11">D131*((G131-$L$1)^2)</f>
        <v>638.31678159496391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89893</v>
      </c>
      <c r="B134" s="66">
        <v>89893</v>
      </c>
      <c r="D134">
        <f t="shared" si="8"/>
        <v>0.36996049057535602</v>
      </c>
      <c r="E134">
        <f t="shared" si="8"/>
        <v>0.36996049057535602</v>
      </c>
      <c r="G134">
        <f t="shared" ca="1" si="9"/>
        <v>132</v>
      </c>
      <c r="H134">
        <f t="shared" ca="1" si="10"/>
        <v>48.834784755946991</v>
      </c>
      <c r="I134">
        <f t="shared" ca="1" si="11"/>
        <v>623.74321164139872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73160</v>
      </c>
      <c r="B136" s="66">
        <v>73160</v>
      </c>
      <c r="D136">
        <f t="shared" si="8"/>
        <v>0.30109474030784428</v>
      </c>
      <c r="E136">
        <f t="shared" si="8"/>
        <v>0.30109474030784428</v>
      </c>
      <c r="G136">
        <f t="shared" ca="1" si="9"/>
        <v>134</v>
      </c>
      <c r="H136">
        <f t="shared" ca="1" si="10"/>
        <v>40.34669520125113</v>
      </c>
      <c r="I136">
        <f t="shared" ca="1" si="11"/>
        <v>558.29434700212437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61075</v>
      </c>
      <c r="B139" s="66">
        <v>61075</v>
      </c>
      <c r="D139">
        <f t="shared" si="8"/>
        <v>0.25135813647213762</v>
      </c>
      <c r="E139">
        <f t="shared" si="8"/>
        <v>0.25135813647213762</v>
      </c>
      <c r="G139">
        <f t="shared" ca="1" si="9"/>
        <v>137</v>
      </c>
      <c r="H139">
        <f t="shared" ca="1" si="10"/>
        <v>34.436064696682855</v>
      </c>
      <c r="I139">
        <f t="shared" ca="1" si="11"/>
        <v>533.2760055568167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56177</v>
      </c>
      <c r="B142" s="66">
        <v>56177</v>
      </c>
      <c r="D142">
        <f t="shared" si="8"/>
        <v>0.2312000987735616</v>
      </c>
      <c r="E142">
        <f t="shared" si="8"/>
        <v>0.2312000987735616</v>
      </c>
      <c r="G142">
        <f t="shared" ca="1" si="9"/>
        <v>140</v>
      </c>
      <c r="H142">
        <f t="shared" ca="1" si="10"/>
        <v>32.368013828298622</v>
      </c>
      <c r="I142">
        <f t="shared" ca="1" si="11"/>
        <v>556.48523332782759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48178</v>
      </c>
      <c r="B144" s="66">
        <v>48178</v>
      </c>
      <c r="D144">
        <f t="shared" si="8"/>
        <v>0.19827969380195901</v>
      </c>
      <c r="E144">
        <f t="shared" si="8"/>
        <v>0.19827969380195901</v>
      </c>
      <c r="G144">
        <f t="shared" ca="1" si="9"/>
        <v>142</v>
      </c>
      <c r="H144">
        <f t="shared" ca="1" si="10"/>
        <v>28.15571651987818</v>
      </c>
      <c r="I144">
        <f t="shared" ca="1" si="11"/>
        <v>516.95172532764946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34958</v>
      </c>
      <c r="B147" s="66">
        <v>34958</v>
      </c>
      <c r="D147">
        <f t="shared" si="8"/>
        <v>0.14387192361511236</v>
      </c>
      <c r="E147">
        <f t="shared" si="8"/>
        <v>0.14387192361511236</v>
      </c>
      <c r="G147">
        <f t="shared" ca="1" si="9"/>
        <v>145</v>
      </c>
      <c r="H147">
        <f t="shared" ca="1" si="10"/>
        <v>20.861428924191294</v>
      </c>
      <c r="I147">
        <f t="shared" ca="1" si="11"/>
        <v>420.47259924721516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28603</v>
      </c>
      <c r="B149" s="66">
        <v>28603</v>
      </c>
      <c r="D149">
        <f t="shared" si="8"/>
        <v>0.11771750761379537</v>
      </c>
      <c r="E149">
        <f t="shared" si="8"/>
        <v>0.11771750761379537</v>
      </c>
      <c r="G149">
        <f t="shared" ca="1" si="9"/>
        <v>147</v>
      </c>
      <c r="H149">
        <f t="shared" ca="1" si="10"/>
        <v>17.30447361922792</v>
      </c>
      <c r="I149">
        <f t="shared" ca="1" si="11"/>
        <v>369.96144792380488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23649</v>
      </c>
      <c r="B152" s="66">
        <v>23649</v>
      </c>
      <c r="D152">
        <f t="shared" si="8"/>
        <v>9.7328998271462672E-2</v>
      </c>
      <c r="E152">
        <f t="shared" si="8"/>
        <v>9.7328998271462672E-2</v>
      </c>
      <c r="G152">
        <f t="shared" ca="1" si="9"/>
        <v>150</v>
      </c>
      <c r="H152">
        <f t="shared" ca="1" si="10"/>
        <v>14.599349740719401</v>
      </c>
      <c r="I152">
        <f t="shared" ca="1" si="11"/>
        <v>339.49852789362285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23913</v>
      </c>
      <c r="B154" s="66">
        <v>23913</v>
      </c>
      <c r="D154">
        <f t="shared" si="8"/>
        <v>9.8415507449172768E-2</v>
      </c>
      <c r="E154">
        <f t="shared" si="8"/>
        <v>9.8415507449172768E-2</v>
      </c>
      <c r="G154">
        <f t="shared" ca="1" si="9"/>
        <v>152</v>
      </c>
      <c r="H154">
        <f t="shared" ca="1" si="10"/>
        <v>14.95915713227426</v>
      </c>
      <c r="I154">
        <f t="shared" ca="1" si="11"/>
        <v>366.93201505430051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17671</v>
      </c>
      <c r="B157" s="66">
        <v>17671</v>
      </c>
      <c r="D157">
        <f t="shared" si="8"/>
        <v>7.2726150300436249E-2</v>
      </c>
      <c r="E157">
        <f t="shared" si="8"/>
        <v>7.2726150300436249E-2</v>
      </c>
      <c r="G157">
        <f t="shared" ca="1" si="9"/>
        <v>155</v>
      </c>
      <c r="H157">
        <f t="shared" ca="1" si="10"/>
        <v>11.272553296567619</v>
      </c>
      <c r="I157">
        <f t="shared" ca="1" si="11"/>
        <v>298.45065818360615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14843</v>
      </c>
      <c r="B160" s="66">
        <v>14843</v>
      </c>
      <c r="D160">
        <f t="shared" si="8"/>
        <v>6.1087332290723516E-2</v>
      </c>
      <c r="E160">
        <f t="shared" si="8"/>
        <v>6.1087332290723516E-2</v>
      </c>
      <c r="G160">
        <f t="shared" ca="1" si="9"/>
        <v>158</v>
      </c>
      <c r="H160">
        <f t="shared" ca="1" si="10"/>
        <v>9.6517985019343158</v>
      </c>
      <c r="I160">
        <f t="shared" ca="1" si="11"/>
        <v>274.71727499169418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9844</v>
      </c>
      <c r="B162" s="66">
        <v>9844</v>
      </c>
      <c r="D162">
        <f t="shared" si="8"/>
        <v>4.051362252037205E-2</v>
      </c>
      <c r="E162">
        <f t="shared" si="8"/>
        <v>4.051362252037205E-2</v>
      </c>
      <c r="G162">
        <f t="shared" ca="1" si="9"/>
        <v>160</v>
      </c>
      <c r="H162">
        <f t="shared" ca="1" si="10"/>
        <v>6.482179603259528</v>
      </c>
      <c r="I162">
        <f t="shared" ca="1" si="11"/>
        <v>193.22428726323159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9122</v>
      </c>
      <c r="B165" s="66">
        <v>9122</v>
      </c>
      <c r="D165">
        <f t="shared" si="8"/>
        <v>3.7542184541937605E-2</v>
      </c>
      <c r="E165">
        <f t="shared" si="8"/>
        <v>3.7542184541937605E-2</v>
      </c>
      <c r="G165">
        <f t="shared" ca="1" si="9"/>
        <v>163</v>
      </c>
      <c r="H165">
        <f t="shared" ca="1" si="10"/>
        <v>6.1193760803358295</v>
      </c>
      <c r="I165">
        <f t="shared" ca="1" si="11"/>
        <v>194.94640584279733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6984</v>
      </c>
      <c r="B167" s="66">
        <v>6984</v>
      </c>
      <c r="D167">
        <f t="shared" si="8"/>
        <v>2.8743106428512636E-2</v>
      </c>
      <c r="E167">
        <f t="shared" si="8"/>
        <v>2.8743106428512636E-2</v>
      </c>
      <c r="G167">
        <f t="shared" ca="1" si="9"/>
        <v>165</v>
      </c>
      <c r="H167">
        <f t="shared" ca="1" si="10"/>
        <v>4.7426125607045853</v>
      </c>
      <c r="I167">
        <f t="shared" ca="1" si="11"/>
        <v>157.65512800807127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3914</v>
      </c>
      <c r="B170" s="66">
        <v>3914</v>
      </c>
      <c r="D170">
        <f t="shared" si="8"/>
        <v>1.6108321672565644E-2</v>
      </c>
      <c r="E170">
        <f t="shared" si="8"/>
        <v>1.6108321672565644E-2</v>
      </c>
      <c r="G170">
        <f t="shared" ca="1" si="9"/>
        <v>168</v>
      </c>
      <c r="H170">
        <f t="shared" ca="1" si="10"/>
        <v>2.706198040991028</v>
      </c>
      <c r="I170">
        <f t="shared" ca="1" si="11"/>
        <v>95.65661626935308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1201</v>
      </c>
      <c r="B173" s="66">
        <v>1201</v>
      </c>
      <c r="D173">
        <f t="shared" si="8"/>
        <v>4.9427936455675361E-3</v>
      </c>
      <c r="E173">
        <f t="shared" si="8"/>
        <v>4.9427936455675361E-3</v>
      </c>
      <c r="G173">
        <f t="shared" ca="1" si="9"/>
        <v>171</v>
      </c>
      <c r="H173">
        <f t="shared" ca="1" si="10"/>
        <v>0.84521771339204865</v>
      </c>
      <c r="I173">
        <f t="shared" ca="1" si="11"/>
        <v>31.68181918139198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684</v>
      </c>
      <c r="B175" s="66">
        <v>684</v>
      </c>
      <c r="D175">
        <f t="shared" si="8"/>
        <v>2.815046505885258E-3</v>
      </c>
      <c r="E175">
        <f t="shared" si="8"/>
        <v>2.815046505885258E-3</v>
      </c>
      <c r="G175">
        <f t="shared" ca="1" si="9"/>
        <v>173</v>
      </c>
      <c r="H175">
        <f t="shared" ca="1" si="10"/>
        <v>0.48700304551814966</v>
      </c>
      <c r="I175">
        <f t="shared" ca="1" si="11"/>
        <v>18.956357983107164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638</v>
      </c>
      <c r="B178" s="66">
        <v>638</v>
      </c>
      <c r="D178">
        <f t="shared" si="8"/>
        <v>2.6257305127994073E-3</v>
      </c>
      <c r="E178">
        <f t="shared" si="8"/>
        <v>2.6257305127994073E-3</v>
      </c>
      <c r="G178">
        <f t="shared" ca="1" si="9"/>
        <v>176</v>
      </c>
      <c r="H178">
        <f t="shared" ca="1" si="10"/>
        <v>0.46212857025269566</v>
      </c>
      <c r="I178">
        <f t="shared" ca="1" si="11"/>
        <v>18.997960825055383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322</v>
      </c>
      <c r="B180" s="66">
        <v>322</v>
      </c>
      <c r="D180">
        <f t="shared" si="8"/>
        <v>1.3252119516009549E-3</v>
      </c>
      <c r="E180">
        <f t="shared" si="8"/>
        <v>1.3252119516009549E-3</v>
      </c>
      <c r="G180">
        <f t="shared" ca="1" si="9"/>
        <v>178</v>
      </c>
      <c r="H180">
        <f t="shared" ca="1" si="10"/>
        <v>0.23588772738496996</v>
      </c>
      <c r="I180">
        <f t="shared" ca="1" si="11"/>
        <v>10.044506635141706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404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84.583852807403886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1.6331019088254914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0.53492491527878483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180</v>
      </c>
      <c r="B8" s="66">
        <v>180</v>
      </c>
      <c r="D8">
        <f t="shared" si="0"/>
        <v>0.15179241543897523</v>
      </c>
      <c r="E8">
        <f t="shared" si="1"/>
        <v>0.15179241543897523</v>
      </c>
      <c r="G8">
        <f t="shared" ca="1" si="2"/>
        <v>6</v>
      </c>
      <c r="H8">
        <f t="shared" ca="1" si="3"/>
        <v>0.91075449263385133</v>
      </c>
      <c r="I8">
        <f t="shared" ca="1" si="4"/>
        <v>937.38220990363675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168</v>
      </c>
      <c r="B10" s="66">
        <v>168</v>
      </c>
      <c r="D10">
        <f t="shared" si="0"/>
        <v>0.14167292107637688</v>
      </c>
      <c r="E10">
        <f t="shared" si="1"/>
        <v>0.14167292107637688</v>
      </c>
      <c r="G10">
        <f t="shared" ca="1" si="2"/>
        <v>8</v>
      </c>
      <c r="H10">
        <f t="shared" ca="1" si="3"/>
        <v>1.1333833686110151</v>
      </c>
      <c r="I10">
        <f t="shared" ca="1" si="4"/>
        <v>830.92393835438929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89</v>
      </c>
      <c r="B13" s="66">
        <v>89</v>
      </c>
      <c r="D13">
        <f t="shared" si="0"/>
        <v>7.5052916522604415E-2</v>
      </c>
      <c r="E13">
        <f t="shared" si="1"/>
        <v>7.5052916522604415E-2</v>
      </c>
      <c r="G13">
        <f t="shared" ca="1" si="2"/>
        <v>11</v>
      </c>
      <c r="H13">
        <f t="shared" ca="1" si="3"/>
        <v>0.82558208174864856</v>
      </c>
      <c r="I13">
        <f t="shared" ca="1" si="4"/>
        <v>406.38027547318723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151</v>
      </c>
      <c r="B15" s="66">
        <v>151</v>
      </c>
      <c r="D15">
        <f t="shared" si="0"/>
        <v>0.12733697072936256</v>
      </c>
      <c r="E15">
        <f t="shared" si="1"/>
        <v>0.12733697072936256</v>
      </c>
      <c r="G15">
        <f t="shared" ca="1" si="2"/>
        <v>13</v>
      </c>
      <c r="H15">
        <f t="shared" ca="1" si="3"/>
        <v>1.6553806194817133</v>
      </c>
      <c r="I15">
        <f t="shared" ca="1" si="4"/>
        <v>652.50621538969494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1012</v>
      </c>
      <c r="B18" s="66">
        <v>1012</v>
      </c>
      <c r="D18">
        <f t="shared" si="0"/>
        <v>0.85341069124579405</v>
      </c>
      <c r="E18">
        <f t="shared" si="1"/>
        <v>0.85341069124579405</v>
      </c>
      <c r="G18">
        <f t="shared" ca="1" si="2"/>
        <v>16</v>
      </c>
      <c r="H18">
        <f t="shared" ca="1" si="3"/>
        <v>13.654571059932705</v>
      </c>
      <c r="I18">
        <f t="shared" ca="1" si="4"/>
        <v>4014.2261574580953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2366</v>
      </c>
      <c r="B21" s="66">
        <v>2366</v>
      </c>
      <c r="D21">
        <f t="shared" si="0"/>
        <v>1.995226971825641</v>
      </c>
      <c r="E21">
        <f t="shared" si="1"/>
        <v>1.995226971825641</v>
      </c>
      <c r="G21">
        <f t="shared" ca="1" si="2"/>
        <v>19</v>
      </c>
      <c r="H21">
        <f t="shared" ca="1" si="3"/>
        <v>37.909312464687176</v>
      </c>
      <c r="I21">
        <f t="shared" ca="1" si="4"/>
        <v>8581.9535500734291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4050</v>
      </c>
      <c r="B23" s="66">
        <v>4050</v>
      </c>
      <c r="D23">
        <f t="shared" si="0"/>
        <v>3.4153293473769426</v>
      </c>
      <c r="E23">
        <f t="shared" si="1"/>
        <v>3.4153293473769426</v>
      </c>
      <c r="G23">
        <f t="shared" ca="1" si="2"/>
        <v>21</v>
      </c>
      <c r="H23">
        <f t="shared" ca="1" si="3"/>
        <v>71.7219162949158</v>
      </c>
      <c r="I23">
        <f t="shared" ca="1" si="4"/>
        <v>13807.856664299345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4939</v>
      </c>
      <c r="B26" s="66">
        <v>4939</v>
      </c>
      <c r="D26">
        <f t="shared" si="0"/>
        <v>4.1650152214061036</v>
      </c>
      <c r="E26">
        <f t="shared" si="1"/>
        <v>4.1650152214061036</v>
      </c>
      <c r="G26">
        <f t="shared" ca="1" si="2"/>
        <v>24</v>
      </c>
      <c r="H26">
        <f t="shared" ca="1" si="3"/>
        <v>99.960365313746479</v>
      </c>
      <c r="I26">
        <f t="shared" ca="1" si="4"/>
        <v>15287.285284117925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7861</v>
      </c>
      <c r="B28" s="66">
        <v>7861</v>
      </c>
      <c r="D28">
        <f t="shared" si="0"/>
        <v>6.6291120986988012</v>
      </c>
      <c r="E28">
        <f t="shared" si="1"/>
        <v>6.6291120986988012</v>
      </c>
      <c r="G28">
        <f t="shared" ca="1" si="2"/>
        <v>26</v>
      </c>
      <c r="H28">
        <f t="shared" ca="1" si="3"/>
        <v>172.35691456616883</v>
      </c>
      <c r="I28">
        <f t="shared" ca="1" si="4"/>
        <v>22751.562241231823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16364</v>
      </c>
      <c r="B31" s="66">
        <v>16364</v>
      </c>
      <c r="D31">
        <f t="shared" si="0"/>
        <v>13.799617145796615</v>
      </c>
      <c r="E31">
        <f t="shared" si="1"/>
        <v>13.799617145796615</v>
      </c>
      <c r="G31">
        <f t="shared" ca="1" si="2"/>
        <v>29</v>
      </c>
      <c r="H31">
        <f t="shared" ca="1" si="3"/>
        <v>400.18889722810184</v>
      </c>
      <c r="I31">
        <f t="shared" ca="1" si="4"/>
        <v>42634.809909399628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19545</v>
      </c>
      <c r="B33" s="66">
        <v>19545</v>
      </c>
      <c r="D33">
        <f t="shared" si="0"/>
        <v>16.482126443082059</v>
      </c>
      <c r="E33">
        <f t="shared" si="1"/>
        <v>16.482126443082059</v>
      </c>
      <c r="G33">
        <f t="shared" ca="1" si="2"/>
        <v>31</v>
      </c>
      <c r="H33">
        <f t="shared" ca="1" si="3"/>
        <v>510.94591973554384</v>
      </c>
      <c r="I33">
        <f t="shared" ca="1" si="4"/>
        <v>47323.964067820503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24696</v>
      </c>
      <c r="B36" s="66">
        <v>24696</v>
      </c>
      <c r="D36">
        <f t="shared" si="0"/>
        <v>20.825919398227402</v>
      </c>
      <c r="E36">
        <f t="shared" si="1"/>
        <v>20.825919398227402</v>
      </c>
      <c r="G36">
        <f t="shared" ca="1" si="2"/>
        <v>34</v>
      </c>
      <c r="H36">
        <f t="shared" ca="1" si="3"/>
        <v>708.08125953973172</v>
      </c>
      <c r="I36">
        <f t="shared" ca="1" si="4"/>
        <v>53287.824871116318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28337</v>
      </c>
      <c r="B39" s="66">
        <v>28337</v>
      </c>
      <c r="D39">
        <f t="shared" si="0"/>
        <v>23.896342646079116</v>
      </c>
      <c r="E39">
        <f t="shared" si="1"/>
        <v>23.896342646079116</v>
      </c>
      <c r="G39">
        <f t="shared" ca="1" si="2"/>
        <v>37</v>
      </c>
      <c r="H39">
        <f t="shared" ca="1" si="3"/>
        <v>884.16467790492732</v>
      </c>
      <c r="I39">
        <f t="shared" ca="1" si="4"/>
        <v>54106.649782078275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43941</v>
      </c>
      <c r="B41" s="66">
        <v>43941</v>
      </c>
      <c r="D41">
        <f t="shared" si="0"/>
        <v>37.055058482244505</v>
      </c>
      <c r="E41">
        <f t="shared" si="1"/>
        <v>37.055058482244505</v>
      </c>
      <c r="G41">
        <f t="shared" ca="1" si="2"/>
        <v>39</v>
      </c>
      <c r="H41">
        <f t="shared" ca="1" si="3"/>
        <v>1445.1472808075357</v>
      </c>
      <c r="I41">
        <f t="shared" ca="1" si="4"/>
        <v>76996.247899936352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51155</v>
      </c>
      <c r="B44" s="66">
        <v>51155</v>
      </c>
      <c r="D44">
        <f t="shared" si="0"/>
        <v>43.138561176559875</v>
      </c>
      <c r="E44">
        <f t="shared" si="1"/>
        <v>43.138561176559875</v>
      </c>
      <c r="G44">
        <f t="shared" ca="1" si="2"/>
        <v>42</v>
      </c>
      <c r="H44">
        <f t="shared" ca="1" si="3"/>
        <v>1811.8195694155147</v>
      </c>
      <c r="I44">
        <f t="shared" ca="1" si="4"/>
        <v>78226.799049309455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52336</v>
      </c>
      <c r="B46" s="66">
        <v>52336</v>
      </c>
      <c r="D46">
        <f t="shared" si="0"/>
        <v>44.134488080078931</v>
      </c>
      <c r="E46">
        <f t="shared" si="1"/>
        <v>44.134488080078931</v>
      </c>
      <c r="G46">
        <f t="shared" ca="1" si="2"/>
        <v>44</v>
      </c>
      <c r="H46">
        <f t="shared" ca="1" si="3"/>
        <v>1941.9174755234731</v>
      </c>
      <c r="I46">
        <f t="shared" ca="1" si="4"/>
        <v>72691.669254916909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57833</v>
      </c>
      <c r="B49" s="66">
        <v>57833</v>
      </c>
      <c r="D49">
        <f t="shared" si="0"/>
        <v>48.770059789345858</v>
      </c>
      <c r="E49">
        <f t="shared" si="1"/>
        <v>48.770059789345858</v>
      </c>
      <c r="G49">
        <f t="shared" ca="1" si="2"/>
        <v>47</v>
      </c>
      <c r="H49">
        <f t="shared" ca="1" si="3"/>
        <v>2292.1928100992554</v>
      </c>
      <c r="I49">
        <f t="shared" ca="1" si="4"/>
        <v>68889.95247765712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69178</v>
      </c>
      <c r="B51" s="66">
        <v>69178</v>
      </c>
      <c r="D51">
        <f t="shared" si="0"/>
        <v>58.337198417985718</v>
      </c>
      <c r="E51">
        <f t="shared" si="1"/>
        <v>58.337198417985718</v>
      </c>
      <c r="G51">
        <f t="shared" ca="1" si="2"/>
        <v>49</v>
      </c>
      <c r="H51">
        <f t="shared" ca="1" si="3"/>
        <v>2858.5227224813002</v>
      </c>
      <c r="I51">
        <f t="shared" ca="1" si="4"/>
        <v>73867.17788052265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68980</v>
      </c>
      <c r="B54" s="66">
        <v>68980</v>
      </c>
      <c r="D54">
        <f t="shared" si="0"/>
        <v>58.170226761002844</v>
      </c>
      <c r="E54">
        <f t="shared" si="1"/>
        <v>58.170226761002844</v>
      </c>
      <c r="G54">
        <f t="shared" ca="1" si="2"/>
        <v>52</v>
      </c>
      <c r="H54">
        <f t="shared" ca="1" si="3"/>
        <v>3024.8517915721477</v>
      </c>
      <c r="I54">
        <f t="shared" ca="1" si="4"/>
        <v>61759.763921615486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80293</v>
      </c>
      <c r="B57" s="66">
        <v>80293</v>
      </c>
      <c r="D57">
        <f t="shared" si="0"/>
        <v>67.710380071342442</v>
      </c>
      <c r="E57">
        <f t="shared" si="1"/>
        <v>67.710380071342442</v>
      </c>
      <c r="G57">
        <f t="shared" ca="1" si="2"/>
        <v>55</v>
      </c>
      <c r="H57">
        <f t="shared" ca="1" si="3"/>
        <v>3724.0709039238345</v>
      </c>
      <c r="I57">
        <f t="shared" ca="1" si="4"/>
        <v>59260.418970730752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79776</v>
      </c>
      <c r="B59" s="66">
        <v>79776</v>
      </c>
      <c r="D59">
        <f t="shared" si="0"/>
        <v>67.274398522553824</v>
      </c>
      <c r="E59">
        <f t="shared" si="1"/>
        <v>67.274398522553824</v>
      </c>
      <c r="G59">
        <f t="shared" ca="1" si="2"/>
        <v>57</v>
      </c>
      <c r="H59">
        <f t="shared" ca="1" si="3"/>
        <v>3834.6407157855679</v>
      </c>
      <c r="I59">
        <f t="shared" ca="1" si="4"/>
        <v>51187.000003748384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86107</v>
      </c>
      <c r="B62" s="66">
        <v>86107</v>
      </c>
      <c r="D62">
        <f t="shared" si="0"/>
        <v>72.613275090021332</v>
      </c>
      <c r="E62">
        <f t="shared" si="1"/>
        <v>72.613275090021332</v>
      </c>
      <c r="G62">
        <f t="shared" ca="1" si="2"/>
        <v>60</v>
      </c>
      <c r="H62">
        <f t="shared" ca="1" si="3"/>
        <v>4356.7965054012802</v>
      </c>
      <c r="I62">
        <f t="shared" ca="1" si="4"/>
        <v>43884.981459603987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90741</v>
      </c>
      <c r="B64" s="66">
        <v>90741</v>
      </c>
      <c r="D64">
        <f t="shared" si="0"/>
        <v>76.521086496378061</v>
      </c>
      <c r="E64">
        <f t="shared" si="1"/>
        <v>76.521086496378061</v>
      </c>
      <c r="G64">
        <f t="shared" ca="1" si="2"/>
        <v>62</v>
      </c>
      <c r="H64">
        <f t="shared" ca="1" si="3"/>
        <v>4744.3073627754402</v>
      </c>
      <c r="I64">
        <f t="shared" ca="1" si="4"/>
        <v>39028.080937769177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93421</v>
      </c>
      <c r="B67" s="66">
        <v>93421</v>
      </c>
      <c r="D67">
        <f t="shared" ref="D67:D130" si="5">IFERROR( 100*A67/MAX(A$2:A$257), 0 )</f>
        <v>78.781106904025023</v>
      </c>
      <c r="E67">
        <f t="shared" ref="E67:E130" si="6">IFERROR( 100*B67/MAX(B$2:B$257), 0 )</f>
        <v>78.781106904025023</v>
      </c>
      <c r="G67">
        <f t="shared" ref="G67:G130" ca="1" si="7">CELL("row",D67)-2</f>
        <v>65</v>
      </c>
      <c r="H67">
        <f t="shared" ref="H67:H130" ca="1" si="8">D67*G67</f>
        <v>5120.7719487616268</v>
      </c>
      <c r="I67">
        <f t="shared" ref="I67:I130" ca="1" si="9">D67*((G67-$L$1)^2)</f>
        <v>30214.704495712645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99010</v>
      </c>
      <c r="B69" s="66">
        <v>99010</v>
      </c>
      <c r="D69">
        <f t="shared" si="5"/>
        <v>83.494261403405204</v>
      </c>
      <c r="E69">
        <f t="shared" si="6"/>
        <v>83.494261403405204</v>
      </c>
      <c r="G69">
        <f t="shared" ca="1" si="7"/>
        <v>67</v>
      </c>
      <c r="H69">
        <f t="shared" ca="1" si="8"/>
        <v>5594.1155140281489</v>
      </c>
      <c r="I69">
        <f t="shared" ca="1" si="9"/>
        <v>25815.747615162065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104445</v>
      </c>
      <c r="B72" s="66">
        <v>104445</v>
      </c>
      <c r="D72">
        <f t="shared" si="5"/>
        <v>88.07754905846538</v>
      </c>
      <c r="E72">
        <f t="shared" si="6"/>
        <v>88.07754905846538</v>
      </c>
      <c r="G72">
        <f t="shared" ca="1" si="7"/>
        <v>70</v>
      </c>
      <c r="H72">
        <f t="shared" ca="1" si="8"/>
        <v>6165.4284340925769</v>
      </c>
      <c r="I72">
        <f t="shared" ca="1" si="9"/>
        <v>18733.10493160013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108822</v>
      </c>
      <c r="B75" s="66">
        <v>108822</v>
      </c>
      <c r="D75">
        <f t="shared" si="5"/>
        <v>91.768634627223122</v>
      </c>
      <c r="E75">
        <f t="shared" si="6"/>
        <v>91.768634627223122</v>
      </c>
      <c r="G75">
        <f t="shared" ca="1" si="7"/>
        <v>73</v>
      </c>
      <c r="H75">
        <f t="shared" ca="1" si="8"/>
        <v>6699.110327787288</v>
      </c>
      <c r="I75">
        <f t="shared" ca="1" si="9"/>
        <v>12314.03350747456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103052</v>
      </c>
      <c r="B77" s="66">
        <v>103052</v>
      </c>
      <c r="D77">
        <f t="shared" si="5"/>
        <v>86.902844421207092</v>
      </c>
      <c r="E77">
        <f t="shared" si="6"/>
        <v>86.902844421207092</v>
      </c>
      <c r="G77">
        <f t="shared" ca="1" si="7"/>
        <v>75</v>
      </c>
      <c r="H77">
        <f t="shared" ca="1" si="8"/>
        <v>6517.7133315905321</v>
      </c>
      <c r="I77">
        <f t="shared" ca="1" si="9"/>
        <v>7982.046650448422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104745</v>
      </c>
      <c r="B80" s="66">
        <v>104745</v>
      </c>
      <c r="D80">
        <f t="shared" si="5"/>
        <v>88.33053641753034</v>
      </c>
      <c r="E80">
        <f t="shared" si="6"/>
        <v>88.33053641753034</v>
      </c>
      <c r="G80">
        <f t="shared" ca="1" si="7"/>
        <v>78</v>
      </c>
      <c r="H80">
        <f t="shared" ca="1" si="8"/>
        <v>6889.7818405673661</v>
      </c>
      <c r="I80">
        <f t="shared" ca="1" si="9"/>
        <v>3828.87416650571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108008</v>
      </c>
      <c r="B82" s="66">
        <v>108008</v>
      </c>
      <c r="D82">
        <f t="shared" si="5"/>
        <v>91.082195592960204</v>
      </c>
      <c r="E82">
        <f t="shared" si="6"/>
        <v>91.082195592960204</v>
      </c>
      <c r="G82">
        <f t="shared" ca="1" si="7"/>
        <v>80</v>
      </c>
      <c r="H82">
        <f t="shared" ca="1" si="8"/>
        <v>7286.5756474368163</v>
      </c>
      <c r="I82">
        <f t="shared" ca="1" si="9"/>
        <v>1913.792366634749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107147</v>
      </c>
      <c r="B85" s="66">
        <v>107147</v>
      </c>
      <c r="D85">
        <f t="shared" si="5"/>
        <v>90.356121872443779</v>
      </c>
      <c r="E85">
        <f t="shared" si="6"/>
        <v>90.356121872443779</v>
      </c>
      <c r="G85">
        <f t="shared" ca="1" si="7"/>
        <v>83</v>
      </c>
      <c r="H85">
        <f t="shared" ca="1" si="8"/>
        <v>7499.558115412834</v>
      </c>
      <c r="I85">
        <f t="shared" ca="1" si="9"/>
        <v>226.66643806359008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106559</v>
      </c>
      <c r="B88" s="66">
        <v>106559</v>
      </c>
      <c r="D88">
        <f t="shared" si="5"/>
        <v>89.860266648676458</v>
      </c>
      <c r="E88">
        <f t="shared" si="6"/>
        <v>89.860266648676458</v>
      </c>
      <c r="G88">
        <f t="shared" ca="1" si="7"/>
        <v>86</v>
      </c>
      <c r="H88">
        <f t="shared" ca="1" si="8"/>
        <v>7727.982931786175</v>
      </c>
      <c r="I88">
        <f t="shared" ca="1" si="9"/>
        <v>180.21232695353996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111341</v>
      </c>
      <c r="B90" s="66">
        <v>111341</v>
      </c>
      <c r="D90">
        <f t="shared" si="5"/>
        <v>93.8928851521719</v>
      </c>
      <c r="E90">
        <f t="shared" si="6"/>
        <v>93.8928851521719</v>
      </c>
      <c r="G90">
        <f t="shared" ca="1" si="7"/>
        <v>88</v>
      </c>
      <c r="H90">
        <f t="shared" ca="1" si="8"/>
        <v>8262.5738933911271</v>
      </c>
      <c r="I90">
        <f t="shared" ca="1" si="9"/>
        <v>1095.7357574224652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118583</v>
      </c>
      <c r="B93" s="66">
        <v>118583</v>
      </c>
      <c r="D93">
        <f t="shared" si="5"/>
        <v>100</v>
      </c>
      <c r="E93">
        <f t="shared" si="6"/>
        <v>100</v>
      </c>
      <c r="G93">
        <f t="shared" ca="1" si="7"/>
        <v>91</v>
      </c>
      <c r="H93">
        <f t="shared" ca="1" si="8"/>
        <v>9100</v>
      </c>
      <c r="I93">
        <f t="shared" ca="1" si="9"/>
        <v>4116.6944797058995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103819</v>
      </c>
      <c r="B95" s="66">
        <v>103819</v>
      </c>
      <c r="D95">
        <f t="shared" si="5"/>
        <v>87.549648769216503</v>
      </c>
      <c r="E95">
        <f t="shared" si="6"/>
        <v>87.549648769216503</v>
      </c>
      <c r="G95">
        <f t="shared" ca="1" si="7"/>
        <v>93</v>
      </c>
      <c r="H95">
        <f t="shared" ca="1" si="8"/>
        <v>8142.1173355371347</v>
      </c>
      <c r="I95">
        <f t="shared" ca="1" si="9"/>
        <v>6201.275885614642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98102</v>
      </c>
      <c r="B98" s="66">
        <v>98102</v>
      </c>
      <c r="D98">
        <f t="shared" si="5"/>
        <v>82.728552996635273</v>
      </c>
      <c r="E98">
        <f t="shared" si="6"/>
        <v>82.728552996635273</v>
      </c>
      <c r="G98">
        <f t="shared" ca="1" si="7"/>
        <v>96</v>
      </c>
      <c r="H98">
        <f t="shared" ca="1" si="8"/>
        <v>7941.9410876769862</v>
      </c>
      <c r="I98">
        <f t="shared" ca="1" si="9"/>
        <v>10781.881329837937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93715</v>
      </c>
      <c r="B100" s="66">
        <v>93715</v>
      </c>
      <c r="D100">
        <f t="shared" si="5"/>
        <v>79.029034515908691</v>
      </c>
      <c r="E100">
        <f t="shared" si="6"/>
        <v>79.029034515908691</v>
      </c>
      <c r="G100">
        <f t="shared" ca="1" si="7"/>
        <v>98</v>
      </c>
      <c r="H100">
        <f t="shared" ca="1" si="8"/>
        <v>7744.8453825590514</v>
      </c>
      <c r="I100">
        <f t="shared" ca="1" si="9"/>
        <v>14224.673443760414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94123</v>
      </c>
      <c r="B103" s="66">
        <v>94123</v>
      </c>
      <c r="D103">
        <f t="shared" si="5"/>
        <v>79.373097324237037</v>
      </c>
      <c r="E103">
        <f t="shared" si="6"/>
        <v>79.373097324237037</v>
      </c>
      <c r="G103">
        <f t="shared" ca="1" si="7"/>
        <v>101</v>
      </c>
      <c r="H103">
        <f t="shared" ca="1" si="8"/>
        <v>8016.6828297479406</v>
      </c>
      <c r="I103">
        <f t="shared" ca="1" si="9"/>
        <v>21390.247159633393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84398</v>
      </c>
      <c r="B106" s="66">
        <v>84398</v>
      </c>
      <c r="D106">
        <f t="shared" si="5"/>
        <v>71.172090434547954</v>
      </c>
      <c r="E106">
        <f t="shared" si="6"/>
        <v>71.172090434547954</v>
      </c>
      <c r="G106">
        <f t="shared" ca="1" si="7"/>
        <v>104</v>
      </c>
      <c r="H106">
        <f t="shared" ca="1" si="8"/>
        <v>7401.8974051929872</v>
      </c>
      <c r="I106">
        <f t="shared" ca="1" si="9"/>
        <v>26830.936615502294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76532</v>
      </c>
      <c r="B108" s="66">
        <v>76532</v>
      </c>
      <c r="D108">
        <f t="shared" si="5"/>
        <v>64.538761879864737</v>
      </c>
      <c r="E108">
        <f t="shared" si="6"/>
        <v>64.538761879864737</v>
      </c>
      <c r="G108">
        <f t="shared" ca="1" si="7"/>
        <v>106</v>
      </c>
      <c r="H108">
        <f t="shared" ca="1" si="8"/>
        <v>6841.1087592656622</v>
      </c>
      <c r="I108">
        <f t="shared" ca="1" si="9"/>
        <v>29600.790946022189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76457</v>
      </c>
      <c r="B111" s="66">
        <v>76457</v>
      </c>
      <c r="D111">
        <f t="shared" si="5"/>
        <v>64.4755150400985</v>
      </c>
      <c r="E111">
        <f t="shared" si="6"/>
        <v>64.4755150400985</v>
      </c>
      <c r="G111">
        <f t="shared" ca="1" si="7"/>
        <v>109</v>
      </c>
      <c r="H111">
        <f t="shared" ca="1" si="8"/>
        <v>7027.8311393707363</v>
      </c>
      <c r="I111">
        <f t="shared" ca="1" si="9"/>
        <v>38436.965054775392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72461</v>
      </c>
      <c r="B113" s="66">
        <v>72461</v>
      </c>
      <c r="D113">
        <f t="shared" si="5"/>
        <v>61.105723417353246</v>
      </c>
      <c r="E113">
        <f t="shared" si="6"/>
        <v>61.105723417353246</v>
      </c>
      <c r="G113">
        <f t="shared" ca="1" si="7"/>
        <v>111</v>
      </c>
      <c r="H113">
        <f t="shared" ca="1" si="8"/>
        <v>6782.7352993262102</v>
      </c>
      <c r="I113">
        <f t="shared" ca="1" si="9"/>
        <v>42640.357939880065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73714</v>
      </c>
      <c r="B116" s="66">
        <v>73714</v>
      </c>
      <c r="D116">
        <f t="shared" si="5"/>
        <v>62.162367287047893</v>
      </c>
      <c r="E116">
        <f t="shared" si="6"/>
        <v>62.162367287047893</v>
      </c>
      <c r="G116">
        <f t="shared" ca="1" si="7"/>
        <v>114</v>
      </c>
      <c r="H116">
        <f t="shared" ca="1" si="8"/>
        <v>7086.5098707234602</v>
      </c>
      <c r="I116">
        <f t="shared" ca="1" si="9"/>
        <v>53789.700361689102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66703</v>
      </c>
      <c r="B118" s="66">
        <v>66703</v>
      </c>
      <c r="D118">
        <f t="shared" si="5"/>
        <v>56.250052705699808</v>
      </c>
      <c r="E118">
        <f t="shared" si="6"/>
        <v>56.250052705699808</v>
      </c>
      <c r="G118">
        <f t="shared" ca="1" si="7"/>
        <v>116</v>
      </c>
      <c r="H118">
        <f t="shared" ca="1" si="8"/>
        <v>6525.0061138611782</v>
      </c>
      <c r="I118">
        <f t="shared" ca="1" si="9"/>
        <v>55517.356643182546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61317</v>
      </c>
      <c r="B121" s="66">
        <v>61317</v>
      </c>
      <c r="D121">
        <f t="shared" si="5"/>
        <v>51.708086319286913</v>
      </c>
      <c r="E121">
        <f t="shared" si="6"/>
        <v>51.708086319286913</v>
      </c>
      <c r="G121">
        <f t="shared" ca="1" si="7"/>
        <v>119</v>
      </c>
      <c r="H121">
        <f t="shared" ca="1" si="8"/>
        <v>6153.2622719951423</v>
      </c>
      <c r="I121">
        <f t="shared" ca="1" si="9"/>
        <v>61246.738410221165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50996</v>
      </c>
      <c r="B124" s="66">
        <v>50996</v>
      </c>
      <c r="D124">
        <f t="shared" si="5"/>
        <v>43.00447787625545</v>
      </c>
      <c r="E124">
        <f t="shared" si="6"/>
        <v>43.00447787625545</v>
      </c>
      <c r="G124">
        <f t="shared" ca="1" si="7"/>
        <v>122</v>
      </c>
      <c r="H124">
        <f t="shared" ca="1" si="8"/>
        <v>5246.5463009031646</v>
      </c>
      <c r="I124">
        <f t="shared" ca="1" si="9"/>
        <v>60204.895925517121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48324</v>
      </c>
      <c r="B126" s="66">
        <v>48324</v>
      </c>
      <c r="D126">
        <f t="shared" si="5"/>
        <v>40.751203798183553</v>
      </c>
      <c r="E126">
        <f t="shared" si="6"/>
        <v>40.751203798183553</v>
      </c>
      <c r="G126">
        <f t="shared" ca="1" si="7"/>
        <v>124</v>
      </c>
      <c r="H126">
        <f t="shared" ca="1" si="8"/>
        <v>5053.1492709747608</v>
      </c>
      <c r="I126">
        <f t="shared" ca="1" si="9"/>
        <v>63312.401135140826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44112</v>
      </c>
      <c r="B129" s="66">
        <v>44112</v>
      </c>
      <c r="D129">
        <f t="shared" si="5"/>
        <v>37.199261276911528</v>
      </c>
      <c r="E129">
        <f t="shared" si="6"/>
        <v>37.199261276911528</v>
      </c>
      <c r="G129">
        <f t="shared" ca="1" si="7"/>
        <v>127</v>
      </c>
      <c r="H129">
        <f t="shared" ca="1" si="8"/>
        <v>4724.3061821677638</v>
      </c>
      <c r="I129">
        <f t="shared" ca="1" si="9"/>
        <v>66926.289928567712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41467</v>
      </c>
      <c r="B131" s="66">
        <v>41467</v>
      </c>
      <c r="D131">
        <f t="shared" ref="D131:D194" si="10">IFERROR( 100*A131/MAX(A$2:A$257), 0 )</f>
        <v>34.968756061155474</v>
      </c>
      <c r="E131">
        <f t="shared" ref="E131:E194" si="11">IFERROR( 100*B131/MAX(B$2:B$257), 0 )</f>
        <v>34.968756061155474</v>
      </c>
      <c r="G131">
        <f t="shared" ref="G131:G194" ca="1" si="12">CELL("row",D131)-2</f>
        <v>129</v>
      </c>
      <c r="H131">
        <f t="shared" ref="H131:H194" ca="1" si="13">D131*G131</f>
        <v>4510.9695318890563</v>
      </c>
      <c r="I131">
        <f t="shared" ref="I131:I194" ca="1" si="14">D131*((G131-$L$1)^2)</f>
        <v>68986.156741007348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36155</v>
      </c>
      <c r="B134" s="66">
        <v>36155</v>
      </c>
      <c r="D134">
        <f t="shared" si="10"/>
        <v>30.489193223311943</v>
      </c>
      <c r="E134">
        <f t="shared" si="11"/>
        <v>30.489193223311943</v>
      </c>
      <c r="G134">
        <f t="shared" ca="1" si="12"/>
        <v>132</v>
      </c>
      <c r="H134">
        <f t="shared" ca="1" si="13"/>
        <v>4024.5735054771767</v>
      </c>
      <c r="I134">
        <f t="shared" ca="1" si="14"/>
        <v>68548.579166068739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28155</v>
      </c>
      <c r="B136" s="66">
        <v>28155</v>
      </c>
      <c r="D136">
        <f t="shared" si="10"/>
        <v>23.742863648246377</v>
      </c>
      <c r="E136">
        <f t="shared" si="11"/>
        <v>23.742863648246377</v>
      </c>
      <c r="G136">
        <f t="shared" ca="1" si="12"/>
        <v>134</v>
      </c>
      <c r="H136">
        <f t="shared" ca="1" si="13"/>
        <v>3181.5437288650146</v>
      </c>
      <c r="I136">
        <f t="shared" ca="1" si="14"/>
        <v>57979.018925655408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21041</v>
      </c>
      <c r="B139" s="66">
        <v>21041</v>
      </c>
      <c r="D139">
        <f t="shared" si="10"/>
        <v>17.743690073619323</v>
      </c>
      <c r="E139">
        <f t="shared" si="11"/>
        <v>17.743690073619323</v>
      </c>
      <c r="G139">
        <f t="shared" ca="1" si="12"/>
        <v>137</v>
      </c>
      <c r="H139">
        <f t="shared" ca="1" si="13"/>
        <v>2430.8855400858474</v>
      </c>
      <c r="I139">
        <f t="shared" ca="1" si="14"/>
        <v>48749.94541273293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17668</v>
      </c>
      <c r="B142" s="66">
        <v>17668</v>
      </c>
      <c r="D142">
        <f t="shared" si="10"/>
        <v>14.899268866532303</v>
      </c>
      <c r="E142">
        <f t="shared" si="11"/>
        <v>14.899268866532303</v>
      </c>
      <c r="G142">
        <f t="shared" ca="1" si="12"/>
        <v>140</v>
      </c>
      <c r="H142">
        <f t="shared" ca="1" si="13"/>
        <v>2085.8976413145224</v>
      </c>
      <c r="I142">
        <f t="shared" ca="1" si="14"/>
        <v>45754.900334243255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14480</v>
      </c>
      <c r="B144" s="66">
        <v>14480</v>
      </c>
      <c r="D144">
        <f t="shared" si="10"/>
        <v>12.210856530868675</v>
      </c>
      <c r="E144">
        <f t="shared" si="11"/>
        <v>12.210856530868675</v>
      </c>
      <c r="G144">
        <f t="shared" ca="1" si="12"/>
        <v>142</v>
      </c>
      <c r="H144">
        <f t="shared" ca="1" si="13"/>
        <v>1733.9416273833519</v>
      </c>
      <c r="I144">
        <f t="shared" ca="1" si="14"/>
        <v>40254.480084192648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10376</v>
      </c>
      <c r="B147" s="66">
        <v>10376</v>
      </c>
      <c r="D147">
        <f t="shared" si="10"/>
        <v>8.7499894588600391</v>
      </c>
      <c r="E147">
        <f t="shared" si="11"/>
        <v>8.7499894588600391</v>
      </c>
      <c r="G147">
        <f t="shared" ca="1" si="12"/>
        <v>145</v>
      </c>
      <c r="H147">
        <f t="shared" ca="1" si="13"/>
        <v>1268.7484715347057</v>
      </c>
      <c r="I147">
        <f t="shared" ca="1" si="14"/>
        <v>31938.431387648343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8008</v>
      </c>
      <c r="B149" s="66">
        <v>8008</v>
      </c>
      <c r="D149">
        <f t="shared" si="10"/>
        <v>6.7530759046406317</v>
      </c>
      <c r="E149">
        <f t="shared" si="11"/>
        <v>6.7530759046406317</v>
      </c>
      <c r="G149">
        <f t="shared" ca="1" si="12"/>
        <v>147</v>
      </c>
      <c r="H149">
        <f t="shared" ca="1" si="13"/>
        <v>992.70215798217282</v>
      </c>
      <c r="I149">
        <f t="shared" ca="1" si="14"/>
        <v>26308.467188707938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6552</v>
      </c>
      <c r="B152" s="66">
        <v>6552</v>
      </c>
      <c r="D152">
        <f t="shared" si="10"/>
        <v>5.5252439219786984</v>
      </c>
      <c r="E152">
        <f t="shared" si="11"/>
        <v>5.5252439219786984</v>
      </c>
      <c r="G152">
        <f t="shared" ca="1" si="12"/>
        <v>150</v>
      </c>
      <c r="H152">
        <f t="shared" ca="1" si="13"/>
        <v>828.78658829680478</v>
      </c>
      <c r="I152">
        <f t="shared" ca="1" si="14"/>
        <v>23644.023340786891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6690</v>
      </c>
      <c r="B154" s="66">
        <v>6690</v>
      </c>
      <c r="D154">
        <f t="shared" si="10"/>
        <v>5.6416181071485791</v>
      </c>
      <c r="E154">
        <f t="shared" si="11"/>
        <v>5.6416181071485791</v>
      </c>
      <c r="G154">
        <f t="shared" ca="1" si="12"/>
        <v>152</v>
      </c>
      <c r="H154">
        <f t="shared" ca="1" si="13"/>
        <v>857.52595228658402</v>
      </c>
      <c r="I154">
        <f t="shared" ca="1" si="14"/>
        <v>25640.798323828389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4572</v>
      </c>
      <c r="B157" s="66">
        <v>4572</v>
      </c>
      <c r="D157">
        <f t="shared" si="10"/>
        <v>3.8555273521499709</v>
      </c>
      <c r="E157">
        <f t="shared" si="11"/>
        <v>3.8555273521499709</v>
      </c>
      <c r="G157">
        <f t="shared" ca="1" si="12"/>
        <v>155</v>
      </c>
      <c r="H157">
        <f t="shared" ca="1" si="13"/>
        <v>597.60673958324548</v>
      </c>
      <c r="I157">
        <f t="shared" ca="1" si="14"/>
        <v>19117.377083624535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3499</v>
      </c>
      <c r="B160" s="66">
        <v>3499</v>
      </c>
      <c r="D160">
        <f t="shared" si="10"/>
        <v>2.950675897894302</v>
      </c>
      <c r="E160">
        <f t="shared" si="11"/>
        <v>2.950675897894302</v>
      </c>
      <c r="G160">
        <f t="shared" ca="1" si="12"/>
        <v>158</v>
      </c>
      <c r="H160">
        <f t="shared" ca="1" si="13"/>
        <v>466.20679186729973</v>
      </c>
      <c r="I160">
        <f t="shared" ca="1" si="14"/>
        <v>15903.938515173912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1763</v>
      </c>
      <c r="B162" s="66">
        <v>1763</v>
      </c>
      <c r="D162">
        <f t="shared" si="10"/>
        <v>1.4867223801050742</v>
      </c>
      <c r="E162">
        <f t="shared" si="11"/>
        <v>1.4867223801050742</v>
      </c>
      <c r="G162">
        <f t="shared" ca="1" si="12"/>
        <v>160</v>
      </c>
      <c r="H162">
        <f t="shared" ca="1" si="13"/>
        <v>237.87558081681186</v>
      </c>
      <c r="I162">
        <f t="shared" ca="1" si="14"/>
        <v>8455.8751581193719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2563</v>
      </c>
      <c r="B165" s="66">
        <v>2563</v>
      </c>
      <c r="D165">
        <f t="shared" si="10"/>
        <v>2.1613553376116306</v>
      </c>
      <c r="E165">
        <f t="shared" si="11"/>
        <v>2.1613553376116306</v>
      </c>
      <c r="G165">
        <f t="shared" ca="1" si="12"/>
        <v>163</v>
      </c>
      <c r="H165">
        <f t="shared" ca="1" si="13"/>
        <v>352.30092003069581</v>
      </c>
      <c r="I165">
        <f t="shared" ca="1" si="14"/>
        <v>13290.373119402186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1696</v>
      </c>
      <c r="B167" s="66">
        <v>1696</v>
      </c>
      <c r="D167">
        <f t="shared" si="10"/>
        <v>1.4302218699139</v>
      </c>
      <c r="E167">
        <f t="shared" si="11"/>
        <v>1.4302218699139</v>
      </c>
      <c r="G167">
        <f t="shared" ca="1" si="12"/>
        <v>165</v>
      </c>
      <c r="H167">
        <f t="shared" ca="1" si="13"/>
        <v>235.98660853579349</v>
      </c>
      <c r="I167">
        <f t="shared" ca="1" si="14"/>
        <v>9248.8969016595784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2004</v>
      </c>
      <c r="B170" s="66">
        <v>2004</v>
      </c>
      <c r="D170">
        <f t="shared" si="10"/>
        <v>1.6899555585539243</v>
      </c>
      <c r="E170">
        <f t="shared" si="11"/>
        <v>1.6899555585539243</v>
      </c>
      <c r="G170">
        <f t="shared" ca="1" si="12"/>
        <v>168</v>
      </c>
      <c r="H170">
        <f t="shared" ca="1" si="13"/>
        <v>283.9125338370593</v>
      </c>
      <c r="I170">
        <f t="shared" ca="1" si="14"/>
        <v>11759.139370199395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711</v>
      </c>
      <c r="B173" s="66">
        <v>711</v>
      </c>
      <c r="D173">
        <f t="shared" si="10"/>
        <v>0.59958004098395212</v>
      </c>
      <c r="E173">
        <f t="shared" si="11"/>
        <v>0.59958004098395212</v>
      </c>
      <c r="G173">
        <f t="shared" ca="1" si="12"/>
        <v>171</v>
      </c>
      <c r="H173">
        <f t="shared" ca="1" si="13"/>
        <v>102.52818700825581</v>
      </c>
      <c r="I173">
        <f t="shared" ca="1" si="14"/>
        <v>4477.5141482172339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384</v>
      </c>
      <c r="B175" s="66">
        <v>384</v>
      </c>
      <c r="D175">
        <f t="shared" si="10"/>
        <v>0.32382381960314716</v>
      </c>
      <c r="E175">
        <f t="shared" si="11"/>
        <v>0.32382381960314716</v>
      </c>
      <c r="G175">
        <f t="shared" ca="1" si="12"/>
        <v>173</v>
      </c>
      <c r="H175">
        <f t="shared" ca="1" si="13"/>
        <v>56.021520791344457</v>
      </c>
      <c r="I175">
        <f t="shared" ca="1" si="14"/>
        <v>2531.4652120481041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584</v>
      </c>
      <c r="B178" s="66">
        <v>584</v>
      </c>
      <c r="D178">
        <f t="shared" si="10"/>
        <v>0.49248205897978631</v>
      </c>
      <c r="E178">
        <f t="shared" si="11"/>
        <v>0.49248205897978631</v>
      </c>
      <c r="G178">
        <f t="shared" ca="1" si="12"/>
        <v>176</v>
      </c>
      <c r="H178">
        <f t="shared" ca="1" si="13"/>
        <v>86.676842380442395</v>
      </c>
      <c r="I178">
        <f t="shared" ca="1" si="14"/>
        <v>4115.6292124861275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322</v>
      </c>
      <c r="B180" s="66">
        <v>322</v>
      </c>
      <c r="D180">
        <f t="shared" si="10"/>
        <v>0.27153976539638902</v>
      </c>
      <c r="E180">
        <f t="shared" si="11"/>
        <v>0.27153976539638902</v>
      </c>
      <c r="G180">
        <f t="shared" ca="1" si="12"/>
        <v>178</v>
      </c>
      <c r="H180">
        <f t="shared" ca="1" si="13"/>
        <v>48.334078240557247</v>
      </c>
      <c r="I180">
        <f t="shared" ca="1" si="14"/>
        <v>2369.6125508137152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404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96.479031434918838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1.8627679535568382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0.5250679779058105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416</v>
      </c>
      <c r="B8" s="66">
        <v>416</v>
      </c>
      <c r="D8">
        <f t="shared" si="0"/>
        <v>0.26799116144534846</v>
      </c>
      <c r="E8">
        <f t="shared" si="1"/>
        <v>0.26799116144534846</v>
      </c>
      <c r="G8">
        <f t="shared" ca="1" si="2"/>
        <v>6</v>
      </c>
      <c r="H8">
        <f t="shared" ca="1" si="3"/>
        <v>1.6079469686720906</v>
      </c>
      <c r="I8">
        <f t="shared" ca="1" si="4"/>
        <v>2193.897618248413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438</v>
      </c>
      <c r="B10" s="66">
        <v>438</v>
      </c>
      <c r="D10">
        <f t="shared" si="0"/>
        <v>0.28216377094486211</v>
      </c>
      <c r="E10">
        <f t="shared" si="1"/>
        <v>0.28216377094486211</v>
      </c>
      <c r="G10">
        <f t="shared" ca="1" si="2"/>
        <v>8</v>
      </c>
      <c r="H10">
        <f t="shared" ca="1" si="3"/>
        <v>2.2573101675588969</v>
      </c>
      <c r="I10">
        <f t="shared" ca="1" si="4"/>
        <v>2208.9300862620221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319</v>
      </c>
      <c r="B13" s="66">
        <v>319</v>
      </c>
      <c r="D13">
        <f t="shared" si="0"/>
        <v>0.2055028377429475</v>
      </c>
      <c r="E13">
        <f t="shared" si="1"/>
        <v>0.2055028377429475</v>
      </c>
      <c r="G13">
        <f t="shared" ca="1" si="2"/>
        <v>11</v>
      </c>
      <c r="H13">
        <f t="shared" ca="1" si="3"/>
        <v>2.2605312151724224</v>
      </c>
      <c r="I13">
        <f t="shared" ca="1" si="4"/>
        <v>1501.5403539297024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425</v>
      </c>
      <c r="B15" s="66">
        <v>425</v>
      </c>
      <c r="D15">
        <f t="shared" si="0"/>
        <v>0.27378904714969499</v>
      </c>
      <c r="E15">
        <f t="shared" si="1"/>
        <v>0.27378904714969499</v>
      </c>
      <c r="G15">
        <f t="shared" ca="1" si="2"/>
        <v>13</v>
      </c>
      <c r="H15">
        <f t="shared" ca="1" si="3"/>
        <v>3.5592576129460349</v>
      </c>
      <c r="I15">
        <f t="shared" ca="1" si="4"/>
        <v>1907.9670634724641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1308</v>
      </c>
      <c r="B18" s="66">
        <v>1308</v>
      </c>
      <c r="D18">
        <f t="shared" si="0"/>
        <v>0.84262605569835536</v>
      </c>
      <c r="E18">
        <f t="shared" si="1"/>
        <v>0.84262605569835536</v>
      </c>
      <c r="G18">
        <f t="shared" ca="1" si="2"/>
        <v>16</v>
      </c>
      <c r="H18">
        <f t="shared" ca="1" si="3"/>
        <v>13.482016891173686</v>
      </c>
      <c r="I18">
        <f t="shared" ca="1" si="4"/>
        <v>5457.5832137803327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2525</v>
      </c>
      <c r="B21" s="66">
        <v>2525</v>
      </c>
      <c r="D21">
        <f t="shared" si="0"/>
        <v>1.6266290448305407</v>
      </c>
      <c r="E21">
        <f t="shared" si="1"/>
        <v>1.6266290448305407</v>
      </c>
      <c r="G21">
        <f t="shared" ca="1" si="2"/>
        <v>19</v>
      </c>
      <c r="H21">
        <f t="shared" ca="1" si="3"/>
        <v>30.905951851780273</v>
      </c>
      <c r="I21">
        <f t="shared" ca="1" si="4"/>
        <v>9764.6546637775045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2568</v>
      </c>
      <c r="B23" s="66">
        <v>2568</v>
      </c>
      <c r="D23">
        <f t="shared" si="0"/>
        <v>1.6543300543068629</v>
      </c>
      <c r="E23">
        <f t="shared" si="1"/>
        <v>1.6543300543068629</v>
      </c>
      <c r="G23">
        <f t="shared" ca="1" si="2"/>
        <v>21</v>
      </c>
      <c r="H23">
        <f t="shared" ca="1" si="3"/>
        <v>34.740931140444118</v>
      </c>
      <c r="I23">
        <f t="shared" ca="1" si="4"/>
        <v>9424.8575914008998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4278</v>
      </c>
      <c r="B26" s="66">
        <v>4278</v>
      </c>
      <c r="D26">
        <f t="shared" si="0"/>
        <v>2.7559283381326942</v>
      </c>
      <c r="E26">
        <f t="shared" si="1"/>
        <v>2.7559283381326942</v>
      </c>
      <c r="G26">
        <f t="shared" ca="1" si="2"/>
        <v>24</v>
      </c>
      <c r="H26">
        <f t="shared" ca="1" si="3"/>
        <v>66.142280115184661</v>
      </c>
      <c r="I26">
        <f t="shared" ca="1" si="4"/>
        <v>14477.470298944547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7901</v>
      </c>
      <c r="B28" s="66">
        <v>7901</v>
      </c>
      <c r="D28">
        <f t="shared" si="0"/>
        <v>5.0898994388935055</v>
      </c>
      <c r="E28">
        <f t="shared" si="1"/>
        <v>5.0898994388935055</v>
      </c>
      <c r="G28">
        <f t="shared" ca="1" si="2"/>
        <v>26</v>
      </c>
      <c r="H28">
        <f t="shared" ca="1" si="3"/>
        <v>132.33738541123114</v>
      </c>
      <c r="I28">
        <f t="shared" ca="1" si="4"/>
        <v>25283.026291933722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9773</v>
      </c>
      <c r="B31" s="66">
        <v>9773</v>
      </c>
      <c r="D31">
        <f t="shared" si="0"/>
        <v>6.2958596653975736</v>
      </c>
      <c r="E31">
        <f t="shared" si="1"/>
        <v>6.2958596653975736</v>
      </c>
      <c r="G31">
        <f t="shared" ca="1" si="2"/>
        <v>29</v>
      </c>
      <c r="H31">
        <f t="shared" ca="1" si="3"/>
        <v>182.57993029652962</v>
      </c>
      <c r="I31">
        <f t="shared" ca="1" si="4"/>
        <v>28667.691324312487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12388</v>
      </c>
      <c r="B33" s="66">
        <v>12388</v>
      </c>
      <c r="D33">
        <f t="shared" si="0"/>
        <v>7.980467567271579</v>
      </c>
      <c r="E33">
        <f t="shared" si="1"/>
        <v>7.980467567271579</v>
      </c>
      <c r="G33">
        <f t="shared" ca="1" si="2"/>
        <v>31</v>
      </c>
      <c r="H33">
        <f t="shared" ca="1" si="3"/>
        <v>247.39449458541895</v>
      </c>
      <c r="I33">
        <f t="shared" ca="1" si="4"/>
        <v>34216.283086427946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11329</v>
      </c>
      <c r="B36" s="66">
        <v>11329</v>
      </c>
      <c r="D36">
        <f t="shared" si="0"/>
        <v>7.2982496827268104</v>
      </c>
      <c r="E36">
        <f t="shared" si="1"/>
        <v>7.2982496827268104</v>
      </c>
      <c r="G36">
        <f t="shared" ca="1" si="2"/>
        <v>34</v>
      </c>
      <c r="H36">
        <f t="shared" ca="1" si="3"/>
        <v>248.14048921271154</v>
      </c>
      <c r="I36">
        <f t="shared" ca="1" si="4"/>
        <v>28489.661804119936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14588</v>
      </c>
      <c r="B39" s="66">
        <v>14588</v>
      </c>
      <c r="D39">
        <f t="shared" si="0"/>
        <v>9.3977285172229408</v>
      </c>
      <c r="E39">
        <f t="shared" si="1"/>
        <v>9.3977285172229408</v>
      </c>
      <c r="G39">
        <f t="shared" ca="1" si="2"/>
        <v>37</v>
      </c>
      <c r="H39">
        <f t="shared" ca="1" si="3"/>
        <v>347.71595513724878</v>
      </c>
      <c r="I39">
        <f t="shared" ca="1" si="4"/>
        <v>33246.86274613718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14905</v>
      </c>
      <c r="B41" s="66">
        <v>14905</v>
      </c>
      <c r="D41">
        <f t="shared" si="0"/>
        <v>9.6019429359204782</v>
      </c>
      <c r="E41">
        <f t="shared" si="1"/>
        <v>9.6019429359204782</v>
      </c>
      <c r="G41">
        <f t="shared" ca="1" si="2"/>
        <v>39</v>
      </c>
      <c r="H41">
        <f t="shared" ca="1" si="3"/>
        <v>374.47577450089864</v>
      </c>
      <c r="I41">
        <f t="shared" ca="1" si="4"/>
        <v>31723.274072660173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22716</v>
      </c>
      <c r="B44" s="66">
        <v>22716</v>
      </c>
      <c r="D44">
        <f t="shared" si="0"/>
        <v>14.63386351777052</v>
      </c>
      <c r="E44">
        <f t="shared" si="1"/>
        <v>14.63386351777052</v>
      </c>
      <c r="G44">
        <f t="shared" ca="1" si="2"/>
        <v>42</v>
      </c>
      <c r="H44">
        <f t="shared" ca="1" si="3"/>
        <v>614.62226774636179</v>
      </c>
      <c r="I44">
        <f t="shared" ca="1" si="4"/>
        <v>43432.792775853384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34665</v>
      </c>
      <c r="B46" s="66">
        <v>34665</v>
      </c>
      <c r="D46">
        <f t="shared" si="0"/>
        <v>22.331523104574533</v>
      </c>
      <c r="E46">
        <f t="shared" si="1"/>
        <v>22.331523104574533</v>
      </c>
      <c r="G46">
        <f t="shared" ca="1" si="2"/>
        <v>44</v>
      </c>
      <c r="H46">
        <f t="shared" ca="1" si="3"/>
        <v>982.5870166012794</v>
      </c>
      <c r="I46">
        <f t="shared" ca="1" si="4"/>
        <v>61502.103076187872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36840</v>
      </c>
      <c r="B49" s="66">
        <v>36840</v>
      </c>
      <c r="D49">
        <f t="shared" si="0"/>
        <v>23.732678816458264</v>
      </c>
      <c r="E49">
        <f t="shared" si="1"/>
        <v>23.732678816458264</v>
      </c>
      <c r="G49">
        <f t="shared" ca="1" si="2"/>
        <v>47</v>
      </c>
      <c r="H49">
        <f t="shared" ca="1" si="3"/>
        <v>1115.4359043735385</v>
      </c>
      <c r="I49">
        <f t="shared" ca="1" si="4"/>
        <v>58101.740323017206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43151</v>
      </c>
      <c r="B51" s="66">
        <v>43151</v>
      </c>
      <c r="D51">
        <f t="shared" si="0"/>
        <v>27.798285114250557</v>
      </c>
      <c r="E51">
        <f t="shared" si="1"/>
        <v>27.798285114250557</v>
      </c>
      <c r="G51">
        <f t="shared" ca="1" si="2"/>
        <v>49</v>
      </c>
      <c r="H51">
        <f t="shared" ca="1" si="3"/>
        <v>1362.1159705982773</v>
      </c>
      <c r="I51">
        <f t="shared" ca="1" si="4"/>
        <v>62664.518447094408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46727</v>
      </c>
      <c r="B54" s="66">
        <v>46727</v>
      </c>
      <c r="D54">
        <f t="shared" si="0"/>
        <v>30.101978367444229</v>
      </c>
      <c r="E54">
        <f t="shared" si="1"/>
        <v>30.101978367444229</v>
      </c>
      <c r="G54">
        <f t="shared" ca="1" si="2"/>
        <v>52</v>
      </c>
      <c r="H54">
        <f t="shared" ca="1" si="3"/>
        <v>1565.3028751070999</v>
      </c>
      <c r="I54">
        <f t="shared" ca="1" si="4"/>
        <v>59553.279516361217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59458</v>
      </c>
      <c r="B57" s="66">
        <v>59458</v>
      </c>
      <c r="D57">
        <f t="shared" si="0"/>
        <v>38.303409801003681</v>
      </c>
      <c r="E57">
        <f t="shared" si="1"/>
        <v>38.303409801003681</v>
      </c>
      <c r="G57">
        <f t="shared" ca="1" si="2"/>
        <v>55</v>
      </c>
      <c r="H57">
        <f t="shared" ca="1" si="3"/>
        <v>2106.6875390552023</v>
      </c>
      <c r="I57">
        <f t="shared" ca="1" si="4"/>
        <v>65901.401465126299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63356</v>
      </c>
      <c r="B59" s="66">
        <v>63356</v>
      </c>
      <c r="D59">
        <f t="shared" si="0"/>
        <v>40.814538520508407</v>
      </c>
      <c r="E59">
        <f t="shared" si="1"/>
        <v>40.814538520508407</v>
      </c>
      <c r="G59">
        <f t="shared" ca="1" si="2"/>
        <v>57</v>
      </c>
      <c r="H59">
        <f t="shared" ca="1" si="3"/>
        <v>2326.4286956689793</v>
      </c>
      <c r="I59">
        <f t="shared" ca="1" si="4"/>
        <v>63613.291709718229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66189</v>
      </c>
      <c r="B62" s="66">
        <v>66189</v>
      </c>
      <c r="D62">
        <f t="shared" si="0"/>
        <v>42.639584098332143</v>
      </c>
      <c r="E62">
        <f t="shared" si="1"/>
        <v>42.639584098332143</v>
      </c>
      <c r="G62">
        <f t="shared" ca="1" si="2"/>
        <v>60</v>
      </c>
      <c r="H62">
        <f t="shared" ca="1" si="3"/>
        <v>2558.3750458999284</v>
      </c>
      <c r="I62">
        <f t="shared" ca="1" si="4"/>
        <v>56741.336027529534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60851</v>
      </c>
      <c r="B64" s="66">
        <v>60851</v>
      </c>
      <c r="D64">
        <f t="shared" si="0"/>
        <v>39.200793666131972</v>
      </c>
      <c r="E64">
        <f t="shared" si="1"/>
        <v>39.200793666131972</v>
      </c>
      <c r="G64">
        <f t="shared" ca="1" si="2"/>
        <v>62</v>
      </c>
      <c r="H64">
        <f t="shared" ca="1" si="3"/>
        <v>2430.449207300182</v>
      </c>
      <c r="I64">
        <f t="shared" ca="1" si="4"/>
        <v>46602.04497381454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68256</v>
      </c>
      <c r="B67" s="66">
        <v>68256</v>
      </c>
      <c r="D67">
        <f t="shared" ref="D67:D130" si="5">IFERROR(100*A67/MAX(A$2:A$257), 0 )</f>
        <v>43.971165181763716</v>
      </c>
      <c r="E67">
        <f t="shared" ref="E67:E130" si="6">IFERROR(100*B67/MAX(B$2:B$257), 0 )</f>
        <v>43.971165181763716</v>
      </c>
      <c r="G67">
        <f t="shared" ref="G67:G130" ca="1" si="7">CELL("row",D67)-2</f>
        <v>65</v>
      </c>
      <c r="H67">
        <f t="shared" ref="H67:H130" ca="1" si="8">D67*G67</f>
        <v>2858.1257368146416</v>
      </c>
      <c r="I67">
        <f t="shared" ref="I67:I130" ca="1" si="9">D67*((G67-$L$1)^2)</f>
        <v>43572.321213833755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71557</v>
      </c>
      <c r="B69" s="66">
        <v>71557</v>
      </c>
      <c r="D69">
        <f t="shared" si="5"/>
        <v>46.097700816213468</v>
      </c>
      <c r="E69">
        <f t="shared" si="6"/>
        <v>46.097700816213468</v>
      </c>
      <c r="G69">
        <f t="shared" ca="1" si="7"/>
        <v>67</v>
      </c>
      <c r="H69">
        <f t="shared" ca="1" si="8"/>
        <v>3088.5459546863021</v>
      </c>
      <c r="I69">
        <f t="shared" ca="1" si="9"/>
        <v>40059.514847840386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74805</v>
      </c>
      <c r="B72" s="66">
        <v>74805</v>
      </c>
      <c r="D72">
        <f t="shared" si="5"/>
        <v>48.190093345959838</v>
      </c>
      <c r="E72">
        <f t="shared" si="6"/>
        <v>48.190093345959838</v>
      </c>
      <c r="G72">
        <f t="shared" ca="1" si="7"/>
        <v>70</v>
      </c>
      <c r="H72">
        <f t="shared" ca="1" si="8"/>
        <v>3373.3065342171885</v>
      </c>
      <c r="I72">
        <f t="shared" ca="1" si="9"/>
        <v>33787.958953699934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78841</v>
      </c>
      <c r="B75" s="66">
        <v>78841</v>
      </c>
      <c r="D75">
        <f t="shared" si="5"/>
        <v>50.790122979597882</v>
      </c>
      <c r="E75">
        <f t="shared" si="6"/>
        <v>50.790122979597882</v>
      </c>
      <c r="G75">
        <f t="shared" ca="1" si="7"/>
        <v>73</v>
      </c>
      <c r="H75">
        <f t="shared" ca="1" si="8"/>
        <v>3707.6789775106454</v>
      </c>
      <c r="I75">
        <f t="shared" ca="1" si="9"/>
        <v>27998.812934959486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84648</v>
      </c>
      <c r="B77" s="66">
        <v>84648</v>
      </c>
      <c r="D77">
        <f t="shared" si="5"/>
        <v>54.531047677946773</v>
      </c>
      <c r="E77">
        <f t="shared" si="6"/>
        <v>54.531047677946773</v>
      </c>
      <c r="G77">
        <f t="shared" ca="1" si="7"/>
        <v>75</v>
      </c>
      <c r="H77">
        <f t="shared" ca="1" si="8"/>
        <v>4089.8285758460079</v>
      </c>
      <c r="I77">
        <f t="shared" ca="1" si="9"/>
        <v>25157.83293902759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88171</v>
      </c>
      <c r="B80" s="66">
        <v>88171</v>
      </c>
      <c r="D80">
        <f t="shared" si="5"/>
        <v>56.80059782643707</v>
      </c>
      <c r="E80">
        <f t="shared" si="6"/>
        <v>56.80059782643707</v>
      </c>
      <c r="G80">
        <f t="shared" ca="1" si="7"/>
        <v>78</v>
      </c>
      <c r="H80">
        <f t="shared" ca="1" si="8"/>
        <v>4430.446630462091</v>
      </c>
      <c r="I80">
        <f t="shared" ca="1" si="9"/>
        <v>19395.961580035542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99781</v>
      </c>
      <c r="B82" s="66">
        <v>99781</v>
      </c>
      <c r="D82">
        <f t="shared" si="5"/>
        <v>64.279870385044035</v>
      </c>
      <c r="E82">
        <f t="shared" si="6"/>
        <v>64.279870385044035</v>
      </c>
      <c r="G82">
        <f t="shared" ca="1" si="7"/>
        <v>80</v>
      </c>
      <c r="H82">
        <f t="shared" ca="1" si="8"/>
        <v>5142.3896308035228</v>
      </c>
      <c r="I82">
        <f t="shared" ca="1" si="9"/>
        <v>17455.743705643978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111888</v>
      </c>
      <c r="B85" s="66">
        <v>111888</v>
      </c>
      <c r="D85">
        <f t="shared" si="5"/>
        <v>72.079315076435464</v>
      </c>
      <c r="E85">
        <f t="shared" si="6"/>
        <v>72.079315076435464</v>
      </c>
      <c r="G85">
        <f t="shared" ca="1" si="7"/>
        <v>83</v>
      </c>
      <c r="H85">
        <f t="shared" ca="1" si="8"/>
        <v>5982.5831513441435</v>
      </c>
      <c r="I85">
        <f t="shared" ca="1" si="9"/>
        <v>13095.679069717607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113773</v>
      </c>
      <c r="B88" s="66">
        <v>113773</v>
      </c>
      <c r="D88">
        <f t="shared" si="5"/>
        <v>73.293650026734696</v>
      </c>
      <c r="E88">
        <f t="shared" si="6"/>
        <v>73.293650026734696</v>
      </c>
      <c r="G88">
        <f t="shared" ca="1" si="7"/>
        <v>86</v>
      </c>
      <c r="H88">
        <f t="shared" ca="1" si="8"/>
        <v>6303.2539022991841</v>
      </c>
      <c r="I88">
        <f t="shared" ca="1" si="9"/>
        <v>8048.3830251693789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125035</v>
      </c>
      <c r="B90" s="66">
        <v>125035</v>
      </c>
      <c r="D90">
        <f t="shared" si="5"/>
        <v>80.548737671440264</v>
      </c>
      <c r="E90">
        <f t="shared" si="6"/>
        <v>80.548737671440264</v>
      </c>
      <c r="G90">
        <f t="shared" ca="1" si="7"/>
        <v>88</v>
      </c>
      <c r="H90">
        <f t="shared" ca="1" si="8"/>
        <v>7088.2889150867431</v>
      </c>
      <c r="I90">
        <f t="shared" ca="1" si="9"/>
        <v>5790.9688578714859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126286</v>
      </c>
      <c r="B93" s="66">
        <v>126286</v>
      </c>
      <c r="D93">
        <f t="shared" si="5"/>
        <v>81.354643784344418</v>
      </c>
      <c r="E93">
        <f t="shared" si="6"/>
        <v>81.354643784344418</v>
      </c>
      <c r="G93">
        <f t="shared" ca="1" si="7"/>
        <v>91</v>
      </c>
      <c r="H93">
        <f t="shared" ca="1" si="8"/>
        <v>7403.2725843753424</v>
      </c>
      <c r="I93">
        <f t="shared" ca="1" si="9"/>
        <v>2442.2489529735853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128588</v>
      </c>
      <c r="B95" s="66">
        <v>128588</v>
      </c>
      <c r="D95">
        <f t="shared" si="5"/>
        <v>82.837614105611706</v>
      </c>
      <c r="E95">
        <f t="shared" si="6"/>
        <v>82.837614105611706</v>
      </c>
      <c r="G95">
        <f t="shared" ca="1" si="7"/>
        <v>93</v>
      </c>
      <c r="H95">
        <f t="shared" ca="1" si="8"/>
        <v>7703.898111821889</v>
      </c>
      <c r="I95">
        <f t="shared" ca="1" si="9"/>
        <v>1002.6382935778938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133616</v>
      </c>
      <c r="B98" s="66">
        <v>133616</v>
      </c>
      <c r="D98">
        <f t="shared" si="5"/>
        <v>86.076699585773284</v>
      </c>
      <c r="E98">
        <f t="shared" si="6"/>
        <v>86.076699585773284</v>
      </c>
      <c r="G98">
        <f t="shared" ca="1" si="7"/>
        <v>96</v>
      </c>
      <c r="H98">
        <f t="shared" ca="1" si="8"/>
        <v>8263.3631602342357</v>
      </c>
      <c r="I98">
        <f t="shared" ca="1" si="9"/>
        <v>19.752116284591018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137129</v>
      </c>
      <c r="B100" s="66">
        <v>137129</v>
      </c>
      <c r="D100">
        <f t="shared" si="5"/>
        <v>88.339807639036522</v>
      </c>
      <c r="E100">
        <f t="shared" si="6"/>
        <v>88.339807639036522</v>
      </c>
      <c r="G100">
        <f t="shared" ca="1" si="7"/>
        <v>98</v>
      </c>
      <c r="H100">
        <f t="shared" ca="1" si="8"/>
        <v>8657.30114862558</v>
      </c>
      <c r="I100">
        <f t="shared" ca="1" si="9"/>
        <v>204.36048551540708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151818</v>
      </c>
      <c r="B103" s="66">
        <v>151818</v>
      </c>
      <c r="D103">
        <f t="shared" si="5"/>
        <v>97.80260131805268</v>
      </c>
      <c r="E103">
        <f t="shared" si="6"/>
        <v>97.80260131805268</v>
      </c>
      <c r="G103">
        <f t="shared" ca="1" si="7"/>
        <v>101</v>
      </c>
      <c r="H103">
        <f t="shared" ca="1" si="8"/>
        <v>9878.0627331233209</v>
      </c>
      <c r="I103">
        <f t="shared" ca="1" si="9"/>
        <v>1999.002700506486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146863</v>
      </c>
      <c r="B106" s="66">
        <v>146863</v>
      </c>
      <c r="D106">
        <f t="shared" si="5"/>
        <v>94.610543133048594</v>
      </c>
      <c r="E106">
        <f t="shared" si="6"/>
        <v>94.610543133048594</v>
      </c>
      <c r="G106">
        <f t="shared" ca="1" si="7"/>
        <v>104</v>
      </c>
      <c r="H106">
        <f t="shared" ca="1" si="8"/>
        <v>9839.4964858370531</v>
      </c>
      <c r="I106">
        <f t="shared" ca="1" si="9"/>
        <v>5351.6423596315972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148319</v>
      </c>
      <c r="B108" s="66">
        <v>148319</v>
      </c>
      <c r="D108">
        <f t="shared" si="5"/>
        <v>95.548512198107318</v>
      </c>
      <c r="E108">
        <f t="shared" si="6"/>
        <v>95.548512198107318</v>
      </c>
      <c r="G108">
        <f t="shared" ca="1" si="7"/>
        <v>106</v>
      </c>
      <c r="H108">
        <f t="shared" ca="1" si="8"/>
        <v>10128.142292999375</v>
      </c>
      <c r="I108">
        <f t="shared" ca="1" si="9"/>
        <v>8661.3620254502239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155229</v>
      </c>
      <c r="B111" s="66">
        <v>155229</v>
      </c>
      <c r="D111">
        <f t="shared" si="5"/>
        <v>100</v>
      </c>
      <c r="E111">
        <f t="shared" si="6"/>
        <v>100</v>
      </c>
      <c r="G111">
        <f t="shared" ca="1" si="7"/>
        <v>109</v>
      </c>
      <c r="H111">
        <f t="shared" ca="1" si="8"/>
        <v>10900</v>
      </c>
      <c r="I111">
        <f t="shared" ca="1" si="9"/>
        <v>15677.465380775062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154511</v>
      </c>
      <c r="B113" s="66">
        <v>154511</v>
      </c>
      <c r="D113">
        <f t="shared" si="5"/>
        <v>99.537457562697696</v>
      </c>
      <c r="E113">
        <f t="shared" si="6"/>
        <v>99.537457562697696</v>
      </c>
      <c r="G113">
        <f t="shared" ca="1" si="7"/>
        <v>111</v>
      </c>
      <c r="H113">
        <f t="shared" ca="1" si="8"/>
        <v>11048.657789459445</v>
      </c>
      <c r="I113">
        <f t="shared" ca="1" si="9"/>
        <v>20988.321789308942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146637</v>
      </c>
      <c r="B116" s="66">
        <v>146637</v>
      </c>
      <c r="D116">
        <f t="shared" si="5"/>
        <v>94.464951780917232</v>
      </c>
      <c r="E116">
        <f t="shared" si="6"/>
        <v>94.464951780917232</v>
      </c>
      <c r="G116">
        <f t="shared" ca="1" si="7"/>
        <v>114</v>
      </c>
      <c r="H116">
        <f t="shared" ca="1" si="8"/>
        <v>10769.004503024564</v>
      </c>
      <c r="I116">
        <f t="shared" ca="1" si="9"/>
        <v>28999.260824449811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136631</v>
      </c>
      <c r="B118" s="66">
        <v>136631</v>
      </c>
      <c r="D118">
        <f t="shared" si="5"/>
        <v>88.018991296729354</v>
      </c>
      <c r="E118">
        <f t="shared" si="6"/>
        <v>88.018991296729354</v>
      </c>
      <c r="G118">
        <f t="shared" ca="1" si="7"/>
        <v>116</v>
      </c>
      <c r="H118">
        <f t="shared" ca="1" si="8"/>
        <v>10210.202990420605</v>
      </c>
      <c r="I118">
        <f t="shared" ca="1" si="9"/>
        <v>33541.239786782906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120591</v>
      </c>
      <c r="B121" s="66">
        <v>120591</v>
      </c>
      <c r="D121">
        <f t="shared" si="5"/>
        <v>77.685870552538503</v>
      </c>
      <c r="E121">
        <f t="shared" si="6"/>
        <v>77.685870552538503</v>
      </c>
      <c r="G121">
        <f t="shared" ca="1" si="7"/>
        <v>119</v>
      </c>
      <c r="H121">
        <f t="shared" ca="1" si="8"/>
        <v>9244.6185957520811</v>
      </c>
      <c r="I121">
        <f t="shared" ca="1" si="9"/>
        <v>39401.809379667779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108131</v>
      </c>
      <c r="B124" s="66">
        <v>108131</v>
      </c>
      <c r="D124">
        <f t="shared" si="5"/>
        <v>69.659019899632156</v>
      </c>
      <c r="E124">
        <f t="shared" si="6"/>
        <v>69.659019899632156</v>
      </c>
      <c r="G124">
        <f t="shared" ca="1" si="7"/>
        <v>122</v>
      </c>
      <c r="H124">
        <f t="shared" ca="1" si="8"/>
        <v>8498.400427755123</v>
      </c>
      <c r="I124">
        <f t="shared" ca="1" si="9"/>
        <v>45370.301451768966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101524</v>
      </c>
      <c r="B126" s="66">
        <v>101524</v>
      </c>
      <c r="D126">
        <f t="shared" si="5"/>
        <v>65.40272758311913</v>
      </c>
      <c r="E126">
        <f t="shared" si="6"/>
        <v>65.40272758311913</v>
      </c>
      <c r="G126">
        <f t="shared" ca="1" si="7"/>
        <v>124</v>
      </c>
      <c r="H126">
        <f t="shared" ca="1" si="8"/>
        <v>8109.9382203067726</v>
      </c>
      <c r="I126">
        <f t="shared" ca="1" si="9"/>
        <v>49536.268565291968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85621</v>
      </c>
      <c r="B129" s="66">
        <v>85621</v>
      </c>
      <c r="D129">
        <f t="shared" si="5"/>
        <v>55.157863543538902</v>
      </c>
      <c r="E129">
        <f t="shared" si="6"/>
        <v>55.157863543538902</v>
      </c>
      <c r="G129">
        <f t="shared" ca="1" si="7"/>
        <v>127</v>
      </c>
      <c r="H129">
        <f t="shared" ca="1" si="8"/>
        <v>7005.0486700294405</v>
      </c>
      <c r="I129">
        <f t="shared" ca="1" si="9"/>
        <v>51381.178269564793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68857</v>
      </c>
      <c r="B131" s="66">
        <v>68857</v>
      </c>
      <c r="D131">
        <f t="shared" ref="D131:D194" si="10">IFERROR(100*A131/MAX(A$2:A$257), 0 )</f>
        <v>44.358335104909521</v>
      </c>
      <c r="E131">
        <f t="shared" ref="E131:E194" si="11">IFERROR(100*B131/MAX(B$2:B$257), 0 )</f>
        <v>44.358335104909521</v>
      </c>
      <c r="G131">
        <f t="shared" ref="G131:G194" ca="1" si="12">CELL("row",D131)-2</f>
        <v>129</v>
      </c>
      <c r="H131">
        <f t="shared" ref="H131:H194" ca="1" si="13">D131*G131</f>
        <v>5722.2252285333279</v>
      </c>
      <c r="I131">
        <f t="shared" ref="I131:I194" ca="1" si="14">D131*((G131-$L$1)^2)</f>
        <v>46913.969449440527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56389</v>
      </c>
      <c r="B134" s="66">
        <v>56389</v>
      </c>
      <c r="D134">
        <f t="shared" si="10"/>
        <v>36.326330775821525</v>
      </c>
      <c r="E134">
        <f t="shared" si="11"/>
        <v>36.326330775821525</v>
      </c>
      <c r="G134">
        <f t="shared" ca="1" si="12"/>
        <v>132</v>
      </c>
      <c r="H134">
        <f t="shared" ca="1" si="13"/>
        <v>4795.0756624084415</v>
      </c>
      <c r="I134">
        <f t="shared" ca="1" si="14"/>
        <v>45834.355815419724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47533</v>
      </c>
      <c r="B136" s="66">
        <v>47533</v>
      </c>
      <c r="D136">
        <f t="shared" si="10"/>
        <v>30.621211242744589</v>
      </c>
      <c r="E136">
        <f t="shared" si="11"/>
        <v>30.621211242744589</v>
      </c>
      <c r="G136">
        <f t="shared" ca="1" si="12"/>
        <v>134</v>
      </c>
      <c r="H136">
        <f t="shared" ca="1" si="13"/>
        <v>4103.2423065277753</v>
      </c>
      <c r="I136">
        <f t="shared" ca="1" si="14"/>
        <v>43109.247988226394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42023</v>
      </c>
      <c r="B139" s="66">
        <v>42023</v>
      </c>
      <c r="D139">
        <f t="shared" si="10"/>
        <v>27.071616772639132</v>
      </c>
      <c r="E139">
        <f t="shared" si="11"/>
        <v>27.071616772639132</v>
      </c>
      <c r="G139">
        <f t="shared" ca="1" si="12"/>
        <v>137</v>
      </c>
      <c r="H139">
        <f t="shared" ca="1" si="13"/>
        <v>3708.8114978515609</v>
      </c>
      <c r="I139">
        <f t="shared" ca="1" si="14"/>
        <v>44450.211203799437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39695</v>
      </c>
      <c r="B142" s="66">
        <v>39695</v>
      </c>
      <c r="D142">
        <f t="shared" si="10"/>
        <v>25.571897003781508</v>
      </c>
      <c r="E142">
        <f t="shared" si="11"/>
        <v>25.571897003781508</v>
      </c>
      <c r="G142">
        <f t="shared" ca="1" si="12"/>
        <v>140</v>
      </c>
      <c r="H142">
        <f t="shared" ca="1" si="13"/>
        <v>3580.0655805294114</v>
      </c>
      <c r="I142">
        <f t="shared" ca="1" si="14"/>
        <v>48435.083269707502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34683</v>
      </c>
      <c r="B144" s="66">
        <v>34683</v>
      </c>
      <c r="D144">
        <f t="shared" si="10"/>
        <v>22.343118875983226</v>
      </c>
      <c r="E144">
        <f t="shared" si="11"/>
        <v>22.343118875983226</v>
      </c>
      <c r="G144">
        <f t="shared" ca="1" si="12"/>
        <v>142</v>
      </c>
      <c r="H144">
        <f t="shared" ca="1" si="13"/>
        <v>3172.7228803896182</v>
      </c>
      <c r="I144">
        <f t="shared" ca="1" si="14"/>
        <v>46298.48546278922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25322</v>
      </c>
      <c r="B147" s="66">
        <v>25322</v>
      </c>
      <c r="D147">
        <f t="shared" si="10"/>
        <v>16.312673533940178</v>
      </c>
      <c r="E147">
        <f t="shared" si="11"/>
        <v>16.312673533940178</v>
      </c>
      <c r="G147">
        <f t="shared" ca="1" si="12"/>
        <v>145</v>
      </c>
      <c r="H147">
        <f t="shared" ca="1" si="13"/>
        <v>2365.3376624213256</v>
      </c>
      <c r="I147">
        <f t="shared" ca="1" si="14"/>
        <v>38404.672668173342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20981</v>
      </c>
      <c r="B149" s="66">
        <v>20981</v>
      </c>
      <c r="D149">
        <f t="shared" si="10"/>
        <v>13.516159995877059</v>
      </c>
      <c r="E149">
        <f t="shared" si="11"/>
        <v>13.516159995877059</v>
      </c>
      <c r="G149">
        <f t="shared" ca="1" si="12"/>
        <v>147</v>
      </c>
      <c r="H149">
        <f t="shared" ca="1" si="13"/>
        <v>1986.8755193939278</v>
      </c>
      <c r="I149">
        <f t="shared" ca="1" si="14"/>
        <v>34498.217834813069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17559</v>
      </c>
      <c r="B152" s="66">
        <v>17559</v>
      </c>
      <c r="D152">
        <f t="shared" si="10"/>
        <v>11.311675009179986</v>
      </c>
      <c r="E152">
        <f t="shared" si="11"/>
        <v>11.311675009179986</v>
      </c>
      <c r="G152">
        <f t="shared" ca="1" si="12"/>
        <v>150</v>
      </c>
      <c r="H152">
        <f t="shared" ca="1" si="13"/>
        <v>1696.751251376998</v>
      </c>
      <c r="I152">
        <f t="shared" ca="1" si="14"/>
        <v>32402.226055066789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17516</v>
      </c>
      <c r="B154" s="66">
        <v>17516</v>
      </c>
      <c r="D154">
        <f t="shared" si="10"/>
        <v>11.283973999703663</v>
      </c>
      <c r="E154">
        <f t="shared" si="11"/>
        <v>11.283973999703663</v>
      </c>
      <c r="G154">
        <f t="shared" ca="1" si="12"/>
        <v>152</v>
      </c>
      <c r="H154">
        <f t="shared" ca="1" si="13"/>
        <v>1715.1640479549569</v>
      </c>
      <c r="I154">
        <f t="shared" ca="1" si="14"/>
        <v>34783.72944442679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13223</v>
      </c>
      <c r="B157" s="66">
        <v>13223</v>
      </c>
      <c r="D157">
        <f t="shared" si="10"/>
        <v>8.518382518730391</v>
      </c>
      <c r="E157">
        <f t="shared" si="11"/>
        <v>8.518382518730391</v>
      </c>
      <c r="G157">
        <f t="shared" ca="1" si="12"/>
        <v>155</v>
      </c>
      <c r="H157">
        <f t="shared" ca="1" si="13"/>
        <v>1320.3492904032105</v>
      </c>
      <c r="I157">
        <f t="shared" ca="1" si="14"/>
        <v>29172.936656306589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11613</v>
      </c>
      <c r="B160" s="66">
        <v>11613</v>
      </c>
      <c r="D160">
        <f t="shared" si="10"/>
        <v>7.4812051871750764</v>
      </c>
      <c r="E160">
        <f t="shared" si="11"/>
        <v>7.4812051871750764</v>
      </c>
      <c r="G160">
        <f t="shared" ca="1" si="12"/>
        <v>158</v>
      </c>
      <c r="H160">
        <f t="shared" ca="1" si="13"/>
        <v>1182.0304195736621</v>
      </c>
      <c r="I160">
        <f t="shared" ca="1" si="14"/>
        <v>28315.086635490523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8283</v>
      </c>
      <c r="B162" s="66">
        <v>8283</v>
      </c>
      <c r="D162">
        <f t="shared" si="10"/>
        <v>5.3359874765668787</v>
      </c>
      <c r="E162">
        <f t="shared" si="11"/>
        <v>5.3359874765668787</v>
      </c>
      <c r="G162">
        <f t="shared" ca="1" si="12"/>
        <v>160</v>
      </c>
      <c r="H162">
        <f t="shared" ca="1" si="13"/>
        <v>853.75799625070056</v>
      </c>
      <c r="I162">
        <f t="shared" ca="1" si="14"/>
        <v>21530.247624603304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6819</v>
      </c>
      <c r="B165" s="66">
        <v>6819</v>
      </c>
      <c r="D165">
        <f t="shared" si="10"/>
        <v>4.3928647353265173</v>
      </c>
      <c r="E165">
        <f t="shared" si="11"/>
        <v>4.3928647353265173</v>
      </c>
      <c r="G165">
        <f t="shared" ca="1" si="12"/>
        <v>163</v>
      </c>
      <c r="H165">
        <f t="shared" ca="1" si="13"/>
        <v>716.03695185822232</v>
      </c>
      <c r="I165">
        <f t="shared" ca="1" si="14"/>
        <v>19438.59891257832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5462</v>
      </c>
      <c r="B167" s="66">
        <v>5462</v>
      </c>
      <c r="D167">
        <f t="shared" si="10"/>
        <v>3.5186724130156093</v>
      </c>
      <c r="E167">
        <f t="shared" si="11"/>
        <v>3.5186724130156093</v>
      </c>
      <c r="G167">
        <f t="shared" ca="1" si="12"/>
        <v>165</v>
      </c>
      <c r="H167">
        <f t="shared" ca="1" si="13"/>
        <v>580.58094814757555</v>
      </c>
      <c r="I167">
        <f t="shared" ca="1" si="14"/>
        <v>16520.60024413927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2321</v>
      </c>
      <c r="B170" s="66">
        <v>2321</v>
      </c>
      <c r="D170">
        <f t="shared" si="10"/>
        <v>1.4952103021986871</v>
      </c>
      <c r="E170">
        <f t="shared" si="11"/>
        <v>1.4952103021986871</v>
      </c>
      <c r="G170">
        <f t="shared" ca="1" si="12"/>
        <v>168</v>
      </c>
      <c r="H170">
        <f t="shared" ca="1" si="13"/>
        <v>251.19533076937944</v>
      </c>
      <c r="I170">
        <f t="shared" ca="1" si="14"/>
        <v>7648.3729201084134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625</v>
      </c>
      <c r="B173" s="66">
        <v>625</v>
      </c>
      <c r="D173">
        <f t="shared" si="10"/>
        <v>0.40263095169072788</v>
      </c>
      <c r="E173">
        <f t="shared" si="11"/>
        <v>0.40263095169072788</v>
      </c>
      <c r="G173">
        <f t="shared" ca="1" si="12"/>
        <v>171</v>
      </c>
      <c r="H173">
        <f t="shared" ca="1" si="13"/>
        <v>68.849892739114466</v>
      </c>
      <c r="I173">
        <f t="shared" ca="1" si="14"/>
        <v>2235.9605630543483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300</v>
      </c>
      <c r="B175" s="66">
        <v>300</v>
      </c>
      <c r="D175">
        <f t="shared" si="10"/>
        <v>0.19326285681154939</v>
      </c>
      <c r="E175">
        <f t="shared" si="11"/>
        <v>0.19326285681154939</v>
      </c>
      <c r="G175">
        <f t="shared" ca="1" si="12"/>
        <v>173</v>
      </c>
      <c r="H175">
        <f t="shared" ca="1" si="13"/>
        <v>33.434474228398045</v>
      </c>
      <c r="I175">
        <f t="shared" ca="1" si="14"/>
        <v>1131.6426628023385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54</v>
      </c>
      <c r="B178" s="66">
        <v>54</v>
      </c>
      <c r="D178">
        <f t="shared" si="10"/>
        <v>3.4787314226078891E-2</v>
      </c>
      <c r="E178">
        <f t="shared" si="11"/>
        <v>3.4787314226078891E-2</v>
      </c>
      <c r="G178">
        <f t="shared" ca="1" si="12"/>
        <v>176</v>
      </c>
      <c r="H178">
        <f t="shared" ca="1" si="13"/>
        <v>6.1225673037898849</v>
      </c>
      <c r="I178">
        <f t="shared" ca="1" si="14"/>
        <v>219.98051900259992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405</v>
      </c>
      <c r="B1" s="68" t="s">
        <v>406</v>
      </c>
      <c r="C1" s="32" t="s">
        <v>407</v>
      </c>
      <c r="D1" s="32" t="s">
        <v>408</v>
      </c>
      <c r="E1" s="32" t="s">
        <v>409</v>
      </c>
    </row>
    <row r="2" spans="1:5">
      <c r="A2" s="68">
        <v>0.24576200000000001</v>
      </c>
      <c r="B2" s="68">
        <v>0.61433000000000004</v>
      </c>
      <c r="C2" s="68">
        <v>0</v>
      </c>
      <c r="D2" s="68">
        <v>1</v>
      </c>
      <c r="E2" s="68" t="s">
        <v>410</v>
      </c>
    </row>
    <row r="3" spans="1:5">
      <c r="A3" s="68">
        <v>0.25207400000000002</v>
      </c>
      <c r="B3" s="68">
        <v>0.60867599999999999</v>
      </c>
      <c r="C3" s="68">
        <v>0.38541900000000001</v>
      </c>
      <c r="D3" s="89">
        <v>1</v>
      </c>
      <c r="E3" s="68" t="s">
        <v>411</v>
      </c>
    </row>
    <row r="4" spans="1:5">
      <c r="A4" s="68">
        <v>0.25822000000000001</v>
      </c>
      <c r="B4" s="68">
        <v>0.60282899999999995</v>
      </c>
      <c r="C4" s="68">
        <v>0.79323399999999999</v>
      </c>
      <c r="D4" s="89">
        <v>1</v>
      </c>
      <c r="E4" s="68" t="s">
        <v>412</v>
      </c>
    </row>
    <row r="5" spans="1:5">
      <c r="A5" s="89">
        <v>0.26420500000000002</v>
      </c>
      <c r="B5" s="89">
        <v>0.59647099999999997</v>
      </c>
      <c r="C5" s="89">
        <v>1.1978899999999999</v>
      </c>
      <c r="D5" s="89">
        <v>1</v>
      </c>
      <c r="E5" s="68" t="s">
        <v>413</v>
      </c>
    </row>
    <row r="6" spans="1:5">
      <c r="A6" s="68">
        <v>0.27014199999999999</v>
      </c>
      <c r="B6" s="68">
        <v>0.590561</v>
      </c>
      <c r="C6" s="68">
        <v>1.6085499999999999</v>
      </c>
      <c r="D6" s="68">
        <v>1</v>
      </c>
      <c r="E6" s="68" t="s">
        <v>414</v>
      </c>
    </row>
    <row r="7" spans="1:5">
      <c r="A7" s="68">
        <v>0.27597500000000003</v>
      </c>
      <c r="B7" s="68">
        <v>0.584758</v>
      </c>
      <c r="C7" s="68">
        <v>2.0146899999999999</v>
      </c>
      <c r="D7" s="68">
        <v>1</v>
      </c>
      <c r="E7" s="68" t="s">
        <v>415</v>
      </c>
    </row>
    <row r="8" spans="1:5">
      <c r="A8" s="68">
        <v>0.28174100000000002</v>
      </c>
      <c r="B8" s="68">
        <v>0.57937499999999997</v>
      </c>
      <c r="C8" s="68">
        <v>2.41703</v>
      </c>
      <c r="D8" s="68">
        <v>1</v>
      </c>
      <c r="E8" s="68" t="s">
        <v>416</v>
      </c>
    </row>
    <row r="9" spans="1:5">
      <c r="A9" s="68">
        <v>0.28734900000000002</v>
      </c>
      <c r="B9" s="68">
        <v>0.57324399999999998</v>
      </c>
      <c r="C9" s="68">
        <v>2.8219099999999999</v>
      </c>
      <c r="D9" s="68">
        <v>1</v>
      </c>
      <c r="E9" s="68" t="s">
        <v>417</v>
      </c>
    </row>
    <row r="10" spans="1:5">
      <c r="A10" s="68">
        <v>0.29288500000000001</v>
      </c>
      <c r="B10" s="68">
        <v>0.56704600000000005</v>
      </c>
      <c r="C10" s="68">
        <v>3.23359</v>
      </c>
      <c r="D10" s="68">
        <v>1</v>
      </c>
      <c r="E10" s="68" t="s">
        <v>418</v>
      </c>
    </row>
    <row r="11" spans="1:5">
      <c r="A11" s="68">
        <v>0.298406</v>
      </c>
      <c r="B11" s="68">
        <v>0.559392</v>
      </c>
      <c r="C11" s="68">
        <v>3.6398899999999998</v>
      </c>
      <c r="D11" s="68">
        <v>1</v>
      </c>
      <c r="E11" s="68" t="s">
        <v>419</v>
      </c>
    </row>
    <row r="12" spans="1:5">
      <c r="A12" s="68">
        <v>0.30392999999999998</v>
      </c>
      <c r="B12" s="68">
        <v>0.55145699999999997</v>
      </c>
      <c r="C12" s="68">
        <v>4.0446999999999997</v>
      </c>
      <c r="D12" s="68">
        <v>1</v>
      </c>
      <c r="E12" s="68" t="s">
        <v>420</v>
      </c>
    </row>
    <row r="13" spans="1:5">
      <c r="A13" s="68">
        <v>0.309336</v>
      </c>
      <c r="B13" s="68">
        <v>0.54313699999999998</v>
      </c>
      <c r="C13" s="68">
        <v>4.4478799999999996</v>
      </c>
      <c r="D13" s="68">
        <v>1</v>
      </c>
      <c r="E13" s="68" t="s">
        <v>421</v>
      </c>
    </row>
    <row r="14" spans="1:5">
      <c r="A14" s="68">
        <v>0.314697</v>
      </c>
      <c r="B14" s="68">
        <v>0.53511799999999998</v>
      </c>
      <c r="C14" s="68">
        <v>4.8555900000000003</v>
      </c>
      <c r="D14" s="68">
        <v>1</v>
      </c>
      <c r="E14" s="68" t="s">
        <v>422</v>
      </c>
    </row>
    <row r="15" spans="1:5">
      <c r="A15" s="68">
        <v>0.319938</v>
      </c>
      <c r="B15" s="68">
        <v>0.52770300000000003</v>
      </c>
      <c r="C15" s="68">
        <v>5.2600600000000002</v>
      </c>
      <c r="D15" s="68">
        <v>1</v>
      </c>
      <c r="E15" s="68" t="s">
        <v>423</v>
      </c>
    </row>
    <row r="16" spans="1:5">
      <c r="A16" s="68">
        <v>0.324882</v>
      </c>
      <c r="B16" s="68">
        <v>0.52211399999999997</v>
      </c>
      <c r="C16" s="68">
        <v>5.6717399999999998</v>
      </c>
      <c r="D16" s="68">
        <v>1</v>
      </c>
      <c r="E16" s="68" t="s">
        <v>424</v>
      </c>
    </row>
    <row r="17" spans="1:5">
      <c r="A17" s="68">
        <v>0.32941599999999999</v>
      </c>
      <c r="B17" s="68">
        <v>0.51716799999999996</v>
      </c>
      <c r="C17" s="68">
        <v>6.0767600000000002</v>
      </c>
      <c r="D17" s="68">
        <v>1</v>
      </c>
      <c r="E17" s="68" t="s">
        <v>425</v>
      </c>
    </row>
    <row r="18" spans="1:5">
      <c r="A18" s="68">
        <v>0.33343899999999999</v>
      </c>
      <c r="B18" s="68">
        <v>0.51276500000000003</v>
      </c>
      <c r="C18" s="68">
        <v>6.4803699999999997</v>
      </c>
      <c r="D18" s="68">
        <v>1</v>
      </c>
      <c r="E18" s="68" t="s">
        <v>426</v>
      </c>
    </row>
    <row r="19" spans="1:5">
      <c r="A19" s="68">
        <v>0.33710899999999999</v>
      </c>
      <c r="B19" s="68">
        <v>0.50877399999999995</v>
      </c>
      <c r="C19" s="68">
        <v>6.8862899999999998</v>
      </c>
      <c r="D19" s="68">
        <v>1</v>
      </c>
      <c r="E19" s="68" t="s">
        <v>427</v>
      </c>
    </row>
    <row r="20" spans="1:5">
      <c r="A20" s="68">
        <v>0.34051900000000002</v>
      </c>
      <c r="B20" s="68">
        <v>0.50528600000000001</v>
      </c>
      <c r="C20" s="68">
        <v>7.29453</v>
      </c>
      <c r="D20" s="68">
        <v>1</v>
      </c>
      <c r="E20" s="68" t="s">
        <v>428</v>
      </c>
    </row>
    <row r="21" spans="1:5">
      <c r="A21" s="68">
        <v>0.34372000000000003</v>
      </c>
      <c r="B21" s="68">
        <v>0.50227599999999994</v>
      </c>
      <c r="C21" s="68">
        <v>7.7019099999999998</v>
      </c>
      <c r="D21" s="68">
        <v>1</v>
      </c>
      <c r="E21" s="68" t="s">
        <v>429</v>
      </c>
    </row>
    <row r="22" spans="1:5">
      <c r="A22" s="68">
        <v>0.34665899999999999</v>
      </c>
      <c r="B22" s="68">
        <v>0.49999500000000002</v>
      </c>
      <c r="C22" s="68">
        <v>8.1084399999999999</v>
      </c>
      <c r="D22" s="68">
        <v>1</v>
      </c>
      <c r="E22" s="68" t="s">
        <v>430</v>
      </c>
    </row>
    <row r="23" spans="1:5">
      <c r="A23" s="68">
        <v>0.34939500000000001</v>
      </c>
      <c r="B23" s="68">
        <v>0.498392</v>
      </c>
      <c r="C23" s="68">
        <v>8.5114199999999993</v>
      </c>
      <c r="D23" s="68">
        <v>1</v>
      </c>
      <c r="E23" s="68" t="s">
        <v>431</v>
      </c>
    </row>
    <row r="24" spans="1:5">
      <c r="A24" s="68">
        <v>0.351997</v>
      </c>
      <c r="B24" s="68">
        <v>0.49647799999999997</v>
      </c>
      <c r="C24" s="68">
        <v>8.9177099999999996</v>
      </c>
      <c r="D24" s="68">
        <v>1</v>
      </c>
      <c r="E24" s="68" t="s">
        <v>432</v>
      </c>
    </row>
    <row r="25" spans="1:5">
      <c r="A25" s="68">
        <v>0.354319</v>
      </c>
      <c r="B25" s="68">
        <v>0.49404999999999999</v>
      </c>
      <c r="C25" s="68">
        <v>9.3263999999999996</v>
      </c>
      <c r="D25" s="68">
        <v>1</v>
      </c>
      <c r="E25" s="68" t="s">
        <v>433</v>
      </c>
    </row>
    <row r="26" spans="1:5">
      <c r="A26" s="68">
        <v>0.35683500000000001</v>
      </c>
      <c r="B26" s="68">
        <v>0.49152699999999999</v>
      </c>
      <c r="C26" s="68">
        <v>9.7342099999999991</v>
      </c>
      <c r="D26" s="68">
        <v>1</v>
      </c>
      <c r="E26" s="68" t="s">
        <v>434</v>
      </c>
    </row>
    <row r="27" spans="1:5">
      <c r="A27" s="68">
        <v>0.35914200000000002</v>
      </c>
      <c r="B27" s="68">
        <v>0.48949100000000001</v>
      </c>
      <c r="C27" s="68">
        <v>10.1394</v>
      </c>
      <c r="D27" s="68">
        <v>1</v>
      </c>
      <c r="E27" s="68" t="s">
        <v>435</v>
      </c>
    </row>
    <row r="28" spans="1:5">
      <c r="A28" s="68">
        <v>0.36102899999999999</v>
      </c>
      <c r="B28" s="68">
        <v>0.48758899999999999</v>
      </c>
      <c r="C28" s="68">
        <v>10.5456</v>
      </c>
      <c r="D28" s="68">
        <v>1</v>
      </c>
      <c r="E28" s="68" t="s">
        <v>436</v>
      </c>
    </row>
    <row r="29" spans="1:5">
      <c r="A29" s="68">
        <v>0.36229600000000001</v>
      </c>
      <c r="B29" s="68">
        <v>0.48621500000000001</v>
      </c>
      <c r="C29" s="68">
        <v>10.9521</v>
      </c>
      <c r="D29" s="68">
        <v>1</v>
      </c>
      <c r="E29" s="68" t="s">
        <v>437</v>
      </c>
    </row>
    <row r="30" spans="1:5">
      <c r="A30" s="68">
        <v>0.36310300000000001</v>
      </c>
      <c r="B30" s="68">
        <v>0.48524299999999998</v>
      </c>
      <c r="C30" s="68">
        <v>11.3552</v>
      </c>
      <c r="D30" s="68">
        <v>1</v>
      </c>
      <c r="E30" s="68" t="s">
        <v>438</v>
      </c>
    </row>
    <row r="31" spans="1:5">
      <c r="A31" s="68">
        <v>0.363705</v>
      </c>
      <c r="B31" s="68">
        <v>0.48433700000000002</v>
      </c>
      <c r="C31" s="68">
        <v>11.7654</v>
      </c>
      <c r="D31" s="68">
        <v>1</v>
      </c>
      <c r="E31" s="68" t="s">
        <v>439</v>
      </c>
    </row>
    <row r="32" spans="1:5">
      <c r="A32" s="68">
        <v>0.36405599999999999</v>
      </c>
      <c r="B32" s="68">
        <v>0.48345199999999999</v>
      </c>
      <c r="C32" s="68">
        <v>12.174099999999999</v>
      </c>
      <c r="D32" s="68">
        <v>1</v>
      </c>
      <c r="E32" s="68" t="s">
        <v>440</v>
      </c>
    </row>
    <row r="33" spans="1:5">
      <c r="A33" s="68">
        <v>0.36423699999999998</v>
      </c>
      <c r="B33" s="68">
        <v>0.48281200000000002</v>
      </c>
      <c r="C33" s="68">
        <v>12.5768</v>
      </c>
      <c r="D33" s="68">
        <v>1</v>
      </c>
      <c r="E33" s="68" t="s">
        <v>441</v>
      </c>
    </row>
    <row r="34" spans="1:5">
      <c r="A34" s="68">
        <v>0.36416399999999999</v>
      </c>
      <c r="B34" s="68">
        <v>0.48241400000000001</v>
      </c>
      <c r="C34" s="68">
        <v>12.98</v>
      </c>
      <c r="D34" s="68">
        <v>1</v>
      </c>
      <c r="E34" s="68" t="s">
        <v>442</v>
      </c>
    </row>
    <row r="35" spans="1:5">
      <c r="A35" s="68">
        <v>0.36396699999999998</v>
      </c>
      <c r="B35" s="68">
        <v>0.48211799999999999</v>
      </c>
      <c r="C35" s="68">
        <v>13.386699999999999</v>
      </c>
      <c r="D35" s="68">
        <v>1</v>
      </c>
      <c r="E35" s="68" t="s">
        <v>443</v>
      </c>
    </row>
    <row r="36" spans="1:5">
      <c r="A36" s="68">
        <v>0.36356100000000002</v>
      </c>
      <c r="B36" s="68">
        <v>0.48193399999999997</v>
      </c>
      <c r="C36" s="68">
        <v>13.794600000000001</v>
      </c>
      <c r="D36" s="68">
        <v>1</v>
      </c>
      <c r="E36" s="68" t="s">
        <v>444</v>
      </c>
    </row>
    <row r="37" spans="1:5">
      <c r="A37" s="68">
        <v>0.36303299999999999</v>
      </c>
      <c r="B37" s="68">
        <v>0.48191499999999998</v>
      </c>
      <c r="C37" s="68">
        <v>14.2004</v>
      </c>
      <c r="D37" s="68">
        <v>1</v>
      </c>
      <c r="E37" s="68" t="s">
        <v>445</v>
      </c>
    </row>
    <row r="38" spans="1:5">
      <c r="A38" s="68">
        <v>0.36220799999999997</v>
      </c>
      <c r="B38" s="68">
        <v>0.48281499999999999</v>
      </c>
      <c r="C38" s="68">
        <v>14.6073</v>
      </c>
      <c r="D38" s="68">
        <v>1</v>
      </c>
      <c r="E38" s="68" t="s">
        <v>446</v>
      </c>
    </row>
    <row r="39" spans="1:5">
      <c r="A39" s="68">
        <v>0.36110999999999999</v>
      </c>
      <c r="B39" s="68">
        <v>0.48440899999999998</v>
      </c>
      <c r="C39" s="68">
        <v>15.010999999999999</v>
      </c>
      <c r="D39" s="68">
        <v>1</v>
      </c>
      <c r="E39" s="68" t="s">
        <v>447</v>
      </c>
    </row>
    <row r="40" spans="1:5">
      <c r="A40" s="68">
        <v>0.36001100000000003</v>
      </c>
      <c r="B40" s="68">
        <v>0.48629600000000001</v>
      </c>
      <c r="C40" s="68">
        <v>15.4209</v>
      </c>
      <c r="D40" s="68">
        <v>1</v>
      </c>
      <c r="E40" s="68" t="s">
        <v>448</v>
      </c>
    </row>
    <row r="41" spans="1:5">
      <c r="A41" s="68">
        <v>0.35933399999999999</v>
      </c>
      <c r="B41" s="68">
        <v>0.48772599999999999</v>
      </c>
      <c r="C41" s="68">
        <v>15.823399999999999</v>
      </c>
      <c r="D41" s="68">
        <v>1</v>
      </c>
      <c r="E41" s="68" t="s">
        <v>449</v>
      </c>
    </row>
    <row r="42" spans="1:5">
      <c r="A42" s="68">
        <v>0.35872199999999999</v>
      </c>
      <c r="B42" s="68">
        <v>0.489597</v>
      </c>
      <c r="C42" s="68">
        <v>16.234999999999999</v>
      </c>
      <c r="D42" s="68">
        <v>1</v>
      </c>
      <c r="E42" s="68" t="s">
        <v>450</v>
      </c>
    </row>
    <row r="43" spans="1:5">
      <c r="A43" s="68">
        <v>0.35820000000000002</v>
      </c>
      <c r="B43" s="68">
        <v>0.49176599999999998</v>
      </c>
      <c r="C43" s="68">
        <v>16.6371</v>
      </c>
      <c r="D43" s="68">
        <v>1</v>
      </c>
      <c r="E43" s="68" t="s">
        <v>451</v>
      </c>
    </row>
    <row r="44" spans="1:5">
      <c r="A44" s="68">
        <v>0.35800900000000002</v>
      </c>
      <c r="B44" s="68">
        <v>0.49404100000000001</v>
      </c>
      <c r="C44" s="68">
        <v>17.0425</v>
      </c>
      <c r="D44" s="68">
        <v>1</v>
      </c>
      <c r="E44" s="68" t="s">
        <v>452</v>
      </c>
    </row>
    <row r="45" spans="1:5">
      <c r="A45" s="68">
        <v>0.358205</v>
      </c>
      <c r="B45" s="68">
        <v>0.49576799999999999</v>
      </c>
      <c r="C45" s="68">
        <v>17.450700000000001</v>
      </c>
      <c r="D45" s="68">
        <v>1</v>
      </c>
      <c r="E45" s="68" t="s">
        <v>453</v>
      </c>
    </row>
    <row r="46" spans="1:5">
      <c r="A46" s="68">
        <v>0.358655</v>
      </c>
      <c r="B46" s="68">
        <v>0.49691000000000002</v>
      </c>
      <c r="C46" s="68">
        <v>17.854399999999998</v>
      </c>
      <c r="D46" s="68">
        <v>1</v>
      </c>
      <c r="E46" s="68" t="s">
        <v>454</v>
      </c>
    </row>
    <row r="47" spans="1:5">
      <c r="A47" s="68">
        <v>0.35952600000000001</v>
      </c>
      <c r="B47" s="68">
        <v>0.49734699999999998</v>
      </c>
      <c r="C47" s="68">
        <v>18.266100000000002</v>
      </c>
      <c r="D47" s="68">
        <v>1</v>
      </c>
      <c r="E47" s="68" t="s">
        <v>455</v>
      </c>
    </row>
    <row r="48" spans="1:5">
      <c r="A48" s="68">
        <v>0.3609</v>
      </c>
      <c r="B48" s="68">
        <v>0.49659700000000001</v>
      </c>
      <c r="C48" s="68">
        <v>18.6694</v>
      </c>
      <c r="D48" s="68">
        <v>1</v>
      </c>
      <c r="E48" s="68" t="s">
        <v>456</v>
      </c>
    </row>
    <row r="49" spans="1:5">
      <c r="A49" s="68">
        <v>0.36235400000000001</v>
      </c>
      <c r="B49" s="68">
        <v>0.49589100000000003</v>
      </c>
      <c r="C49" s="68">
        <v>19.072800000000001</v>
      </c>
      <c r="D49" s="68">
        <v>1</v>
      </c>
      <c r="E49" s="68" t="s">
        <v>457</v>
      </c>
    </row>
    <row r="50" spans="1:5">
      <c r="A50" s="68">
        <v>0.36365599999999998</v>
      </c>
      <c r="B50" s="68">
        <v>0.49514999999999998</v>
      </c>
      <c r="C50" s="68">
        <v>19.478300000000001</v>
      </c>
      <c r="D50" s="68">
        <v>1</v>
      </c>
      <c r="E50" s="68" t="s">
        <v>458</v>
      </c>
    </row>
    <row r="51" spans="1:5">
      <c r="A51" s="68">
        <v>0.364846</v>
      </c>
      <c r="B51" s="68">
        <v>0.49366399999999999</v>
      </c>
      <c r="C51" s="68">
        <v>19.887</v>
      </c>
      <c r="D51" s="68">
        <v>1</v>
      </c>
      <c r="E51" s="68" t="s">
        <v>459</v>
      </c>
    </row>
    <row r="52" spans="1:5">
      <c r="A52" s="68">
        <v>0.36522199999999999</v>
      </c>
      <c r="B52" s="68">
        <v>0.49345600000000001</v>
      </c>
      <c r="C52" s="68">
        <v>20.295200000000001</v>
      </c>
      <c r="D52" s="68">
        <v>1</v>
      </c>
      <c r="E52" s="68" t="s">
        <v>460</v>
      </c>
    </row>
    <row r="53" spans="1:5">
      <c r="A53" s="68">
        <v>0.36668899999999999</v>
      </c>
      <c r="B53" s="68">
        <v>0.49107000000000001</v>
      </c>
      <c r="C53" s="68">
        <v>20.702300000000001</v>
      </c>
      <c r="D53" s="68">
        <v>1</v>
      </c>
      <c r="E53" s="68" t="s">
        <v>461</v>
      </c>
    </row>
    <row r="54" spans="1:5">
      <c r="A54" s="68">
        <v>0.36885800000000002</v>
      </c>
      <c r="B54" s="68">
        <v>0.48808800000000002</v>
      </c>
      <c r="C54" s="68">
        <v>21.106400000000001</v>
      </c>
      <c r="D54" s="68">
        <v>1</v>
      </c>
      <c r="E54" s="68" t="s">
        <v>462</v>
      </c>
    </row>
    <row r="55" spans="1:5">
      <c r="A55" s="68">
        <v>0.37134099999999998</v>
      </c>
      <c r="B55" s="68">
        <v>0.48516100000000001</v>
      </c>
      <c r="C55" s="68">
        <v>21.516500000000001</v>
      </c>
      <c r="D55" s="68">
        <v>1</v>
      </c>
      <c r="E55" s="68" t="s">
        <v>463</v>
      </c>
    </row>
    <row r="56" spans="1:5">
      <c r="A56" s="68">
        <v>0.37364700000000001</v>
      </c>
      <c r="B56" s="68">
        <v>0.48282000000000003</v>
      </c>
      <c r="C56" s="68">
        <v>21.919599999999999</v>
      </c>
      <c r="D56" s="68">
        <v>1</v>
      </c>
      <c r="E56" s="68" t="s">
        <v>464</v>
      </c>
    </row>
    <row r="57" spans="1:5">
      <c r="A57" s="68">
        <v>0.37611899999999998</v>
      </c>
      <c r="B57" s="68">
        <v>0.480794</v>
      </c>
      <c r="C57" s="68">
        <v>22.3215</v>
      </c>
      <c r="D57" s="68">
        <v>1</v>
      </c>
      <c r="E57" s="68" t="s">
        <v>465</v>
      </c>
    </row>
    <row r="58" spans="1:5">
      <c r="A58" s="68">
        <v>0.37855</v>
      </c>
      <c r="B58" s="68">
        <v>0.47941800000000001</v>
      </c>
      <c r="C58" s="68">
        <v>22.728300000000001</v>
      </c>
      <c r="D58" s="68">
        <v>1</v>
      </c>
      <c r="E58" s="68" t="s">
        <v>466</v>
      </c>
    </row>
    <row r="59" spans="1:5">
      <c r="A59" s="68">
        <v>0.381021</v>
      </c>
      <c r="B59" s="68">
        <v>0.47891600000000001</v>
      </c>
      <c r="C59" s="68">
        <v>23.1404</v>
      </c>
      <c r="D59" s="68">
        <v>1</v>
      </c>
      <c r="E59" s="68" t="s">
        <v>467</v>
      </c>
    </row>
    <row r="60" spans="1:5">
      <c r="A60" s="68">
        <v>0.38347999999999999</v>
      </c>
      <c r="B60" s="68">
        <v>0.47883799999999999</v>
      </c>
      <c r="C60" s="68">
        <v>23.546500000000002</v>
      </c>
      <c r="D60" s="68">
        <v>1</v>
      </c>
      <c r="E60" s="68" t="s">
        <v>468</v>
      </c>
    </row>
    <row r="61" spans="1:5">
      <c r="A61" s="68">
        <v>0.385826</v>
      </c>
      <c r="B61" s="68">
        <v>0.47924699999999998</v>
      </c>
      <c r="C61" s="68">
        <v>23.9511</v>
      </c>
      <c r="D61" s="68">
        <v>1</v>
      </c>
      <c r="E61" s="68" t="s">
        <v>469</v>
      </c>
    </row>
    <row r="62" spans="1:5">
      <c r="A62" s="68">
        <v>0.38828499999999999</v>
      </c>
      <c r="B62" s="68">
        <v>0.48011700000000002</v>
      </c>
      <c r="C62" s="68">
        <v>24.3537</v>
      </c>
      <c r="D62" s="68">
        <v>1</v>
      </c>
      <c r="E62" s="68" t="s">
        <v>470</v>
      </c>
    </row>
    <row r="63" spans="1:5">
      <c r="A63" s="68">
        <v>0.39108599999999999</v>
      </c>
      <c r="B63" s="68">
        <v>0.48092600000000002</v>
      </c>
      <c r="C63" s="68">
        <v>24.7636</v>
      </c>
      <c r="D63" s="68">
        <v>1</v>
      </c>
      <c r="E63" s="68" t="s">
        <v>471</v>
      </c>
    </row>
    <row r="64" spans="1:5">
      <c r="A64" s="68">
        <v>0.39402799999999999</v>
      </c>
      <c r="B64" s="68">
        <v>0.48167399999999999</v>
      </c>
      <c r="C64" s="68">
        <v>25.1708</v>
      </c>
      <c r="D64" s="68">
        <v>1</v>
      </c>
      <c r="E64" s="68" t="s">
        <v>472</v>
      </c>
    </row>
    <row r="65" spans="1:5">
      <c r="A65" s="68">
        <v>0.396818</v>
      </c>
      <c r="B65" s="68">
        <v>0.48271199999999997</v>
      </c>
      <c r="C65" s="68">
        <v>25.578199999999999</v>
      </c>
      <c r="D65" s="68">
        <v>1</v>
      </c>
      <c r="E65" s="68" t="s">
        <v>473</v>
      </c>
    </row>
    <row r="66" spans="1:5">
      <c r="A66" s="68">
        <v>0.39916400000000002</v>
      </c>
      <c r="B66" s="68">
        <v>0.484213</v>
      </c>
      <c r="C66" s="68">
        <v>25.980799999999999</v>
      </c>
      <c r="D66" s="68">
        <v>1</v>
      </c>
      <c r="E66" s="68" t="s">
        <v>474</v>
      </c>
    </row>
    <row r="67" spans="1:5">
      <c r="A67" s="68">
        <v>0.40133999999999997</v>
      </c>
      <c r="B67" s="68">
        <v>0.48574600000000001</v>
      </c>
      <c r="C67" s="68">
        <v>26.3889</v>
      </c>
      <c r="D67" s="68">
        <v>1</v>
      </c>
      <c r="E67" s="68" t="s">
        <v>475</v>
      </c>
    </row>
    <row r="68" spans="1:5">
      <c r="A68" s="68">
        <v>0.40321200000000001</v>
      </c>
      <c r="B68" s="68">
        <v>0.48734</v>
      </c>
      <c r="C68" s="68">
        <v>26.792899999999999</v>
      </c>
      <c r="D68" s="68">
        <v>1</v>
      </c>
      <c r="E68" s="68" t="s">
        <v>476</v>
      </c>
    </row>
    <row r="69" spans="1:5">
      <c r="A69" s="68">
        <v>0.404582</v>
      </c>
      <c r="B69" s="68">
        <v>0.48853600000000003</v>
      </c>
      <c r="C69" s="68">
        <v>27.200299999999999</v>
      </c>
      <c r="D69" s="68">
        <v>1</v>
      </c>
      <c r="E69" s="68" t="s">
        <v>477</v>
      </c>
    </row>
    <row r="70" spans="1:5">
      <c r="A70" s="68">
        <v>0.40518500000000002</v>
      </c>
      <c r="B70" s="68">
        <v>0.48958099999999999</v>
      </c>
      <c r="C70" s="68">
        <v>27.604900000000001</v>
      </c>
      <c r="D70" s="68">
        <v>1</v>
      </c>
      <c r="E70" s="68" t="s">
        <v>478</v>
      </c>
    </row>
    <row r="71" spans="1:5">
      <c r="A71" s="68">
        <v>0.405414</v>
      </c>
      <c r="B71" s="68">
        <v>0.49018</v>
      </c>
      <c r="C71" s="68">
        <v>28.010999999999999</v>
      </c>
      <c r="D71" s="68">
        <v>1</v>
      </c>
      <c r="E71" s="68" t="s">
        <v>479</v>
      </c>
    </row>
    <row r="72" spans="1:5">
      <c r="A72" s="68">
        <v>0.40536499999999998</v>
      </c>
      <c r="B72" s="68">
        <v>0.490568</v>
      </c>
      <c r="C72" s="68">
        <v>28.417000000000002</v>
      </c>
      <c r="D72" s="68">
        <v>1</v>
      </c>
      <c r="E72" s="68" t="s">
        <v>480</v>
      </c>
    </row>
    <row r="73" spans="1:5">
      <c r="A73" s="68">
        <v>0.404866</v>
      </c>
      <c r="B73" s="68">
        <v>0.49083700000000002</v>
      </c>
      <c r="C73" s="68">
        <v>28.822700000000001</v>
      </c>
      <c r="D73" s="68">
        <v>1</v>
      </c>
      <c r="E73" s="68" t="s">
        <v>481</v>
      </c>
    </row>
    <row r="74" spans="1:5">
      <c r="A74" s="68">
        <v>0.40431099999999998</v>
      </c>
      <c r="B74" s="68">
        <v>0.49138900000000002</v>
      </c>
      <c r="C74" s="68">
        <v>29.228899999999999</v>
      </c>
      <c r="D74" s="68">
        <v>1</v>
      </c>
      <c r="E74" s="68" t="s">
        <v>482</v>
      </c>
    </row>
    <row r="75" spans="1:5">
      <c r="A75" s="68">
        <v>0.40381800000000001</v>
      </c>
      <c r="B75" s="68">
        <v>0.49215799999999998</v>
      </c>
      <c r="C75" s="68">
        <v>29.639099999999999</v>
      </c>
      <c r="D75" s="68">
        <v>1</v>
      </c>
      <c r="E75" s="68" t="s">
        <v>483</v>
      </c>
    </row>
    <row r="76" spans="1:5">
      <c r="A76" s="68">
        <v>0.40283200000000002</v>
      </c>
      <c r="B76" s="68">
        <v>0.49293399999999998</v>
      </c>
      <c r="C76" s="68">
        <v>30.044699999999999</v>
      </c>
      <c r="D76" s="68">
        <v>2</v>
      </c>
      <c r="E76" s="68" t="s">
        <v>484</v>
      </c>
    </row>
    <row r="77" spans="1:5">
      <c r="A77" s="68">
        <v>0.40136500000000003</v>
      </c>
      <c r="B77" s="68">
        <v>0.493647</v>
      </c>
      <c r="C77" s="68">
        <v>30.638300000000001</v>
      </c>
      <c r="D77" s="68">
        <v>2</v>
      </c>
      <c r="E77" s="68" t="s">
        <v>485</v>
      </c>
    </row>
    <row r="78" spans="1:5">
      <c r="A78" s="68">
        <v>0.400449</v>
      </c>
      <c r="B78" s="68">
        <v>0.49481599999999998</v>
      </c>
      <c r="C78" s="68">
        <v>31.009899999999998</v>
      </c>
      <c r="D78" s="68">
        <v>2</v>
      </c>
      <c r="E78" s="68" t="s">
        <v>486</v>
      </c>
    </row>
    <row r="79" spans="1:5">
      <c r="A79" s="68">
        <v>0.399393</v>
      </c>
      <c r="B79" s="68">
        <v>0.49597000000000002</v>
      </c>
      <c r="C79" s="68">
        <v>31.386600000000001</v>
      </c>
      <c r="D79" s="68">
        <v>2</v>
      </c>
      <c r="E79" s="68" t="s">
        <v>487</v>
      </c>
    </row>
    <row r="80" spans="1:5">
      <c r="A80" s="68">
        <v>0.39864100000000002</v>
      </c>
      <c r="B80" s="68">
        <v>0.49684800000000001</v>
      </c>
      <c r="C80" s="68">
        <v>31.762</v>
      </c>
      <c r="D80" s="68">
        <v>2</v>
      </c>
      <c r="E80" s="68" t="s">
        <v>488</v>
      </c>
    </row>
    <row r="81" spans="1:5">
      <c r="A81" s="68">
        <v>0.39809</v>
      </c>
      <c r="B81" s="68">
        <v>0.49776199999999998</v>
      </c>
      <c r="C81" s="68">
        <v>32.140700000000002</v>
      </c>
      <c r="D81" s="68">
        <v>2</v>
      </c>
      <c r="E81" s="68" t="s">
        <v>489</v>
      </c>
    </row>
    <row r="82" spans="1:5">
      <c r="A82" s="68">
        <v>0.39757999999999999</v>
      </c>
      <c r="B82" s="68">
        <v>0.49859799999999999</v>
      </c>
      <c r="C82" s="68">
        <v>32.543500000000002</v>
      </c>
      <c r="D82" s="68">
        <v>2</v>
      </c>
      <c r="E82" s="68" t="s">
        <v>490</v>
      </c>
    </row>
    <row r="83" spans="1:5">
      <c r="A83" s="68">
        <v>0.39719300000000002</v>
      </c>
      <c r="B83" s="68">
        <v>0.49900899999999998</v>
      </c>
      <c r="C83" s="68">
        <v>32.948799999999999</v>
      </c>
      <c r="D83" s="68">
        <v>2</v>
      </c>
      <c r="E83" s="68" t="s">
        <v>491</v>
      </c>
    </row>
    <row r="84" spans="1:5">
      <c r="A84" s="68">
        <v>0.39674199999999998</v>
      </c>
      <c r="B84" s="68">
        <v>0.498969</v>
      </c>
      <c r="C84" s="68">
        <v>33.354999999999997</v>
      </c>
      <c r="D84" s="68">
        <v>2</v>
      </c>
      <c r="E84" s="68" t="s">
        <v>492</v>
      </c>
    </row>
    <row r="85" spans="1:5">
      <c r="A85" s="68">
        <v>0.39629999999999999</v>
      </c>
      <c r="B85" s="68">
        <v>0.49889299999999998</v>
      </c>
      <c r="C85" s="68">
        <v>33.763100000000001</v>
      </c>
      <c r="D85" s="68">
        <v>2</v>
      </c>
      <c r="E85" s="68" t="s">
        <v>493</v>
      </c>
    </row>
    <row r="86" spans="1:5">
      <c r="A86" s="68">
        <v>0.39574799999999999</v>
      </c>
      <c r="B86" s="68">
        <v>0.498498</v>
      </c>
      <c r="C86" s="68">
        <v>34.171999999999997</v>
      </c>
      <c r="D86" s="68">
        <v>2</v>
      </c>
      <c r="E86" s="68" t="s">
        <v>494</v>
      </c>
    </row>
    <row r="87" spans="1:5">
      <c r="A87" s="68">
        <v>0.39479199999999998</v>
      </c>
      <c r="B87" s="68">
        <v>0.49816100000000002</v>
      </c>
      <c r="C87" s="68">
        <v>34.575699999999998</v>
      </c>
      <c r="D87" s="68">
        <v>2</v>
      </c>
      <c r="E87" s="68" t="s">
        <v>495</v>
      </c>
    </row>
    <row r="88" spans="1:5">
      <c r="A88" s="68">
        <v>0.39393699999999998</v>
      </c>
      <c r="B88" s="68">
        <v>0.49758799999999997</v>
      </c>
      <c r="C88" s="68">
        <v>34.980800000000002</v>
      </c>
      <c r="D88" s="68">
        <v>2</v>
      </c>
      <c r="E88" s="68" t="s">
        <v>496</v>
      </c>
    </row>
    <row r="89" spans="1:5">
      <c r="A89" s="68">
        <v>0.39325100000000002</v>
      </c>
      <c r="B89" s="68">
        <v>0.49693199999999998</v>
      </c>
      <c r="C89" s="68">
        <v>35.387300000000003</v>
      </c>
      <c r="D89" s="68">
        <v>2</v>
      </c>
      <c r="E89" s="68" t="s">
        <v>497</v>
      </c>
    </row>
    <row r="90" spans="1:5">
      <c r="A90" s="68">
        <v>0.392536</v>
      </c>
      <c r="B90" s="68">
        <v>0.49607800000000002</v>
      </c>
      <c r="C90" s="68">
        <v>35.7973</v>
      </c>
      <c r="D90" s="68">
        <v>2</v>
      </c>
      <c r="E90" s="68" t="s">
        <v>498</v>
      </c>
    </row>
    <row r="91" spans="1:5">
      <c r="A91" s="68">
        <v>0.391403</v>
      </c>
      <c r="B91" s="68">
        <v>0.49591499999999999</v>
      </c>
      <c r="C91" s="68">
        <v>36.198300000000003</v>
      </c>
      <c r="D91" s="68">
        <v>2</v>
      </c>
      <c r="E91" s="68" t="s">
        <v>499</v>
      </c>
    </row>
    <row r="92" spans="1:5">
      <c r="A92" s="68">
        <v>0.39036700000000002</v>
      </c>
      <c r="B92" s="68">
        <v>0.49551200000000001</v>
      </c>
      <c r="C92" s="68">
        <v>36.606400000000001</v>
      </c>
      <c r="D92" s="68">
        <v>2</v>
      </c>
      <c r="E92" s="68" t="s">
        <v>500</v>
      </c>
    </row>
    <row r="93" spans="1:5">
      <c r="A93" s="68">
        <v>0.38933699999999999</v>
      </c>
      <c r="B93" s="68">
        <v>0.49502000000000002</v>
      </c>
      <c r="C93" s="68">
        <v>37.0105</v>
      </c>
      <c r="D93" s="68">
        <v>2</v>
      </c>
      <c r="E93" s="68" t="s">
        <v>501</v>
      </c>
    </row>
    <row r="94" spans="1:5">
      <c r="A94" s="68">
        <v>0.38832699999999998</v>
      </c>
      <c r="B94" s="68">
        <v>0.49415900000000001</v>
      </c>
      <c r="C94" s="68">
        <v>37.4161</v>
      </c>
      <c r="D94" s="68">
        <v>2</v>
      </c>
      <c r="E94" s="68" t="s">
        <v>502</v>
      </c>
    </row>
    <row r="95" spans="1:5">
      <c r="A95" s="68">
        <v>0.38737700000000003</v>
      </c>
      <c r="B95" s="68">
        <v>0.49297299999999999</v>
      </c>
      <c r="C95" s="68">
        <v>37.8232</v>
      </c>
      <c r="D95" s="68">
        <v>2</v>
      </c>
      <c r="E95" s="68" t="s">
        <v>503</v>
      </c>
    </row>
    <row r="96" spans="1:5">
      <c r="A96" s="68">
        <v>0.38633800000000001</v>
      </c>
      <c r="B96" s="68">
        <v>0.491923</v>
      </c>
      <c r="C96" s="68">
        <v>38.232300000000002</v>
      </c>
      <c r="D96" s="68">
        <v>2</v>
      </c>
      <c r="E96" s="68" t="s">
        <v>504</v>
      </c>
    </row>
    <row r="97" spans="1:5">
      <c r="A97" s="68">
        <v>0.38528800000000002</v>
      </c>
      <c r="B97" s="68">
        <v>0.49076500000000001</v>
      </c>
      <c r="C97" s="68">
        <v>38.638599999999997</v>
      </c>
      <c r="D97" s="68">
        <v>2</v>
      </c>
      <c r="E97" s="68" t="s">
        <v>505</v>
      </c>
    </row>
    <row r="98" spans="1:5">
      <c r="A98" s="68">
        <v>0.38414700000000002</v>
      </c>
      <c r="B98" s="68">
        <v>0.489674</v>
      </c>
      <c r="C98" s="68">
        <v>39.043300000000002</v>
      </c>
      <c r="D98" s="68">
        <v>2</v>
      </c>
      <c r="E98" s="68" t="s">
        <v>506</v>
      </c>
    </row>
    <row r="99" spans="1:5">
      <c r="A99" s="68">
        <v>0.38270500000000002</v>
      </c>
      <c r="B99" s="68">
        <v>0.48838300000000001</v>
      </c>
      <c r="C99" s="68">
        <v>39.447800000000001</v>
      </c>
      <c r="D99" s="68">
        <v>2</v>
      </c>
      <c r="E99" s="68" t="s">
        <v>507</v>
      </c>
    </row>
    <row r="100" spans="1:5">
      <c r="A100" s="68">
        <v>0.38155299999999998</v>
      </c>
      <c r="B100" s="68">
        <v>0.48723899999999998</v>
      </c>
      <c r="C100" s="68">
        <v>39.857199999999999</v>
      </c>
      <c r="D100" s="68">
        <v>2</v>
      </c>
      <c r="E100" s="68" t="s">
        <v>508</v>
      </c>
    </row>
    <row r="101" spans="1:5">
      <c r="A101" s="68">
        <v>0.38052999999999998</v>
      </c>
      <c r="B101" s="68">
        <v>0.48631799999999997</v>
      </c>
      <c r="C101" s="68">
        <v>40.262999999999998</v>
      </c>
      <c r="D101" s="68">
        <v>2</v>
      </c>
      <c r="E101" s="68" t="s">
        <v>509</v>
      </c>
    </row>
    <row r="102" spans="1:5">
      <c r="A102" s="68">
        <v>0.37922899999999998</v>
      </c>
      <c r="B102" s="68">
        <v>0.48513499999999998</v>
      </c>
      <c r="C102" s="68">
        <v>40.6706</v>
      </c>
      <c r="D102" s="68">
        <v>2</v>
      </c>
      <c r="E102" s="68" t="s">
        <v>510</v>
      </c>
    </row>
    <row r="103" spans="1:5">
      <c r="A103" s="68">
        <v>0.37745600000000001</v>
      </c>
      <c r="B103" s="68">
        <v>0.48389100000000002</v>
      </c>
      <c r="C103" s="68">
        <v>41.074199999999998</v>
      </c>
      <c r="D103" s="68">
        <v>2</v>
      </c>
      <c r="E103" s="68" t="s">
        <v>511</v>
      </c>
    </row>
    <row r="104" spans="1:5">
      <c r="A104" s="68">
        <v>0.37563999999999997</v>
      </c>
      <c r="B104" s="68">
        <v>0.48295100000000002</v>
      </c>
      <c r="C104" s="68">
        <v>41.479799999999997</v>
      </c>
      <c r="D104" s="68">
        <v>2</v>
      </c>
      <c r="E104" s="68" t="s">
        <v>512</v>
      </c>
    </row>
    <row r="105" spans="1:5">
      <c r="A105" s="68">
        <v>0.37373200000000001</v>
      </c>
      <c r="B105" s="68">
        <v>0.482298</v>
      </c>
      <c r="C105" s="68">
        <v>41.8857</v>
      </c>
      <c r="D105" s="68">
        <v>2</v>
      </c>
      <c r="E105" s="68" t="s">
        <v>513</v>
      </c>
    </row>
    <row r="106" spans="1:5">
      <c r="A106" s="68">
        <v>0.37141800000000003</v>
      </c>
      <c r="B106" s="68">
        <v>0.48178199999999999</v>
      </c>
      <c r="C106" s="68">
        <v>42.293599999999998</v>
      </c>
      <c r="D106" s="68">
        <v>2</v>
      </c>
      <c r="E106" s="68" t="s">
        <v>514</v>
      </c>
    </row>
    <row r="107" spans="1:5">
      <c r="A107" s="68">
        <v>0.36905199999999999</v>
      </c>
      <c r="B107" s="68">
        <v>0.48152400000000001</v>
      </c>
      <c r="C107" s="68">
        <v>42.698700000000002</v>
      </c>
      <c r="D107" s="68">
        <v>2</v>
      </c>
      <c r="E107" s="68" t="s">
        <v>515</v>
      </c>
    </row>
    <row r="108" spans="1:5">
      <c r="A108" s="68">
        <v>0.366755</v>
      </c>
      <c r="B108" s="68">
        <v>0.48129</v>
      </c>
      <c r="C108" s="68">
        <v>43.105200000000004</v>
      </c>
      <c r="D108" s="68">
        <v>2</v>
      </c>
      <c r="E108" s="68" t="s">
        <v>516</v>
      </c>
    </row>
    <row r="109" spans="1:5">
      <c r="A109" s="68">
        <v>0.364699</v>
      </c>
      <c r="B109" s="68">
        <v>0.481045</v>
      </c>
      <c r="C109" s="68">
        <v>43.516300000000001</v>
      </c>
      <c r="D109" s="68">
        <v>2</v>
      </c>
      <c r="E109" s="68" t="s">
        <v>517</v>
      </c>
    </row>
    <row r="110" spans="1:5">
      <c r="A110" s="68">
        <v>0.36274099999999998</v>
      </c>
      <c r="B110" s="68">
        <v>0.48099999999999998</v>
      </c>
      <c r="C110" s="68">
        <v>43.918900000000001</v>
      </c>
      <c r="D110" s="68">
        <v>2</v>
      </c>
      <c r="E110" s="68" t="s">
        <v>518</v>
      </c>
    </row>
    <row r="111" spans="1:5">
      <c r="A111" s="68">
        <v>0.360904</v>
      </c>
      <c r="B111" s="68">
        <v>0.48089799999999999</v>
      </c>
      <c r="C111" s="68">
        <v>44.325299999999999</v>
      </c>
      <c r="D111" s="68">
        <v>2</v>
      </c>
      <c r="E111" s="68" t="s">
        <v>519</v>
      </c>
    </row>
    <row r="112" spans="1:5">
      <c r="A112" s="68">
        <v>0.35918299999999997</v>
      </c>
      <c r="B112" s="68">
        <v>0.480238</v>
      </c>
      <c r="C112" s="68">
        <v>44.731200000000001</v>
      </c>
      <c r="D112" s="68">
        <v>2</v>
      </c>
      <c r="E112" s="68" t="s">
        <v>520</v>
      </c>
    </row>
    <row r="113" spans="1:5">
      <c r="A113" s="68">
        <v>0.35708299999999998</v>
      </c>
      <c r="B113" s="68">
        <v>0.480437</v>
      </c>
      <c r="C113" s="68">
        <v>45.134799999999998</v>
      </c>
      <c r="D113" s="68">
        <v>2</v>
      </c>
      <c r="E113" s="68" t="s">
        <v>521</v>
      </c>
    </row>
    <row r="114" spans="1:5">
      <c r="A114" s="68">
        <v>0.35464000000000001</v>
      </c>
      <c r="B114" s="68">
        <v>0.481931</v>
      </c>
      <c r="C114" s="68">
        <v>45.544600000000003</v>
      </c>
      <c r="D114" s="68">
        <v>2</v>
      </c>
      <c r="E114" s="68" t="s">
        <v>522</v>
      </c>
    </row>
    <row r="115" spans="1:5">
      <c r="A115" s="68">
        <v>0.35259800000000002</v>
      </c>
      <c r="B115" s="68">
        <v>0.48239599999999999</v>
      </c>
      <c r="C115" s="68">
        <v>45.951900000000002</v>
      </c>
      <c r="D115" s="68">
        <v>2</v>
      </c>
      <c r="E115" s="68" t="s">
        <v>523</v>
      </c>
    </row>
    <row r="116" spans="1:5">
      <c r="A116" s="68">
        <v>0.35120400000000002</v>
      </c>
      <c r="B116" s="68">
        <v>0.481016</v>
      </c>
      <c r="C116" s="68">
        <v>46.3536</v>
      </c>
      <c r="D116" s="68">
        <v>2</v>
      </c>
      <c r="E116" s="68" t="s">
        <v>524</v>
      </c>
    </row>
    <row r="117" spans="1:5">
      <c r="A117" s="68">
        <v>0.34997</v>
      </c>
      <c r="B117" s="68">
        <v>0.47929899999999998</v>
      </c>
      <c r="C117" s="68">
        <v>46.761400000000002</v>
      </c>
      <c r="D117" s="68">
        <v>2</v>
      </c>
      <c r="E117" s="68" t="s">
        <v>525</v>
      </c>
    </row>
    <row r="118" spans="1:5">
      <c r="A118" s="68">
        <v>0.34896199999999999</v>
      </c>
      <c r="B118" s="68">
        <v>0.477157</v>
      </c>
      <c r="C118" s="68">
        <v>47.168500000000002</v>
      </c>
      <c r="D118" s="68">
        <v>2</v>
      </c>
      <c r="E118" s="68" t="s">
        <v>526</v>
      </c>
    </row>
    <row r="119" spans="1:5">
      <c r="A119" s="68">
        <v>0.34843299999999999</v>
      </c>
      <c r="B119" s="68">
        <v>0.47414899999999999</v>
      </c>
      <c r="C119" s="68">
        <v>47.573700000000002</v>
      </c>
      <c r="D119" s="68">
        <v>2</v>
      </c>
      <c r="E119" s="68" t="s">
        <v>527</v>
      </c>
    </row>
    <row r="120" spans="1:5">
      <c r="A120" s="68">
        <v>0.34839399999999998</v>
      </c>
      <c r="B120" s="68">
        <v>0.47031499999999998</v>
      </c>
      <c r="C120" s="68">
        <v>47.984900000000003</v>
      </c>
      <c r="D120" s="68">
        <v>2</v>
      </c>
      <c r="E120" s="68" t="s">
        <v>528</v>
      </c>
    </row>
    <row r="121" spans="1:5">
      <c r="A121" s="68">
        <v>0.348327</v>
      </c>
      <c r="B121" s="68">
        <v>0.46712100000000001</v>
      </c>
      <c r="C121" s="68">
        <v>48.385800000000003</v>
      </c>
      <c r="D121" s="68">
        <v>2</v>
      </c>
      <c r="E121" s="68" t="s">
        <v>529</v>
      </c>
    </row>
    <row r="122" spans="1:5">
      <c r="A122" s="68">
        <v>0.348248</v>
      </c>
      <c r="B122" s="68">
        <v>0.46445900000000001</v>
      </c>
      <c r="C122" s="68">
        <v>48.791699999999999</v>
      </c>
      <c r="D122" s="68">
        <v>2</v>
      </c>
      <c r="E122" s="68" t="s">
        <v>530</v>
      </c>
    </row>
    <row r="123" spans="1:5">
      <c r="A123" s="68">
        <v>0.34825499999999998</v>
      </c>
      <c r="B123" s="68">
        <v>0.462034</v>
      </c>
      <c r="C123" s="68">
        <v>49.201500000000003</v>
      </c>
      <c r="D123" s="68">
        <v>2</v>
      </c>
      <c r="E123" s="68" t="s">
        <v>531</v>
      </c>
    </row>
    <row r="124" spans="1:5">
      <c r="A124" s="68">
        <v>0.34839599999999998</v>
      </c>
      <c r="B124" s="68">
        <v>0.45972000000000002</v>
      </c>
      <c r="C124" s="68">
        <v>49.607999999999997</v>
      </c>
      <c r="D124" s="68">
        <v>2</v>
      </c>
      <c r="E124" s="68" t="s">
        <v>532</v>
      </c>
    </row>
    <row r="125" spans="1:5">
      <c r="A125" s="68">
        <v>0.34864000000000001</v>
      </c>
      <c r="B125" s="68">
        <v>0.45763999999999999</v>
      </c>
      <c r="C125" s="68">
        <v>50.012900000000002</v>
      </c>
      <c r="D125" s="68">
        <v>2</v>
      </c>
      <c r="E125" s="68" t="s">
        <v>533</v>
      </c>
    </row>
    <row r="126" spans="1:5">
      <c r="A126" s="68">
        <v>0.34886499999999998</v>
      </c>
      <c r="B126" s="68">
        <v>0.455876</v>
      </c>
      <c r="C126" s="68">
        <v>50.418700000000001</v>
      </c>
      <c r="D126" s="68">
        <v>2</v>
      </c>
      <c r="E126" s="68" t="s">
        <v>534</v>
      </c>
    </row>
    <row r="127" spans="1:5">
      <c r="A127" s="68">
        <v>0.34926600000000002</v>
      </c>
      <c r="B127" s="68">
        <v>0.45399600000000001</v>
      </c>
      <c r="C127" s="68">
        <v>50.8245</v>
      </c>
      <c r="D127" s="68">
        <v>2</v>
      </c>
      <c r="E127" s="68" t="s">
        <v>535</v>
      </c>
    </row>
    <row r="128" spans="1:5">
      <c r="A128" s="68">
        <v>0.34995100000000001</v>
      </c>
      <c r="B128" s="68">
        <v>0.45196900000000001</v>
      </c>
      <c r="C128" s="68">
        <v>51.234000000000002</v>
      </c>
      <c r="D128" s="68">
        <v>2</v>
      </c>
      <c r="E128" s="68" t="s">
        <v>536</v>
      </c>
    </row>
    <row r="129" spans="1:5">
      <c r="A129" s="68">
        <v>0.35059099999999999</v>
      </c>
      <c r="B129" s="68">
        <v>0.44991999999999999</v>
      </c>
      <c r="C129" s="68">
        <v>51.637900000000002</v>
      </c>
      <c r="D129" s="68">
        <v>2</v>
      </c>
      <c r="E129" s="68" t="s">
        <v>537</v>
      </c>
    </row>
    <row r="130" spans="1:5">
      <c r="A130" s="68">
        <v>0.35114800000000002</v>
      </c>
      <c r="B130" s="68">
        <v>0.44790400000000002</v>
      </c>
      <c r="C130" s="68">
        <v>52.045000000000002</v>
      </c>
      <c r="D130" s="68">
        <v>2</v>
      </c>
      <c r="E130" s="68" t="s">
        <v>538</v>
      </c>
    </row>
    <row r="131" spans="1:5">
      <c r="A131" s="68">
        <v>0.351962</v>
      </c>
      <c r="B131" s="68">
        <v>0.44557200000000002</v>
      </c>
      <c r="C131" s="68">
        <v>52.4482</v>
      </c>
      <c r="D131" s="68">
        <v>2</v>
      </c>
      <c r="E131" s="68" t="s">
        <v>539</v>
      </c>
    </row>
    <row r="132" spans="1:5">
      <c r="A132" s="68">
        <v>0.35269400000000001</v>
      </c>
      <c r="B132" s="68">
        <v>0.44286900000000001</v>
      </c>
      <c r="C132" s="68">
        <v>52.856499999999997</v>
      </c>
      <c r="D132" s="68">
        <v>2</v>
      </c>
      <c r="E132" s="68" t="s">
        <v>540</v>
      </c>
    </row>
    <row r="133" spans="1:5">
      <c r="A133" s="68">
        <v>0.35331699999999999</v>
      </c>
      <c r="B133" s="68">
        <v>0.44020300000000001</v>
      </c>
      <c r="C133" s="68">
        <v>53.261699999999998</v>
      </c>
      <c r="D133" s="68">
        <v>2</v>
      </c>
      <c r="E133" s="68" t="s">
        <v>541</v>
      </c>
    </row>
    <row r="134" spans="1:5">
      <c r="A134" s="68">
        <v>0.35365400000000002</v>
      </c>
      <c r="B134" s="68">
        <v>0.437695</v>
      </c>
      <c r="C134" s="68">
        <v>53.671900000000001</v>
      </c>
      <c r="D134" s="68">
        <v>2</v>
      </c>
      <c r="E134" s="68" t="s">
        <v>542</v>
      </c>
    </row>
    <row r="135" spans="1:5">
      <c r="A135" s="68">
        <v>0.35380800000000001</v>
      </c>
      <c r="B135" s="68">
        <v>0.43523299999999998</v>
      </c>
      <c r="C135" s="68">
        <v>54.077500000000001</v>
      </c>
      <c r="D135" s="68">
        <v>2</v>
      </c>
      <c r="E135" s="68" t="s">
        <v>543</v>
      </c>
    </row>
    <row r="136" spans="1:5">
      <c r="A136" s="68">
        <v>0.353875</v>
      </c>
      <c r="B136" s="68">
        <v>0.43268800000000002</v>
      </c>
      <c r="C136" s="68">
        <v>54.480800000000002</v>
      </c>
      <c r="D136" s="68">
        <v>2</v>
      </c>
      <c r="E136" s="68" t="s">
        <v>544</v>
      </c>
    </row>
    <row r="137" spans="1:5">
      <c r="A137" s="68">
        <v>0.353827</v>
      </c>
      <c r="B137" s="68">
        <v>0.430894</v>
      </c>
      <c r="C137" s="68">
        <v>54.8874</v>
      </c>
      <c r="D137" s="68">
        <v>2</v>
      </c>
      <c r="E137" s="68" t="s">
        <v>545</v>
      </c>
    </row>
    <row r="138" spans="1:5">
      <c r="A138" s="68">
        <v>0.35409000000000002</v>
      </c>
      <c r="B138" s="68">
        <v>0.42904100000000001</v>
      </c>
      <c r="C138" s="68">
        <v>55.296399999999998</v>
      </c>
      <c r="D138" s="68">
        <v>2</v>
      </c>
      <c r="E138" s="68" t="s">
        <v>546</v>
      </c>
    </row>
    <row r="139" spans="1:5">
      <c r="A139" s="68">
        <v>0.35433300000000001</v>
      </c>
      <c r="B139" s="68">
        <v>0.427315</v>
      </c>
      <c r="C139" s="68">
        <v>55.700899999999997</v>
      </c>
      <c r="D139" s="68">
        <v>2</v>
      </c>
      <c r="E139" s="68" t="s">
        <v>547</v>
      </c>
    </row>
    <row r="140" spans="1:5">
      <c r="A140" s="68">
        <v>0.354209</v>
      </c>
      <c r="B140" s="68">
        <v>0.426539</v>
      </c>
      <c r="C140" s="68">
        <v>56.107100000000003</v>
      </c>
      <c r="D140" s="68">
        <v>2</v>
      </c>
      <c r="E140" s="68" t="s">
        <v>548</v>
      </c>
    </row>
    <row r="141" spans="1:5">
      <c r="A141" s="68">
        <v>0.35385800000000001</v>
      </c>
      <c r="B141" s="68">
        <v>0.42632300000000001</v>
      </c>
      <c r="C141" s="68">
        <v>56.511299999999999</v>
      </c>
      <c r="D141" s="68">
        <v>2</v>
      </c>
      <c r="E141" s="68" t="s">
        <v>549</v>
      </c>
    </row>
    <row r="142" spans="1:5">
      <c r="A142" s="68">
        <v>0.35341800000000001</v>
      </c>
      <c r="B142" s="68">
        <v>0.42610100000000001</v>
      </c>
      <c r="C142" s="68">
        <v>56.916600000000003</v>
      </c>
      <c r="D142" s="68">
        <v>2</v>
      </c>
      <c r="E142" s="68" t="s">
        <v>550</v>
      </c>
    </row>
    <row r="143" spans="1:5">
      <c r="A143" s="68">
        <v>0.35292899999999999</v>
      </c>
      <c r="B143" s="68">
        <v>0.42572900000000002</v>
      </c>
      <c r="C143" s="68">
        <v>57.329599999999999</v>
      </c>
      <c r="D143" s="68">
        <v>2</v>
      </c>
      <c r="E143" s="68" t="s">
        <v>551</v>
      </c>
    </row>
    <row r="144" spans="1:5">
      <c r="A144" s="68">
        <v>0.35208499999999998</v>
      </c>
      <c r="B144" s="68">
        <v>0.426533</v>
      </c>
      <c r="C144" s="68">
        <v>57.734299999999998</v>
      </c>
      <c r="D144" s="68">
        <v>2</v>
      </c>
      <c r="E144" s="68" t="s">
        <v>552</v>
      </c>
    </row>
    <row r="145" spans="1:5">
      <c r="A145" s="68">
        <v>0.350107</v>
      </c>
      <c r="B145" s="68">
        <v>0.43068499999999998</v>
      </c>
      <c r="C145" s="68">
        <v>58.140500000000003</v>
      </c>
      <c r="D145" s="68">
        <v>2</v>
      </c>
      <c r="E145" s="68" t="s">
        <v>553</v>
      </c>
    </row>
    <row r="146" spans="1:5">
      <c r="A146" s="68">
        <v>0.34841499999999997</v>
      </c>
      <c r="B146" s="68">
        <v>0.43476500000000001</v>
      </c>
      <c r="C146" s="68">
        <v>58.545099999999998</v>
      </c>
      <c r="D146" s="68">
        <v>2</v>
      </c>
      <c r="E146" s="68" t="s">
        <v>554</v>
      </c>
    </row>
    <row r="147" spans="1:5">
      <c r="A147" s="68">
        <v>0.347057</v>
      </c>
      <c r="B147" s="68">
        <v>0.43792599999999998</v>
      </c>
      <c r="C147" s="68">
        <v>58.948500000000003</v>
      </c>
      <c r="D147" s="68">
        <v>2</v>
      </c>
      <c r="E147" s="68" t="s">
        <v>555</v>
      </c>
    </row>
    <row r="148" spans="1:5">
      <c r="A148" s="68">
        <v>0.34695199999999998</v>
      </c>
      <c r="B148" s="68">
        <v>0.43861499999999998</v>
      </c>
      <c r="C148" s="68">
        <v>59.356200000000001</v>
      </c>
      <c r="D148" s="68">
        <v>2</v>
      </c>
      <c r="E148" s="68" t="s">
        <v>556</v>
      </c>
    </row>
    <row r="149" spans="1:5">
      <c r="A149" s="68">
        <v>0.34897699999999998</v>
      </c>
      <c r="B149" s="68">
        <v>0.43431900000000001</v>
      </c>
      <c r="C149" s="68">
        <v>59.762599999999999</v>
      </c>
      <c r="D149" s="68">
        <v>2</v>
      </c>
      <c r="E149" s="68" t="s">
        <v>557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407</v>
      </c>
      <c r="B1" s="66" t="s">
        <v>558</v>
      </c>
      <c r="C1" s="66" t="s">
        <v>560</v>
      </c>
      <c r="D1" s="66" t="s">
        <v>561</v>
      </c>
      <c r="E1" s="66" t="s">
        <v>562</v>
      </c>
      <c r="F1" s="66" t="s">
        <v>348</v>
      </c>
      <c r="G1" s="66" t="s">
        <v>349</v>
      </c>
      <c r="H1" s="66" t="s">
        <v>563</v>
      </c>
      <c r="I1" s="66" t="s">
        <v>564</v>
      </c>
      <c r="J1" s="66" t="s">
        <v>565</v>
      </c>
      <c r="K1" s="66" t="s">
        <v>566</v>
      </c>
      <c r="L1" s="66" t="s">
        <v>567</v>
      </c>
      <c r="M1" s="66" t="s">
        <v>568</v>
      </c>
      <c r="N1" s="66"/>
    </row>
    <row r="2" spans="1:14">
      <c r="A2" s="75">
        <v>43613.393425925926</v>
      </c>
      <c r="B2" s="66" t="s">
        <v>559</v>
      </c>
      <c r="C2" s="66"/>
      <c r="D2" s="66"/>
      <c r="E2" s="66">
        <v>4.9234099999999996</v>
      </c>
      <c r="F2" s="66">
        <v>1.8627</v>
      </c>
      <c r="G2" s="66">
        <v>0.52517899999999995</v>
      </c>
      <c r="H2" s="66">
        <v>0</v>
      </c>
      <c r="I2" s="66">
        <v>155229</v>
      </c>
      <c r="J2" s="66">
        <v>109</v>
      </c>
      <c r="K2" s="66">
        <v>109</v>
      </c>
      <c r="L2" s="66">
        <v>0</v>
      </c>
      <c r="M2" s="66" t="s">
        <v>569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2019-05-28T01:27:23Z</cp:lastPrinted>
  <dcterms:created xsi:type="dcterms:W3CDTF">2010-10-29T12:53:05Z</dcterms:created>
  <dcterms:modified xsi:type="dcterms:W3CDTF">2019-05-28T01:27:34Z</dcterms:modified>
</cp:coreProperties>
</file>