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<sst xmlns="http://schemas.openxmlformats.org/spreadsheetml/2006/main" count="701" uniqueCount="518">
  <si>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</si>
  <si>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</si>
  <si>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</si>
  <si>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</si>
  <si>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</si>
  <si>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</si>
  <si>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</si>
  <si>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</si>
  <si>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</si>
  <si>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</si>
  <si>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</si>
  <si>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</si>
  <si>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</si>
  <si>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</si>
  <si>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</si>
  <si>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</si>
  <si>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</si>
  <si>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</si>
  <si>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</si>
  <si>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</si>
  <si>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</si>
  <si>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</si>
  <si>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</si>
  <si>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</si>
  <si>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</si>
  <si>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</si>
  <si>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</si>
  <si>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</si>
  <si>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</si>
  <si>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</si>
  <si>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</si>
  <si>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</si>
  <si>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</si>
  <si>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</si>
  <si>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</si>
  <si>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</si>
  <si>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</si>
  <si>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</si>
  <si>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</si>
  <si>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</si>
  <si>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</si>
  <si>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</si>
  <si>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</si>
  <si>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</si>
  <si>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</si>
  <si>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</si>
  <si>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</si>
  <si>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</si>
  <si>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</si>
  <si>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</si>
  <si>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</si>
  <si>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</si>
  <si>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</si>
  <si>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</si>
  <si>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</si>
  <si>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</si>
  <si>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</si>
  <si>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</si>
  <si>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</si>
  <si>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</si>
  <si>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</si>
  <si>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</si>
  <si>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</si>
  <si>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</si>
  <si>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</si>
  <si>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</si>
  <si>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</si>
  <si>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</si>
  <si>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</si>
  <si>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</si>
  <si>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</si>
  <si>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</si>
  <si>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</si>
  <si>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</si>
  <si>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</si>
  <si>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</si>
  <si>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</si>
  <si>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</si>
  <si>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</si>
  <si>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</si>
  <si>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</si>
  <si>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</si>
  <si>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</si>
  <si>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</si>
  <si>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</si>
  <si>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</si>
  <si>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</si>
  <si>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</si>
  <si>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</si>
  <si>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</si>
  <si>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</si>
  <si>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</si>
  <si>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</si>
  <si>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</si>
  <si>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</si>
  <si>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</si>
  <si>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</si>
  <si>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</si>
  <si>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</si>
  <si>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</si>
  <si>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</si>
  <si>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</si>
  <si>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</si>
  <si>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</si>
  <si>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</si>
  <si>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</si>
  <si>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</si>
  <si>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</si>
  <si>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</si>
  <si>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</si>
  <si>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</si>
  <si>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</si>
  <si>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</si>
  <si>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</si>
  <si>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</si>
  <si>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</si>
  <si>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</si>
  <si>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</si>
  <si>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</si>
  <si>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</si>
  <si>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</si>
  <si>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</si>
  <si>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</si>
  <si>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</si>
  <si>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</si>
  <si>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</si>
  <si>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</si>
  <si>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</si>
  <si>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</si>
  <si>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</si>
  <si>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</si>
  <si>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</si>
  <si>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</si>
  <si>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</si>
  <si>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</si>
  <si>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</si>
  <si>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</si>
  <si>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</si>
  <si>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</si>
  <si>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</si>
  <si>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</si>
  <si>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</si>
  <si>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</si>
  <si>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</si>
  <si>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</si>
  <si>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</si>
  <si>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</si>
  <si>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</si>
  <si>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</si>
  <si>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</si>
  <si>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</si>
  <si>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</si>
  <si>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</si>
  <si>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</si>
  <si>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</si>
  <si>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</si>
  <si>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</si>
  <si>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</si>
  <si>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</si>
  <si>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</si>
  <si>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</si>
  <si>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</si>
  <si>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</si>
  <si>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</si>
  <si>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</si>
  <si>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</si>
  <si>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</si>
  <si>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</si>
  <si>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</si>
  <si>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</si>
  <si>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</si>
  <si>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</si>
  <si>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</si>
  <si>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</si>
  <si>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</si>
  <si>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</si>
  <si>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</si>
  <si>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</si>
  <si>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</si>
  <si>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</si>
  <si>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</si>
  <si>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</si>
  <si>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</si>
  <si>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</si>
  <si>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</si>
  <si>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</si>
  <si>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</si>
  <si>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</si>
  <si>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</si>
  <si>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</si>
  <si>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</si>
  <si>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</si>
  <si>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</si>
  <si>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</si>
  <si>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</si>
  <si>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</si>
  <si>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</si>
  <si>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</si>
  <si>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</si>
  <si>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</si>
  <si>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</si>
  <si>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</si>
  <si>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</si>
  <si>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</si>
  <si>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</si>
  <si>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</si>
  <si>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</si>
  <si>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</si>
  <si>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</si>
  <si>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</si>
  <si>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</si>
  <si>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</si>
  <si>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</si>
  <si>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</si>
  <si>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</si>
  <si>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</si>
  <si>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</si>
  <si>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</si>
  <si>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</si>
  <si>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</si>
  <si>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</si>
  <si>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</si>
  <si>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</si>
  <si>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</si>
  <si>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</si>
  <si>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</si>
  <si>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</si>
  <si>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</si>
  <si>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</si>
  <si>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</si>
  <si>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</si>
  <si>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</si>
  <si>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</si>
  <si>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</si>
  <si>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</si>
  <si>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</si>
  <si>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</si>
  <si>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</si>
  <si>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</si>
  <si>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</si>
  <si>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</si>
  <si>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</si>
  <si>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</si>
  <si>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</si>
  <si>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</si>
  <si>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</si>
  <si>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</si>
  <si>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</si>
  <si>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</si>
  <si>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</si>
  <si>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</si>
  <si>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</si>
  <si>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</si>
  <si>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</si>
  <si>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</si>
  <si>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</si>
  <si>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</si>
  <si>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</si>
  <si>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</si>
  <si>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</si>
  <si>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</si>
  <si>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</si>
  <si>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</si>
  <si>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</si>
  <si>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</si>
  <si>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</si>
  <si>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</si>
  <si>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</si>
  <si>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</si>
  <si>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</si>
  <si>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</si>
  <si>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</si>
  <si>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</si>
  <si>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</si>
  <si>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</si>
  <si>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</si>
  <si>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</si>
  <si>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</si>
  <si>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</si>
  <si>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</si>
  <si>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</si>
  <si>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</si>
  <si>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</si>
  <si>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</si>
  <si>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</si>
  <si>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</si>
  <si>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</si>
  <si>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</si>
  <si>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</si>
  <si>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</si>
  <si>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</si>
  <si>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</si>
  <si>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</si>
  <si>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</si>
  <si>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</si>
  <si>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</si>
  <si>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</si>
  <si>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</si>
  <si>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</si>
  <si>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</si>
  <si>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</si>
  <si>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</si>
  <si>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</si>
  <si>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</si>
  <si>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</si>
  <si>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</si>
  <si>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</si>
  <si>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</si>
  <si>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</si>
  <si>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</si>
  <si>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</si>
  <si>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</si>
  <si>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</si>
  <si>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</si>
  <si>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</si>
  <si>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</si>
  <si>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</si>
  <si>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</si>
  <si>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</si>
  <si>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</si>
  <si>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</si>
  <si>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</si>
  <si>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</si>
  <si>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</si>
  <si>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</si>
  <si>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</si>
  <si>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</si>
  <si>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</si>
  <si>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</si>
  <si>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</si>
  <si>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</si>
  <si>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</si>
  <si>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</si>
  <si>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</si>
  <si>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</si>
  <si>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</si>
  <si>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</si>
  <si>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</si>
  <si>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</si>
  <si>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</si>
  <si>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</si>
  <si>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</si>
  <si>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</si>
  <si>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</si>
  <si>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</si>
  <si>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</si>
  <si>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</si>
  <si>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CMax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</si>
  <si>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</si>
  <si>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</si>
  <si>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</si>
  <si>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</si>
  <si>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</si>
  <si>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</si>
  <si>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</si>
  <si>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</si>
  <si>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</si>
  <si>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[0.405915]</t>
  </si>
  <si>
    <t>1 [0.809854]</t>
  </si>
  <si>
    <t>1 [1.215744]</t>
  </si>
  <si>
    <t>1 [1.621780]</t>
  </si>
  <si>
    <t>1 [2.029499]</t>
  </si>
  <si>
    <t>1 [2.437420]</t>
  </si>
  <si>
    <t>1 [2.843408]</t>
  </si>
  <si>
    <t>1 [3.250708]</t>
  </si>
  <si>
    <t>1 [3.656542]</t>
  </si>
  <si>
    <t>1 [4.062178]</t>
  </si>
  <si>
    <t>1 [4.467983]</t>
  </si>
  <si>
    <t>1 [4.875956]</t>
  </si>
  <si>
    <t>1 [5.277816]</t>
  </si>
  <si>
    <t>1 [5.685440]</t>
  </si>
  <si>
    <t>1 [6.093642]</t>
  </si>
  <si>
    <t>1 [6.498560]</t>
  </si>
  <si>
    <t>1 [6.906865]</t>
  </si>
  <si>
    <t>1 [7.310469]</t>
  </si>
  <si>
    <t>1 [7.716394]</t>
  </si>
  <si>
    <t>1 [8.123598]</t>
  </si>
  <si>
    <t>1 [8.530254]</t>
  </si>
  <si>
    <t>1 [8.936105]</t>
  </si>
  <si>
    <t>1 [9.340221]</t>
  </si>
  <si>
    <t>1 [9.746309]</t>
  </si>
  <si>
    <t>1 [10.154719]</t>
  </si>
  <si>
    <t>1 [10.557782]</t>
  </si>
  <si>
    <t>1 [10.966662]</t>
  </si>
  <si>
    <t>1 [11.370544]</t>
  </si>
  <si>
    <t>1 [11.777711]</t>
  </si>
  <si>
    <t>1 [12.183473]</t>
  </si>
  <si>
    <t>1 [12.593415]</t>
  </si>
  <si>
    <t>1 [12.997196]</t>
  </si>
  <si>
    <t>1 [13.402158]</t>
  </si>
  <si>
    <t>1 [13.809010]</t>
  </si>
  <si>
    <t>1 [14.216973]</t>
  </si>
  <si>
    <t>1 [14.624870]</t>
  </si>
  <si>
    <t>1 [15.028805]</t>
  </si>
  <si>
    <t>1 [15.433664]</t>
  </si>
  <si>
    <t>1 [15.841753]</t>
  </si>
  <si>
    <t>1 [16.245417]</t>
  </si>
  <si>
    <t>1 [16.653437]</t>
  </si>
  <si>
    <t>1 [17.060464]</t>
  </si>
  <si>
    <t>1 [17.468261]</t>
  </si>
  <si>
    <t>1 [17.874371]</t>
  </si>
  <si>
    <t>1 [18.279076]</t>
  </si>
  <si>
    <t>1 [18.684067]</t>
  </si>
  <si>
    <t>1 [19.092240]</t>
  </si>
  <si>
    <t>1 [19.496905]</t>
  </si>
  <si>
    <t>1 [19.906072]</t>
  </si>
  <si>
    <t>1 [20.307047]</t>
  </si>
  <si>
    <t>1 [20.716592]</t>
  </si>
  <si>
    <t>1 [21.122914]</t>
  </si>
  <si>
    <t>1 [21.528443]</t>
  </si>
  <si>
    <t>1 [21.937288]</t>
  </si>
  <si>
    <t>1 [22.341200]</t>
  </si>
  <si>
    <t>1 [22.745288]</t>
  </si>
  <si>
    <t>1 [23.153025]</t>
  </si>
  <si>
    <t>1 [23.559196]</t>
  </si>
  <si>
    <t>1 [23.970109]</t>
  </si>
  <si>
    <t>1 [24.375803]</t>
  </si>
  <si>
    <t>1 [24.778708]</t>
  </si>
  <si>
    <t>1 [25.184604]</t>
  </si>
  <si>
    <t>1 [25.591549]</t>
  </si>
  <si>
    <t>1 [25.999473]</t>
  </si>
  <si>
    <t>1 [26.407099]</t>
  </si>
  <si>
    <t>1 [26.810296]</t>
  </si>
  <si>
    <t>1 [27.215173]</t>
  </si>
  <si>
    <t>1 [27.622333]</t>
  </si>
  <si>
    <t>1 [28.030073]</t>
  </si>
  <si>
    <t>1 [28.436931]</t>
  </si>
  <si>
    <t>1 [28.842021]</t>
  </si>
  <si>
    <t>1 [29.245819]</t>
  </si>
  <si>
    <t>1 [29.651936]</t>
  </si>
  <si>
    <t>2 [30.060545]</t>
  </si>
  <si>
    <t>2 [30.469523]</t>
  </si>
  <si>
    <t>2 [30.874535]</t>
  </si>
  <si>
    <t>2 [31.279393]</t>
  </si>
  <si>
    <t>2 [31.688179]</t>
  </si>
  <si>
    <t>2 [32.094534]</t>
  </si>
  <si>
    <t>2 [32.500185]</t>
  </si>
  <si>
    <t>2 [32.907510]</t>
  </si>
  <si>
    <t>2 [33.309014]</t>
  </si>
  <si>
    <t>2 [33.712890]</t>
  </si>
  <si>
    <t>2 [34.125728]</t>
  </si>
  <si>
    <t>2 [34.530652]</t>
  </si>
  <si>
    <t>2 [34.936553]</t>
  </si>
  <si>
    <t>2 [35.343530]</t>
  </si>
  <si>
    <t>2 [35.745479]</t>
  </si>
  <si>
    <t>2 [36.154416]</t>
  </si>
  <si>
    <t>2 [36.562554]</t>
  </si>
  <si>
    <t>2 [36.967685]</t>
  </si>
  <si>
    <t>2 [37.371349]</t>
  </si>
  <si>
    <t>2 [37.778669]</t>
  </si>
  <si>
    <t>2 [38.186865]</t>
  </si>
  <si>
    <t>2 [38.593855]</t>
  </si>
  <si>
    <t>2 [38.997027]</t>
  </si>
  <si>
    <t>2 [39.403648]</t>
  </si>
  <si>
    <t>2 [39.807973]</t>
  </si>
  <si>
    <t>2 [40.216820]</t>
  </si>
  <si>
    <t>2 [40.627121]</t>
  </si>
  <si>
    <t>2 [41.030263]</t>
  </si>
  <si>
    <t>2 [41.437153]</t>
  </si>
  <si>
    <t>2 [41.841191]</t>
  </si>
  <si>
    <t>2 [42.247939]</t>
  </si>
  <si>
    <t>2 [42.652092]</t>
  </si>
  <si>
    <t>2 [43.058308]</t>
  </si>
  <si>
    <t>2 [43.465777]</t>
  </si>
  <si>
    <t>2 [43.877736]</t>
  </si>
  <si>
    <t>2 [44.280567]</t>
  </si>
  <si>
    <t>2 [44.684456]</t>
  </si>
  <si>
    <t>2 [45.089573]</t>
  </si>
  <si>
    <t>2 [45.498376]</t>
  </si>
  <si>
    <t>2 [45.903236]</t>
  </si>
  <si>
    <t>2 [46.312227]</t>
  </si>
  <si>
    <t>2 [46.714106]</t>
  </si>
  <si>
    <t>2 [47.123556]</t>
  </si>
  <si>
    <t>2 [47.529993]</t>
  </si>
  <si>
    <t>2 [47.936831]</t>
  </si>
  <si>
    <t>2 [48.342785]</t>
  </si>
  <si>
    <t>2 [48.745585]</t>
  </si>
  <si>
    <t>2 [49.150470]</t>
  </si>
  <si>
    <t>2 [49.558527]</t>
  </si>
  <si>
    <t>2 [49.970444]</t>
  </si>
  <si>
    <t>2 [50.372394]</t>
  </si>
  <si>
    <t>2 [50.778127]</t>
  </si>
  <si>
    <t>2 [51.185083]</t>
  </si>
  <si>
    <t>2 [51.589478]</t>
  </si>
  <si>
    <t>2 [51.997225]</t>
  </si>
  <si>
    <t>2 [52.408001]</t>
  </si>
  <si>
    <t>2 [52.809813]</t>
  </si>
  <si>
    <t>2 [53.215768]</t>
  </si>
  <si>
    <t>2 [53.623036]</t>
  </si>
  <si>
    <t>2 [54.028393]</t>
  </si>
  <si>
    <t>2 [54.435462]</t>
  </si>
  <si>
    <t>2 [54.843366]</t>
  </si>
  <si>
    <t>2 [55.248264]</t>
  </si>
  <si>
    <t>2 [55.653536]</t>
  </si>
  <si>
    <t>2 [56.061032]</t>
  </si>
  <si>
    <t>2 [56.471142]</t>
  </si>
  <si>
    <t>2 [56.875949]</t>
  </si>
  <si>
    <t>2 [57.279840]</t>
  </si>
  <si>
    <t>2 [57.685458]</t>
  </si>
  <si>
    <t>2 [58.095548]</t>
  </si>
  <si>
    <t>2 [58.501560]</t>
  </si>
  <si>
    <t>2 [58.903522]</t>
  </si>
  <si>
    <t>2 [59.309407]</t>
  </si>
  <si>
    <t>2 [59.714530]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</si>
  <si>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</si>
  <si>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</si>
  <si>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</si>
  <si>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</si>
  <si>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</si>
  <si>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</si>
  <si>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</si>
  <si>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</si>
  <si>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</si>
  <si>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</si>
  <si>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</si>
  <si>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</si>
  <si>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</si>
  <si>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菅林凤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</si>
</sst>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47.960500000000003</c:v>
                </c:pt>
                <c:pt idx="1">
                  <c:v>23.5077</c:v>
                </c:pt>
                <c:pt idx="2">
                  <c:v>26.828600000000002</c:v>
                </c:pt>
                <c:pt idx="3">
                  <c:v>33.640900000000002</c:v>
                </c:pt>
                <c:pt idx="4">
                  <c:v>69.594499999999996</c:v>
                </c:pt>
                <c:pt idx="5">
                  <c:v>80.000100000000003</c:v>
                </c:pt>
                <c:pt idx="6">
                  <c:v>35.023499999999999</c:v>
                </c:pt>
                <c:pt idx="7">
                  <c:v>74.222700000000003</c:v>
                </c:pt>
                <c:pt idx="8">
                  <c:v>23.867000000000001</c:v>
                </c:pt>
                <c:pt idx="9">
                  <c:v>32.399000000000001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0.51427657479826083</c:v>
                </c:pt>
                <c:pt idx="1">
                  <c:v>0.26213977256584153</c:v>
                </c:pt>
                <c:pt idx="2">
                  <c:v>0.22358365263589772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2083</c:v>
                </c:pt>
                <c:pt idx="7">
                  <c:v>0</c:v>
                </c:pt>
                <c:pt idx="8">
                  <c:v>2686</c:v>
                </c:pt>
                <c:pt idx="9">
                  <c:v>0</c:v>
                </c:pt>
                <c:pt idx="10">
                  <c:v>0</c:v>
                </c:pt>
                <c:pt idx="11">
                  <c:v>3306</c:v>
                </c:pt>
                <c:pt idx="12">
                  <c:v>0</c:v>
                </c:pt>
                <c:pt idx="13">
                  <c:v>3248</c:v>
                </c:pt>
                <c:pt idx="14">
                  <c:v>0</c:v>
                </c:pt>
                <c:pt idx="15">
                  <c:v>0</c:v>
                </c:pt>
                <c:pt idx="16">
                  <c:v>2976</c:v>
                </c:pt>
                <c:pt idx="17">
                  <c:v>0</c:v>
                </c:pt>
                <c:pt idx="18">
                  <c:v>0</c:v>
                </c:pt>
                <c:pt idx="19">
                  <c:v>6991</c:v>
                </c:pt>
                <c:pt idx="20">
                  <c:v>0</c:v>
                </c:pt>
                <c:pt idx="21">
                  <c:v>11784</c:v>
                </c:pt>
                <c:pt idx="22">
                  <c:v>0</c:v>
                </c:pt>
                <c:pt idx="23">
                  <c:v>0</c:v>
                </c:pt>
                <c:pt idx="24">
                  <c:v>10002</c:v>
                </c:pt>
                <c:pt idx="25">
                  <c:v>0</c:v>
                </c:pt>
                <c:pt idx="26">
                  <c:v>13812</c:v>
                </c:pt>
                <c:pt idx="27">
                  <c:v>0</c:v>
                </c:pt>
                <c:pt idx="28">
                  <c:v>0</c:v>
                </c:pt>
                <c:pt idx="29">
                  <c:v>18044</c:v>
                </c:pt>
                <c:pt idx="30">
                  <c:v>0</c:v>
                </c:pt>
                <c:pt idx="31">
                  <c:v>23664</c:v>
                </c:pt>
                <c:pt idx="32">
                  <c:v>0</c:v>
                </c:pt>
                <c:pt idx="33">
                  <c:v>0</c:v>
                </c:pt>
                <c:pt idx="34">
                  <c:v>25861</c:v>
                </c:pt>
                <c:pt idx="35">
                  <c:v>0</c:v>
                </c:pt>
                <c:pt idx="36">
                  <c:v>0</c:v>
                </c:pt>
                <c:pt idx="37">
                  <c:v>28413</c:v>
                </c:pt>
                <c:pt idx="38">
                  <c:v>0</c:v>
                </c:pt>
                <c:pt idx="39">
                  <c:v>29476</c:v>
                </c:pt>
                <c:pt idx="40">
                  <c:v>0</c:v>
                </c:pt>
                <c:pt idx="41">
                  <c:v>0</c:v>
                </c:pt>
                <c:pt idx="42">
                  <c:v>36094</c:v>
                </c:pt>
                <c:pt idx="43">
                  <c:v>0</c:v>
                </c:pt>
                <c:pt idx="44">
                  <c:v>39511</c:v>
                </c:pt>
                <c:pt idx="45">
                  <c:v>0</c:v>
                </c:pt>
                <c:pt idx="46">
                  <c:v>0</c:v>
                </c:pt>
                <c:pt idx="47">
                  <c:v>44608</c:v>
                </c:pt>
                <c:pt idx="48">
                  <c:v>0</c:v>
                </c:pt>
                <c:pt idx="49">
                  <c:v>60653</c:v>
                </c:pt>
                <c:pt idx="50">
                  <c:v>0</c:v>
                </c:pt>
                <c:pt idx="51">
                  <c:v>0</c:v>
                </c:pt>
                <c:pt idx="52">
                  <c:v>52798</c:v>
                </c:pt>
                <c:pt idx="53">
                  <c:v>0</c:v>
                </c:pt>
                <c:pt idx="54">
                  <c:v>0</c:v>
                </c:pt>
                <c:pt idx="55">
                  <c:v>64020</c:v>
                </c:pt>
                <c:pt idx="56">
                  <c:v>0</c:v>
                </c:pt>
                <c:pt idx="57">
                  <c:v>62738</c:v>
                </c:pt>
                <c:pt idx="58">
                  <c:v>0</c:v>
                </c:pt>
                <c:pt idx="59">
                  <c:v>0</c:v>
                </c:pt>
                <c:pt idx="60">
                  <c:v>75518</c:v>
                </c:pt>
                <c:pt idx="61">
                  <c:v>0</c:v>
                </c:pt>
                <c:pt idx="62">
                  <c:v>80103</c:v>
                </c:pt>
                <c:pt idx="63">
                  <c:v>0</c:v>
                </c:pt>
                <c:pt idx="64">
                  <c:v>0</c:v>
                </c:pt>
                <c:pt idx="65">
                  <c:v>85771</c:v>
                </c:pt>
                <c:pt idx="66">
                  <c:v>0</c:v>
                </c:pt>
                <c:pt idx="67">
                  <c:v>96509</c:v>
                </c:pt>
                <c:pt idx="68">
                  <c:v>0</c:v>
                </c:pt>
                <c:pt idx="69">
                  <c:v>0</c:v>
                </c:pt>
                <c:pt idx="70">
                  <c:v>106524</c:v>
                </c:pt>
                <c:pt idx="71">
                  <c:v>0</c:v>
                </c:pt>
                <c:pt idx="72">
                  <c:v>0</c:v>
                </c:pt>
                <c:pt idx="73">
                  <c:v>104696</c:v>
                </c:pt>
                <c:pt idx="74">
                  <c:v>0</c:v>
                </c:pt>
                <c:pt idx="75">
                  <c:v>122464</c:v>
                </c:pt>
                <c:pt idx="76">
                  <c:v>0</c:v>
                </c:pt>
                <c:pt idx="77">
                  <c:v>0</c:v>
                </c:pt>
                <c:pt idx="78">
                  <c:v>128836</c:v>
                </c:pt>
                <c:pt idx="79">
                  <c:v>0</c:v>
                </c:pt>
                <c:pt idx="80">
                  <c:v>135367</c:v>
                </c:pt>
                <c:pt idx="81">
                  <c:v>0</c:v>
                </c:pt>
                <c:pt idx="82">
                  <c:v>0</c:v>
                </c:pt>
                <c:pt idx="83">
                  <c:v>137442</c:v>
                </c:pt>
                <c:pt idx="84">
                  <c:v>0</c:v>
                </c:pt>
                <c:pt idx="85">
                  <c:v>0</c:v>
                </c:pt>
                <c:pt idx="86">
                  <c:v>141466</c:v>
                </c:pt>
                <c:pt idx="87">
                  <c:v>0</c:v>
                </c:pt>
                <c:pt idx="88">
                  <c:v>140290</c:v>
                </c:pt>
                <c:pt idx="89">
                  <c:v>0</c:v>
                </c:pt>
                <c:pt idx="90">
                  <c:v>0</c:v>
                </c:pt>
                <c:pt idx="91">
                  <c:v>151228</c:v>
                </c:pt>
                <c:pt idx="92">
                  <c:v>0</c:v>
                </c:pt>
                <c:pt idx="93">
                  <c:v>154785</c:v>
                </c:pt>
                <c:pt idx="94">
                  <c:v>0</c:v>
                </c:pt>
                <c:pt idx="95">
                  <c:v>0</c:v>
                </c:pt>
                <c:pt idx="96">
                  <c:v>163830</c:v>
                </c:pt>
                <c:pt idx="97">
                  <c:v>0</c:v>
                </c:pt>
                <c:pt idx="98">
                  <c:v>165055</c:v>
                </c:pt>
                <c:pt idx="99">
                  <c:v>0</c:v>
                </c:pt>
                <c:pt idx="100">
                  <c:v>0</c:v>
                </c:pt>
                <c:pt idx="101">
                  <c:v>178510</c:v>
                </c:pt>
                <c:pt idx="102">
                  <c:v>0</c:v>
                </c:pt>
                <c:pt idx="103">
                  <c:v>0</c:v>
                </c:pt>
                <c:pt idx="104">
                  <c:v>183429</c:v>
                </c:pt>
                <c:pt idx="105">
                  <c:v>0</c:v>
                </c:pt>
                <c:pt idx="106">
                  <c:v>200594</c:v>
                </c:pt>
                <c:pt idx="107">
                  <c:v>0</c:v>
                </c:pt>
                <c:pt idx="108">
                  <c:v>0</c:v>
                </c:pt>
                <c:pt idx="109">
                  <c:v>211636</c:v>
                </c:pt>
                <c:pt idx="110">
                  <c:v>0</c:v>
                </c:pt>
                <c:pt idx="111">
                  <c:v>226512</c:v>
                </c:pt>
                <c:pt idx="112">
                  <c:v>0</c:v>
                </c:pt>
                <c:pt idx="113">
                  <c:v>0</c:v>
                </c:pt>
                <c:pt idx="114">
                  <c:v>230978</c:v>
                </c:pt>
                <c:pt idx="115">
                  <c:v>0</c:v>
                </c:pt>
                <c:pt idx="116">
                  <c:v>234164</c:v>
                </c:pt>
                <c:pt idx="117">
                  <c:v>0</c:v>
                </c:pt>
                <c:pt idx="118">
                  <c:v>0</c:v>
                </c:pt>
                <c:pt idx="119">
                  <c:v>225403</c:v>
                </c:pt>
                <c:pt idx="120">
                  <c:v>0</c:v>
                </c:pt>
                <c:pt idx="121">
                  <c:v>0</c:v>
                </c:pt>
                <c:pt idx="122">
                  <c:v>218526</c:v>
                </c:pt>
                <c:pt idx="123">
                  <c:v>0</c:v>
                </c:pt>
                <c:pt idx="124">
                  <c:v>224745</c:v>
                </c:pt>
                <c:pt idx="125">
                  <c:v>0</c:v>
                </c:pt>
                <c:pt idx="126">
                  <c:v>0</c:v>
                </c:pt>
                <c:pt idx="127">
                  <c:v>212728</c:v>
                </c:pt>
                <c:pt idx="128">
                  <c:v>0</c:v>
                </c:pt>
                <c:pt idx="129">
                  <c:v>213508</c:v>
                </c:pt>
                <c:pt idx="130">
                  <c:v>0</c:v>
                </c:pt>
                <c:pt idx="131">
                  <c:v>0</c:v>
                </c:pt>
                <c:pt idx="132">
                  <c:v>215351</c:v>
                </c:pt>
                <c:pt idx="133">
                  <c:v>0</c:v>
                </c:pt>
                <c:pt idx="134">
                  <c:v>217730</c:v>
                </c:pt>
                <c:pt idx="135">
                  <c:v>0</c:v>
                </c:pt>
                <c:pt idx="136">
                  <c:v>0</c:v>
                </c:pt>
                <c:pt idx="137">
                  <c:v>214667</c:v>
                </c:pt>
                <c:pt idx="138">
                  <c:v>0</c:v>
                </c:pt>
                <c:pt idx="139">
                  <c:v>0</c:v>
                </c:pt>
                <c:pt idx="140">
                  <c:v>212007</c:v>
                </c:pt>
                <c:pt idx="141">
                  <c:v>0</c:v>
                </c:pt>
                <c:pt idx="142">
                  <c:v>199489</c:v>
                </c:pt>
                <c:pt idx="143">
                  <c:v>0</c:v>
                </c:pt>
                <c:pt idx="144">
                  <c:v>0</c:v>
                </c:pt>
                <c:pt idx="145">
                  <c:v>190404</c:v>
                </c:pt>
                <c:pt idx="146">
                  <c:v>0</c:v>
                </c:pt>
                <c:pt idx="147">
                  <c:v>184009</c:v>
                </c:pt>
                <c:pt idx="148">
                  <c:v>0</c:v>
                </c:pt>
                <c:pt idx="149">
                  <c:v>0</c:v>
                </c:pt>
                <c:pt idx="150">
                  <c:v>168985</c:v>
                </c:pt>
                <c:pt idx="151">
                  <c:v>0</c:v>
                </c:pt>
                <c:pt idx="152">
                  <c:v>167716</c:v>
                </c:pt>
                <c:pt idx="153">
                  <c:v>0</c:v>
                </c:pt>
                <c:pt idx="154">
                  <c:v>0</c:v>
                </c:pt>
                <c:pt idx="155">
                  <c:v>160020</c:v>
                </c:pt>
                <c:pt idx="156">
                  <c:v>0</c:v>
                </c:pt>
                <c:pt idx="157">
                  <c:v>0</c:v>
                </c:pt>
                <c:pt idx="158">
                  <c:v>143506</c:v>
                </c:pt>
                <c:pt idx="159">
                  <c:v>0</c:v>
                </c:pt>
                <c:pt idx="160">
                  <c:v>144926</c:v>
                </c:pt>
                <c:pt idx="161">
                  <c:v>0</c:v>
                </c:pt>
                <c:pt idx="162">
                  <c:v>0</c:v>
                </c:pt>
                <c:pt idx="163">
                  <c:v>133270</c:v>
                </c:pt>
                <c:pt idx="164">
                  <c:v>0</c:v>
                </c:pt>
                <c:pt idx="165">
                  <c:v>120036</c:v>
                </c:pt>
                <c:pt idx="166">
                  <c:v>0</c:v>
                </c:pt>
                <c:pt idx="167">
                  <c:v>0</c:v>
                </c:pt>
                <c:pt idx="168">
                  <c:v>113105</c:v>
                </c:pt>
                <c:pt idx="169">
                  <c:v>0</c:v>
                </c:pt>
                <c:pt idx="170">
                  <c:v>0</c:v>
                </c:pt>
                <c:pt idx="171">
                  <c:v>110765</c:v>
                </c:pt>
                <c:pt idx="172">
                  <c:v>0</c:v>
                </c:pt>
                <c:pt idx="173">
                  <c:v>98466</c:v>
                </c:pt>
                <c:pt idx="174">
                  <c:v>0</c:v>
                </c:pt>
                <c:pt idx="175">
                  <c:v>0</c:v>
                </c:pt>
                <c:pt idx="176">
                  <c:v>81747</c:v>
                </c:pt>
                <c:pt idx="177">
                  <c:v>0</c:v>
                </c:pt>
                <c:pt idx="178">
                  <c:v>68620</c:v>
                </c:pt>
                <c:pt idx="179">
                  <c:v>0</c:v>
                </c:pt>
                <c:pt idx="180">
                  <c:v>0</c:v>
                </c:pt>
                <c:pt idx="181">
                  <c:v>60402</c:v>
                </c:pt>
                <c:pt idx="182">
                  <c:v>0</c:v>
                </c:pt>
                <c:pt idx="183">
                  <c:v>40259</c:v>
                </c:pt>
                <c:pt idx="184">
                  <c:v>0</c:v>
                </c:pt>
                <c:pt idx="185">
                  <c:v>0</c:v>
                </c:pt>
                <c:pt idx="186">
                  <c:v>30342</c:v>
                </c:pt>
                <c:pt idx="187">
                  <c:v>0</c:v>
                </c:pt>
                <c:pt idx="188">
                  <c:v>0</c:v>
                </c:pt>
                <c:pt idx="189">
                  <c:v>24999</c:v>
                </c:pt>
                <c:pt idx="190">
                  <c:v>0</c:v>
                </c:pt>
                <c:pt idx="191">
                  <c:v>19088</c:v>
                </c:pt>
                <c:pt idx="192">
                  <c:v>0</c:v>
                </c:pt>
                <c:pt idx="193">
                  <c:v>0</c:v>
                </c:pt>
                <c:pt idx="194">
                  <c:v>8838</c:v>
                </c:pt>
                <c:pt idx="195">
                  <c:v>0</c:v>
                </c:pt>
                <c:pt idx="196">
                  <c:v>5433</c:v>
                </c:pt>
                <c:pt idx="197">
                  <c:v>0</c:v>
                </c:pt>
                <c:pt idx="198">
                  <c:v>0</c:v>
                </c:pt>
                <c:pt idx="199">
                  <c:v>2184</c:v>
                </c:pt>
                <c:pt idx="200">
                  <c:v>0</c:v>
                </c:pt>
                <c:pt idx="201">
                  <c:v>1655</c:v>
                </c:pt>
                <c:pt idx="202">
                  <c:v>0</c:v>
                </c:pt>
                <c:pt idx="203">
                  <c:v>0</c:v>
                </c:pt>
                <c:pt idx="204">
                  <c:v>1298</c:v>
                </c:pt>
                <c:pt idx="205">
                  <c:v>0</c:v>
                </c:pt>
                <c:pt idx="206">
                  <c:v>0</c:v>
                </c:pt>
                <c:pt idx="207">
                  <c:v>1629</c:v>
                </c:pt>
                <c:pt idx="208">
                  <c:v>0</c:v>
                </c:pt>
                <c:pt idx="209">
                  <c:v>1115</c:v>
                </c:pt>
                <c:pt idx="210">
                  <c:v>0</c:v>
                </c:pt>
                <c:pt idx="211">
                  <c:v>0</c:v>
                </c:pt>
                <c:pt idx="212">
                  <c:v>346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  <c:pt idx="74">
                  <c:v>5.4762900000000005</c:v>
                </c:pt>
                <c:pt idx="75">
                  <c:v>5.4856099999999994</c:v>
                </c:pt>
                <c:pt idx="76">
                  <c:v>5.4908599999999996</c:v>
                </c:pt>
                <c:pt idx="77">
                  <c:v>5.4967800000000002</c:v>
                </c:pt>
                <c:pt idx="78">
                  <c:v>5.5007200000000003</c:v>
                </c:pt>
                <c:pt idx="79">
                  <c:v>5.5073099999999995</c:v>
                </c:pt>
                <c:pt idx="80">
                  <c:v>5.509500000000001</c:v>
                </c:pt>
                <c:pt idx="81">
                  <c:v>5.5097399999999999</c:v>
                </c:pt>
                <c:pt idx="82">
                  <c:v>5.5058399999999992</c:v>
                </c:pt>
                <c:pt idx="83">
                  <c:v>5.4978099999999994</c:v>
                </c:pt>
                <c:pt idx="84">
                  <c:v>5.4851700000000001</c:v>
                </c:pt>
                <c:pt idx="85">
                  <c:v>5.4680300000000006</c:v>
                </c:pt>
                <c:pt idx="86">
                  <c:v>5.4474499999999999</c:v>
                </c:pt>
                <c:pt idx="87">
                  <c:v>5.4235699999999998</c:v>
                </c:pt>
                <c:pt idx="88">
                  <c:v>5.40083</c:v>
                </c:pt>
                <c:pt idx="89">
                  <c:v>5.3775399999999998</c:v>
                </c:pt>
                <c:pt idx="90">
                  <c:v>5.3525700000000001</c:v>
                </c:pt>
                <c:pt idx="91">
                  <c:v>5.3225500000000006</c:v>
                </c:pt>
                <c:pt idx="92">
                  <c:v>5.29671</c:v>
                </c:pt>
                <c:pt idx="93">
                  <c:v>5.2712899999999996</c:v>
                </c:pt>
                <c:pt idx="94">
                  <c:v>5.2418800000000001</c:v>
                </c:pt>
                <c:pt idx="95">
                  <c:v>5.2127400000000002</c:v>
                </c:pt>
                <c:pt idx="96">
                  <c:v>5.1818600000000004</c:v>
                </c:pt>
                <c:pt idx="97">
                  <c:v>5.1529699999999998</c:v>
                </c:pt>
                <c:pt idx="98">
                  <c:v>5.1245700000000003</c:v>
                </c:pt>
                <c:pt idx="99">
                  <c:v>5.0951699999999995</c:v>
                </c:pt>
                <c:pt idx="100">
                  <c:v>5.0636400000000004</c:v>
                </c:pt>
                <c:pt idx="101">
                  <c:v>5.0340600000000002</c:v>
                </c:pt>
                <c:pt idx="102">
                  <c:v>5.0036400000000008</c:v>
                </c:pt>
                <c:pt idx="103">
                  <c:v>4.9747200000000005</c:v>
                </c:pt>
                <c:pt idx="104">
                  <c:v>4.9428000000000001</c:v>
                </c:pt>
                <c:pt idx="105">
                  <c:v>4.9127299999999998</c:v>
                </c:pt>
                <c:pt idx="106">
                  <c:v>4.8784200000000002</c:v>
                </c:pt>
                <c:pt idx="107">
                  <c:v>4.8474199999999996</c:v>
                </c:pt>
                <c:pt idx="108">
                  <c:v>4.8230599999999999</c:v>
                </c:pt>
                <c:pt idx="109">
                  <c:v>4.8054199999999998</c:v>
                </c:pt>
                <c:pt idx="110">
                  <c:v>4.7935499999999998</c:v>
                </c:pt>
                <c:pt idx="111">
                  <c:v>4.7824200000000001</c:v>
                </c:pt>
                <c:pt idx="112">
                  <c:v>4.7752999999999997</c:v>
                </c:pt>
                <c:pt idx="113">
                  <c:v>4.7741499999999997</c:v>
                </c:pt>
                <c:pt idx="114">
                  <c:v>4.7790300000000006</c:v>
                </c:pt>
                <c:pt idx="115">
                  <c:v>4.7878799999999995</c:v>
                </c:pt>
                <c:pt idx="116">
                  <c:v>4.7982999999999993</c:v>
                </c:pt>
                <c:pt idx="117">
                  <c:v>4.8062500000000004</c:v>
                </c:pt>
                <c:pt idx="118">
                  <c:v>4.8151599999999997</c:v>
                </c:pt>
                <c:pt idx="119">
                  <c:v>4.82531</c:v>
                </c:pt>
                <c:pt idx="120">
                  <c:v>4.8346800000000005</c:v>
                </c:pt>
                <c:pt idx="121">
                  <c:v>4.8412300000000004</c:v>
                </c:pt>
                <c:pt idx="122">
                  <c:v>4.8402599999999998</c:v>
                </c:pt>
                <c:pt idx="123">
                  <c:v>4.8372200000000003</c:v>
                </c:pt>
                <c:pt idx="124">
                  <c:v>4.8430999999999997</c:v>
                </c:pt>
                <c:pt idx="125">
                  <c:v>4.8513999999999999</c:v>
                </c:pt>
                <c:pt idx="126">
                  <c:v>4.8607800000000001</c:v>
                </c:pt>
                <c:pt idx="127">
                  <c:v>4.8696400000000004</c:v>
                </c:pt>
                <c:pt idx="128">
                  <c:v>4.8779599999999999</c:v>
                </c:pt>
                <c:pt idx="129">
                  <c:v>4.8867099999999999</c:v>
                </c:pt>
                <c:pt idx="130">
                  <c:v>4.8970799999999999</c:v>
                </c:pt>
                <c:pt idx="131">
                  <c:v>4.9124099999999995</c:v>
                </c:pt>
                <c:pt idx="132">
                  <c:v>4.92666</c:v>
                </c:pt>
                <c:pt idx="133">
                  <c:v>4.9392899999999997</c:v>
                </c:pt>
                <c:pt idx="134">
                  <c:v>4.9483600000000001</c:v>
                </c:pt>
                <c:pt idx="135">
                  <c:v>4.9524299999999997</c:v>
                </c:pt>
                <c:pt idx="136">
                  <c:v>4.9584200000000003</c:v>
                </c:pt>
                <c:pt idx="137">
                  <c:v>4.9650600000000003</c:v>
                </c:pt>
                <c:pt idx="138">
                  <c:v>4.9626799999999998</c:v>
                </c:pt>
                <c:pt idx="139">
                  <c:v>4.9509699999999999</c:v>
                </c:pt>
                <c:pt idx="140">
                  <c:v>4.9304300000000003</c:v>
                </c:pt>
                <c:pt idx="141">
                  <c:v>4.9067100000000003</c:v>
                </c:pt>
                <c:pt idx="142">
                  <c:v>4.8807</c:v>
                </c:pt>
                <c:pt idx="143">
                  <c:v>4.8494799999999998</c:v>
                </c:pt>
                <c:pt idx="144">
                  <c:v>4.8140499999999999</c:v>
                </c:pt>
                <c:pt idx="145">
                  <c:v>4.7667000000000002</c:v>
                </c:pt>
                <c:pt idx="146">
                  <c:v>4.7150599999999994</c:v>
                </c:pt>
                <c:pt idx="147">
                  <c:v>4.6856599999999995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  <c:pt idx="74">
                  <c:v>40.644799999999996</c:v>
                </c:pt>
                <c:pt idx="75">
                  <c:v>40.416800000000002</c:v>
                </c:pt>
                <c:pt idx="76">
                  <c:v>40.227899999999998</c:v>
                </c:pt>
                <c:pt idx="77">
                  <c:v>40.065100000000001</c:v>
                </c:pt>
                <c:pt idx="78">
                  <c:v>39.921900000000001</c:v>
                </c:pt>
                <c:pt idx="79">
                  <c:v>39.760800000000003</c:v>
                </c:pt>
                <c:pt idx="80">
                  <c:v>39.624400000000001</c:v>
                </c:pt>
                <c:pt idx="81">
                  <c:v>39.506799999999998</c:v>
                </c:pt>
                <c:pt idx="82">
                  <c:v>39.387699999999995</c:v>
                </c:pt>
                <c:pt idx="83">
                  <c:v>39.2423</c:v>
                </c:pt>
                <c:pt idx="84">
                  <c:v>39.109300000000005</c:v>
                </c:pt>
                <c:pt idx="85">
                  <c:v>39.011200000000002</c:v>
                </c:pt>
                <c:pt idx="86">
                  <c:v>38.950200000000002</c:v>
                </c:pt>
                <c:pt idx="87">
                  <c:v>38.879899999999999</c:v>
                </c:pt>
                <c:pt idx="88">
                  <c:v>38.789699999999996</c:v>
                </c:pt>
                <c:pt idx="89">
                  <c:v>38.638300000000001</c:v>
                </c:pt>
                <c:pt idx="90">
                  <c:v>38.446000000000005</c:v>
                </c:pt>
                <c:pt idx="91">
                  <c:v>38.292000000000002</c:v>
                </c:pt>
                <c:pt idx="92">
                  <c:v>38.206699999999998</c:v>
                </c:pt>
                <c:pt idx="93">
                  <c:v>38.111600000000003</c:v>
                </c:pt>
                <c:pt idx="94">
                  <c:v>37.975300000000004</c:v>
                </c:pt>
                <c:pt idx="95">
                  <c:v>37.874899999999997</c:v>
                </c:pt>
                <c:pt idx="96">
                  <c:v>37.806800000000003</c:v>
                </c:pt>
                <c:pt idx="97">
                  <c:v>37.849400000000003</c:v>
                </c:pt>
                <c:pt idx="98">
                  <c:v>37.9557</c:v>
                </c:pt>
                <c:pt idx="99">
                  <c:v>37.980599999999995</c:v>
                </c:pt>
                <c:pt idx="100">
                  <c:v>38.032499999999999</c:v>
                </c:pt>
                <c:pt idx="101">
                  <c:v>38.063399999999994</c:v>
                </c:pt>
                <c:pt idx="102">
                  <c:v>38.155000000000001</c:v>
                </c:pt>
                <c:pt idx="103">
                  <c:v>38.278800000000004</c:v>
                </c:pt>
                <c:pt idx="104">
                  <c:v>38.490600000000001</c:v>
                </c:pt>
                <c:pt idx="105">
                  <c:v>38.674399999999999</c:v>
                </c:pt>
                <c:pt idx="106">
                  <c:v>38.9435</c:v>
                </c:pt>
                <c:pt idx="107">
                  <c:v>39.216999999999999</c:v>
                </c:pt>
                <c:pt idx="108">
                  <c:v>39.410499999999999</c:v>
                </c:pt>
                <c:pt idx="109">
                  <c:v>39.53</c:v>
                </c:pt>
                <c:pt idx="110">
                  <c:v>39.5916</c:v>
                </c:pt>
                <c:pt idx="111">
                  <c:v>39.656400000000005</c:v>
                </c:pt>
                <c:pt idx="112">
                  <c:v>39.691900000000004</c:v>
                </c:pt>
                <c:pt idx="113">
                  <c:v>39.652000000000001</c:v>
                </c:pt>
                <c:pt idx="114">
                  <c:v>39.4953</c:v>
                </c:pt>
                <c:pt idx="115">
                  <c:v>39.335000000000001</c:v>
                </c:pt>
                <c:pt idx="116">
                  <c:v>39.200899999999997</c:v>
                </c:pt>
                <c:pt idx="117">
                  <c:v>39.051900000000003</c:v>
                </c:pt>
                <c:pt idx="118">
                  <c:v>38.849299999999999</c:v>
                </c:pt>
                <c:pt idx="119">
                  <c:v>38.666600000000003</c:v>
                </c:pt>
                <c:pt idx="120">
                  <c:v>38.496099999999998</c:v>
                </c:pt>
                <c:pt idx="121">
                  <c:v>38.321800000000003</c:v>
                </c:pt>
                <c:pt idx="122">
                  <c:v>38.117400000000004</c:v>
                </c:pt>
                <c:pt idx="123">
                  <c:v>37.933999999999997</c:v>
                </c:pt>
                <c:pt idx="124">
                  <c:v>37.881399999999999</c:v>
                </c:pt>
                <c:pt idx="125">
                  <c:v>37.8247</c:v>
                </c:pt>
                <c:pt idx="126">
                  <c:v>37.753</c:v>
                </c:pt>
                <c:pt idx="127">
                  <c:v>37.669999999999995</c:v>
                </c:pt>
                <c:pt idx="128">
                  <c:v>37.582599999999999</c:v>
                </c:pt>
                <c:pt idx="129">
                  <c:v>37.526499999999999</c:v>
                </c:pt>
                <c:pt idx="130">
                  <c:v>37.470599999999997</c:v>
                </c:pt>
                <c:pt idx="131">
                  <c:v>37.424600000000005</c:v>
                </c:pt>
                <c:pt idx="132">
                  <c:v>37.352400000000003</c:v>
                </c:pt>
                <c:pt idx="133">
                  <c:v>37.244899999999994</c:v>
                </c:pt>
                <c:pt idx="134">
                  <c:v>37.084099999999999</c:v>
                </c:pt>
                <c:pt idx="135">
                  <c:v>36.890099999999997</c:v>
                </c:pt>
                <c:pt idx="136">
                  <c:v>36.653700000000001</c:v>
                </c:pt>
                <c:pt idx="137">
                  <c:v>36.353299999999997</c:v>
                </c:pt>
                <c:pt idx="138">
                  <c:v>36.072800000000001</c:v>
                </c:pt>
                <c:pt idx="139">
                  <c:v>35.913200000000003</c:v>
                </c:pt>
                <c:pt idx="140">
                  <c:v>35.677599999999998</c:v>
                </c:pt>
                <c:pt idx="141">
                  <c:v>35.335999999999999</c:v>
                </c:pt>
                <c:pt idx="142">
                  <c:v>35.089399999999998</c:v>
                </c:pt>
                <c:pt idx="143">
                  <c:v>35.029199999999996</c:v>
                </c:pt>
                <c:pt idx="144">
                  <c:v>35.020299999999999</c:v>
                </c:pt>
                <c:pt idx="145">
                  <c:v>35.0212</c:v>
                </c:pt>
                <c:pt idx="146">
                  <c:v>35.232900000000001</c:v>
                </c:pt>
                <c:pt idx="147">
                  <c:v>35.793199999999999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5.4646600000000003</c:v>
                </c:pt>
                <c:pt idx="1">
                  <c:v>5.4762900000000005</c:v>
                </c:pt>
                <c:pt idx="2">
                  <c:v>5.4856099999999994</c:v>
                </c:pt>
                <c:pt idx="3">
                  <c:v>5.4908599999999996</c:v>
                </c:pt>
                <c:pt idx="4">
                  <c:v>5.4967800000000002</c:v>
                </c:pt>
                <c:pt idx="5">
                  <c:v>5.5007200000000003</c:v>
                </c:pt>
                <c:pt idx="6">
                  <c:v>5.5073099999999995</c:v>
                </c:pt>
                <c:pt idx="7">
                  <c:v>5.509500000000001</c:v>
                </c:pt>
                <c:pt idx="8">
                  <c:v>5.5097399999999999</c:v>
                </c:pt>
                <c:pt idx="9">
                  <c:v>5.5058399999999992</c:v>
                </c:pt>
                <c:pt idx="10">
                  <c:v>5.4978099999999994</c:v>
                </c:pt>
                <c:pt idx="11">
                  <c:v>5.4851700000000001</c:v>
                </c:pt>
                <c:pt idx="12">
                  <c:v>5.4680300000000006</c:v>
                </c:pt>
                <c:pt idx="13">
                  <c:v>5.4474499999999999</c:v>
                </c:pt>
                <c:pt idx="14">
                  <c:v>5.4235699999999998</c:v>
                </c:pt>
                <c:pt idx="15">
                  <c:v>5.40083</c:v>
                </c:pt>
                <c:pt idx="16">
                  <c:v>5.3775399999999998</c:v>
                </c:pt>
                <c:pt idx="17">
                  <c:v>5.3525700000000001</c:v>
                </c:pt>
                <c:pt idx="18">
                  <c:v>5.3225500000000006</c:v>
                </c:pt>
                <c:pt idx="19">
                  <c:v>5.29671</c:v>
                </c:pt>
                <c:pt idx="20">
                  <c:v>5.2712899999999996</c:v>
                </c:pt>
                <c:pt idx="21">
                  <c:v>5.2418800000000001</c:v>
                </c:pt>
                <c:pt idx="22">
                  <c:v>5.2127400000000002</c:v>
                </c:pt>
                <c:pt idx="23">
                  <c:v>5.1818600000000004</c:v>
                </c:pt>
                <c:pt idx="24">
                  <c:v>5.1529699999999998</c:v>
                </c:pt>
                <c:pt idx="25">
                  <c:v>5.1245700000000003</c:v>
                </c:pt>
                <c:pt idx="26">
                  <c:v>5.0951699999999995</c:v>
                </c:pt>
                <c:pt idx="27">
                  <c:v>5.0636400000000004</c:v>
                </c:pt>
                <c:pt idx="28">
                  <c:v>5.0340600000000002</c:v>
                </c:pt>
                <c:pt idx="29">
                  <c:v>5.0036400000000008</c:v>
                </c:pt>
                <c:pt idx="30">
                  <c:v>4.9747200000000005</c:v>
                </c:pt>
                <c:pt idx="31">
                  <c:v>4.9428000000000001</c:v>
                </c:pt>
                <c:pt idx="32">
                  <c:v>4.9127299999999998</c:v>
                </c:pt>
                <c:pt idx="33">
                  <c:v>4.8784200000000002</c:v>
                </c:pt>
                <c:pt idx="34">
                  <c:v>4.8474199999999996</c:v>
                </c:pt>
                <c:pt idx="35">
                  <c:v>4.8230599999999999</c:v>
                </c:pt>
                <c:pt idx="36">
                  <c:v>4.8054199999999998</c:v>
                </c:pt>
                <c:pt idx="37">
                  <c:v>4.7935499999999998</c:v>
                </c:pt>
                <c:pt idx="38">
                  <c:v>4.7824200000000001</c:v>
                </c:pt>
                <c:pt idx="39">
                  <c:v>4.7752999999999997</c:v>
                </c:pt>
                <c:pt idx="40">
                  <c:v>4.7741499999999997</c:v>
                </c:pt>
                <c:pt idx="41">
                  <c:v>4.7790300000000006</c:v>
                </c:pt>
                <c:pt idx="42">
                  <c:v>4.7878799999999995</c:v>
                </c:pt>
                <c:pt idx="43">
                  <c:v>4.7982999999999993</c:v>
                </c:pt>
                <c:pt idx="44">
                  <c:v>4.8062500000000004</c:v>
                </c:pt>
                <c:pt idx="45">
                  <c:v>4.8151599999999997</c:v>
                </c:pt>
                <c:pt idx="46">
                  <c:v>4.82531</c:v>
                </c:pt>
                <c:pt idx="47">
                  <c:v>4.8346800000000005</c:v>
                </c:pt>
                <c:pt idx="48">
                  <c:v>4.8412300000000004</c:v>
                </c:pt>
                <c:pt idx="49">
                  <c:v>4.8402599999999998</c:v>
                </c:pt>
                <c:pt idx="50">
                  <c:v>4.8372200000000003</c:v>
                </c:pt>
                <c:pt idx="51">
                  <c:v>4.8430999999999997</c:v>
                </c:pt>
                <c:pt idx="52">
                  <c:v>4.8513999999999999</c:v>
                </c:pt>
                <c:pt idx="53">
                  <c:v>4.8607800000000001</c:v>
                </c:pt>
                <c:pt idx="54">
                  <c:v>4.8696400000000004</c:v>
                </c:pt>
                <c:pt idx="55">
                  <c:v>4.8779599999999999</c:v>
                </c:pt>
                <c:pt idx="56">
                  <c:v>4.8867099999999999</c:v>
                </c:pt>
                <c:pt idx="57">
                  <c:v>4.8970799999999999</c:v>
                </c:pt>
                <c:pt idx="58">
                  <c:v>4.9124099999999995</c:v>
                </c:pt>
                <c:pt idx="59">
                  <c:v>4.92666</c:v>
                </c:pt>
                <c:pt idx="60">
                  <c:v>4.9392899999999997</c:v>
                </c:pt>
                <c:pt idx="61">
                  <c:v>4.9483600000000001</c:v>
                </c:pt>
                <c:pt idx="62">
                  <c:v>4.9524299999999997</c:v>
                </c:pt>
                <c:pt idx="63">
                  <c:v>4.9584200000000003</c:v>
                </c:pt>
                <c:pt idx="64">
                  <c:v>4.9650600000000003</c:v>
                </c:pt>
                <c:pt idx="65">
                  <c:v>4.9626799999999998</c:v>
                </c:pt>
                <c:pt idx="66">
                  <c:v>4.9509699999999999</c:v>
                </c:pt>
                <c:pt idx="67">
                  <c:v>4.9304300000000003</c:v>
                </c:pt>
                <c:pt idx="68">
                  <c:v>4.9067100000000003</c:v>
                </c:pt>
                <c:pt idx="69">
                  <c:v>4.8807</c:v>
                </c:pt>
                <c:pt idx="70">
                  <c:v>4.8494799999999998</c:v>
                </c:pt>
                <c:pt idx="71">
                  <c:v>4.8140499999999999</c:v>
                </c:pt>
                <c:pt idx="72">
                  <c:v>4.7667000000000002</c:v>
                </c:pt>
                <c:pt idx="73">
                  <c:v>4.7150599999999994</c:v>
                </c:pt>
                <c:pt idx="74">
                  <c:v>4.6856599999999995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40.870100000000001</c:v>
                </c:pt>
                <c:pt idx="1">
                  <c:v>40.644799999999996</c:v>
                </c:pt>
                <c:pt idx="2">
                  <c:v>40.416800000000002</c:v>
                </c:pt>
                <c:pt idx="3">
                  <c:v>40.227899999999998</c:v>
                </c:pt>
                <c:pt idx="4">
                  <c:v>40.065100000000001</c:v>
                </c:pt>
                <c:pt idx="5">
                  <c:v>39.921900000000001</c:v>
                </c:pt>
                <c:pt idx="6">
                  <c:v>39.760800000000003</c:v>
                </c:pt>
                <c:pt idx="7">
                  <c:v>39.624400000000001</c:v>
                </c:pt>
                <c:pt idx="8">
                  <c:v>39.506799999999998</c:v>
                </c:pt>
                <c:pt idx="9">
                  <c:v>39.387699999999995</c:v>
                </c:pt>
                <c:pt idx="10">
                  <c:v>39.2423</c:v>
                </c:pt>
                <c:pt idx="11">
                  <c:v>39.109300000000005</c:v>
                </c:pt>
                <c:pt idx="12">
                  <c:v>39.011200000000002</c:v>
                </c:pt>
                <c:pt idx="13">
                  <c:v>38.950200000000002</c:v>
                </c:pt>
                <c:pt idx="14">
                  <c:v>38.879899999999999</c:v>
                </c:pt>
                <c:pt idx="15">
                  <c:v>38.789699999999996</c:v>
                </c:pt>
                <c:pt idx="16">
                  <c:v>38.638300000000001</c:v>
                </c:pt>
                <c:pt idx="17">
                  <c:v>38.446000000000005</c:v>
                </c:pt>
                <c:pt idx="18">
                  <c:v>38.292000000000002</c:v>
                </c:pt>
                <c:pt idx="19">
                  <c:v>38.206699999999998</c:v>
                </c:pt>
                <c:pt idx="20">
                  <c:v>38.111600000000003</c:v>
                </c:pt>
                <c:pt idx="21">
                  <c:v>37.975300000000004</c:v>
                </c:pt>
                <c:pt idx="22">
                  <c:v>37.874899999999997</c:v>
                </c:pt>
                <c:pt idx="23">
                  <c:v>37.806800000000003</c:v>
                </c:pt>
                <c:pt idx="24">
                  <c:v>37.849400000000003</c:v>
                </c:pt>
                <c:pt idx="25">
                  <c:v>37.9557</c:v>
                </c:pt>
                <c:pt idx="26">
                  <c:v>37.980599999999995</c:v>
                </c:pt>
                <c:pt idx="27">
                  <c:v>38.032499999999999</c:v>
                </c:pt>
                <c:pt idx="28">
                  <c:v>38.063399999999994</c:v>
                </c:pt>
                <c:pt idx="29">
                  <c:v>38.155000000000001</c:v>
                </c:pt>
                <c:pt idx="30">
                  <c:v>38.278800000000004</c:v>
                </c:pt>
                <c:pt idx="31">
                  <c:v>38.490600000000001</c:v>
                </c:pt>
                <c:pt idx="32">
                  <c:v>38.674399999999999</c:v>
                </c:pt>
                <c:pt idx="33">
                  <c:v>38.9435</c:v>
                </c:pt>
                <c:pt idx="34">
                  <c:v>39.216999999999999</c:v>
                </c:pt>
                <c:pt idx="35">
                  <c:v>39.410499999999999</c:v>
                </c:pt>
                <c:pt idx="36">
                  <c:v>39.53</c:v>
                </c:pt>
                <c:pt idx="37">
                  <c:v>39.5916</c:v>
                </c:pt>
                <c:pt idx="38">
                  <c:v>39.656400000000005</c:v>
                </c:pt>
                <c:pt idx="39">
                  <c:v>39.691900000000004</c:v>
                </c:pt>
                <c:pt idx="40">
                  <c:v>39.652000000000001</c:v>
                </c:pt>
                <c:pt idx="41">
                  <c:v>39.4953</c:v>
                </c:pt>
                <c:pt idx="42">
                  <c:v>39.335000000000001</c:v>
                </c:pt>
                <c:pt idx="43">
                  <c:v>39.200899999999997</c:v>
                </c:pt>
                <c:pt idx="44">
                  <c:v>39.051900000000003</c:v>
                </c:pt>
                <c:pt idx="45">
                  <c:v>38.849299999999999</c:v>
                </c:pt>
                <c:pt idx="46">
                  <c:v>38.666600000000003</c:v>
                </c:pt>
                <c:pt idx="47">
                  <c:v>38.496099999999998</c:v>
                </c:pt>
                <c:pt idx="48">
                  <c:v>38.321800000000003</c:v>
                </c:pt>
                <c:pt idx="49">
                  <c:v>38.117400000000004</c:v>
                </c:pt>
                <c:pt idx="50">
                  <c:v>37.933999999999997</c:v>
                </c:pt>
                <c:pt idx="51">
                  <c:v>37.881399999999999</c:v>
                </c:pt>
                <c:pt idx="52">
                  <c:v>37.8247</c:v>
                </c:pt>
                <c:pt idx="53">
                  <c:v>37.753</c:v>
                </c:pt>
                <c:pt idx="54">
                  <c:v>37.669999999999995</c:v>
                </c:pt>
                <c:pt idx="55">
                  <c:v>37.582599999999999</c:v>
                </c:pt>
                <c:pt idx="56">
                  <c:v>37.526499999999999</c:v>
                </c:pt>
                <c:pt idx="57">
                  <c:v>37.470599999999997</c:v>
                </c:pt>
                <c:pt idx="58">
                  <c:v>37.424600000000005</c:v>
                </c:pt>
                <c:pt idx="59">
                  <c:v>37.352400000000003</c:v>
                </c:pt>
                <c:pt idx="60">
                  <c:v>37.244899999999994</c:v>
                </c:pt>
                <c:pt idx="61">
                  <c:v>37.084099999999999</c:v>
                </c:pt>
                <c:pt idx="62">
                  <c:v>36.890099999999997</c:v>
                </c:pt>
                <c:pt idx="63">
                  <c:v>36.653700000000001</c:v>
                </c:pt>
                <c:pt idx="64">
                  <c:v>36.353299999999997</c:v>
                </c:pt>
                <c:pt idx="65">
                  <c:v>36.072800000000001</c:v>
                </c:pt>
                <c:pt idx="66">
                  <c:v>35.913200000000003</c:v>
                </c:pt>
                <c:pt idx="67">
                  <c:v>35.677599999999998</c:v>
                </c:pt>
                <c:pt idx="68">
                  <c:v>35.335999999999999</c:v>
                </c:pt>
                <c:pt idx="69">
                  <c:v>35.089399999999998</c:v>
                </c:pt>
                <c:pt idx="70">
                  <c:v>35.029199999999996</c:v>
                </c:pt>
                <c:pt idx="71">
                  <c:v>35.020299999999999</c:v>
                </c:pt>
                <c:pt idx="72">
                  <c:v>35.0212</c:v>
                </c:pt>
                <c:pt idx="73">
                  <c:v>35.232900000000001</c:v>
                </c:pt>
                <c:pt idx="74">
                  <c:v>35.793199999999999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2.40374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4.243099864864865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47.123168918918928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5.0481587837837862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38.140941891891899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5.0481587837837862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38.140941891891899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0.17589810368796246</c:v>
                </c:pt>
                <c:pt idx="1">
                  <c:v>0.36046818368597522</c:v>
                </c:pt>
                <c:pt idx="2">
                  <c:v>0.46363371262606234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  <c:pt idx="74">
                  <c:v>30.060500000000001</c:v>
                </c:pt>
                <c:pt idx="75">
                  <c:v>30.4695</c:v>
                </c:pt>
                <c:pt idx="76">
                  <c:v>30.874500000000001</c:v>
                </c:pt>
                <c:pt idx="77">
                  <c:v>31.279399999999999</c:v>
                </c:pt>
                <c:pt idx="78">
                  <c:v>31.688199999999998</c:v>
                </c:pt>
                <c:pt idx="79">
                  <c:v>32.094499999999996</c:v>
                </c:pt>
                <c:pt idx="80">
                  <c:v>32.5002</c:v>
                </c:pt>
                <c:pt idx="81">
                  <c:v>32.907499999999999</c:v>
                </c:pt>
                <c:pt idx="82">
                  <c:v>33.308999999999997</c:v>
                </c:pt>
                <c:pt idx="83">
                  <c:v>33.712899999999998</c:v>
                </c:pt>
                <c:pt idx="84">
                  <c:v>34.125700000000002</c:v>
                </c:pt>
                <c:pt idx="85">
                  <c:v>34.530700000000003</c:v>
                </c:pt>
                <c:pt idx="86">
                  <c:v>34.936599999999999</c:v>
                </c:pt>
                <c:pt idx="87">
                  <c:v>35.343499999999999</c:v>
                </c:pt>
                <c:pt idx="88">
                  <c:v>35.7455</c:v>
                </c:pt>
                <c:pt idx="89">
                  <c:v>36.154400000000003</c:v>
                </c:pt>
                <c:pt idx="90">
                  <c:v>36.562600000000003</c:v>
                </c:pt>
                <c:pt idx="91">
                  <c:v>36.967700000000001</c:v>
                </c:pt>
                <c:pt idx="92">
                  <c:v>37.371299999999998</c:v>
                </c:pt>
                <c:pt idx="93">
                  <c:v>37.778700000000001</c:v>
                </c:pt>
                <c:pt idx="94">
                  <c:v>38.186900000000001</c:v>
                </c:pt>
                <c:pt idx="95">
                  <c:v>38.593899999999998</c:v>
                </c:pt>
                <c:pt idx="96">
                  <c:v>38.997</c:v>
                </c:pt>
                <c:pt idx="97">
                  <c:v>39.403599999999997</c:v>
                </c:pt>
                <c:pt idx="98">
                  <c:v>39.808</c:v>
                </c:pt>
                <c:pt idx="99">
                  <c:v>40.216799999999999</c:v>
                </c:pt>
                <c:pt idx="100">
                  <c:v>40.627099999999999</c:v>
                </c:pt>
                <c:pt idx="101">
                  <c:v>41.030299999999997</c:v>
                </c:pt>
                <c:pt idx="102">
                  <c:v>41.437199999999997</c:v>
                </c:pt>
                <c:pt idx="103">
                  <c:v>41.841200000000001</c:v>
                </c:pt>
                <c:pt idx="104">
                  <c:v>42.247900000000001</c:v>
                </c:pt>
                <c:pt idx="105">
                  <c:v>42.652099999999997</c:v>
                </c:pt>
                <c:pt idx="106">
                  <c:v>43.058300000000003</c:v>
                </c:pt>
                <c:pt idx="107">
                  <c:v>43.465800000000002</c:v>
                </c:pt>
                <c:pt idx="108">
                  <c:v>43.877699999999997</c:v>
                </c:pt>
                <c:pt idx="109">
                  <c:v>44.2806</c:v>
                </c:pt>
                <c:pt idx="110">
                  <c:v>44.6845</c:v>
                </c:pt>
                <c:pt idx="111">
                  <c:v>45.089599999999997</c:v>
                </c:pt>
                <c:pt idx="112">
                  <c:v>45.498399999999997</c:v>
                </c:pt>
                <c:pt idx="113">
                  <c:v>45.903199999999998</c:v>
                </c:pt>
                <c:pt idx="114">
                  <c:v>46.312199999999997</c:v>
                </c:pt>
                <c:pt idx="115">
                  <c:v>46.714100000000002</c:v>
                </c:pt>
                <c:pt idx="116">
                  <c:v>47.123600000000003</c:v>
                </c:pt>
                <c:pt idx="117">
                  <c:v>47.53</c:v>
                </c:pt>
                <c:pt idx="118">
                  <c:v>47.936799999999998</c:v>
                </c:pt>
                <c:pt idx="119">
                  <c:v>48.342799999999997</c:v>
                </c:pt>
                <c:pt idx="120">
                  <c:v>48.745600000000003</c:v>
                </c:pt>
                <c:pt idx="121">
                  <c:v>49.150500000000001</c:v>
                </c:pt>
                <c:pt idx="122">
                  <c:v>49.558500000000002</c:v>
                </c:pt>
                <c:pt idx="123">
                  <c:v>49.970399999999998</c:v>
                </c:pt>
                <c:pt idx="124">
                  <c:v>50.372399999999999</c:v>
                </c:pt>
                <c:pt idx="125">
                  <c:v>50.778100000000002</c:v>
                </c:pt>
                <c:pt idx="126">
                  <c:v>51.185099999999998</c:v>
                </c:pt>
                <c:pt idx="127">
                  <c:v>51.589500000000001</c:v>
                </c:pt>
                <c:pt idx="128">
                  <c:v>51.997199999999999</c:v>
                </c:pt>
                <c:pt idx="129">
                  <c:v>52.408000000000001</c:v>
                </c:pt>
                <c:pt idx="130">
                  <c:v>52.809800000000003</c:v>
                </c:pt>
                <c:pt idx="131">
                  <c:v>53.215800000000002</c:v>
                </c:pt>
                <c:pt idx="132">
                  <c:v>53.622999999999998</c:v>
                </c:pt>
                <c:pt idx="133">
                  <c:v>54.028399999999998</c:v>
                </c:pt>
                <c:pt idx="134">
                  <c:v>54.435499999999998</c:v>
                </c:pt>
                <c:pt idx="135">
                  <c:v>54.843400000000003</c:v>
                </c:pt>
                <c:pt idx="136">
                  <c:v>55.2483</c:v>
                </c:pt>
                <c:pt idx="137">
                  <c:v>55.653500000000001</c:v>
                </c:pt>
                <c:pt idx="138">
                  <c:v>56.061</c:v>
                </c:pt>
                <c:pt idx="139">
                  <c:v>56.4711</c:v>
                </c:pt>
                <c:pt idx="140">
                  <c:v>56.875900000000001</c:v>
                </c:pt>
                <c:pt idx="141">
                  <c:v>57.279800000000002</c:v>
                </c:pt>
                <c:pt idx="142">
                  <c:v>57.685499999999998</c:v>
                </c:pt>
                <c:pt idx="143">
                  <c:v>58.095500000000001</c:v>
                </c:pt>
                <c:pt idx="144">
                  <c:v>58.501600000000003</c:v>
                </c:pt>
                <c:pt idx="145">
                  <c:v>58.903500000000001</c:v>
                </c:pt>
                <c:pt idx="146">
                  <c:v>59.309399999999997</c:v>
                </c:pt>
                <c:pt idx="147">
                  <c:v>59.714500000000001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  <c:pt idx="74">
                  <c:v>5.4762900000000005</c:v>
                </c:pt>
                <c:pt idx="75">
                  <c:v>5.4856099999999994</c:v>
                </c:pt>
                <c:pt idx="76">
                  <c:v>5.4908599999999996</c:v>
                </c:pt>
                <c:pt idx="77">
                  <c:v>5.4967800000000002</c:v>
                </c:pt>
                <c:pt idx="78">
                  <c:v>5.5007200000000003</c:v>
                </c:pt>
                <c:pt idx="79">
                  <c:v>5.5073099999999995</c:v>
                </c:pt>
                <c:pt idx="80">
                  <c:v>5.509500000000001</c:v>
                </c:pt>
                <c:pt idx="81">
                  <c:v>5.5097399999999999</c:v>
                </c:pt>
                <c:pt idx="82">
                  <c:v>5.5058399999999992</c:v>
                </c:pt>
                <c:pt idx="83">
                  <c:v>5.4978099999999994</c:v>
                </c:pt>
                <c:pt idx="84">
                  <c:v>5.4851700000000001</c:v>
                </c:pt>
                <c:pt idx="85">
                  <c:v>5.4680300000000006</c:v>
                </c:pt>
                <c:pt idx="86">
                  <c:v>5.4474499999999999</c:v>
                </c:pt>
                <c:pt idx="87">
                  <c:v>5.4235699999999998</c:v>
                </c:pt>
                <c:pt idx="88">
                  <c:v>5.40083</c:v>
                </c:pt>
                <c:pt idx="89">
                  <c:v>5.3775399999999998</c:v>
                </c:pt>
                <c:pt idx="90">
                  <c:v>5.3525700000000001</c:v>
                </c:pt>
                <c:pt idx="91">
                  <c:v>5.3225500000000006</c:v>
                </c:pt>
                <c:pt idx="92">
                  <c:v>5.29671</c:v>
                </c:pt>
                <c:pt idx="93">
                  <c:v>5.2712899999999996</c:v>
                </c:pt>
                <c:pt idx="94">
                  <c:v>5.2418800000000001</c:v>
                </c:pt>
                <c:pt idx="95">
                  <c:v>5.2127400000000002</c:v>
                </c:pt>
                <c:pt idx="96">
                  <c:v>5.1818600000000004</c:v>
                </c:pt>
                <c:pt idx="97">
                  <c:v>5.1529699999999998</c:v>
                </c:pt>
                <c:pt idx="98">
                  <c:v>5.1245700000000003</c:v>
                </c:pt>
                <c:pt idx="99">
                  <c:v>5.0951699999999995</c:v>
                </c:pt>
                <c:pt idx="100">
                  <c:v>5.0636400000000004</c:v>
                </c:pt>
                <c:pt idx="101">
                  <c:v>5.0340600000000002</c:v>
                </c:pt>
                <c:pt idx="102">
                  <c:v>5.0036400000000008</c:v>
                </c:pt>
                <c:pt idx="103">
                  <c:v>4.9747200000000005</c:v>
                </c:pt>
                <c:pt idx="104">
                  <c:v>4.9428000000000001</c:v>
                </c:pt>
                <c:pt idx="105">
                  <c:v>4.9127299999999998</c:v>
                </c:pt>
                <c:pt idx="106">
                  <c:v>4.8784200000000002</c:v>
                </c:pt>
                <c:pt idx="107">
                  <c:v>4.8474199999999996</c:v>
                </c:pt>
                <c:pt idx="108">
                  <c:v>4.8230599999999999</c:v>
                </c:pt>
                <c:pt idx="109">
                  <c:v>4.8054199999999998</c:v>
                </c:pt>
                <c:pt idx="110">
                  <c:v>4.7935499999999998</c:v>
                </c:pt>
                <c:pt idx="111">
                  <c:v>4.7824200000000001</c:v>
                </c:pt>
                <c:pt idx="112">
                  <c:v>4.7752999999999997</c:v>
                </c:pt>
                <c:pt idx="113">
                  <c:v>4.7741499999999997</c:v>
                </c:pt>
                <c:pt idx="114">
                  <c:v>4.7790300000000006</c:v>
                </c:pt>
                <c:pt idx="115">
                  <c:v>4.7878799999999995</c:v>
                </c:pt>
                <c:pt idx="116">
                  <c:v>4.7982999999999993</c:v>
                </c:pt>
                <c:pt idx="117">
                  <c:v>4.8062500000000004</c:v>
                </c:pt>
                <c:pt idx="118">
                  <c:v>4.8151599999999997</c:v>
                </c:pt>
                <c:pt idx="119">
                  <c:v>4.82531</c:v>
                </c:pt>
                <c:pt idx="120">
                  <c:v>4.8346800000000005</c:v>
                </c:pt>
                <c:pt idx="121">
                  <c:v>4.8412300000000004</c:v>
                </c:pt>
                <c:pt idx="122">
                  <c:v>4.8402599999999998</c:v>
                </c:pt>
                <c:pt idx="123">
                  <c:v>4.8372200000000003</c:v>
                </c:pt>
                <c:pt idx="124">
                  <c:v>4.8430999999999997</c:v>
                </c:pt>
                <c:pt idx="125">
                  <c:v>4.8513999999999999</c:v>
                </c:pt>
                <c:pt idx="126">
                  <c:v>4.8607800000000001</c:v>
                </c:pt>
                <c:pt idx="127">
                  <c:v>4.8696400000000004</c:v>
                </c:pt>
                <c:pt idx="128">
                  <c:v>4.8779599999999999</c:v>
                </c:pt>
                <c:pt idx="129">
                  <c:v>4.8867099999999999</c:v>
                </c:pt>
                <c:pt idx="130">
                  <c:v>4.8970799999999999</c:v>
                </c:pt>
                <c:pt idx="131">
                  <c:v>4.9124099999999995</c:v>
                </c:pt>
                <c:pt idx="132">
                  <c:v>4.92666</c:v>
                </c:pt>
                <c:pt idx="133">
                  <c:v>4.9392899999999997</c:v>
                </c:pt>
                <c:pt idx="134">
                  <c:v>4.9483600000000001</c:v>
                </c:pt>
                <c:pt idx="135">
                  <c:v>4.9524299999999997</c:v>
                </c:pt>
                <c:pt idx="136">
                  <c:v>4.9584200000000003</c:v>
                </c:pt>
                <c:pt idx="137">
                  <c:v>4.9650600000000003</c:v>
                </c:pt>
                <c:pt idx="138">
                  <c:v>4.9626799999999998</c:v>
                </c:pt>
                <c:pt idx="139">
                  <c:v>4.9509699999999999</c:v>
                </c:pt>
                <c:pt idx="140">
                  <c:v>4.9304300000000003</c:v>
                </c:pt>
                <c:pt idx="141">
                  <c:v>4.9067100000000003</c:v>
                </c:pt>
                <c:pt idx="142">
                  <c:v>4.8807</c:v>
                </c:pt>
                <c:pt idx="143">
                  <c:v>4.8494799999999998</c:v>
                </c:pt>
                <c:pt idx="144">
                  <c:v>4.8140499999999999</c:v>
                </c:pt>
                <c:pt idx="145">
                  <c:v>4.7667000000000002</c:v>
                </c:pt>
                <c:pt idx="146">
                  <c:v>4.7150599999999994</c:v>
                </c:pt>
                <c:pt idx="147">
                  <c:v>4.6856599999999995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29.651900000000001</c:v>
                </c:pt>
                <c:pt idx="1">
                  <c:v>30.060500000000001</c:v>
                </c:pt>
                <c:pt idx="2">
                  <c:v>30.4695</c:v>
                </c:pt>
                <c:pt idx="3">
                  <c:v>30.874500000000001</c:v>
                </c:pt>
                <c:pt idx="4">
                  <c:v>31.279399999999999</c:v>
                </c:pt>
                <c:pt idx="5">
                  <c:v>31.688199999999998</c:v>
                </c:pt>
                <c:pt idx="6">
                  <c:v>32.094499999999996</c:v>
                </c:pt>
                <c:pt idx="7">
                  <c:v>32.5002</c:v>
                </c:pt>
                <c:pt idx="8">
                  <c:v>32.907499999999999</c:v>
                </c:pt>
                <c:pt idx="9">
                  <c:v>33.308999999999997</c:v>
                </c:pt>
                <c:pt idx="10">
                  <c:v>33.712899999999998</c:v>
                </c:pt>
                <c:pt idx="11">
                  <c:v>34.125700000000002</c:v>
                </c:pt>
                <c:pt idx="12">
                  <c:v>34.530700000000003</c:v>
                </c:pt>
                <c:pt idx="13">
                  <c:v>34.936599999999999</c:v>
                </c:pt>
                <c:pt idx="14">
                  <c:v>35.343499999999999</c:v>
                </c:pt>
                <c:pt idx="15">
                  <c:v>35.7455</c:v>
                </c:pt>
                <c:pt idx="16">
                  <c:v>36.154400000000003</c:v>
                </c:pt>
                <c:pt idx="17">
                  <c:v>36.562600000000003</c:v>
                </c:pt>
                <c:pt idx="18">
                  <c:v>36.967700000000001</c:v>
                </c:pt>
                <c:pt idx="19">
                  <c:v>37.371299999999998</c:v>
                </c:pt>
                <c:pt idx="20">
                  <c:v>37.778700000000001</c:v>
                </c:pt>
                <c:pt idx="21">
                  <c:v>38.186900000000001</c:v>
                </c:pt>
                <c:pt idx="22">
                  <c:v>38.593899999999998</c:v>
                </c:pt>
                <c:pt idx="23">
                  <c:v>38.997</c:v>
                </c:pt>
                <c:pt idx="24">
                  <c:v>39.403599999999997</c:v>
                </c:pt>
                <c:pt idx="25">
                  <c:v>39.808</c:v>
                </c:pt>
                <c:pt idx="26">
                  <c:v>40.216799999999999</c:v>
                </c:pt>
                <c:pt idx="27">
                  <c:v>40.627099999999999</c:v>
                </c:pt>
                <c:pt idx="28">
                  <c:v>41.030299999999997</c:v>
                </c:pt>
                <c:pt idx="29">
                  <c:v>41.437199999999997</c:v>
                </c:pt>
                <c:pt idx="30">
                  <c:v>41.841200000000001</c:v>
                </c:pt>
                <c:pt idx="31">
                  <c:v>42.247900000000001</c:v>
                </c:pt>
                <c:pt idx="32">
                  <c:v>42.652099999999997</c:v>
                </c:pt>
                <c:pt idx="33">
                  <c:v>43.058300000000003</c:v>
                </c:pt>
                <c:pt idx="34">
                  <c:v>43.465800000000002</c:v>
                </c:pt>
                <c:pt idx="35">
                  <c:v>43.877699999999997</c:v>
                </c:pt>
                <c:pt idx="36">
                  <c:v>44.2806</c:v>
                </c:pt>
                <c:pt idx="37">
                  <c:v>44.6845</c:v>
                </c:pt>
                <c:pt idx="38">
                  <c:v>45.089599999999997</c:v>
                </c:pt>
                <c:pt idx="39">
                  <c:v>45.498399999999997</c:v>
                </c:pt>
                <c:pt idx="40">
                  <c:v>45.903199999999998</c:v>
                </c:pt>
                <c:pt idx="41">
                  <c:v>46.312199999999997</c:v>
                </c:pt>
                <c:pt idx="42">
                  <c:v>46.714100000000002</c:v>
                </c:pt>
                <c:pt idx="43">
                  <c:v>47.123600000000003</c:v>
                </c:pt>
                <c:pt idx="44">
                  <c:v>47.53</c:v>
                </c:pt>
                <c:pt idx="45">
                  <c:v>47.936799999999998</c:v>
                </c:pt>
                <c:pt idx="46">
                  <c:v>48.342799999999997</c:v>
                </c:pt>
                <c:pt idx="47">
                  <c:v>48.745600000000003</c:v>
                </c:pt>
                <c:pt idx="48">
                  <c:v>49.150500000000001</c:v>
                </c:pt>
                <c:pt idx="49">
                  <c:v>49.558500000000002</c:v>
                </c:pt>
                <c:pt idx="50">
                  <c:v>49.970399999999998</c:v>
                </c:pt>
                <c:pt idx="51">
                  <c:v>50.372399999999999</c:v>
                </c:pt>
                <c:pt idx="52">
                  <c:v>50.778100000000002</c:v>
                </c:pt>
                <c:pt idx="53">
                  <c:v>51.185099999999998</c:v>
                </c:pt>
                <c:pt idx="54">
                  <c:v>51.589500000000001</c:v>
                </c:pt>
                <c:pt idx="55">
                  <c:v>51.997199999999999</c:v>
                </c:pt>
                <c:pt idx="56">
                  <c:v>52.408000000000001</c:v>
                </c:pt>
                <c:pt idx="57">
                  <c:v>52.809800000000003</c:v>
                </c:pt>
                <c:pt idx="58">
                  <c:v>53.215800000000002</c:v>
                </c:pt>
                <c:pt idx="59">
                  <c:v>53.622999999999998</c:v>
                </c:pt>
                <c:pt idx="60">
                  <c:v>54.028399999999998</c:v>
                </c:pt>
                <c:pt idx="61">
                  <c:v>54.435499999999998</c:v>
                </c:pt>
                <c:pt idx="62">
                  <c:v>54.843400000000003</c:v>
                </c:pt>
                <c:pt idx="63">
                  <c:v>55.2483</c:v>
                </c:pt>
                <c:pt idx="64">
                  <c:v>55.653500000000001</c:v>
                </c:pt>
                <c:pt idx="65">
                  <c:v>56.061</c:v>
                </c:pt>
                <c:pt idx="66">
                  <c:v>56.4711</c:v>
                </c:pt>
                <c:pt idx="67">
                  <c:v>56.875900000000001</c:v>
                </c:pt>
                <c:pt idx="68">
                  <c:v>57.279800000000002</c:v>
                </c:pt>
                <c:pt idx="69">
                  <c:v>57.685499999999998</c:v>
                </c:pt>
                <c:pt idx="70">
                  <c:v>58.095500000000001</c:v>
                </c:pt>
                <c:pt idx="71">
                  <c:v>58.501600000000003</c:v>
                </c:pt>
                <c:pt idx="72">
                  <c:v>58.903500000000001</c:v>
                </c:pt>
                <c:pt idx="73">
                  <c:v>59.309399999999997</c:v>
                </c:pt>
                <c:pt idx="74">
                  <c:v>59.714500000000001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5.4646600000000003</c:v>
                </c:pt>
                <c:pt idx="1">
                  <c:v>5.4762900000000005</c:v>
                </c:pt>
                <c:pt idx="2">
                  <c:v>5.4856099999999994</c:v>
                </c:pt>
                <c:pt idx="3">
                  <c:v>5.4908599999999996</c:v>
                </c:pt>
                <c:pt idx="4">
                  <c:v>5.4967800000000002</c:v>
                </c:pt>
                <c:pt idx="5">
                  <c:v>5.5007200000000003</c:v>
                </c:pt>
                <c:pt idx="6">
                  <c:v>5.5073099999999995</c:v>
                </c:pt>
                <c:pt idx="7">
                  <c:v>5.509500000000001</c:v>
                </c:pt>
                <c:pt idx="8">
                  <c:v>5.5097399999999999</c:v>
                </c:pt>
                <c:pt idx="9">
                  <c:v>5.5058399999999992</c:v>
                </c:pt>
                <c:pt idx="10">
                  <c:v>5.4978099999999994</c:v>
                </c:pt>
                <c:pt idx="11">
                  <c:v>5.4851700000000001</c:v>
                </c:pt>
                <c:pt idx="12">
                  <c:v>5.4680300000000006</c:v>
                </c:pt>
                <c:pt idx="13">
                  <c:v>5.4474499999999999</c:v>
                </c:pt>
                <c:pt idx="14">
                  <c:v>5.4235699999999998</c:v>
                </c:pt>
                <c:pt idx="15">
                  <c:v>5.40083</c:v>
                </c:pt>
                <c:pt idx="16">
                  <c:v>5.3775399999999998</c:v>
                </c:pt>
                <c:pt idx="17">
                  <c:v>5.3525700000000001</c:v>
                </c:pt>
                <c:pt idx="18">
                  <c:v>5.3225500000000006</c:v>
                </c:pt>
                <c:pt idx="19">
                  <c:v>5.29671</c:v>
                </c:pt>
                <c:pt idx="20">
                  <c:v>5.2712899999999996</c:v>
                </c:pt>
                <c:pt idx="21">
                  <c:v>5.2418800000000001</c:v>
                </c:pt>
                <c:pt idx="22">
                  <c:v>5.2127400000000002</c:v>
                </c:pt>
                <c:pt idx="23">
                  <c:v>5.1818600000000004</c:v>
                </c:pt>
                <c:pt idx="24">
                  <c:v>5.1529699999999998</c:v>
                </c:pt>
                <c:pt idx="25">
                  <c:v>5.1245700000000003</c:v>
                </c:pt>
                <c:pt idx="26">
                  <c:v>5.0951699999999995</c:v>
                </c:pt>
                <c:pt idx="27">
                  <c:v>5.0636400000000004</c:v>
                </c:pt>
                <c:pt idx="28">
                  <c:v>5.0340600000000002</c:v>
                </c:pt>
                <c:pt idx="29">
                  <c:v>5.0036400000000008</c:v>
                </c:pt>
                <c:pt idx="30">
                  <c:v>4.9747200000000005</c:v>
                </c:pt>
                <c:pt idx="31">
                  <c:v>4.9428000000000001</c:v>
                </c:pt>
                <c:pt idx="32">
                  <c:v>4.9127299999999998</c:v>
                </c:pt>
                <c:pt idx="33">
                  <c:v>4.8784200000000002</c:v>
                </c:pt>
                <c:pt idx="34">
                  <c:v>4.8474199999999996</c:v>
                </c:pt>
                <c:pt idx="35">
                  <c:v>4.8230599999999999</c:v>
                </c:pt>
                <c:pt idx="36">
                  <c:v>4.8054199999999998</c:v>
                </c:pt>
                <c:pt idx="37">
                  <c:v>4.7935499999999998</c:v>
                </c:pt>
                <c:pt idx="38">
                  <c:v>4.7824200000000001</c:v>
                </c:pt>
                <c:pt idx="39">
                  <c:v>4.7752999999999997</c:v>
                </c:pt>
                <c:pt idx="40">
                  <c:v>4.7741499999999997</c:v>
                </c:pt>
                <c:pt idx="41">
                  <c:v>4.7790300000000006</c:v>
                </c:pt>
                <c:pt idx="42">
                  <c:v>4.7878799999999995</c:v>
                </c:pt>
                <c:pt idx="43">
                  <c:v>4.7982999999999993</c:v>
                </c:pt>
                <c:pt idx="44">
                  <c:v>4.8062500000000004</c:v>
                </c:pt>
                <c:pt idx="45">
                  <c:v>4.8151599999999997</c:v>
                </c:pt>
                <c:pt idx="46">
                  <c:v>4.82531</c:v>
                </c:pt>
                <c:pt idx="47">
                  <c:v>4.8346800000000005</c:v>
                </c:pt>
                <c:pt idx="48">
                  <c:v>4.8412300000000004</c:v>
                </c:pt>
                <c:pt idx="49">
                  <c:v>4.8402599999999998</c:v>
                </c:pt>
                <c:pt idx="50">
                  <c:v>4.8372200000000003</c:v>
                </c:pt>
                <c:pt idx="51">
                  <c:v>4.8430999999999997</c:v>
                </c:pt>
                <c:pt idx="52">
                  <c:v>4.8513999999999999</c:v>
                </c:pt>
                <c:pt idx="53">
                  <c:v>4.8607800000000001</c:v>
                </c:pt>
                <c:pt idx="54">
                  <c:v>4.8696400000000004</c:v>
                </c:pt>
                <c:pt idx="55">
                  <c:v>4.8779599999999999</c:v>
                </c:pt>
                <c:pt idx="56">
                  <c:v>4.8867099999999999</c:v>
                </c:pt>
                <c:pt idx="57">
                  <c:v>4.8970799999999999</c:v>
                </c:pt>
                <c:pt idx="58">
                  <c:v>4.9124099999999995</c:v>
                </c:pt>
                <c:pt idx="59">
                  <c:v>4.92666</c:v>
                </c:pt>
                <c:pt idx="60">
                  <c:v>4.9392899999999997</c:v>
                </c:pt>
                <c:pt idx="61">
                  <c:v>4.9483600000000001</c:v>
                </c:pt>
                <c:pt idx="62">
                  <c:v>4.9524299999999997</c:v>
                </c:pt>
                <c:pt idx="63">
                  <c:v>4.9584200000000003</c:v>
                </c:pt>
                <c:pt idx="64">
                  <c:v>4.9650600000000003</c:v>
                </c:pt>
                <c:pt idx="65">
                  <c:v>4.9626799999999998</c:v>
                </c:pt>
                <c:pt idx="66">
                  <c:v>4.9509699999999999</c:v>
                </c:pt>
                <c:pt idx="67">
                  <c:v>4.9304300000000003</c:v>
                </c:pt>
                <c:pt idx="68">
                  <c:v>4.9067100000000003</c:v>
                </c:pt>
                <c:pt idx="69">
                  <c:v>4.8807</c:v>
                </c:pt>
                <c:pt idx="70">
                  <c:v>4.8494799999999998</c:v>
                </c:pt>
                <c:pt idx="71">
                  <c:v>4.8140499999999999</c:v>
                </c:pt>
                <c:pt idx="72">
                  <c:v>4.7667000000000002</c:v>
                </c:pt>
                <c:pt idx="73">
                  <c:v>4.7150599999999994</c:v>
                </c:pt>
                <c:pt idx="74">
                  <c:v>4.6856599999999995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14.928625</c:v>
                </c:pt>
                <c:pt idx="1">
                  <c:v>44.785875000000004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4.243099864864865</c:v>
                </c:pt>
                <c:pt idx="1">
                  <c:v>5.0481587837837862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  <c:pt idx="74">
                  <c:v>30.060500000000001</c:v>
                </c:pt>
                <c:pt idx="75">
                  <c:v>30.4695</c:v>
                </c:pt>
                <c:pt idx="76">
                  <c:v>30.874500000000001</c:v>
                </c:pt>
                <c:pt idx="77">
                  <c:v>31.279399999999999</c:v>
                </c:pt>
                <c:pt idx="78">
                  <c:v>31.688199999999998</c:v>
                </c:pt>
                <c:pt idx="79">
                  <c:v>32.094499999999996</c:v>
                </c:pt>
                <c:pt idx="80">
                  <c:v>32.5002</c:v>
                </c:pt>
                <c:pt idx="81">
                  <c:v>32.907499999999999</c:v>
                </c:pt>
                <c:pt idx="82">
                  <c:v>33.308999999999997</c:v>
                </c:pt>
                <c:pt idx="83">
                  <c:v>33.712899999999998</c:v>
                </c:pt>
                <c:pt idx="84">
                  <c:v>34.125700000000002</c:v>
                </c:pt>
                <c:pt idx="85">
                  <c:v>34.530700000000003</c:v>
                </c:pt>
                <c:pt idx="86">
                  <c:v>34.936599999999999</c:v>
                </c:pt>
                <c:pt idx="87">
                  <c:v>35.343499999999999</c:v>
                </c:pt>
                <c:pt idx="88">
                  <c:v>35.7455</c:v>
                </c:pt>
                <c:pt idx="89">
                  <c:v>36.154400000000003</c:v>
                </c:pt>
                <c:pt idx="90">
                  <c:v>36.562600000000003</c:v>
                </c:pt>
                <c:pt idx="91">
                  <c:v>36.967700000000001</c:v>
                </c:pt>
                <c:pt idx="92">
                  <c:v>37.371299999999998</c:v>
                </c:pt>
                <c:pt idx="93">
                  <c:v>37.778700000000001</c:v>
                </c:pt>
                <c:pt idx="94">
                  <c:v>38.186900000000001</c:v>
                </c:pt>
                <c:pt idx="95">
                  <c:v>38.593899999999998</c:v>
                </c:pt>
                <c:pt idx="96">
                  <c:v>38.997</c:v>
                </c:pt>
                <c:pt idx="97">
                  <c:v>39.403599999999997</c:v>
                </c:pt>
                <c:pt idx="98">
                  <c:v>39.808</c:v>
                </c:pt>
                <c:pt idx="99">
                  <c:v>40.216799999999999</c:v>
                </c:pt>
                <c:pt idx="100">
                  <c:v>40.627099999999999</c:v>
                </c:pt>
                <c:pt idx="101">
                  <c:v>41.030299999999997</c:v>
                </c:pt>
                <c:pt idx="102">
                  <c:v>41.437199999999997</c:v>
                </c:pt>
                <c:pt idx="103">
                  <c:v>41.841200000000001</c:v>
                </c:pt>
                <c:pt idx="104">
                  <c:v>42.247900000000001</c:v>
                </c:pt>
                <c:pt idx="105">
                  <c:v>42.652099999999997</c:v>
                </c:pt>
                <c:pt idx="106">
                  <c:v>43.058300000000003</c:v>
                </c:pt>
                <c:pt idx="107">
                  <c:v>43.465800000000002</c:v>
                </c:pt>
                <c:pt idx="108">
                  <c:v>43.877699999999997</c:v>
                </c:pt>
                <c:pt idx="109">
                  <c:v>44.2806</c:v>
                </c:pt>
                <c:pt idx="110">
                  <c:v>44.6845</c:v>
                </c:pt>
                <c:pt idx="111">
                  <c:v>45.089599999999997</c:v>
                </c:pt>
                <c:pt idx="112">
                  <c:v>45.498399999999997</c:v>
                </c:pt>
                <c:pt idx="113">
                  <c:v>45.903199999999998</c:v>
                </c:pt>
                <c:pt idx="114">
                  <c:v>46.312199999999997</c:v>
                </c:pt>
                <c:pt idx="115">
                  <c:v>46.714100000000002</c:v>
                </c:pt>
                <c:pt idx="116">
                  <c:v>47.123600000000003</c:v>
                </c:pt>
                <c:pt idx="117">
                  <c:v>47.53</c:v>
                </c:pt>
                <c:pt idx="118">
                  <c:v>47.936799999999998</c:v>
                </c:pt>
                <c:pt idx="119">
                  <c:v>48.342799999999997</c:v>
                </c:pt>
                <c:pt idx="120">
                  <c:v>48.745600000000003</c:v>
                </c:pt>
                <c:pt idx="121">
                  <c:v>49.150500000000001</c:v>
                </c:pt>
                <c:pt idx="122">
                  <c:v>49.558500000000002</c:v>
                </c:pt>
                <c:pt idx="123">
                  <c:v>49.970399999999998</c:v>
                </c:pt>
                <c:pt idx="124">
                  <c:v>50.372399999999999</c:v>
                </c:pt>
                <c:pt idx="125">
                  <c:v>50.778100000000002</c:v>
                </c:pt>
                <c:pt idx="126">
                  <c:v>51.185099999999998</c:v>
                </c:pt>
                <c:pt idx="127">
                  <c:v>51.589500000000001</c:v>
                </c:pt>
                <c:pt idx="128">
                  <c:v>51.997199999999999</c:v>
                </c:pt>
                <c:pt idx="129">
                  <c:v>52.408000000000001</c:v>
                </c:pt>
                <c:pt idx="130">
                  <c:v>52.809800000000003</c:v>
                </c:pt>
                <c:pt idx="131">
                  <c:v>53.215800000000002</c:v>
                </c:pt>
                <c:pt idx="132">
                  <c:v>53.622999999999998</c:v>
                </c:pt>
                <c:pt idx="133">
                  <c:v>54.028399999999998</c:v>
                </c:pt>
                <c:pt idx="134">
                  <c:v>54.435499999999998</c:v>
                </c:pt>
                <c:pt idx="135">
                  <c:v>54.843400000000003</c:v>
                </c:pt>
                <c:pt idx="136">
                  <c:v>55.2483</c:v>
                </c:pt>
                <c:pt idx="137">
                  <c:v>55.653500000000001</c:v>
                </c:pt>
                <c:pt idx="138">
                  <c:v>56.061</c:v>
                </c:pt>
                <c:pt idx="139">
                  <c:v>56.4711</c:v>
                </c:pt>
                <c:pt idx="140">
                  <c:v>56.875900000000001</c:v>
                </c:pt>
                <c:pt idx="141">
                  <c:v>57.279800000000002</c:v>
                </c:pt>
                <c:pt idx="142">
                  <c:v>57.685499999999998</c:v>
                </c:pt>
                <c:pt idx="143">
                  <c:v>58.095500000000001</c:v>
                </c:pt>
                <c:pt idx="144">
                  <c:v>58.501600000000003</c:v>
                </c:pt>
                <c:pt idx="145">
                  <c:v>58.903500000000001</c:v>
                </c:pt>
                <c:pt idx="146">
                  <c:v>59.309399999999997</c:v>
                </c:pt>
                <c:pt idx="147">
                  <c:v>59.714500000000001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  <c:pt idx="74">
                  <c:v>40.644799999999996</c:v>
                </c:pt>
                <c:pt idx="75">
                  <c:v>40.416800000000002</c:v>
                </c:pt>
                <c:pt idx="76">
                  <c:v>40.227899999999998</c:v>
                </c:pt>
                <c:pt idx="77">
                  <c:v>40.065100000000001</c:v>
                </c:pt>
                <c:pt idx="78">
                  <c:v>39.921900000000001</c:v>
                </c:pt>
                <c:pt idx="79">
                  <c:v>39.760800000000003</c:v>
                </c:pt>
                <c:pt idx="80">
                  <c:v>39.624400000000001</c:v>
                </c:pt>
                <c:pt idx="81">
                  <c:v>39.506799999999998</c:v>
                </c:pt>
                <c:pt idx="82">
                  <c:v>39.387699999999995</c:v>
                </c:pt>
                <c:pt idx="83">
                  <c:v>39.2423</c:v>
                </c:pt>
                <c:pt idx="84">
                  <c:v>39.109300000000005</c:v>
                </c:pt>
                <c:pt idx="85">
                  <c:v>39.011200000000002</c:v>
                </c:pt>
                <c:pt idx="86">
                  <c:v>38.950200000000002</c:v>
                </c:pt>
                <c:pt idx="87">
                  <c:v>38.879899999999999</c:v>
                </c:pt>
                <c:pt idx="88">
                  <c:v>38.789699999999996</c:v>
                </c:pt>
                <c:pt idx="89">
                  <c:v>38.638300000000001</c:v>
                </c:pt>
                <c:pt idx="90">
                  <c:v>38.446000000000005</c:v>
                </c:pt>
                <c:pt idx="91">
                  <c:v>38.292000000000002</c:v>
                </c:pt>
                <c:pt idx="92">
                  <c:v>38.206699999999998</c:v>
                </c:pt>
                <c:pt idx="93">
                  <c:v>38.111600000000003</c:v>
                </c:pt>
                <c:pt idx="94">
                  <c:v>37.975300000000004</c:v>
                </c:pt>
                <c:pt idx="95">
                  <c:v>37.874899999999997</c:v>
                </c:pt>
                <c:pt idx="96">
                  <c:v>37.806800000000003</c:v>
                </c:pt>
                <c:pt idx="97">
                  <c:v>37.849400000000003</c:v>
                </c:pt>
                <c:pt idx="98">
                  <c:v>37.9557</c:v>
                </c:pt>
                <c:pt idx="99">
                  <c:v>37.980599999999995</c:v>
                </c:pt>
                <c:pt idx="100">
                  <c:v>38.032499999999999</c:v>
                </c:pt>
                <c:pt idx="101">
                  <c:v>38.063399999999994</c:v>
                </c:pt>
                <c:pt idx="102">
                  <c:v>38.155000000000001</c:v>
                </c:pt>
                <c:pt idx="103">
                  <c:v>38.278800000000004</c:v>
                </c:pt>
                <c:pt idx="104">
                  <c:v>38.490600000000001</c:v>
                </c:pt>
                <c:pt idx="105">
                  <c:v>38.674399999999999</c:v>
                </c:pt>
                <c:pt idx="106">
                  <c:v>38.9435</c:v>
                </c:pt>
                <c:pt idx="107">
                  <c:v>39.216999999999999</c:v>
                </c:pt>
                <c:pt idx="108">
                  <c:v>39.410499999999999</c:v>
                </c:pt>
                <c:pt idx="109">
                  <c:v>39.53</c:v>
                </c:pt>
                <c:pt idx="110">
                  <c:v>39.5916</c:v>
                </c:pt>
                <c:pt idx="111">
                  <c:v>39.656400000000005</c:v>
                </c:pt>
                <c:pt idx="112">
                  <c:v>39.691900000000004</c:v>
                </c:pt>
                <c:pt idx="113">
                  <c:v>39.652000000000001</c:v>
                </c:pt>
                <c:pt idx="114">
                  <c:v>39.4953</c:v>
                </c:pt>
                <c:pt idx="115">
                  <c:v>39.335000000000001</c:v>
                </c:pt>
                <c:pt idx="116">
                  <c:v>39.200899999999997</c:v>
                </c:pt>
                <c:pt idx="117">
                  <c:v>39.051900000000003</c:v>
                </c:pt>
                <c:pt idx="118">
                  <c:v>38.849299999999999</c:v>
                </c:pt>
                <c:pt idx="119">
                  <c:v>38.666600000000003</c:v>
                </c:pt>
                <c:pt idx="120">
                  <c:v>38.496099999999998</c:v>
                </c:pt>
                <c:pt idx="121">
                  <c:v>38.321800000000003</c:v>
                </c:pt>
                <c:pt idx="122">
                  <c:v>38.117400000000004</c:v>
                </c:pt>
                <c:pt idx="123">
                  <c:v>37.933999999999997</c:v>
                </c:pt>
                <c:pt idx="124">
                  <c:v>37.881399999999999</c:v>
                </c:pt>
                <c:pt idx="125">
                  <c:v>37.8247</c:v>
                </c:pt>
                <c:pt idx="126">
                  <c:v>37.753</c:v>
                </c:pt>
                <c:pt idx="127">
                  <c:v>37.669999999999995</c:v>
                </c:pt>
                <c:pt idx="128">
                  <c:v>37.582599999999999</c:v>
                </c:pt>
                <c:pt idx="129">
                  <c:v>37.526499999999999</c:v>
                </c:pt>
                <c:pt idx="130">
                  <c:v>37.470599999999997</c:v>
                </c:pt>
                <c:pt idx="131">
                  <c:v>37.424600000000005</c:v>
                </c:pt>
                <c:pt idx="132">
                  <c:v>37.352400000000003</c:v>
                </c:pt>
                <c:pt idx="133">
                  <c:v>37.244899999999994</c:v>
                </c:pt>
                <c:pt idx="134">
                  <c:v>37.084099999999999</c:v>
                </c:pt>
                <c:pt idx="135">
                  <c:v>36.890099999999997</c:v>
                </c:pt>
                <c:pt idx="136">
                  <c:v>36.653700000000001</c:v>
                </c:pt>
                <c:pt idx="137">
                  <c:v>36.353299999999997</c:v>
                </c:pt>
                <c:pt idx="138">
                  <c:v>36.072800000000001</c:v>
                </c:pt>
                <c:pt idx="139">
                  <c:v>35.913200000000003</c:v>
                </c:pt>
                <c:pt idx="140">
                  <c:v>35.677599999999998</c:v>
                </c:pt>
                <c:pt idx="141">
                  <c:v>35.335999999999999</c:v>
                </c:pt>
                <c:pt idx="142">
                  <c:v>35.089399999999998</c:v>
                </c:pt>
                <c:pt idx="143">
                  <c:v>35.029199999999996</c:v>
                </c:pt>
                <c:pt idx="144">
                  <c:v>35.020299999999999</c:v>
                </c:pt>
                <c:pt idx="145">
                  <c:v>35.0212</c:v>
                </c:pt>
                <c:pt idx="146">
                  <c:v>35.232900000000001</c:v>
                </c:pt>
                <c:pt idx="147">
                  <c:v>35.793199999999999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29.651900000000001</c:v>
                </c:pt>
                <c:pt idx="1">
                  <c:v>30.060500000000001</c:v>
                </c:pt>
                <c:pt idx="2">
                  <c:v>30.4695</c:v>
                </c:pt>
                <c:pt idx="3">
                  <c:v>30.874500000000001</c:v>
                </c:pt>
                <c:pt idx="4">
                  <c:v>31.279399999999999</c:v>
                </c:pt>
                <c:pt idx="5">
                  <c:v>31.688199999999998</c:v>
                </c:pt>
                <c:pt idx="6">
                  <c:v>32.094499999999996</c:v>
                </c:pt>
                <c:pt idx="7">
                  <c:v>32.5002</c:v>
                </c:pt>
                <c:pt idx="8">
                  <c:v>32.907499999999999</c:v>
                </c:pt>
                <c:pt idx="9">
                  <c:v>33.308999999999997</c:v>
                </c:pt>
                <c:pt idx="10">
                  <c:v>33.712899999999998</c:v>
                </c:pt>
                <c:pt idx="11">
                  <c:v>34.125700000000002</c:v>
                </c:pt>
                <c:pt idx="12">
                  <c:v>34.530700000000003</c:v>
                </c:pt>
                <c:pt idx="13">
                  <c:v>34.936599999999999</c:v>
                </c:pt>
                <c:pt idx="14">
                  <c:v>35.343499999999999</c:v>
                </c:pt>
                <c:pt idx="15">
                  <c:v>35.7455</c:v>
                </c:pt>
                <c:pt idx="16">
                  <c:v>36.154400000000003</c:v>
                </c:pt>
                <c:pt idx="17">
                  <c:v>36.562600000000003</c:v>
                </c:pt>
                <c:pt idx="18">
                  <c:v>36.967700000000001</c:v>
                </c:pt>
                <c:pt idx="19">
                  <c:v>37.371299999999998</c:v>
                </c:pt>
                <c:pt idx="20">
                  <c:v>37.778700000000001</c:v>
                </c:pt>
                <c:pt idx="21">
                  <c:v>38.186900000000001</c:v>
                </c:pt>
                <c:pt idx="22">
                  <c:v>38.593899999999998</c:v>
                </c:pt>
                <c:pt idx="23">
                  <c:v>38.997</c:v>
                </c:pt>
                <c:pt idx="24">
                  <c:v>39.403599999999997</c:v>
                </c:pt>
                <c:pt idx="25">
                  <c:v>39.808</c:v>
                </c:pt>
                <c:pt idx="26">
                  <c:v>40.216799999999999</c:v>
                </c:pt>
                <c:pt idx="27">
                  <c:v>40.627099999999999</c:v>
                </c:pt>
                <c:pt idx="28">
                  <c:v>41.030299999999997</c:v>
                </c:pt>
                <c:pt idx="29">
                  <c:v>41.437199999999997</c:v>
                </c:pt>
                <c:pt idx="30">
                  <c:v>41.841200000000001</c:v>
                </c:pt>
                <c:pt idx="31">
                  <c:v>42.247900000000001</c:v>
                </c:pt>
                <c:pt idx="32">
                  <c:v>42.652099999999997</c:v>
                </c:pt>
                <c:pt idx="33">
                  <c:v>43.058300000000003</c:v>
                </c:pt>
                <c:pt idx="34">
                  <c:v>43.465800000000002</c:v>
                </c:pt>
                <c:pt idx="35">
                  <c:v>43.877699999999997</c:v>
                </c:pt>
                <c:pt idx="36">
                  <c:v>44.2806</c:v>
                </c:pt>
                <c:pt idx="37">
                  <c:v>44.6845</c:v>
                </c:pt>
                <c:pt idx="38">
                  <c:v>45.089599999999997</c:v>
                </c:pt>
                <c:pt idx="39">
                  <c:v>45.498399999999997</c:v>
                </c:pt>
                <c:pt idx="40">
                  <c:v>45.903199999999998</c:v>
                </c:pt>
                <c:pt idx="41">
                  <c:v>46.312199999999997</c:v>
                </c:pt>
                <c:pt idx="42">
                  <c:v>46.714100000000002</c:v>
                </c:pt>
                <c:pt idx="43">
                  <c:v>47.123600000000003</c:v>
                </c:pt>
                <c:pt idx="44">
                  <c:v>47.53</c:v>
                </c:pt>
                <c:pt idx="45">
                  <c:v>47.936799999999998</c:v>
                </c:pt>
                <c:pt idx="46">
                  <c:v>48.342799999999997</c:v>
                </c:pt>
                <c:pt idx="47">
                  <c:v>48.745600000000003</c:v>
                </c:pt>
                <c:pt idx="48">
                  <c:v>49.150500000000001</c:v>
                </c:pt>
                <c:pt idx="49">
                  <c:v>49.558500000000002</c:v>
                </c:pt>
                <c:pt idx="50">
                  <c:v>49.970399999999998</c:v>
                </c:pt>
                <c:pt idx="51">
                  <c:v>50.372399999999999</c:v>
                </c:pt>
                <c:pt idx="52">
                  <c:v>50.778100000000002</c:v>
                </c:pt>
                <c:pt idx="53">
                  <c:v>51.185099999999998</c:v>
                </c:pt>
                <c:pt idx="54">
                  <c:v>51.589500000000001</c:v>
                </c:pt>
                <c:pt idx="55">
                  <c:v>51.997199999999999</c:v>
                </c:pt>
                <c:pt idx="56">
                  <c:v>52.408000000000001</c:v>
                </c:pt>
                <c:pt idx="57">
                  <c:v>52.809800000000003</c:v>
                </c:pt>
                <c:pt idx="58">
                  <c:v>53.215800000000002</c:v>
                </c:pt>
                <c:pt idx="59">
                  <c:v>53.622999999999998</c:v>
                </c:pt>
                <c:pt idx="60">
                  <c:v>54.028399999999998</c:v>
                </c:pt>
                <c:pt idx="61">
                  <c:v>54.435499999999998</c:v>
                </c:pt>
                <c:pt idx="62">
                  <c:v>54.843400000000003</c:v>
                </c:pt>
                <c:pt idx="63">
                  <c:v>55.2483</c:v>
                </c:pt>
                <c:pt idx="64">
                  <c:v>55.653500000000001</c:v>
                </c:pt>
                <c:pt idx="65">
                  <c:v>56.061</c:v>
                </c:pt>
                <c:pt idx="66">
                  <c:v>56.4711</c:v>
                </c:pt>
                <c:pt idx="67">
                  <c:v>56.875900000000001</c:v>
                </c:pt>
                <c:pt idx="68">
                  <c:v>57.279800000000002</c:v>
                </c:pt>
                <c:pt idx="69">
                  <c:v>57.685499999999998</c:v>
                </c:pt>
                <c:pt idx="70">
                  <c:v>58.095500000000001</c:v>
                </c:pt>
                <c:pt idx="71">
                  <c:v>58.501600000000003</c:v>
                </c:pt>
                <c:pt idx="72">
                  <c:v>58.903500000000001</c:v>
                </c:pt>
                <c:pt idx="73">
                  <c:v>59.309399999999997</c:v>
                </c:pt>
                <c:pt idx="74">
                  <c:v>59.714500000000001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40.870100000000001</c:v>
                </c:pt>
                <c:pt idx="1">
                  <c:v>40.644799999999996</c:v>
                </c:pt>
                <c:pt idx="2">
                  <c:v>40.416800000000002</c:v>
                </c:pt>
                <c:pt idx="3">
                  <c:v>40.227899999999998</c:v>
                </c:pt>
                <c:pt idx="4">
                  <c:v>40.065100000000001</c:v>
                </c:pt>
                <c:pt idx="5">
                  <c:v>39.921900000000001</c:v>
                </c:pt>
                <c:pt idx="6">
                  <c:v>39.760800000000003</c:v>
                </c:pt>
                <c:pt idx="7">
                  <c:v>39.624400000000001</c:v>
                </c:pt>
                <c:pt idx="8">
                  <c:v>39.506799999999998</c:v>
                </c:pt>
                <c:pt idx="9">
                  <c:v>39.387699999999995</c:v>
                </c:pt>
                <c:pt idx="10">
                  <c:v>39.2423</c:v>
                </c:pt>
                <c:pt idx="11">
                  <c:v>39.109300000000005</c:v>
                </c:pt>
                <c:pt idx="12">
                  <c:v>39.011200000000002</c:v>
                </c:pt>
                <c:pt idx="13">
                  <c:v>38.950200000000002</c:v>
                </c:pt>
                <c:pt idx="14">
                  <c:v>38.879899999999999</c:v>
                </c:pt>
                <c:pt idx="15">
                  <c:v>38.789699999999996</c:v>
                </c:pt>
                <c:pt idx="16">
                  <c:v>38.638300000000001</c:v>
                </c:pt>
                <c:pt idx="17">
                  <c:v>38.446000000000005</c:v>
                </c:pt>
                <c:pt idx="18">
                  <c:v>38.292000000000002</c:v>
                </c:pt>
                <c:pt idx="19">
                  <c:v>38.206699999999998</c:v>
                </c:pt>
                <c:pt idx="20">
                  <c:v>38.111600000000003</c:v>
                </c:pt>
                <c:pt idx="21">
                  <c:v>37.975300000000004</c:v>
                </c:pt>
                <c:pt idx="22">
                  <c:v>37.874899999999997</c:v>
                </c:pt>
                <c:pt idx="23">
                  <c:v>37.806800000000003</c:v>
                </c:pt>
                <c:pt idx="24">
                  <c:v>37.849400000000003</c:v>
                </c:pt>
                <c:pt idx="25">
                  <c:v>37.9557</c:v>
                </c:pt>
                <c:pt idx="26">
                  <c:v>37.980599999999995</c:v>
                </c:pt>
                <c:pt idx="27">
                  <c:v>38.032499999999999</c:v>
                </c:pt>
                <c:pt idx="28">
                  <c:v>38.063399999999994</c:v>
                </c:pt>
                <c:pt idx="29">
                  <c:v>38.155000000000001</c:v>
                </c:pt>
                <c:pt idx="30">
                  <c:v>38.278800000000004</c:v>
                </c:pt>
                <c:pt idx="31">
                  <c:v>38.490600000000001</c:v>
                </c:pt>
                <c:pt idx="32">
                  <c:v>38.674399999999999</c:v>
                </c:pt>
                <c:pt idx="33">
                  <c:v>38.9435</c:v>
                </c:pt>
                <c:pt idx="34">
                  <c:v>39.216999999999999</c:v>
                </c:pt>
                <c:pt idx="35">
                  <c:v>39.410499999999999</c:v>
                </c:pt>
                <c:pt idx="36">
                  <c:v>39.53</c:v>
                </c:pt>
                <c:pt idx="37">
                  <c:v>39.5916</c:v>
                </c:pt>
                <c:pt idx="38">
                  <c:v>39.656400000000005</c:v>
                </c:pt>
                <c:pt idx="39">
                  <c:v>39.691900000000004</c:v>
                </c:pt>
                <c:pt idx="40">
                  <c:v>39.652000000000001</c:v>
                </c:pt>
                <c:pt idx="41">
                  <c:v>39.4953</c:v>
                </c:pt>
                <c:pt idx="42">
                  <c:v>39.335000000000001</c:v>
                </c:pt>
                <c:pt idx="43">
                  <c:v>39.200899999999997</c:v>
                </c:pt>
                <c:pt idx="44">
                  <c:v>39.051900000000003</c:v>
                </c:pt>
                <c:pt idx="45">
                  <c:v>38.849299999999999</c:v>
                </c:pt>
                <c:pt idx="46">
                  <c:v>38.666600000000003</c:v>
                </c:pt>
                <c:pt idx="47">
                  <c:v>38.496099999999998</c:v>
                </c:pt>
                <c:pt idx="48">
                  <c:v>38.321800000000003</c:v>
                </c:pt>
                <c:pt idx="49">
                  <c:v>38.117400000000004</c:v>
                </c:pt>
                <c:pt idx="50">
                  <c:v>37.933999999999997</c:v>
                </c:pt>
                <c:pt idx="51">
                  <c:v>37.881399999999999</c:v>
                </c:pt>
                <c:pt idx="52">
                  <c:v>37.8247</c:v>
                </c:pt>
                <c:pt idx="53">
                  <c:v>37.753</c:v>
                </c:pt>
                <c:pt idx="54">
                  <c:v>37.669999999999995</c:v>
                </c:pt>
                <c:pt idx="55">
                  <c:v>37.582599999999999</c:v>
                </c:pt>
                <c:pt idx="56">
                  <c:v>37.526499999999999</c:v>
                </c:pt>
                <c:pt idx="57">
                  <c:v>37.470599999999997</c:v>
                </c:pt>
                <c:pt idx="58">
                  <c:v>37.424600000000005</c:v>
                </c:pt>
                <c:pt idx="59">
                  <c:v>37.352400000000003</c:v>
                </c:pt>
                <c:pt idx="60">
                  <c:v>37.244899999999994</c:v>
                </c:pt>
                <c:pt idx="61">
                  <c:v>37.084099999999999</c:v>
                </c:pt>
                <c:pt idx="62">
                  <c:v>36.890099999999997</c:v>
                </c:pt>
                <c:pt idx="63">
                  <c:v>36.653700000000001</c:v>
                </c:pt>
                <c:pt idx="64">
                  <c:v>36.353299999999997</c:v>
                </c:pt>
                <c:pt idx="65">
                  <c:v>36.072800000000001</c:v>
                </c:pt>
                <c:pt idx="66">
                  <c:v>35.913200000000003</c:v>
                </c:pt>
                <c:pt idx="67">
                  <c:v>35.677599999999998</c:v>
                </c:pt>
                <c:pt idx="68">
                  <c:v>35.335999999999999</c:v>
                </c:pt>
                <c:pt idx="69">
                  <c:v>35.089399999999998</c:v>
                </c:pt>
                <c:pt idx="70">
                  <c:v>35.029199999999996</c:v>
                </c:pt>
                <c:pt idx="71">
                  <c:v>35.020299999999999</c:v>
                </c:pt>
                <c:pt idx="72">
                  <c:v>35.0212</c:v>
                </c:pt>
                <c:pt idx="73">
                  <c:v>35.232900000000001</c:v>
                </c:pt>
                <c:pt idx="74">
                  <c:v>35.793199999999999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14.928625</c:v>
                </c:pt>
                <c:pt idx="1">
                  <c:v>44.785875000000004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47.123168918918928</c:v>
                </c:pt>
                <c:pt idx="1">
                  <c:v>38.140941891891899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40.720100000000002</c:v>
                </c:pt>
                <c:pt idx="1">
                  <c:v>20.9787</c:v>
                </c:pt>
                <c:pt idx="2">
                  <c:v>22.528700000000001</c:v>
                </c:pt>
                <c:pt idx="3">
                  <c:v>25.7105</c:v>
                </c:pt>
                <c:pt idx="4">
                  <c:v>70.9101</c:v>
                </c:pt>
                <c:pt idx="5">
                  <c:v>83.983099999999993</c:v>
                </c:pt>
                <c:pt idx="6">
                  <c:v>31.121300000000002</c:v>
                </c:pt>
                <c:pt idx="7">
                  <c:v>77.702200000000005</c:v>
                </c:pt>
                <c:pt idx="8">
                  <c:v>24.202999999999999</c:v>
                </c:pt>
                <c:pt idx="9">
                  <c:v>35.0122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53.209000000000003</c:v>
                </c:pt>
                <c:pt idx="1">
                  <c:v>27.495699999999999</c:v>
                </c:pt>
                <c:pt idx="2">
                  <c:v>29.9846</c:v>
                </c:pt>
                <c:pt idx="3">
                  <c:v>36.406300000000002</c:v>
                </c:pt>
                <c:pt idx="4">
                  <c:v>68.551500000000004</c:v>
                </c:pt>
                <c:pt idx="5">
                  <c:v>75.595399999999998</c:v>
                </c:pt>
                <c:pt idx="6">
                  <c:v>39.328699999999998</c:v>
                </c:pt>
                <c:pt idx="7">
                  <c:v>72.256900000000002</c:v>
                </c:pt>
                <c:pt idx="8">
                  <c:v>23.503900000000002</c:v>
                </c:pt>
                <c:pt idx="9">
                  <c:v>28.426500000000001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0.5359168566575172</c:v>
                </c:pt>
                <c:pt idx="1">
                  <c:v>0.22341257640192727</c:v>
                </c:pt>
                <c:pt idx="2">
                  <c:v>0.24067056694055564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804</c:v>
                </c:pt>
                <c:pt idx="7">
                  <c:v>0</c:v>
                </c:pt>
                <c:pt idx="8">
                  <c:v>1225</c:v>
                </c:pt>
                <c:pt idx="9">
                  <c:v>0</c:v>
                </c:pt>
                <c:pt idx="10">
                  <c:v>0</c:v>
                </c:pt>
                <c:pt idx="11">
                  <c:v>1494</c:v>
                </c:pt>
                <c:pt idx="12">
                  <c:v>0</c:v>
                </c:pt>
                <c:pt idx="13">
                  <c:v>1593</c:v>
                </c:pt>
                <c:pt idx="14">
                  <c:v>0</c:v>
                </c:pt>
                <c:pt idx="15">
                  <c:v>0</c:v>
                </c:pt>
                <c:pt idx="16">
                  <c:v>2197</c:v>
                </c:pt>
                <c:pt idx="17">
                  <c:v>0</c:v>
                </c:pt>
                <c:pt idx="18">
                  <c:v>0</c:v>
                </c:pt>
                <c:pt idx="19">
                  <c:v>5507</c:v>
                </c:pt>
                <c:pt idx="20">
                  <c:v>0</c:v>
                </c:pt>
                <c:pt idx="21">
                  <c:v>10467</c:v>
                </c:pt>
                <c:pt idx="22">
                  <c:v>0</c:v>
                </c:pt>
                <c:pt idx="23">
                  <c:v>0</c:v>
                </c:pt>
                <c:pt idx="24">
                  <c:v>8858</c:v>
                </c:pt>
                <c:pt idx="25">
                  <c:v>0</c:v>
                </c:pt>
                <c:pt idx="26">
                  <c:v>12294</c:v>
                </c:pt>
                <c:pt idx="27">
                  <c:v>0</c:v>
                </c:pt>
                <c:pt idx="28">
                  <c:v>0</c:v>
                </c:pt>
                <c:pt idx="29">
                  <c:v>16203</c:v>
                </c:pt>
                <c:pt idx="30">
                  <c:v>0</c:v>
                </c:pt>
                <c:pt idx="31">
                  <c:v>20105</c:v>
                </c:pt>
                <c:pt idx="32">
                  <c:v>0</c:v>
                </c:pt>
                <c:pt idx="33">
                  <c:v>0</c:v>
                </c:pt>
                <c:pt idx="34">
                  <c:v>23107</c:v>
                </c:pt>
                <c:pt idx="35">
                  <c:v>0</c:v>
                </c:pt>
                <c:pt idx="36">
                  <c:v>0</c:v>
                </c:pt>
                <c:pt idx="37">
                  <c:v>25129</c:v>
                </c:pt>
                <c:pt idx="38">
                  <c:v>0</c:v>
                </c:pt>
                <c:pt idx="39">
                  <c:v>24646</c:v>
                </c:pt>
                <c:pt idx="40">
                  <c:v>0</c:v>
                </c:pt>
                <c:pt idx="41">
                  <c:v>0</c:v>
                </c:pt>
                <c:pt idx="42">
                  <c:v>28393</c:v>
                </c:pt>
                <c:pt idx="43">
                  <c:v>0</c:v>
                </c:pt>
                <c:pt idx="44">
                  <c:v>30634</c:v>
                </c:pt>
                <c:pt idx="45">
                  <c:v>0</c:v>
                </c:pt>
                <c:pt idx="46">
                  <c:v>0</c:v>
                </c:pt>
                <c:pt idx="47">
                  <c:v>32393</c:v>
                </c:pt>
                <c:pt idx="48">
                  <c:v>0</c:v>
                </c:pt>
                <c:pt idx="49">
                  <c:v>47243</c:v>
                </c:pt>
                <c:pt idx="50">
                  <c:v>0</c:v>
                </c:pt>
                <c:pt idx="51">
                  <c:v>0</c:v>
                </c:pt>
                <c:pt idx="52">
                  <c:v>39170</c:v>
                </c:pt>
                <c:pt idx="53">
                  <c:v>0</c:v>
                </c:pt>
                <c:pt idx="54">
                  <c:v>0</c:v>
                </c:pt>
                <c:pt idx="55">
                  <c:v>47086</c:v>
                </c:pt>
                <c:pt idx="56">
                  <c:v>0</c:v>
                </c:pt>
                <c:pt idx="57">
                  <c:v>45563</c:v>
                </c:pt>
                <c:pt idx="58">
                  <c:v>0</c:v>
                </c:pt>
                <c:pt idx="59">
                  <c:v>0</c:v>
                </c:pt>
                <c:pt idx="60">
                  <c:v>57092</c:v>
                </c:pt>
                <c:pt idx="61">
                  <c:v>0</c:v>
                </c:pt>
                <c:pt idx="62">
                  <c:v>60783</c:v>
                </c:pt>
                <c:pt idx="63">
                  <c:v>0</c:v>
                </c:pt>
                <c:pt idx="64">
                  <c:v>0</c:v>
                </c:pt>
                <c:pt idx="65">
                  <c:v>63830</c:v>
                </c:pt>
                <c:pt idx="66">
                  <c:v>0</c:v>
                </c:pt>
                <c:pt idx="67">
                  <c:v>72913</c:v>
                </c:pt>
                <c:pt idx="68">
                  <c:v>0</c:v>
                </c:pt>
                <c:pt idx="69">
                  <c:v>0</c:v>
                </c:pt>
                <c:pt idx="70">
                  <c:v>82366</c:v>
                </c:pt>
                <c:pt idx="71">
                  <c:v>0</c:v>
                </c:pt>
                <c:pt idx="72">
                  <c:v>0</c:v>
                </c:pt>
                <c:pt idx="73">
                  <c:v>80587</c:v>
                </c:pt>
                <c:pt idx="74">
                  <c:v>0</c:v>
                </c:pt>
                <c:pt idx="75">
                  <c:v>97925</c:v>
                </c:pt>
                <c:pt idx="76">
                  <c:v>0</c:v>
                </c:pt>
                <c:pt idx="77">
                  <c:v>0</c:v>
                </c:pt>
                <c:pt idx="78">
                  <c:v>102109</c:v>
                </c:pt>
                <c:pt idx="79">
                  <c:v>0</c:v>
                </c:pt>
                <c:pt idx="80">
                  <c:v>105101</c:v>
                </c:pt>
                <c:pt idx="81">
                  <c:v>0</c:v>
                </c:pt>
                <c:pt idx="82">
                  <c:v>0</c:v>
                </c:pt>
                <c:pt idx="83">
                  <c:v>104618</c:v>
                </c:pt>
                <c:pt idx="84">
                  <c:v>0</c:v>
                </c:pt>
                <c:pt idx="85">
                  <c:v>0</c:v>
                </c:pt>
                <c:pt idx="86">
                  <c:v>105001</c:v>
                </c:pt>
                <c:pt idx="87">
                  <c:v>0</c:v>
                </c:pt>
                <c:pt idx="88">
                  <c:v>102379</c:v>
                </c:pt>
                <c:pt idx="89">
                  <c:v>0</c:v>
                </c:pt>
                <c:pt idx="90">
                  <c:v>0</c:v>
                </c:pt>
                <c:pt idx="91">
                  <c:v>109107</c:v>
                </c:pt>
                <c:pt idx="92">
                  <c:v>0</c:v>
                </c:pt>
                <c:pt idx="93">
                  <c:v>108172</c:v>
                </c:pt>
                <c:pt idx="94">
                  <c:v>0</c:v>
                </c:pt>
                <c:pt idx="95">
                  <c:v>0</c:v>
                </c:pt>
                <c:pt idx="96">
                  <c:v>110937</c:v>
                </c:pt>
                <c:pt idx="97">
                  <c:v>0</c:v>
                </c:pt>
                <c:pt idx="98">
                  <c:v>105510</c:v>
                </c:pt>
                <c:pt idx="99">
                  <c:v>0</c:v>
                </c:pt>
                <c:pt idx="100">
                  <c:v>0</c:v>
                </c:pt>
                <c:pt idx="101">
                  <c:v>110940</c:v>
                </c:pt>
                <c:pt idx="102">
                  <c:v>0</c:v>
                </c:pt>
                <c:pt idx="103">
                  <c:v>0</c:v>
                </c:pt>
                <c:pt idx="104">
                  <c:v>107923</c:v>
                </c:pt>
                <c:pt idx="105">
                  <c:v>0</c:v>
                </c:pt>
                <c:pt idx="106">
                  <c:v>117744</c:v>
                </c:pt>
                <c:pt idx="107">
                  <c:v>0</c:v>
                </c:pt>
                <c:pt idx="108">
                  <c:v>0</c:v>
                </c:pt>
                <c:pt idx="109">
                  <c:v>118410</c:v>
                </c:pt>
                <c:pt idx="110">
                  <c:v>0</c:v>
                </c:pt>
                <c:pt idx="111">
                  <c:v>131022</c:v>
                </c:pt>
                <c:pt idx="112">
                  <c:v>0</c:v>
                </c:pt>
                <c:pt idx="113">
                  <c:v>0</c:v>
                </c:pt>
                <c:pt idx="114">
                  <c:v>134646</c:v>
                </c:pt>
                <c:pt idx="115">
                  <c:v>0</c:v>
                </c:pt>
                <c:pt idx="116">
                  <c:v>130397</c:v>
                </c:pt>
                <c:pt idx="117">
                  <c:v>0</c:v>
                </c:pt>
                <c:pt idx="118">
                  <c:v>0</c:v>
                </c:pt>
                <c:pt idx="119">
                  <c:v>120077</c:v>
                </c:pt>
                <c:pt idx="120">
                  <c:v>0</c:v>
                </c:pt>
                <c:pt idx="121">
                  <c:v>0</c:v>
                </c:pt>
                <c:pt idx="122">
                  <c:v>108636</c:v>
                </c:pt>
                <c:pt idx="123">
                  <c:v>0</c:v>
                </c:pt>
                <c:pt idx="124">
                  <c:v>101410</c:v>
                </c:pt>
                <c:pt idx="125">
                  <c:v>0</c:v>
                </c:pt>
                <c:pt idx="126">
                  <c:v>0</c:v>
                </c:pt>
                <c:pt idx="127">
                  <c:v>92124</c:v>
                </c:pt>
                <c:pt idx="128">
                  <c:v>0</c:v>
                </c:pt>
                <c:pt idx="129">
                  <c:v>86266</c:v>
                </c:pt>
                <c:pt idx="130">
                  <c:v>0</c:v>
                </c:pt>
                <c:pt idx="131">
                  <c:v>0</c:v>
                </c:pt>
                <c:pt idx="132">
                  <c:v>85741</c:v>
                </c:pt>
                <c:pt idx="133">
                  <c:v>0</c:v>
                </c:pt>
                <c:pt idx="134">
                  <c:v>78085</c:v>
                </c:pt>
                <c:pt idx="135">
                  <c:v>0</c:v>
                </c:pt>
                <c:pt idx="136">
                  <c:v>0</c:v>
                </c:pt>
                <c:pt idx="137">
                  <c:v>69688</c:v>
                </c:pt>
                <c:pt idx="138">
                  <c:v>0</c:v>
                </c:pt>
                <c:pt idx="139">
                  <c:v>0</c:v>
                </c:pt>
                <c:pt idx="140">
                  <c:v>63194</c:v>
                </c:pt>
                <c:pt idx="141">
                  <c:v>0</c:v>
                </c:pt>
                <c:pt idx="142">
                  <c:v>54079</c:v>
                </c:pt>
                <c:pt idx="143">
                  <c:v>0</c:v>
                </c:pt>
                <c:pt idx="144">
                  <c:v>0</c:v>
                </c:pt>
                <c:pt idx="145">
                  <c:v>47567</c:v>
                </c:pt>
                <c:pt idx="146">
                  <c:v>0</c:v>
                </c:pt>
                <c:pt idx="147">
                  <c:v>38810</c:v>
                </c:pt>
                <c:pt idx="148">
                  <c:v>0</c:v>
                </c:pt>
                <c:pt idx="149">
                  <c:v>0</c:v>
                </c:pt>
                <c:pt idx="150">
                  <c:v>33686</c:v>
                </c:pt>
                <c:pt idx="151">
                  <c:v>0</c:v>
                </c:pt>
                <c:pt idx="152">
                  <c:v>29108</c:v>
                </c:pt>
                <c:pt idx="153">
                  <c:v>0</c:v>
                </c:pt>
                <c:pt idx="154">
                  <c:v>0</c:v>
                </c:pt>
                <c:pt idx="155">
                  <c:v>24774</c:v>
                </c:pt>
                <c:pt idx="156">
                  <c:v>0</c:v>
                </c:pt>
                <c:pt idx="157">
                  <c:v>0</c:v>
                </c:pt>
                <c:pt idx="158">
                  <c:v>19725</c:v>
                </c:pt>
                <c:pt idx="159">
                  <c:v>0</c:v>
                </c:pt>
                <c:pt idx="160">
                  <c:v>20803</c:v>
                </c:pt>
                <c:pt idx="161">
                  <c:v>0</c:v>
                </c:pt>
                <c:pt idx="162">
                  <c:v>0</c:v>
                </c:pt>
                <c:pt idx="163">
                  <c:v>21338</c:v>
                </c:pt>
                <c:pt idx="164">
                  <c:v>0</c:v>
                </c:pt>
                <c:pt idx="165">
                  <c:v>18363</c:v>
                </c:pt>
                <c:pt idx="166">
                  <c:v>0</c:v>
                </c:pt>
                <c:pt idx="167">
                  <c:v>0</c:v>
                </c:pt>
                <c:pt idx="168">
                  <c:v>20112</c:v>
                </c:pt>
                <c:pt idx="169">
                  <c:v>0</c:v>
                </c:pt>
                <c:pt idx="170">
                  <c:v>0</c:v>
                </c:pt>
                <c:pt idx="171">
                  <c:v>21805</c:v>
                </c:pt>
                <c:pt idx="172">
                  <c:v>0</c:v>
                </c:pt>
                <c:pt idx="173">
                  <c:v>19372</c:v>
                </c:pt>
                <c:pt idx="174">
                  <c:v>0</c:v>
                </c:pt>
                <c:pt idx="175">
                  <c:v>0</c:v>
                </c:pt>
                <c:pt idx="176">
                  <c:v>20009</c:v>
                </c:pt>
                <c:pt idx="177">
                  <c:v>0</c:v>
                </c:pt>
                <c:pt idx="178">
                  <c:v>14965</c:v>
                </c:pt>
                <c:pt idx="179">
                  <c:v>0</c:v>
                </c:pt>
                <c:pt idx="180">
                  <c:v>0</c:v>
                </c:pt>
                <c:pt idx="181">
                  <c:v>16356</c:v>
                </c:pt>
                <c:pt idx="182">
                  <c:v>0</c:v>
                </c:pt>
                <c:pt idx="183">
                  <c:v>11474</c:v>
                </c:pt>
                <c:pt idx="184">
                  <c:v>0</c:v>
                </c:pt>
                <c:pt idx="185">
                  <c:v>0</c:v>
                </c:pt>
                <c:pt idx="186">
                  <c:v>6203</c:v>
                </c:pt>
                <c:pt idx="187">
                  <c:v>0</c:v>
                </c:pt>
                <c:pt idx="188">
                  <c:v>0</c:v>
                </c:pt>
                <c:pt idx="189">
                  <c:v>5583</c:v>
                </c:pt>
                <c:pt idx="190">
                  <c:v>0</c:v>
                </c:pt>
                <c:pt idx="191">
                  <c:v>6714</c:v>
                </c:pt>
                <c:pt idx="192">
                  <c:v>0</c:v>
                </c:pt>
                <c:pt idx="193">
                  <c:v>0</c:v>
                </c:pt>
                <c:pt idx="194">
                  <c:v>3878</c:v>
                </c:pt>
                <c:pt idx="195">
                  <c:v>0</c:v>
                </c:pt>
                <c:pt idx="196">
                  <c:v>2730</c:v>
                </c:pt>
                <c:pt idx="197">
                  <c:v>0</c:v>
                </c:pt>
                <c:pt idx="198">
                  <c:v>0</c:v>
                </c:pt>
                <c:pt idx="199">
                  <c:v>786</c:v>
                </c:pt>
                <c:pt idx="200">
                  <c:v>0</c:v>
                </c:pt>
                <c:pt idx="201">
                  <c:v>791</c:v>
                </c:pt>
                <c:pt idx="202">
                  <c:v>0</c:v>
                </c:pt>
                <c:pt idx="203">
                  <c:v>0</c:v>
                </c:pt>
                <c:pt idx="204">
                  <c:v>864</c:v>
                </c:pt>
                <c:pt idx="205">
                  <c:v>0</c:v>
                </c:pt>
                <c:pt idx="206">
                  <c:v>0</c:v>
                </c:pt>
                <c:pt idx="207">
                  <c:v>1288</c:v>
                </c:pt>
                <c:pt idx="208">
                  <c:v>0</c:v>
                </c:pt>
                <c:pt idx="209">
                  <c:v>943</c:v>
                </c:pt>
                <c:pt idx="210">
                  <c:v>0</c:v>
                </c:pt>
                <c:pt idx="211">
                  <c:v>0</c:v>
                </c:pt>
                <c:pt idx="212">
                  <c:v>346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1297</c:v>
                </c:pt>
                <c:pt idx="7">
                  <c:v>0</c:v>
                </c:pt>
                <c:pt idx="8">
                  <c:v>1475</c:v>
                </c:pt>
                <c:pt idx="9">
                  <c:v>0</c:v>
                </c:pt>
                <c:pt idx="10">
                  <c:v>0</c:v>
                </c:pt>
                <c:pt idx="11">
                  <c:v>1828</c:v>
                </c:pt>
                <c:pt idx="12">
                  <c:v>0</c:v>
                </c:pt>
                <c:pt idx="13">
                  <c:v>1697</c:v>
                </c:pt>
                <c:pt idx="14">
                  <c:v>0</c:v>
                </c:pt>
                <c:pt idx="15">
                  <c:v>0</c:v>
                </c:pt>
                <c:pt idx="16">
                  <c:v>779</c:v>
                </c:pt>
                <c:pt idx="17">
                  <c:v>0</c:v>
                </c:pt>
                <c:pt idx="18">
                  <c:v>0</c:v>
                </c:pt>
                <c:pt idx="19">
                  <c:v>1492</c:v>
                </c:pt>
                <c:pt idx="20">
                  <c:v>0</c:v>
                </c:pt>
                <c:pt idx="21">
                  <c:v>1317</c:v>
                </c:pt>
                <c:pt idx="22">
                  <c:v>0</c:v>
                </c:pt>
                <c:pt idx="23">
                  <c:v>0</c:v>
                </c:pt>
                <c:pt idx="24">
                  <c:v>1144</c:v>
                </c:pt>
                <c:pt idx="25">
                  <c:v>0</c:v>
                </c:pt>
                <c:pt idx="26">
                  <c:v>1526</c:v>
                </c:pt>
                <c:pt idx="27">
                  <c:v>0</c:v>
                </c:pt>
                <c:pt idx="28">
                  <c:v>0</c:v>
                </c:pt>
                <c:pt idx="29">
                  <c:v>1841</c:v>
                </c:pt>
                <c:pt idx="30">
                  <c:v>0</c:v>
                </c:pt>
                <c:pt idx="31">
                  <c:v>3559</c:v>
                </c:pt>
                <c:pt idx="32">
                  <c:v>0</c:v>
                </c:pt>
                <c:pt idx="33">
                  <c:v>0</c:v>
                </c:pt>
                <c:pt idx="34">
                  <c:v>2764</c:v>
                </c:pt>
                <c:pt idx="35">
                  <c:v>0</c:v>
                </c:pt>
                <c:pt idx="36">
                  <c:v>0</c:v>
                </c:pt>
                <c:pt idx="37">
                  <c:v>3317</c:v>
                </c:pt>
                <c:pt idx="38">
                  <c:v>0</c:v>
                </c:pt>
                <c:pt idx="39">
                  <c:v>4853</c:v>
                </c:pt>
                <c:pt idx="40">
                  <c:v>0</c:v>
                </c:pt>
                <c:pt idx="41">
                  <c:v>0</c:v>
                </c:pt>
                <c:pt idx="42">
                  <c:v>7701</c:v>
                </c:pt>
                <c:pt idx="43">
                  <c:v>0</c:v>
                </c:pt>
                <c:pt idx="44">
                  <c:v>8905</c:v>
                </c:pt>
                <c:pt idx="45">
                  <c:v>0</c:v>
                </c:pt>
                <c:pt idx="46">
                  <c:v>0</c:v>
                </c:pt>
                <c:pt idx="47">
                  <c:v>12269</c:v>
                </c:pt>
                <c:pt idx="48">
                  <c:v>0</c:v>
                </c:pt>
                <c:pt idx="49">
                  <c:v>13424</c:v>
                </c:pt>
                <c:pt idx="50">
                  <c:v>0</c:v>
                </c:pt>
                <c:pt idx="51">
                  <c:v>0</c:v>
                </c:pt>
                <c:pt idx="52">
                  <c:v>13708</c:v>
                </c:pt>
                <c:pt idx="53">
                  <c:v>0</c:v>
                </c:pt>
                <c:pt idx="54">
                  <c:v>0</c:v>
                </c:pt>
                <c:pt idx="55">
                  <c:v>16998</c:v>
                </c:pt>
                <c:pt idx="56">
                  <c:v>0</c:v>
                </c:pt>
                <c:pt idx="57">
                  <c:v>17235</c:v>
                </c:pt>
                <c:pt idx="58">
                  <c:v>0</c:v>
                </c:pt>
                <c:pt idx="59">
                  <c:v>0</c:v>
                </c:pt>
                <c:pt idx="60">
                  <c:v>18467</c:v>
                </c:pt>
                <c:pt idx="61">
                  <c:v>0</c:v>
                </c:pt>
                <c:pt idx="62">
                  <c:v>19415</c:v>
                </c:pt>
                <c:pt idx="63">
                  <c:v>0</c:v>
                </c:pt>
                <c:pt idx="64">
                  <c:v>0</c:v>
                </c:pt>
                <c:pt idx="65">
                  <c:v>22022</c:v>
                </c:pt>
                <c:pt idx="66">
                  <c:v>0</c:v>
                </c:pt>
                <c:pt idx="67">
                  <c:v>23774</c:v>
                </c:pt>
                <c:pt idx="68">
                  <c:v>0</c:v>
                </c:pt>
                <c:pt idx="69">
                  <c:v>0</c:v>
                </c:pt>
                <c:pt idx="70">
                  <c:v>24226</c:v>
                </c:pt>
                <c:pt idx="71">
                  <c:v>0</c:v>
                </c:pt>
                <c:pt idx="72">
                  <c:v>0</c:v>
                </c:pt>
                <c:pt idx="73">
                  <c:v>24219</c:v>
                </c:pt>
                <c:pt idx="74">
                  <c:v>0</c:v>
                </c:pt>
                <c:pt idx="75">
                  <c:v>24699</c:v>
                </c:pt>
                <c:pt idx="76">
                  <c:v>0</c:v>
                </c:pt>
                <c:pt idx="77">
                  <c:v>0</c:v>
                </c:pt>
                <c:pt idx="78">
                  <c:v>26944</c:v>
                </c:pt>
                <c:pt idx="79">
                  <c:v>0</c:v>
                </c:pt>
                <c:pt idx="80">
                  <c:v>30492</c:v>
                </c:pt>
                <c:pt idx="81">
                  <c:v>0</c:v>
                </c:pt>
                <c:pt idx="82">
                  <c:v>0</c:v>
                </c:pt>
                <c:pt idx="83">
                  <c:v>33044</c:v>
                </c:pt>
                <c:pt idx="84">
                  <c:v>0</c:v>
                </c:pt>
                <c:pt idx="85">
                  <c:v>0</c:v>
                </c:pt>
                <c:pt idx="86">
                  <c:v>36672</c:v>
                </c:pt>
                <c:pt idx="87">
                  <c:v>0</c:v>
                </c:pt>
                <c:pt idx="88">
                  <c:v>38126</c:v>
                </c:pt>
                <c:pt idx="89">
                  <c:v>0</c:v>
                </c:pt>
                <c:pt idx="90">
                  <c:v>0</c:v>
                </c:pt>
                <c:pt idx="91">
                  <c:v>42703</c:v>
                </c:pt>
                <c:pt idx="92">
                  <c:v>0</c:v>
                </c:pt>
                <c:pt idx="93">
                  <c:v>47001</c:v>
                </c:pt>
                <c:pt idx="94">
                  <c:v>0</c:v>
                </c:pt>
                <c:pt idx="95">
                  <c:v>0</c:v>
                </c:pt>
                <c:pt idx="96">
                  <c:v>53101</c:v>
                </c:pt>
                <c:pt idx="97">
                  <c:v>0</c:v>
                </c:pt>
                <c:pt idx="98">
                  <c:v>59983</c:v>
                </c:pt>
                <c:pt idx="99">
                  <c:v>0</c:v>
                </c:pt>
                <c:pt idx="100">
                  <c:v>0</c:v>
                </c:pt>
                <c:pt idx="101">
                  <c:v>67788</c:v>
                </c:pt>
                <c:pt idx="102">
                  <c:v>0</c:v>
                </c:pt>
                <c:pt idx="103">
                  <c:v>0</c:v>
                </c:pt>
                <c:pt idx="104">
                  <c:v>76060</c:v>
                </c:pt>
                <c:pt idx="105">
                  <c:v>0</c:v>
                </c:pt>
                <c:pt idx="106">
                  <c:v>83694</c:v>
                </c:pt>
                <c:pt idx="107">
                  <c:v>0</c:v>
                </c:pt>
                <c:pt idx="108">
                  <c:v>0</c:v>
                </c:pt>
                <c:pt idx="109">
                  <c:v>93651</c:v>
                </c:pt>
                <c:pt idx="110">
                  <c:v>0</c:v>
                </c:pt>
                <c:pt idx="111">
                  <c:v>96265</c:v>
                </c:pt>
                <c:pt idx="112">
                  <c:v>0</c:v>
                </c:pt>
                <c:pt idx="113">
                  <c:v>0</c:v>
                </c:pt>
                <c:pt idx="114">
                  <c:v>97297</c:v>
                </c:pt>
                <c:pt idx="115">
                  <c:v>0</c:v>
                </c:pt>
                <c:pt idx="116">
                  <c:v>104539</c:v>
                </c:pt>
                <c:pt idx="117">
                  <c:v>0</c:v>
                </c:pt>
                <c:pt idx="118">
                  <c:v>0</c:v>
                </c:pt>
                <c:pt idx="119">
                  <c:v>106156</c:v>
                </c:pt>
                <c:pt idx="120">
                  <c:v>0</c:v>
                </c:pt>
                <c:pt idx="121">
                  <c:v>0</c:v>
                </c:pt>
                <c:pt idx="122">
                  <c:v>110869</c:v>
                </c:pt>
                <c:pt idx="123">
                  <c:v>0</c:v>
                </c:pt>
                <c:pt idx="124">
                  <c:v>124515</c:v>
                </c:pt>
                <c:pt idx="125">
                  <c:v>0</c:v>
                </c:pt>
                <c:pt idx="126">
                  <c:v>0</c:v>
                </c:pt>
                <c:pt idx="127">
                  <c:v>121777</c:v>
                </c:pt>
                <c:pt idx="128">
                  <c:v>0</c:v>
                </c:pt>
                <c:pt idx="129">
                  <c:v>128481</c:v>
                </c:pt>
                <c:pt idx="130">
                  <c:v>0</c:v>
                </c:pt>
                <c:pt idx="131">
                  <c:v>0</c:v>
                </c:pt>
                <c:pt idx="132">
                  <c:v>130535</c:v>
                </c:pt>
                <c:pt idx="133">
                  <c:v>0</c:v>
                </c:pt>
                <c:pt idx="134">
                  <c:v>140847</c:v>
                </c:pt>
                <c:pt idx="135">
                  <c:v>0</c:v>
                </c:pt>
                <c:pt idx="136">
                  <c:v>0</c:v>
                </c:pt>
                <c:pt idx="137">
                  <c:v>146605</c:v>
                </c:pt>
                <c:pt idx="138">
                  <c:v>0</c:v>
                </c:pt>
                <c:pt idx="139">
                  <c:v>0</c:v>
                </c:pt>
                <c:pt idx="140">
                  <c:v>150470</c:v>
                </c:pt>
                <c:pt idx="141">
                  <c:v>0</c:v>
                </c:pt>
                <c:pt idx="142">
                  <c:v>146908</c:v>
                </c:pt>
                <c:pt idx="143">
                  <c:v>0</c:v>
                </c:pt>
                <c:pt idx="144">
                  <c:v>0</c:v>
                </c:pt>
                <c:pt idx="145">
                  <c:v>144311</c:v>
                </c:pt>
                <c:pt idx="146">
                  <c:v>0</c:v>
                </c:pt>
                <c:pt idx="147">
                  <c:v>146184</c:v>
                </c:pt>
                <c:pt idx="148">
                  <c:v>0</c:v>
                </c:pt>
                <c:pt idx="149">
                  <c:v>0</c:v>
                </c:pt>
                <c:pt idx="150">
                  <c:v>136652</c:v>
                </c:pt>
                <c:pt idx="151">
                  <c:v>0</c:v>
                </c:pt>
                <c:pt idx="152">
                  <c:v>140135</c:v>
                </c:pt>
                <c:pt idx="153">
                  <c:v>0</c:v>
                </c:pt>
                <c:pt idx="154">
                  <c:v>0</c:v>
                </c:pt>
                <c:pt idx="155">
                  <c:v>136598</c:v>
                </c:pt>
                <c:pt idx="156">
                  <c:v>0</c:v>
                </c:pt>
                <c:pt idx="157">
                  <c:v>0</c:v>
                </c:pt>
                <c:pt idx="158">
                  <c:v>124601</c:v>
                </c:pt>
                <c:pt idx="159">
                  <c:v>0</c:v>
                </c:pt>
                <c:pt idx="160">
                  <c:v>124809</c:v>
                </c:pt>
                <c:pt idx="161">
                  <c:v>0</c:v>
                </c:pt>
                <c:pt idx="162">
                  <c:v>0</c:v>
                </c:pt>
                <c:pt idx="163">
                  <c:v>112446</c:v>
                </c:pt>
                <c:pt idx="164">
                  <c:v>0</c:v>
                </c:pt>
                <c:pt idx="165">
                  <c:v>102342</c:v>
                </c:pt>
                <c:pt idx="166">
                  <c:v>0</c:v>
                </c:pt>
                <c:pt idx="167">
                  <c:v>0</c:v>
                </c:pt>
                <c:pt idx="168">
                  <c:v>93471</c:v>
                </c:pt>
                <c:pt idx="169">
                  <c:v>0</c:v>
                </c:pt>
                <c:pt idx="170">
                  <c:v>0</c:v>
                </c:pt>
                <c:pt idx="171">
                  <c:v>89528</c:v>
                </c:pt>
                <c:pt idx="172">
                  <c:v>0</c:v>
                </c:pt>
                <c:pt idx="173">
                  <c:v>79708</c:v>
                </c:pt>
                <c:pt idx="174">
                  <c:v>0</c:v>
                </c:pt>
                <c:pt idx="175">
                  <c:v>0</c:v>
                </c:pt>
                <c:pt idx="176">
                  <c:v>62104</c:v>
                </c:pt>
                <c:pt idx="177">
                  <c:v>0</c:v>
                </c:pt>
                <c:pt idx="178">
                  <c:v>53997</c:v>
                </c:pt>
                <c:pt idx="179">
                  <c:v>0</c:v>
                </c:pt>
                <c:pt idx="180">
                  <c:v>0</c:v>
                </c:pt>
                <c:pt idx="181">
                  <c:v>44439</c:v>
                </c:pt>
                <c:pt idx="182">
                  <c:v>0</c:v>
                </c:pt>
                <c:pt idx="183">
                  <c:v>28785</c:v>
                </c:pt>
                <c:pt idx="184">
                  <c:v>0</c:v>
                </c:pt>
                <c:pt idx="185">
                  <c:v>0</c:v>
                </c:pt>
                <c:pt idx="186">
                  <c:v>24248</c:v>
                </c:pt>
                <c:pt idx="187">
                  <c:v>0</c:v>
                </c:pt>
                <c:pt idx="188">
                  <c:v>0</c:v>
                </c:pt>
                <c:pt idx="189">
                  <c:v>19580</c:v>
                </c:pt>
                <c:pt idx="190">
                  <c:v>0</c:v>
                </c:pt>
                <c:pt idx="191">
                  <c:v>12460</c:v>
                </c:pt>
                <c:pt idx="192">
                  <c:v>0</c:v>
                </c:pt>
                <c:pt idx="193">
                  <c:v>0</c:v>
                </c:pt>
                <c:pt idx="194">
                  <c:v>5041</c:v>
                </c:pt>
                <c:pt idx="195">
                  <c:v>0</c:v>
                </c:pt>
                <c:pt idx="196">
                  <c:v>2703</c:v>
                </c:pt>
                <c:pt idx="197">
                  <c:v>0</c:v>
                </c:pt>
                <c:pt idx="198">
                  <c:v>0</c:v>
                </c:pt>
                <c:pt idx="199">
                  <c:v>1398</c:v>
                </c:pt>
                <c:pt idx="200">
                  <c:v>0</c:v>
                </c:pt>
                <c:pt idx="201">
                  <c:v>864</c:v>
                </c:pt>
                <c:pt idx="202">
                  <c:v>0</c:v>
                </c:pt>
                <c:pt idx="203">
                  <c:v>0</c:v>
                </c:pt>
                <c:pt idx="204">
                  <c:v>434</c:v>
                </c:pt>
                <c:pt idx="205">
                  <c:v>0</c:v>
                </c:pt>
                <c:pt idx="206">
                  <c:v>0</c:v>
                </c:pt>
                <c:pt idx="207">
                  <c:v>341</c:v>
                </c:pt>
                <c:pt idx="208">
                  <c:v>0</c:v>
                </c:pt>
                <c:pt idx="209">
                  <c:v>255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0.16816182258571299</c:v>
                </c:pt>
                <c:pt idx="1">
                  <c:v>0.36453326232519018</c:v>
                </c:pt>
                <c:pt idx="2">
                  <c:v>0.46730491508909683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0.50471304976288212</c:v>
                </c:pt>
                <c:pt idx="1">
                  <c:v>0.29030752400536108</c:v>
                </c:pt>
                <c:pt idx="2">
                  <c:v>0.20497942623175683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4.4299724999999999</c:v>
                </c:pt>
                <c:pt idx="1">
                  <c:v>5.9020549999999998</c:v>
                </c:pt>
                <c:pt idx="2">
                  <c:v>25.838699999999999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  <c:pt idx="74">
                  <c:v>30.060500000000001</c:v>
                </c:pt>
                <c:pt idx="75">
                  <c:v>30.4695</c:v>
                </c:pt>
                <c:pt idx="76">
                  <c:v>30.874500000000001</c:v>
                </c:pt>
                <c:pt idx="77">
                  <c:v>31.279399999999999</c:v>
                </c:pt>
                <c:pt idx="78">
                  <c:v>31.688199999999998</c:v>
                </c:pt>
                <c:pt idx="79">
                  <c:v>32.094499999999996</c:v>
                </c:pt>
                <c:pt idx="80">
                  <c:v>32.5002</c:v>
                </c:pt>
                <c:pt idx="81">
                  <c:v>32.907499999999999</c:v>
                </c:pt>
                <c:pt idx="82">
                  <c:v>33.308999999999997</c:v>
                </c:pt>
                <c:pt idx="83">
                  <c:v>33.712899999999998</c:v>
                </c:pt>
                <c:pt idx="84">
                  <c:v>34.125700000000002</c:v>
                </c:pt>
                <c:pt idx="85">
                  <c:v>34.530700000000003</c:v>
                </c:pt>
                <c:pt idx="86">
                  <c:v>34.936599999999999</c:v>
                </c:pt>
                <c:pt idx="87">
                  <c:v>35.343499999999999</c:v>
                </c:pt>
                <c:pt idx="88">
                  <c:v>35.7455</c:v>
                </c:pt>
                <c:pt idx="89">
                  <c:v>36.154400000000003</c:v>
                </c:pt>
                <c:pt idx="90">
                  <c:v>36.562600000000003</c:v>
                </c:pt>
                <c:pt idx="91">
                  <c:v>36.967700000000001</c:v>
                </c:pt>
                <c:pt idx="92">
                  <c:v>37.371299999999998</c:v>
                </c:pt>
                <c:pt idx="93">
                  <c:v>37.778700000000001</c:v>
                </c:pt>
                <c:pt idx="94">
                  <c:v>38.186900000000001</c:v>
                </c:pt>
                <c:pt idx="95">
                  <c:v>38.593899999999998</c:v>
                </c:pt>
                <c:pt idx="96">
                  <c:v>38.997</c:v>
                </c:pt>
                <c:pt idx="97">
                  <c:v>39.403599999999997</c:v>
                </c:pt>
                <c:pt idx="98">
                  <c:v>39.808</c:v>
                </c:pt>
                <c:pt idx="99">
                  <c:v>40.216799999999999</c:v>
                </c:pt>
                <c:pt idx="100">
                  <c:v>40.627099999999999</c:v>
                </c:pt>
                <c:pt idx="101">
                  <c:v>41.030299999999997</c:v>
                </c:pt>
                <c:pt idx="102">
                  <c:v>41.437199999999997</c:v>
                </c:pt>
                <c:pt idx="103">
                  <c:v>41.841200000000001</c:v>
                </c:pt>
                <c:pt idx="104">
                  <c:v>42.247900000000001</c:v>
                </c:pt>
                <c:pt idx="105">
                  <c:v>42.652099999999997</c:v>
                </c:pt>
                <c:pt idx="106">
                  <c:v>43.058300000000003</c:v>
                </c:pt>
                <c:pt idx="107">
                  <c:v>43.465800000000002</c:v>
                </c:pt>
                <c:pt idx="108">
                  <c:v>43.877699999999997</c:v>
                </c:pt>
                <c:pt idx="109">
                  <c:v>44.2806</c:v>
                </c:pt>
                <c:pt idx="110">
                  <c:v>44.6845</c:v>
                </c:pt>
                <c:pt idx="111">
                  <c:v>45.089599999999997</c:v>
                </c:pt>
                <c:pt idx="112">
                  <c:v>45.498399999999997</c:v>
                </c:pt>
                <c:pt idx="113">
                  <c:v>45.903199999999998</c:v>
                </c:pt>
                <c:pt idx="114">
                  <c:v>46.312199999999997</c:v>
                </c:pt>
                <c:pt idx="115">
                  <c:v>46.714100000000002</c:v>
                </c:pt>
                <c:pt idx="116">
                  <c:v>47.123600000000003</c:v>
                </c:pt>
                <c:pt idx="117">
                  <c:v>47.53</c:v>
                </c:pt>
                <c:pt idx="118">
                  <c:v>47.936799999999998</c:v>
                </c:pt>
                <c:pt idx="119">
                  <c:v>48.342799999999997</c:v>
                </c:pt>
                <c:pt idx="120">
                  <c:v>48.745600000000003</c:v>
                </c:pt>
                <c:pt idx="121">
                  <c:v>49.150500000000001</c:v>
                </c:pt>
                <c:pt idx="122">
                  <c:v>49.558500000000002</c:v>
                </c:pt>
                <c:pt idx="123">
                  <c:v>49.970399999999998</c:v>
                </c:pt>
                <c:pt idx="124">
                  <c:v>50.372399999999999</c:v>
                </c:pt>
                <c:pt idx="125">
                  <c:v>50.778100000000002</c:v>
                </c:pt>
                <c:pt idx="126">
                  <c:v>51.185099999999998</c:v>
                </c:pt>
                <c:pt idx="127">
                  <c:v>51.589500000000001</c:v>
                </c:pt>
                <c:pt idx="128">
                  <c:v>51.997199999999999</c:v>
                </c:pt>
                <c:pt idx="129">
                  <c:v>52.408000000000001</c:v>
                </c:pt>
                <c:pt idx="130">
                  <c:v>52.809800000000003</c:v>
                </c:pt>
                <c:pt idx="131">
                  <c:v>53.215800000000002</c:v>
                </c:pt>
                <c:pt idx="132">
                  <c:v>53.622999999999998</c:v>
                </c:pt>
                <c:pt idx="133">
                  <c:v>54.028399999999998</c:v>
                </c:pt>
                <c:pt idx="134">
                  <c:v>54.435499999999998</c:v>
                </c:pt>
                <c:pt idx="135">
                  <c:v>54.843400000000003</c:v>
                </c:pt>
                <c:pt idx="136">
                  <c:v>55.2483</c:v>
                </c:pt>
                <c:pt idx="137">
                  <c:v>55.653500000000001</c:v>
                </c:pt>
                <c:pt idx="138">
                  <c:v>56.061</c:v>
                </c:pt>
                <c:pt idx="139">
                  <c:v>56.4711</c:v>
                </c:pt>
                <c:pt idx="140">
                  <c:v>56.875900000000001</c:v>
                </c:pt>
                <c:pt idx="141">
                  <c:v>57.279800000000002</c:v>
                </c:pt>
                <c:pt idx="142">
                  <c:v>57.685499999999998</c:v>
                </c:pt>
                <c:pt idx="143">
                  <c:v>58.095500000000001</c:v>
                </c:pt>
                <c:pt idx="144">
                  <c:v>58.501600000000003</c:v>
                </c:pt>
                <c:pt idx="145">
                  <c:v>58.903500000000001</c:v>
                </c:pt>
                <c:pt idx="146">
                  <c:v>59.309399999999997</c:v>
                </c:pt>
                <c:pt idx="147">
                  <c:v>59.714500000000001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  <c:pt idx="74">
                  <c:v>5.4762900000000005</c:v>
                </c:pt>
                <c:pt idx="75">
                  <c:v>5.4856099999999994</c:v>
                </c:pt>
                <c:pt idx="76">
                  <c:v>5.4908599999999996</c:v>
                </c:pt>
                <c:pt idx="77">
                  <c:v>5.4967800000000002</c:v>
                </c:pt>
                <c:pt idx="78">
                  <c:v>5.5007200000000003</c:v>
                </c:pt>
                <c:pt idx="79">
                  <c:v>5.5073099999999995</c:v>
                </c:pt>
                <c:pt idx="80">
                  <c:v>5.509500000000001</c:v>
                </c:pt>
                <c:pt idx="81">
                  <c:v>5.5097399999999999</c:v>
                </c:pt>
                <c:pt idx="82">
                  <c:v>5.5058399999999992</c:v>
                </c:pt>
                <c:pt idx="83">
                  <c:v>5.4978099999999994</c:v>
                </c:pt>
                <c:pt idx="84">
                  <c:v>5.4851700000000001</c:v>
                </c:pt>
                <c:pt idx="85">
                  <c:v>5.4680300000000006</c:v>
                </c:pt>
                <c:pt idx="86">
                  <c:v>5.4474499999999999</c:v>
                </c:pt>
                <c:pt idx="87">
                  <c:v>5.4235699999999998</c:v>
                </c:pt>
                <c:pt idx="88">
                  <c:v>5.40083</c:v>
                </c:pt>
                <c:pt idx="89">
                  <c:v>5.3775399999999998</c:v>
                </c:pt>
                <c:pt idx="90">
                  <c:v>5.3525700000000001</c:v>
                </c:pt>
                <c:pt idx="91">
                  <c:v>5.3225500000000006</c:v>
                </c:pt>
                <c:pt idx="92">
                  <c:v>5.29671</c:v>
                </c:pt>
                <c:pt idx="93">
                  <c:v>5.2712899999999996</c:v>
                </c:pt>
                <c:pt idx="94">
                  <c:v>5.2418800000000001</c:v>
                </c:pt>
                <c:pt idx="95">
                  <c:v>5.2127400000000002</c:v>
                </c:pt>
                <c:pt idx="96">
                  <c:v>5.1818600000000004</c:v>
                </c:pt>
                <c:pt idx="97">
                  <c:v>5.1529699999999998</c:v>
                </c:pt>
                <c:pt idx="98">
                  <c:v>5.1245700000000003</c:v>
                </c:pt>
                <c:pt idx="99">
                  <c:v>5.0951699999999995</c:v>
                </c:pt>
                <c:pt idx="100">
                  <c:v>5.0636400000000004</c:v>
                </c:pt>
                <c:pt idx="101">
                  <c:v>5.0340600000000002</c:v>
                </c:pt>
                <c:pt idx="102">
                  <c:v>5.0036400000000008</c:v>
                </c:pt>
                <c:pt idx="103">
                  <c:v>4.9747200000000005</c:v>
                </c:pt>
                <c:pt idx="104">
                  <c:v>4.9428000000000001</c:v>
                </c:pt>
                <c:pt idx="105">
                  <c:v>4.9127299999999998</c:v>
                </c:pt>
                <c:pt idx="106">
                  <c:v>4.8784200000000002</c:v>
                </c:pt>
                <c:pt idx="107">
                  <c:v>4.8474199999999996</c:v>
                </c:pt>
                <c:pt idx="108">
                  <c:v>4.8230599999999999</c:v>
                </c:pt>
                <c:pt idx="109">
                  <c:v>4.8054199999999998</c:v>
                </c:pt>
                <c:pt idx="110">
                  <c:v>4.7935499999999998</c:v>
                </c:pt>
                <c:pt idx="111">
                  <c:v>4.7824200000000001</c:v>
                </c:pt>
                <c:pt idx="112">
                  <c:v>4.7752999999999997</c:v>
                </c:pt>
                <c:pt idx="113">
                  <c:v>4.7741499999999997</c:v>
                </c:pt>
                <c:pt idx="114">
                  <c:v>4.7790300000000006</c:v>
                </c:pt>
                <c:pt idx="115">
                  <c:v>4.7878799999999995</c:v>
                </c:pt>
                <c:pt idx="116">
                  <c:v>4.7982999999999993</c:v>
                </c:pt>
                <c:pt idx="117">
                  <c:v>4.8062500000000004</c:v>
                </c:pt>
                <c:pt idx="118">
                  <c:v>4.8151599999999997</c:v>
                </c:pt>
                <c:pt idx="119">
                  <c:v>4.82531</c:v>
                </c:pt>
                <c:pt idx="120">
                  <c:v>4.8346800000000005</c:v>
                </c:pt>
                <c:pt idx="121">
                  <c:v>4.8412300000000004</c:v>
                </c:pt>
                <c:pt idx="122">
                  <c:v>4.8402599999999998</c:v>
                </c:pt>
                <c:pt idx="123">
                  <c:v>4.8372200000000003</c:v>
                </c:pt>
                <c:pt idx="124">
                  <c:v>4.8430999999999997</c:v>
                </c:pt>
                <c:pt idx="125">
                  <c:v>4.8513999999999999</c:v>
                </c:pt>
                <c:pt idx="126">
                  <c:v>4.8607800000000001</c:v>
                </c:pt>
                <c:pt idx="127">
                  <c:v>4.8696400000000004</c:v>
                </c:pt>
                <c:pt idx="128">
                  <c:v>4.8779599999999999</c:v>
                </c:pt>
                <c:pt idx="129">
                  <c:v>4.8867099999999999</c:v>
                </c:pt>
                <c:pt idx="130">
                  <c:v>4.8970799999999999</c:v>
                </c:pt>
                <c:pt idx="131">
                  <c:v>4.9124099999999995</c:v>
                </c:pt>
                <c:pt idx="132">
                  <c:v>4.92666</c:v>
                </c:pt>
                <c:pt idx="133">
                  <c:v>4.9392899999999997</c:v>
                </c:pt>
                <c:pt idx="134">
                  <c:v>4.9483600000000001</c:v>
                </c:pt>
                <c:pt idx="135">
                  <c:v>4.9524299999999997</c:v>
                </c:pt>
                <c:pt idx="136">
                  <c:v>4.9584200000000003</c:v>
                </c:pt>
                <c:pt idx="137">
                  <c:v>4.9650600000000003</c:v>
                </c:pt>
                <c:pt idx="138">
                  <c:v>4.9626799999999998</c:v>
                </c:pt>
                <c:pt idx="139">
                  <c:v>4.9509699999999999</c:v>
                </c:pt>
                <c:pt idx="140">
                  <c:v>4.9304300000000003</c:v>
                </c:pt>
                <c:pt idx="141">
                  <c:v>4.9067100000000003</c:v>
                </c:pt>
                <c:pt idx="142">
                  <c:v>4.8807</c:v>
                </c:pt>
                <c:pt idx="143">
                  <c:v>4.8494799999999998</c:v>
                </c:pt>
                <c:pt idx="144">
                  <c:v>4.8140499999999999</c:v>
                </c:pt>
                <c:pt idx="145">
                  <c:v>4.7667000000000002</c:v>
                </c:pt>
                <c:pt idx="146">
                  <c:v>4.7150599999999994</c:v>
                </c:pt>
                <c:pt idx="147">
                  <c:v>4.6856599999999995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29.651900000000001</c:v>
                </c:pt>
                <c:pt idx="1">
                  <c:v>30.060500000000001</c:v>
                </c:pt>
                <c:pt idx="2">
                  <c:v>30.4695</c:v>
                </c:pt>
                <c:pt idx="3">
                  <c:v>30.874500000000001</c:v>
                </c:pt>
                <c:pt idx="4">
                  <c:v>31.279399999999999</c:v>
                </c:pt>
                <c:pt idx="5">
                  <c:v>31.688199999999998</c:v>
                </c:pt>
                <c:pt idx="6">
                  <c:v>32.094499999999996</c:v>
                </c:pt>
                <c:pt idx="7">
                  <c:v>32.5002</c:v>
                </c:pt>
                <c:pt idx="8">
                  <c:v>32.907499999999999</c:v>
                </c:pt>
                <c:pt idx="9">
                  <c:v>33.308999999999997</c:v>
                </c:pt>
                <c:pt idx="10">
                  <c:v>33.712899999999998</c:v>
                </c:pt>
                <c:pt idx="11">
                  <c:v>34.125700000000002</c:v>
                </c:pt>
                <c:pt idx="12">
                  <c:v>34.530700000000003</c:v>
                </c:pt>
                <c:pt idx="13">
                  <c:v>34.936599999999999</c:v>
                </c:pt>
                <c:pt idx="14">
                  <c:v>35.343499999999999</c:v>
                </c:pt>
                <c:pt idx="15">
                  <c:v>35.7455</c:v>
                </c:pt>
                <c:pt idx="16">
                  <c:v>36.154400000000003</c:v>
                </c:pt>
                <c:pt idx="17">
                  <c:v>36.562600000000003</c:v>
                </c:pt>
                <c:pt idx="18">
                  <c:v>36.967700000000001</c:v>
                </c:pt>
                <c:pt idx="19">
                  <c:v>37.371299999999998</c:v>
                </c:pt>
                <c:pt idx="20">
                  <c:v>37.778700000000001</c:v>
                </c:pt>
                <c:pt idx="21">
                  <c:v>38.186900000000001</c:v>
                </c:pt>
                <c:pt idx="22">
                  <c:v>38.593899999999998</c:v>
                </c:pt>
                <c:pt idx="23">
                  <c:v>38.997</c:v>
                </c:pt>
                <c:pt idx="24">
                  <c:v>39.403599999999997</c:v>
                </c:pt>
                <c:pt idx="25">
                  <c:v>39.808</c:v>
                </c:pt>
                <c:pt idx="26">
                  <c:v>40.216799999999999</c:v>
                </c:pt>
                <c:pt idx="27">
                  <c:v>40.627099999999999</c:v>
                </c:pt>
                <c:pt idx="28">
                  <c:v>41.030299999999997</c:v>
                </c:pt>
                <c:pt idx="29">
                  <c:v>41.437199999999997</c:v>
                </c:pt>
                <c:pt idx="30">
                  <c:v>41.841200000000001</c:v>
                </c:pt>
                <c:pt idx="31">
                  <c:v>42.247900000000001</c:v>
                </c:pt>
                <c:pt idx="32">
                  <c:v>42.652099999999997</c:v>
                </c:pt>
                <c:pt idx="33">
                  <c:v>43.058300000000003</c:v>
                </c:pt>
                <c:pt idx="34">
                  <c:v>43.465800000000002</c:v>
                </c:pt>
                <c:pt idx="35">
                  <c:v>43.877699999999997</c:v>
                </c:pt>
                <c:pt idx="36">
                  <c:v>44.2806</c:v>
                </c:pt>
                <c:pt idx="37">
                  <c:v>44.6845</c:v>
                </c:pt>
                <c:pt idx="38">
                  <c:v>45.089599999999997</c:v>
                </c:pt>
                <c:pt idx="39">
                  <c:v>45.498399999999997</c:v>
                </c:pt>
                <c:pt idx="40">
                  <c:v>45.903199999999998</c:v>
                </c:pt>
                <c:pt idx="41">
                  <c:v>46.312199999999997</c:v>
                </c:pt>
                <c:pt idx="42">
                  <c:v>46.714100000000002</c:v>
                </c:pt>
                <c:pt idx="43">
                  <c:v>47.123600000000003</c:v>
                </c:pt>
                <c:pt idx="44">
                  <c:v>47.53</c:v>
                </c:pt>
                <c:pt idx="45">
                  <c:v>47.936799999999998</c:v>
                </c:pt>
                <c:pt idx="46">
                  <c:v>48.342799999999997</c:v>
                </c:pt>
                <c:pt idx="47">
                  <c:v>48.745600000000003</c:v>
                </c:pt>
                <c:pt idx="48">
                  <c:v>49.150500000000001</c:v>
                </c:pt>
                <c:pt idx="49">
                  <c:v>49.558500000000002</c:v>
                </c:pt>
                <c:pt idx="50">
                  <c:v>49.970399999999998</c:v>
                </c:pt>
                <c:pt idx="51">
                  <c:v>50.372399999999999</c:v>
                </c:pt>
                <c:pt idx="52">
                  <c:v>50.778100000000002</c:v>
                </c:pt>
                <c:pt idx="53">
                  <c:v>51.185099999999998</c:v>
                </c:pt>
                <c:pt idx="54">
                  <c:v>51.589500000000001</c:v>
                </c:pt>
                <c:pt idx="55">
                  <c:v>51.997199999999999</c:v>
                </c:pt>
                <c:pt idx="56">
                  <c:v>52.408000000000001</c:v>
                </c:pt>
                <c:pt idx="57">
                  <c:v>52.809800000000003</c:v>
                </c:pt>
                <c:pt idx="58">
                  <c:v>53.215800000000002</c:v>
                </c:pt>
                <c:pt idx="59">
                  <c:v>53.622999999999998</c:v>
                </c:pt>
                <c:pt idx="60">
                  <c:v>54.028399999999998</c:v>
                </c:pt>
                <c:pt idx="61">
                  <c:v>54.435499999999998</c:v>
                </c:pt>
                <c:pt idx="62">
                  <c:v>54.843400000000003</c:v>
                </c:pt>
                <c:pt idx="63">
                  <c:v>55.2483</c:v>
                </c:pt>
                <c:pt idx="64">
                  <c:v>55.653500000000001</c:v>
                </c:pt>
                <c:pt idx="65">
                  <c:v>56.061</c:v>
                </c:pt>
                <c:pt idx="66">
                  <c:v>56.4711</c:v>
                </c:pt>
                <c:pt idx="67">
                  <c:v>56.875900000000001</c:v>
                </c:pt>
                <c:pt idx="68">
                  <c:v>57.279800000000002</c:v>
                </c:pt>
                <c:pt idx="69">
                  <c:v>57.685499999999998</c:v>
                </c:pt>
                <c:pt idx="70">
                  <c:v>58.095500000000001</c:v>
                </c:pt>
                <c:pt idx="71">
                  <c:v>58.501600000000003</c:v>
                </c:pt>
                <c:pt idx="72">
                  <c:v>58.903500000000001</c:v>
                </c:pt>
                <c:pt idx="73">
                  <c:v>59.309399999999997</c:v>
                </c:pt>
                <c:pt idx="74">
                  <c:v>59.714500000000001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5.4646600000000003</c:v>
                </c:pt>
                <c:pt idx="1">
                  <c:v>5.4762900000000005</c:v>
                </c:pt>
                <c:pt idx="2">
                  <c:v>5.4856099999999994</c:v>
                </c:pt>
                <c:pt idx="3">
                  <c:v>5.4908599999999996</c:v>
                </c:pt>
                <c:pt idx="4">
                  <c:v>5.4967800000000002</c:v>
                </c:pt>
                <c:pt idx="5">
                  <c:v>5.5007200000000003</c:v>
                </c:pt>
                <c:pt idx="6">
                  <c:v>5.5073099999999995</c:v>
                </c:pt>
                <c:pt idx="7">
                  <c:v>5.509500000000001</c:v>
                </c:pt>
                <c:pt idx="8">
                  <c:v>5.5097399999999999</c:v>
                </c:pt>
                <c:pt idx="9">
                  <c:v>5.5058399999999992</c:v>
                </c:pt>
                <c:pt idx="10">
                  <c:v>5.4978099999999994</c:v>
                </c:pt>
                <c:pt idx="11">
                  <c:v>5.4851700000000001</c:v>
                </c:pt>
                <c:pt idx="12">
                  <c:v>5.4680300000000006</c:v>
                </c:pt>
                <c:pt idx="13">
                  <c:v>5.4474499999999999</c:v>
                </c:pt>
                <c:pt idx="14">
                  <c:v>5.4235699999999998</c:v>
                </c:pt>
                <c:pt idx="15">
                  <c:v>5.40083</c:v>
                </c:pt>
                <c:pt idx="16">
                  <c:v>5.3775399999999998</c:v>
                </c:pt>
                <c:pt idx="17">
                  <c:v>5.3525700000000001</c:v>
                </c:pt>
                <c:pt idx="18">
                  <c:v>5.3225500000000006</c:v>
                </c:pt>
                <c:pt idx="19">
                  <c:v>5.29671</c:v>
                </c:pt>
                <c:pt idx="20">
                  <c:v>5.2712899999999996</c:v>
                </c:pt>
                <c:pt idx="21">
                  <c:v>5.2418800000000001</c:v>
                </c:pt>
                <c:pt idx="22">
                  <c:v>5.2127400000000002</c:v>
                </c:pt>
                <c:pt idx="23">
                  <c:v>5.1818600000000004</c:v>
                </c:pt>
                <c:pt idx="24">
                  <c:v>5.1529699999999998</c:v>
                </c:pt>
                <c:pt idx="25">
                  <c:v>5.1245700000000003</c:v>
                </c:pt>
                <c:pt idx="26">
                  <c:v>5.0951699999999995</c:v>
                </c:pt>
                <c:pt idx="27">
                  <c:v>5.0636400000000004</c:v>
                </c:pt>
                <c:pt idx="28">
                  <c:v>5.0340600000000002</c:v>
                </c:pt>
                <c:pt idx="29">
                  <c:v>5.0036400000000008</c:v>
                </c:pt>
                <c:pt idx="30">
                  <c:v>4.9747200000000005</c:v>
                </c:pt>
                <c:pt idx="31">
                  <c:v>4.9428000000000001</c:v>
                </c:pt>
                <c:pt idx="32">
                  <c:v>4.9127299999999998</c:v>
                </c:pt>
                <c:pt idx="33">
                  <c:v>4.8784200000000002</c:v>
                </c:pt>
                <c:pt idx="34">
                  <c:v>4.8474199999999996</c:v>
                </c:pt>
                <c:pt idx="35">
                  <c:v>4.8230599999999999</c:v>
                </c:pt>
                <c:pt idx="36">
                  <c:v>4.8054199999999998</c:v>
                </c:pt>
                <c:pt idx="37">
                  <c:v>4.7935499999999998</c:v>
                </c:pt>
                <c:pt idx="38">
                  <c:v>4.7824200000000001</c:v>
                </c:pt>
                <c:pt idx="39">
                  <c:v>4.7752999999999997</c:v>
                </c:pt>
                <c:pt idx="40">
                  <c:v>4.7741499999999997</c:v>
                </c:pt>
                <c:pt idx="41">
                  <c:v>4.7790300000000006</c:v>
                </c:pt>
                <c:pt idx="42">
                  <c:v>4.7878799999999995</c:v>
                </c:pt>
                <c:pt idx="43">
                  <c:v>4.7982999999999993</c:v>
                </c:pt>
                <c:pt idx="44">
                  <c:v>4.8062500000000004</c:v>
                </c:pt>
                <c:pt idx="45">
                  <c:v>4.8151599999999997</c:v>
                </c:pt>
                <c:pt idx="46">
                  <c:v>4.82531</c:v>
                </c:pt>
                <c:pt idx="47">
                  <c:v>4.8346800000000005</c:v>
                </c:pt>
                <c:pt idx="48">
                  <c:v>4.8412300000000004</c:v>
                </c:pt>
                <c:pt idx="49">
                  <c:v>4.8402599999999998</c:v>
                </c:pt>
                <c:pt idx="50">
                  <c:v>4.8372200000000003</c:v>
                </c:pt>
                <c:pt idx="51">
                  <c:v>4.8430999999999997</c:v>
                </c:pt>
                <c:pt idx="52">
                  <c:v>4.8513999999999999</c:v>
                </c:pt>
                <c:pt idx="53">
                  <c:v>4.8607800000000001</c:v>
                </c:pt>
                <c:pt idx="54">
                  <c:v>4.8696400000000004</c:v>
                </c:pt>
                <c:pt idx="55">
                  <c:v>4.8779599999999999</c:v>
                </c:pt>
                <c:pt idx="56">
                  <c:v>4.8867099999999999</c:v>
                </c:pt>
                <c:pt idx="57">
                  <c:v>4.8970799999999999</c:v>
                </c:pt>
                <c:pt idx="58">
                  <c:v>4.9124099999999995</c:v>
                </c:pt>
                <c:pt idx="59">
                  <c:v>4.92666</c:v>
                </c:pt>
                <c:pt idx="60">
                  <c:v>4.9392899999999997</c:v>
                </c:pt>
                <c:pt idx="61">
                  <c:v>4.9483600000000001</c:v>
                </c:pt>
                <c:pt idx="62">
                  <c:v>4.9524299999999997</c:v>
                </c:pt>
                <c:pt idx="63">
                  <c:v>4.9584200000000003</c:v>
                </c:pt>
                <c:pt idx="64">
                  <c:v>4.9650600000000003</c:v>
                </c:pt>
                <c:pt idx="65">
                  <c:v>4.9626799999999998</c:v>
                </c:pt>
                <c:pt idx="66">
                  <c:v>4.9509699999999999</c:v>
                </c:pt>
                <c:pt idx="67">
                  <c:v>4.9304300000000003</c:v>
                </c:pt>
                <c:pt idx="68">
                  <c:v>4.9067100000000003</c:v>
                </c:pt>
                <c:pt idx="69">
                  <c:v>4.8807</c:v>
                </c:pt>
                <c:pt idx="70">
                  <c:v>4.8494799999999998</c:v>
                </c:pt>
                <c:pt idx="71">
                  <c:v>4.8140499999999999</c:v>
                </c:pt>
                <c:pt idx="72">
                  <c:v>4.7667000000000002</c:v>
                </c:pt>
                <c:pt idx="73">
                  <c:v>4.7150599999999994</c:v>
                </c:pt>
                <c:pt idx="74">
                  <c:v>4.6856599999999995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14.928625</c:v>
                </c:pt>
                <c:pt idx="1">
                  <c:v>44.785875000000004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4.243099864864865</c:v>
                </c:pt>
                <c:pt idx="1">
                  <c:v>5.0481587837837862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  <c:pt idx="74">
                  <c:v>30.060500000000001</c:v>
                </c:pt>
                <c:pt idx="75">
                  <c:v>30.4695</c:v>
                </c:pt>
                <c:pt idx="76">
                  <c:v>30.874500000000001</c:v>
                </c:pt>
                <c:pt idx="77">
                  <c:v>31.279399999999999</c:v>
                </c:pt>
                <c:pt idx="78">
                  <c:v>31.688199999999998</c:v>
                </c:pt>
                <c:pt idx="79">
                  <c:v>32.094499999999996</c:v>
                </c:pt>
                <c:pt idx="80">
                  <c:v>32.5002</c:v>
                </c:pt>
                <c:pt idx="81">
                  <c:v>32.907499999999999</c:v>
                </c:pt>
                <c:pt idx="82">
                  <c:v>33.308999999999997</c:v>
                </c:pt>
                <c:pt idx="83">
                  <c:v>33.712899999999998</c:v>
                </c:pt>
                <c:pt idx="84">
                  <c:v>34.125700000000002</c:v>
                </c:pt>
                <c:pt idx="85">
                  <c:v>34.530700000000003</c:v>
                </c:pt>
                <c:pt idx="86">
                  <c:v>34.936599999999999</c:v>
                </c:pt>
                <c:pt idx="87">
                  <c:v>35.343499999999999</c:v>
                </c:pt>
                <c:pt idx="88">
                  <c:v>35.7455</c:v>
                </c:pt>
                <c:pt idx="89">
                  <c:v>36.154400000000003</c:v>
                </c:pt>
                <c:pt idx="90">
                  <c:v>36.562600000000003</c:v>
                </c:pt>
                <c:pt idx="91">
                  <c:v>36.967700000000001</c:v>
                </c:pt>
                <c:pt idx="92">
                  <c:v>37.371299999999998</c:v>
                </c:pt>
                <c:pt idx="93">
                  <c:v>37.778700000000001</c:v>
                </c:pt>
                <c:pt idx="94">
                  <c:v>38.186900000000001</c:v>
                </c:pt>
                <c:pt idx="95">
                  <c:v>38.593899999999998</c:v>
                </c:pt>
                <c:pt idx="96">
                  <c:v>38.997</c:v>
                </c:pt>
                <c:pt idx="97">
                  <c:v>39.403599999999997</c:v>
                </c:pt>
                <c:pt idx="98">
                  <c:v>39.808</c:v>
                </c:pt>
                <c:pt idx="99">
                  <c:v>40.216799999999999</c:v>
                </c:pt>
                <c:pt idx="100">
                  <c:v>40.627099999999999</c:v>
                </c:pt>
                <c:pt idx="101">
                  <c:v>41.030299999999997</c:v>
                </c:pt>
                <c:pt idx="102">
                  <c:v>41.437199999999997</c:v>
                </c:pt>
                <c:pt idx="103">
                  <c:v>41.841200000000001</c:v>
                </c:pt>
                <c:pt idx="104">
                  <c:v>42.247900000000001</c:v>
                </c:pt>
                <c:pt idx="105">
                  <c:v>42.652099999999997</c:v>
                </c:pt>
                <c:pt idx="106">
                  <c:v>43.058300000000003</c:v>
                </c:pt>
                <c:pt idx="107">
                  <c:v>43.465800000000002</c:v>
                </c:pt>
                <c:pt idx="108">
                  <c:v>43.877699999999997</c:v>
                </c:pt>
                <c:pt idx="109">
                  <c:v>44.2806</c:v>
                </c:pt>
                <c:pt idx="110">
                  <c:v>44.6845</c:v>
                </c:pt>
                <c:pt idx="111">
                  <c:v>45.089599999999997</c:v>
                </c:pt>
                <c:pt idx="112">
                  <c:v>45.498399999999997</c:v>
                </c:pt>
                <c:pt idx="113">
                  <c:v>45.903199999999998</c:v>
                </c:pt>
                <c:pt idx="114">
                  <c:v>46.312199999999997</c:v>
                </c:pt>
                <c:pt idx="115">
                  <c:v>46.714100000000002</c:v>
                </c:pt>
                <c:pt idx="116">
                  <c:v>47.123600000000003</c:v>
                </c:pt>
                <c:pt idx="117">
                  <c:v>47.53</c:v>
                </c:pt>
                <c:pt idx="118">
                  <c:v>47.936799999999998</c:v>
                </c:pt>
                <c:pt idx="119">
                  <c:v>48.342799999999997</c:v>
                </c:pt>
                <c:pt idx="120">
                  <c:v>48.745600000000003</c:v>
                </c:pt>
                <c:pt idx="121">
                  <c:v>49.150500000000001</c:v>
                </c:pt>
                <c:pt idx="122">
                  <c:v>49.558500000000002</c:v>
                </c:pt>
                <c:pt idx="123">
                  <c:v>49.970399999999998</c:v>
                </c:pt>
                <c:pt idx="124">
                  <c:v>50.372399999999999</c:v>
                </c:pt>
                <c:pt idx="125">
                  <c:v>50.778100000000002</c:v>
                </c:pt>
                <c:pt idx="126">
                  <c:v>51.185099999999998</c:v>
                </c:pt>
                <c:pt idx="127">
                  <c:v>51.589500000000001</c:v>
                </c:pt>
                <c:pt idx="128">
                  <c:v>51.997199999999999</c:v>
                </c:pt>
                <c:pt idx="129">
                  <c:v>52.408000000000001</c:v>
                </c:pt>
                <c:pt idx="130">
                  <c:v>52.809800000000003</c:v>
                </c:pt>
                <c:pt idx="131">
                  <c:v>53.215800000000002</c:v>
                </c:pt>
                <c:pt idx="132">
                  <c:v>53.622999999999998</c:v>
                </c:pt>
                <c:pt idx="133">
                  <c:v>54.028399999999998</c:v>
                </c:pt>
                <c:pt idx="134">
                  <c:v>54.435499999999998</c:v>
                </c:pt>
                <c:pt idx="135">
                  <c:v>54.843400000000003</c:v>
                </c:pt>
                <c:pt idx="136">
                  <c:v>55.2483</c:v>
                </c:pt>
                <c:pt idx="137">
                  <c:v>55.653500000000001</c:v>
                </c:pt>
                <c:pt idx="138">
                  <c:v>56.061</c:v>
                </c:pt>
                <c:pt idx="139">
                  <c:v>56.4711</c:v>
                </c:pt>
                <c:pt idx="140">
                  <c:v>56.875900000000001</c:v>
                </c:pt>
                <c:pt idx="141">
                  <c:v>57.279800000000002</c:v>
                </c:pt>
                <c:pt idx="142">
                  <c:v>57.685499999999998</c:v>
                </c:pt>
                <c:pt idx="143">
                  <c:v>58.095500000000001</c:v>
                </c:pt>
                <c:pt idx="144">
                  <c:v>58.501600000000003</c:v>
                </c:pt>
                <c:pt idx="145">
                  <c:v>58.903500000000001</c:v>
                </c:pt>
                <c:pt idx="146">
                  <c:v>59.309399999999997</c:v>
                </c:pt>
                <c:pt idx="147">
                  <c:v>59.714500000000001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  <c:pt idx="74">
                  <c:v>40.644799999999996</c:v>
                </c:pt>
                <c:pt idx="75">
                  <c:v>40.416800000000002</c:v>
                </c:pt>
                <c:pt idx="76">
                  <c:v>40.227899999999998</c:v>
                </c:pt>
                <c:pt idx="77">
                  <c:v>40.065100000000001</c:v>
                </c:pt>
                <c:pt idx="78">
                  <c:v>39.921900000000001</c:v>
                </c:pt>
                <c:pt idx="79">
                  <c:v>39.760800000000003</c:v>
                </c:pt>
                <c:pt idx="80">
                  <c:v>39.624400000000001</c:v>
                </c:pt>
                <c:pt idx="81">
                  <c:v>39.506799999999998</c:v>
                </c:pt>
                <c:pt idx="82">
                  <c:v>39.387699999999995</c:v>
                </c:pt>
                <c:pt idx="83">
                  <c:v>39.2423</c:v>
                </c:pt>
                <c:pt idx="84">
                  <c:v>39.109300000000005</c:v>
                </c:pt>
                <c:pt idx="85">
                  <c:v>39.011200000000002</c:v>
                </c:pt>
                <c:pt idx="86">
                  <c:v>38.950200000000002</c:v>
                </c:pt>
                <c:pt idx="87">
                  <c:v>38.879899999999999</c:v>
                </c:pt>
                <c:pt idx="88">
                  <c:v>38.789699999999996</c:v>
                </c:pt>
                <c:pt idx="89">
                  <c:v>38.638300000000001</c:v>
                </c:pt>
                <c:pt idx="90">
                  <c:v>38.446000000000005</c:v>
                </c:pt>
                <c:pt idx="91">
                  <c:v>38.292000000000002</c:v>
                </c:pt>
                <c:pt idx="92">
                  <c:v>38.206699999999998</c:v>
                </c:pt>
                <c:pt idx="93">
                  <c:v>38.111600000000003</c:v>
                </c:pt>
                <c:pt idx="94">
                  <c:v>37.975300000000004</c:v>
                </c:pt>
                <c:pt idx="95">
                  <c:v>37.874899999999997</c:v>
                </c:pt>
                <c:pt idx="96">
                  <c:v>37.806800000000003</c:v>
                </c:pt>
                <c:pt idx="97">
                  <c:v>37.849400000000003</c:v>
                </c:pt>
                <c:pt idx="98">
                  <c:v>37.9557</c:v>
                </c:pt>
                <c:pt idx="99">
                  <c:v>37.980599999999995</c:v>
                </c:pt>
                <c:pt idx="100">
                  <c:v>38.032499999999999</c:v>
                </c:pt>
                <c:pt idx="101">
                  <c:v>38.063399999999994</c:v>
                </c:pt>
                <c:pt idx="102">
                  <c:v>38.155000000000001</c:v>
                </c:pt>
                <c:pt idx="103">
                  <c:v>38.278800000000004</c:v>
                </c:pt>
                <c:pt idx="104">
                  <c:v>38.490600000000001</c:v>
                </c:pt>
                <c:pt idx="105">
                  <c:v>38.674399999999999</c:v>
                </c:pt>
                <c:pt idx="106">
                  <c:v>38.9435</c:v>
                </c:pt>
                <c:pt idx="107">
                  <c:v>39.216999999999999</c:v>
                </c:pt>
                <c:pt idx="108">
                  <c:v>39.410499999999999</c:v>
                </c:pt>
                <c:pt idx="109">
                  <c:v>39.53</c:v>
                </c:pt>
                <c:pt idx="110">
                  <c:v>39.5916</c:v>
                </c:pt>
                <c:pt idx="111">
                  <c:v>39.656400000000005</c:v>
                </c:pt>
                <c:pt idx="112">
                  <c:v>39.691900000000004</c:v>
                </c:pt>
                <c:pt idx="113">
                  <c:v>39.652000000000001</c:v>
                </c:pt>
                <c:pt idx="114">
                  <c:v>39.4953</c:v>
                </c:pt>
                <c:pt idx="115">
                  <c:v>39.335000000000001</c:v>
                </c:pt>
                <c:pt idx="116">
                  <c:v>39.200899999999997</c:v>
                </c:pt>
                <c:pt idx="117">
                  <c:v>39.051900000000003</c:v>
                </c:pt>
                <c:pt idx="118">
                  <c:v>38.849299999999999</c:v>
                </c:pt>
                <c:pt idx="119">
                  <c:v>38.666600000000003</c:v>
                </c:pt>
                <c:pt idx="120">
                  <c:v>38.496099999999998</c:v>
                </c:pt>
                <c:pt idx="121">
                  <c:v>38.321800000000003</c:v>
                </c:pt>
                <c:pt idx="122">
                  <c:v>38.117400000000004</c:v>
                </c:pt>
                <c:pt idx="123">
                  <c:v>37.933999999999997</c:v>
                </c:pt>
                <c:pt idx="124">
                  <c:v>37.881399999999999</c:v>
                </c:pt>
                <c:pt idx="125">
                  <c:v>37.8247</c:v>
                </c:pt>
                <c:pt idx="126">
                  <c:v>37.753</c:v>
                </c:pt>
                <c:pt idx="127">
                  <c:v>37.669999999999995</c:v>
                </c:pt>
                <c:pt idx="128">
                  <c:v>37.582599999999999</c:v>
                </c:pt>
                <c:pt idx="129">
                  <c:v>37.526499999999999</c:v>
                </c:pt>
                <c:pt idx="130">
                  <c:v>37.470599999999997</c:v>
                </c:pt>
                <c:pt idx="131">
                  <c:v>37.424600000000005</c:v>
                </c:pt>
                <c:pt idx="132">
                  <c:v>37.352400000000003</c:v>
                </c:pt>
                <c:pt idx="133">
                  <c:v>37.244899999999994</c:v>
                </c:pt>
                <c:pt idx="134">
                  <c:v>37.084099999999999</c:v>
                </c:pt>
                <c:pt idx="135">
                  <c:v>36.890099999999997</c:v>
                </c:pt>
                <c:pt idx="136">
                  <c:v>36.653700000000001</c:v>
                </c:pt>
                <c:pt idx="137">
                  <c:v>36.353299999999997</c:v>
                </c:pt>
                <c:pt idx="138">
                  <c:v>36.072800000000001</c:v>
                </c:pt>
                <c:pt idx="139">
                  <c:v>35.913200000000003</c:v>
                </c:pt>
                <c:pt idx="140">
                  <c:v>35.677599999999998</c:v>
                </c:pt>
                <c:pt idx="141">
                  <c:v>35.335999999999999</c:v>
                </c:pt>
                <c:pt idx="142">
                  <c:v>35.089399999999998</c:v>
                </c:pt>
                <c:pt idx="143">
                  <c:v>35.029199999999996</c:v>
                </c:pt>
                <c:pt idx="144">
                  <c:v>35.020299999999999</c:v>
                </c:pt>
                <c:pt idx="145">
                  <c:v>35.0212</c:v>
                </c:pt>
                <c:pt idx="146">
                  <c:v>35.232900000000001</c:v>
                </c:pt>
                <c:pt idx="147">
                  <c:v>35.793199999999999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0.40591500000000003</c:v>
                </c:pt>
                <c:pt idx="2">
                  <c:v>0.80985399999999996</c:v>
                </c:pt>
                <c:pt idx="3">
                  <c:v>1.21574</c:v>
                </c:pt>
                <c:pt idx="4">
                  <c:v>1.62178</c:v>
                </c:pt>
                <c:pt idx="5">
                  <c:v>2.0295000000000001</c:v>
                </c:pt>
                <c:pt idx="6">
                  <c:v>2.4374199999999999</c:v>
                </c:pt>
                <c:pt idx="7">
                  <c:v>2.84341</c:v>
                </c:pt>
                <c:pt idx="8">
                  <c:v>3.2507100000000002</c:v>
                </c:pt>
                <c:pt idx="9">
                  <c:v>3.6565400000000001</c:v>
                </c:pt>
                <c:pt idx="10">
                  <c:v>4.0621799999999997</c:v>
                </c:pt>
                <c:pt idx="11">
                  <c:v>4.4679799999999998</c:v>
                </c:pt>
                <c:pt idx="12">
                  <c:v>4.8759600000000001</c:v>
                </c:pt>
                <c:pt idx="13">
                  <c:v>5.2778200000000002</c:v>
                </c:pt>
                <c:pt idx="14">
                  <c:v>5.6854399999999998</c:v>
                </c:pt>
                <c:pt idx="15">
                  <c:v>6.0936399999999997</c:v>
                </c:pt>
                <c:pt idx="16">
                  <c:v>6.4985600000000003</c:v>
                </c:pt>
                <c:pt idx="17">
                  <c:v>6.90686</c:v>
                </c:pt>
                <c:pt idx="18">
                  <c:v>7.3104699999999996</c:v>
                </c:pt>
                <c:pt idx="19">
                  <c:v>7.7163899999999996</c:v>
                </c:pt>
                <c:pt idx="20">
                  <c:v>8.1235999999999997</c:v>
                </c:pt>
                <c:pt idx="21">
                  <c:v>8.5302500000000006</c:v>
                </c:pt>
                <c:pt idx="22">
                  <c:v>8.9360999999999997</c:v>
                </c:pt>
                <c:pt idx="23">
                  <c:v>9.3402200000000004</c:v>
                </c:pt>
                <c:pt idx="24">
                  <c:v>9.7463099999999994</c:v>
                </c:pt>
                <c:pt idx="25">
                  <c:v>10.1547</c:v>
                </c:pt>
                <c:pt idx="26">
                  <c:v>10.5578</c:v>
                </c:pt>
                <c:pt idx="27">
                  <c:v>10.966699999999999</c:v>
                </c:pt>
                <c:pt idx="28">
                  <c:v>11.3705</c:v>
                </c:pt>
                <c:pt idx="29">
                  <c:v>11.777699999999999</c:v>
                </c:pt>
                <c:pt idx="30">
                  <c:v>12.1835</c:v>
                </c:pt>
                <c:pt idx="31">
                  <c:v>12.593400000000001</c:v>
                </c:pt>
                <c:pt idx="32">
                  <c:v>12.997199999999999</c:v>
                </c:pt>
                <c:pt idx="33">
                  <c:v>13.402200000000001</c:v>
                </c:pt>
                <c:pt idx="34">
                  <c:v>13.808999999999999</c:v>
                </c:pt>
                <c:pt idx="35">
                  <c:v>14.217000000000001</c:v>
                </c:pt>
                <c:pt idx="36">
                  <c:v>14.6249</c:v>
                </c:pt>
                <c:pt idx="37">
                  <c:v>15.0288</c:v>
                </c:pt>
                <c:pt idx="38">
                  <c:v>15.4337</c:v>
                </c:pt>
                <c:pt idx="39">
                  <c:v>15.841799999999999</c:v>
                </c:pt>
                <c:pt idx="40">
                  <c:v>16.2454</c:v>
                </c:pt>
                <c:pt idx="41">
                  <c:v>16.653400000000001</c:v>
                </c:pt>
                <c:pt idx="42">
                  <c:v>17.060500000000001</c:v>
                </c:pt>
                <c:pt idx="43">
                  <c:v>17.468299999999999</c:v>
                </c:pt>
                <c:pt idx="44">
                  <c:v>17.874400000000001</c:v>
                </c:pt>
                <c:pt idx="45">
                  <c:v>18.2791</c:v>
                </c:pt>
                <c:pt idx="46">
                  <c:v>18.684100000000001</c:v>
                </c:pt>
                <c:pt idx="47">
                  <c:v>19.092199999999998</c:v>
                </c:pt>
                <c:pt idx="48">
                  <c:v>19.4969</c:v>
                </c:pt>
                <c:pt idx="49">
                  <c:v>19.906099999999999</c:v>
                </c:pt>
                <c:pt idx="50">
                  <c:v>20.306999999999999</c:v>
                </c:pt>
                <c:pt idx="51">
                  <c:v>20.7166</c:v>
                </c:pt>
                <c:pt idx="52">
                  <c:v>21.122900000000001</c:v>
                </c:pt>
                <c:pt idx="53">
                  <c:v>21.528400000000001</c:v>
                </c:pt>
                <c:pt idx="54">
                  <c:v>21.9373</c:v>
                </c:pt>
                <c:pt idx="55">
                  <c:v>22.341200000000001</c:v>
                </c:pt>
                <c:pt idx="56">
                  <c:v>22.7453</c:v>
                </c:pt>
                <c:pt idx="57">
                  <c:v>23.152999999999999</c:v>
                </c:pt>
                <c:pt idx="58">
                  <c:v>23.559200000000001</c:v>
                </c:pt>
                <c:pt idx="59">
                  <c:v>23.970099999999999</c:v>
                </c:pt>
                <c:pt idx="60">
                  <c:v>24.375800000000002</c:v>
                </c:pt>
                <c:pt idx="61">
                  <c:v>24.778700000000001</c:v>
                </c:pt>
                <c:pt idx="62">
                  <c:v>25.1846</c:v>
                </c:pt>
                <c:pt idx="63">
                  <c:v>25.5915</c:v>
                </c:pt>
                <c:pt idx="64">
                  <c:v>25.999500000000001</c:v>
                </c:pt>
                <c:pt idx="65">
                  <c:v>26.4071</c:v>
                </c:pt>
                <c:pt idx="66">
                  <c:v>26.810300000000002</c:v>
                </c:pt>
                <c:pt idx="67">
                  <c:v>27.215199999999999</c:v>
                </c:pt>
                <c:pt idx="68">
                  <c:v>27.622299999999999</c:v>
                </c:pt>
                <c:pt idx="69">
                  <c:v>28.030100000000001</c:v>
                </c:pt>
                <c:pt idx="70">
                  <c:v>28.436900000000001</c:v>
                </c:pt>
                <c:pt idx="71">
                  <c:v>28.841999999999999</c:v>
                </c:pt>
                <c:pt idx="72">
                  <c:v>29.245799999999999</c:v>
                </c:pt>
                <c:pt idx="73">
                  <c:v>29.651900000000001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29.651900000000001</c:v>
                </c:pt>
                <c:pt idx="1">
                  <c:v>30.060500000000001</c:v>
                </c:pt>
                <c:pt idx="2">
                  <c:v>30.4695</c:v>
                </c:pt>
                <c:pt idx="3">
                  <c:v>30.874500000000001</c:v>
                </c:pt>
                <c:pt idx="4">
                  <c:v>31.279399999999999</c:v>
                </c:pt>
                <c:pt idx="5">
                  <c:v>31.688199999999998</c:v>
                </c:pt>
                <c:pt idx="6">
                  <c:v>32.094499999999996</c:v>
                </c:pt>
                <c:pt idx="7">
                  <c:v>32.5002</c:v>
                </c:pt>
                <c:pt idx="8">
                  <c:v>32.907499999999999</c:v>
                </c:pt>
                <c:pt idx="9">
                  <c:v>33.308999999999997</c:v>
                </c:pt>
                <c:pt idx="10">
                  <c:v>33.712899999999998</c:v>
                </c:pt>
                <c:pt idx="11">
                  <c:v>34.125700000000002</c:v>
                </c:pt>
                <c:pt idx="12">
                  <c:v>34.530700000000003</c:v>
                </c:pt>
                <c:pt idx="13">
                  <c:v>34.936599999999999</c:v>
                </c:pt>
                <c:pt idx="14">
                  <c:v>35.343499999999999</c:v>
                </c:pt>
                <c:pt idx="15">
                  <c:v>35.7455</c:v>
                </c:pt>
                <c:pt idx="16">
                  <c:v>36.154400000000003</c:v>
                </c:pt>
                <c:pt idx="17">
                  <c:v>36.562600000000003</c:v>
                </c:pt>
                <c:pt idx="18">
                  <c:v>36.967700000000001</c:v>
                </c:pt>
                <c:pt idx="19">
                  <c:v>37.371299999999998</c:v>
                </c:pt>
                <c:pt idx="20">
                  <c:v>37.778700000000001</c:v>
                </c:pt>
                <c:pt idx="21">
                  <c:v>38.186900000000001</c:v>
                </c:pt>
                <c:pt idx="22">
                  <c:v>38.593899999999998</c:v>
                </c:pt>
                <c:pt idx="23">
                  <c:v>38.997</c:v>
                </c:pt>
                <c:pt idx="24">
                  <c:v>39.403599999999997</c:v>
                </c:pt>
                <c:pt idx="25">
                  <c:v>39.808</c:v>
                </c:pt>
                <c:pt idx="26">
                  <c:v>40.216799999999999</c:v>
                </c:pt>
                <c:pt idx="27">
                  <c:v>40.627099999999999</c:v>
                </c:pt>
                <c:pt idx="28">
                  <c:v>41.030299999999997</c:v>
                </c:pt>
                <c:pt idx="29">
                  <c:v>41.437199999999997</c:v>
                </c:pt>
                <c:pt idx="30">
                  <c:v>41.841200000000001</c:v>
                </c:pt>
                <c:pt idx="31">
                  <c:v>42.247900000000001</c:v>
                </c:pt>
                <c:pt idx="32">
                  <c:v>42.652099999999997</c:v>
                </c:pt>
                <c:pt idx="33">
                  <c:v>43.058300000000003</c:v>
                </c:pt>
                <c:pt idx="34">
                  <c:v>43.465800000000002</c:v>
                </c:pt>
                <c:pt idx="35">
                  <c:v>43.877699999999997</c:v>
                </c:pt>
                <c:pt idx="36">
                  <c:v>44.2806</c:v>
                </c:pt>
                <c:pt idx="37">
                  <c:v>44.6845</c:v>
                </c:pt>
                <c:pt idx="38">
                  <c:v>45.089599999999997</c:v>
                </c:pt>
                <c:pt idx="39">
                  <c:v>45.498399999999997</c:v>
                </c:pt>
                <c:pt idx="40">
                  <c:v>45.903199999999998</c:v>
                </c:pt>
                <c:pt idx="41">
                  <c:v>46.312199999999997</c:v>
                </c:pt>
                <c:pt idx="42">
                  <c:v>46.714100000000002</c:v>
                </c:pt>
                <c:pt idx="43">
                  <c:v>47.123600000000003</c:v>
                </c:pt>
                <c:pt idx="44">
                  <c:v>47.53</c:v>
                </c:pt>
                <c:pt idx="45">
                  <c:v>47.936799999999998</c:v>
                </c:pt>
                <c:pt idx="46">
                  <c:v>48.342799999999997</c:v>
                </c:pt>
                <c:pt idx="47">
                  <c:v>48.745600000000003</c:v>
                </c:pt>
                <c:pt idx="48">
                  <c:v>49.150500000000001</c:v>
                </c:pt>
                <c:pt idx="49">
                  <c:v>49.558500000000002</c:v>
                </c:pt>
                <c:pt idx="50">
                  <c:v>49.970399999999998</c:v>
                </c:pt>
                <c:pt idx="51">
                  <c:v>50.372399999999999</c:v>
                </c:pt>
                <c:pt idx="52">
                  <c:v>50.778100000000002</c:v>
                </c:pt>
                <c:pt idx="53">
                  <c:v>51.185099999999998</c:v>
                </c:pt>
                <c:pt idx="54">
                  <c:v>51.589500000000001</c:v>
                </c:pt>
                <c:pt idx="55">
                  <c:v>51.997199999999999</c:v>
                </c:pt>
                <c:pt idx="56">
                  <c:v>52.408000000000001</c:v>
                </c:pt>
                <c:pt idx="57">
                  <c:v>52.809800000000003</c:v>
                </c:pt>
                <c:pt idx="58">
                  <c:v>53.215800000000002</c:v>
                </c:pt>
                <c:pt idx="59">
                  <c:v>53.622999999999998</c:v>
                </c:pt>
                <c:pt idx="60">
                  <c:v>54.028399999999998</c:v>
                </c:pt>
                <c:pt idx="61">
                  <c:v>54.435499999999998</c:v>
                </c:pt>
                <c:pt idx="62">
                  <c:v>54.843400000000003</c:v>
                </c:pt>
                <c:pt idx="63">
                  <c:v>55.2483</c:v>
                </c:pt>
                <c:pt idx="64">
                  <c:v>55.653500000000001</c:v>
                </c:pt>
                <c:pt idx="65">
                  <c:v>56.061</c:v>
                </c:pt>
                <c:pt idx="66">
                  <c:v>56.4711</c:v>
                </c:pt>
                <c:pt idx="67">
                  <c:v>56.875900000000001</c:v>
                </c:pt>
                <c:pt idx="68">
                  <c:v>57.279800000000002</c:v>
                </c:pt>
                <c:pt idx="69">
                  <c:v>57.685499999999998</c:v>
                </c:pt>
                <c:pt idx="70">
                  <c:v>58.095500000000001</c:v>
                </c:pt>
                <c:pt idx="71">
                  <c:v>58.501600000000003</c:v>
                </c:pt>
                <c:pt idx="72">
                  <c:v>58.903500000000001</c:v>
                </c:pt>
                <c:pt idx="73">
                  <c:v>59.309399999999997</c:v>
                </c:pt>
                <c:pt idx="74">
                  <c:v>59.714500000000001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40.870100000000001</c:v>
                </c:pt>
                <c:pt idx="1">
                  <c:v>40.644799999999996</c:v>
                </c:pt>
                <c:pt idx="2">
                  <c:v>40.416800000000002</c:v>
                </c:pt>
                <c:pt idx="3">
                  <c:v>40.227899999999998</c:v>
                </c:pt>
                <c:pt idx="4">
                  <c:v>40.065100000000001</c:v>
                </c:pt>
                <c:pt idx="5">
                  <c:v>39.921900000000001</c:v>
                </c:pt>
                <c:pt idx="6">
                  <c:v>39.760800000000003</c:v>
                </c:pt>
                <c:pt idx="7">
                  <c:v>39.624400000000001</c:v>
                </c:pt>
                <c:pt idx="8">
                  <c:v>39.506799999999998</c:v>
                </c:pt>
                <c:pt idx="9">
                  <c:v>39.387699999999995</c:v>
                </c:pt>
                <c:pt idx="10">
                  <c:v>39.2423</c:v>
                </c:pt>
                <c:pt idx="11">
                  <c:v>39.109300000000005</c:v>
                </c:pt>
                <c:pt idx="12">
                  <c:v>39.011200000000002</c:v>
                </c:pt>
                <c:pt idx="13">
                  <c:v>38.950200000000002</c:v>
                </c:pt>
                <c:pt idx="14">
                  <c:v>38.879899999999999</c:v>
                </c:pt>
                <c:pt idx="15">
                  <c:v>38.789699999999996</c:v>
                </c:pt>
                <c:pt idx="16">
                  <c:v>38.638300000000001</c:v>
                </c:pt>
                <c:pt idx="17">
                  <c:v>38.446000000000005</c:v>
                </c:pt>
                <c:pt idx="18">
                  <c:v>38.292000000000002</c:v>
                </c:pt>
                <c:pt idx="19">
                  <c:v>38.206699999999998</c:v>
                </c:pt>
                <c:pt idx="20">
                  <c:v>38.111600000000003</c:v>
                </c:pt>
                <c:pt idx="21">
                  <c:v>37.975300000000004</c:v>
                </c:pt>
                <c:pt idx="22">
                  <c:v>37.874899999999997</c:v>
                </c:pt>
                <c:pt idx="23">
                  <c:v>37.806800000000003</c:v>
                </c:pt>
                <c:pt idx="24">
                  <c:v>37.849400000000003</c:v>
                </c:pt>
                <c:pt idx="25">
                  <c:v>37.9557</c:v>
                </c:pt>
                <c:pt idx="26">
                  <c:v>37.980599999999995</c:v>
                </c:pt>
                <c:pt idx="27">
                  <c:v>38.032499999999999</c:v>
                </c:pt>
                <c:pt idx="28">
                  <c:v>38.063399999999994</c:v>
                </c:pt>
                <c:pt idx="29">
                  <c:v>38.155000000000001</c:v>
                </c:pt>
                <c:pt idx="30">
                  <c:v>38.278800000000004</c:v>
                </c:pt>
                <c:pt idx="31">
                  <c:v>38.490600000000001</c:v>
                </c:pt>
                <c:pt idx="32">
                  <c:v>38.674399999999999</c:v>
                </c:pt>
                <c:pt idx="33">
                  <c:v>38.9435</c:v>
                </c:pt>
                <c:pt idx="34">
                  <c:v>39.216999999999999</c:v>
                </c:pt>
                <c:pt idx="35">
                  <c:v>39.410499999999999</c:v>
                </c:pt>
                <c:pt idx="36">
                  <c:v>39.53</c:v>
                </c:pt>
                <c:pt idx="37">
                  <c:v>39.5916</c:v>
                </c:pt>
                <c:pt idx="38">
                  <c:v>39.656400000000005</c:v>
                </c:pt>
                <c:pt idx="39">
                  <c:v>39.691900000000004</c:v>
                </c:pt>
                <c:pt idx="40">
                  <c:v>39.652000000000001</c:v>
                </c:pt>
                <c:pt idx="41">
                  <c:v>39.4953</c:v>
                </c:pt>
                <c:pt idx="42">
                  <c:v>39.335000000000001</c:v>
                </c:pt>
                <c:pt idx="43">
                  <c:v>39.200899999999997</c:v>
                </c:pt>
                <c:pt idx="44">
                  <c:v>39.051900000000003</c:v>
                </c:pt>
                <c:pt idx="45">
                  <c:v>38.849299999999999</c:v>
                </c:pt>
                <c:pt idx="46">
                  <c:v>38.666600000000003</c:v>
                </c:pt>
                <c:pt idx="47">
                  <c:v>38.496099999999998</c:v>
                </c:pt>
                <c:pt idx="48">
                  <c:v>38.321800000000003</c:v>
                </c:pt>
                <c:pt idx="49">
                  <c:v>38.117400000000004</c:v>
                </c:pt>
                <c:pt idx="50">
                  <c:v>37.933999999999997</c:v>
                </c:pt>
                <c:pt idx="51">
                  <c:v>37.881399999999999</c:v>
                </c:pt>
                <c:pt idx="52">
                  <c:v>37.8247</c:v>
                </c:pt>
                <c:pt idx="53">
                  <c:v>37.753</c:v>
                </c:pt>
                <c:pt idx="54">
                  <c:v>37.669999999999995</c:v>
                </c:pt>
                <c:pt idx="55">
                  <c:v>37.582599999999999</c:v>
                </c:pt>
                <c:pt idx="56">
                  <c:v>37.526499999999999</c:v>
                </c:pt>
                <c:pt idx="57">
                  <c:v>37.470599999999997</c:v>
                </c:pt>
                <c:pt idx="58">
                  <c:v>37.424600000000005</c:v>
                </c:pt>
                <c:pt idx="59">
                  <c:v>37.352400000000003</c:v>
                </c:pt>
                <c:pt idx="60">
                  <c:v>37.244899999999994</c:v>
                </c:pt>
                <c:pt idx="61">
                  <c:v>37.084099999999999</c:v>
                </c:pt>
                <c:pt idx="62">
                  <c:v>36.890099999999997</c:v>
                </c:pt>
                <c:pt idx="63">
                  <c:v>36.653700000000001</c:v>
                </c:pt>
                <c:pt idx="64">
                  <c:v>36.353299999999997</c:v>
                </c:pt>
                <c:pt idx="65">
                  <c:v>36.072800000000001</c:v>
                </c:pt>
                <c:pt idx="66">
                  <c:v>35.913200000000003</c:v>
                </c:pt>
                <c:pt idx="67">
                  <c:v>35.677599999999998</c:v>
                </c:pt>
                <c:pt idx="68">
                  <c:v>35.335999999999999</c:v>
                </c:pt>
                <c:pt idx="69">
                  <c:v>35.089399999999998</c:v>
                </c:pt>
                <c:pt idx="70">
                  <c:v>35.029199999999996</c:v>
                </c:pt>
                <c:pt idx="71">
                  <c:v>35.020299999999999</c:v>
                </c:pt>
                <c:pt idx="72">
                  <c:v>35.0212</c:v>
                </c:pt>
                <c:pt idx="73">
                  <c:v>35.232900000000001</c:v>
                </c:pt>
                <c:pt idx="74">
                  <c:v>35.793199999999999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14.928625</c:v>
                </c:pt>
                <c:pt idx="1">
                  <c:v>44.785875000000004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47.123168918918928</c:v>
                </c:pt>
                <c:pt idx="1">
                  <c:v>38.140941891891899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  <c:pt idx="74">
                  <c:v>5.4762900000000005</c:v>
                </c:pt>
                <c:pt idx="75">
                  <c:v>5.4856099999999994</c:v>
                </c:pt>
                <c:pt idx="76">
                  <c:v>5.4908599999999996</c:v>
                </c:pt>
                <c:pt idx="77">
                  <c:v>5.4967800000000002</c:v>
                </c:pt>
                <c:pt idx="78">
                  <c:v>5.5007200000000003</c:v>
                </c:pt>
                <c:pt idx="79">
                  <c:v>5.5073099999999995</c:v>
                </c:pt>
                <c:pt idx="80">
                  <c:v>5.509500000000001</c:v>
                </c:pt>
                <c:pt idx="81">
                  <c:v>5.5097399999999999</c:v>
                </c:pt>
                <c:pt idx="82">
                  <c:v>5.5058399999999992</c:v>
                </c:pt>
                <c:pt idx="83">
                  <c:v>5.4978099999999994</c:v>
                </c:pt>
                <c:pt idx="84">
                  <c:v>5.4851700000000001</c:v>
                </c:pt>
                <c:pt idx="85">
                  <c:v>5.4680300000000006</c:v>
                </c:pt>
                <c:pt idx="86">
                  <c:v>5.4474499999999999</c:v>
                </c:pt>
                <c:pt idx="87">
                  <c:v>5.4235699999999998</c:v>
                </c:pt>
                <c:pt idx="88">
                  <c:v>5.40083</c:v>
                </c:pt>
                <c:pt idx="89">
                  <c:v>5.3775399999999998</c:v>
                </c:pt>
                <c:pt idx="90">
                  <c:v>5.3525700000000001</c:v>
                </c:pt>
                <c:pt idx="91">
                  <c:v>5.3225500000000006</c:v>
                </c:pt>
                <c:pt idx="92">
                  <c:v>5.29671</c:v>
                </c:pt>
                <c:pt idx="93">
                  <c:v>5.2712899999999996</c:v>
                </c:pt>
                <c:pt idx="94">
                  <c:v>5.2418800000000001</c:v>
                </c:pt>
                <c:pt idx="95">
                  <c:v>5.2127400000000002</c:v>
                </c:pt>
                <c:pt idx="96">
                  <c:v>5.1818600000000004</c:v>
                </c:pt>
                <c:pt idx="97">
                  <c:v>5.1529699999999998</c:v>
                </c:pt>
                <c:pt idx="98">
                  <c:v>5.1245700000000003</c:v>
                </c:pt>
                <c:pt idx="99">
                  <c:v>5.0951699999999995</c:v>
                </c:pt>
                <c:pt idx="100">
                  <c:v>5.0636400000000004</c:v>
                </c:pt>
                <c:pt idx="101">
                  <c:v>5.0340600000000002</c:v>
                </c:pt>
                <c:pt idx="102">
                  <c:v>5.0036400000000008</c:v>
                </c:pt>
                <c:pt idx="103">
                  <c:v>4.9747200000000005</c:v>
                </c:pt>
                <c:pt idx="104">
                  <c:v>4.9428000000000001</c:v>
                </c:pt>
                <c:pt idx="105">
                  <c:v>4.9127299999999998</c:v>
                </c:pt>
                <c:pt idx="106">
                  <c:v>4.8784200000000002</c:v>
                </c:pt>
                <c:pt idx="107">
                  <c:v>4.8474199999999996</c:v>
                </c:pt>
                <c:pt idx="108">
                  <c:v>4.8230599999999999</c:v>
                </c:pt>
                <c:pt idx="109">
                  <c:v>4.8054199999999998</c:v>
                </c:pt>
                <c:pt idx="110">
                  <c:v>4.7935499999999998</c:v>
                </c:pt>
                <c:pt idx="111">
                  <c:v>4.7824200000000001</c:v>
                </c:pt>
                <c:pt idx="112">
                  <c:v>4.7752999999999997</c:v>
                </c:pt>
                <c:pt idx="113">
                  <c:v>4.7741499999999997</c:v>
                </c:pt>
                <c:pt idx="114">
                  <c:v>4.7790300000000006</c:v>
                </c:pt>
                <c:pt idx="115">
                  <c:v>4.7878799999999995</c:v>
                </c:pt>
                <c:pt idx="116">
                  <c:v>4.7982999999999993</c:v>
                </c:pt>
                <c:pt idx="117">
                  <c:v>4.8062500000000004</c:v>
                </c:pt>
                <c:pt idx="118">
                  <c:v>4.8151599999999997</c:v>
                </c:pt>
                <c:pt idx="119">
                  <c:v>4.82531</c:v>
                </c:pt>
                <c:pt idx="120">
                  <c:v>4.8346800000000005</c:v>
                </c:pt>
                <c:pt idx="121">
                  <c:v>4.8412300000000004</c:v>
                </c:pt>
                <c:pt idx="122">
                  <c:v>4.8402599999999998</c:v>
                </c:pt>
                <c:pt idx="123">
                  <c:v>4.8372200000000003</c:v>
                </c:pt>
                <c:pt idx="124">
                  <c:v>4.8430999999999997</c:v>
                </c:pt>
                <c:pt idx="125">
                  <c:v>4.8513999999999999</c:v>
                </c:pt>
                <c:pt idx="126">
                  <c:v>4.8607800000000001</c:v>
                </c:pt>
                <c:pt idx="127">
                  <c:v>4.8696400000000004</c:v>
                </c:pt>
                <c:pt idx="128">
                  <c:v>4.8779599999999999</c:v>
                </c:pt>
                <c:pt idx="129">
                  <c:v>4.8867099999999999</c:v>
                </c:pt>
                <c:pt idx="130">
                  <c:v>4.8970799999999999</c:v>
                </c:pt>
                <c:pt idx="131">
                  <c:v>4.9124099999999995</c:v>
                </c:pt>
                <c:pt idx="132">
                  <c:v>4.92666</c:v>
                </c:pt>
                <c:pt idx="133">
                  <c:v>4.9392899999999997</c:v>
                </c:pt>
                <c:pt idx="134">
                  <c:v>4.9483600000000001</c:v>
                </c:pt>
                <c:pt idx="135">
                  <c:v>4.9524299999999997</c:v>
                </c:pt>
                <c:pt idx="136">
                  <c:v>4.9584200000000003</c:v>
                </c:pt>
                <c:pt idx="137">
                  <c:v>4.9650600000000003</c:v>
                </c:pt>
                <c:pt idx="138">
                  <c:v>4.9626799999999998</c:v>
                </c:pt>
                <c:pt idx="139">
                  <c:v>4.9509699999999999</c:v>
                </c:pt>
                <c:pt idx="140">
                  <c:v>4.9304300000000003</c:v>
                </c:pt>
                <c:pt idx="141">
                  <c:v>4.9067100000000003</c:v>
                </c:pt>
                <c:pt idx="142">
                  <c:v>4.8807</c:v>
                </c:pt>
                <c:pt idx="143">
                  <c:v>4.8494799999999998</c:v>
                </c:pt>
                <c:pt idx="144">
                  <c:v>4.8140499999999999</c:v>
                </c:pt>
                <c:pt idx="145">
                  <c:v>4.7667000000000002</c:v>
                </c:pt>
                <c:pt idx="146">
                  <c:v>4.7150599999999994</c:v>
                </c:pt>
                <c:pt idx="147">
                  <c:v>4.6856599999999995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  <c:pt idx="74">
                  <c:v>40.644799999999996</c:v>
                </c:pt>
                <c:pt idx="75">
                  <c:v>40.416800000000002</c:v>
                </c:pt>
                <c:pt idx="76">
                  <c:v>40.227899999999998</c:v>
                </c:pt>
                <c:pt idx="77">
                  <c:v>40.065100000000001</c:v>
                </c:pt>
                <c:pt idx="78">
                  <c:v>39.921900000000001</c:v>
                </c:pt>
                <c:pt idx="79">
                  <c:v>39.760800000000003</c:v>
                </c:pt>
                <c:pt idx="80">
                  <c:v>39.624400000000001</c:v>
                </c:pt>
                <c:pt idx="81">
                  <c:v>39.506799999999998</c:v>
                </c:pt>
                <c:pt idx="82">
                  <c:v>39.387699999999995</c:v>
                </c:pt>
                <c:pt idx="83">
                  <c:v>39.2423</c:v>
                </c:pt>
                <c:pt idx="84">
                  <c:v>39.109300000000005</c:v>
                </c:pt>
                <c:pt idx="85">
                  <c:v>39.011200000000002</c:v>
                </c:pt>
                <c:pt idx="86">
                  <c:v>38.950200000000002</c:v>
                </c:pt>
                <c:pt idx="87">
                  <c:v>38.879899999999999</c:v>
                </c:pt>
                <c:pt idx="88">
                  <c:v>38.789699999999996</c:v>
                </c:pt>
                <c:pt idx="89">
                  <c:v>38.638300000000001</c:v>
                </c:pt>
                <c:pt idx="90">
                  <c:v>38.446000000000005</c:v>
                </c:pt>
                <c:pt idx="91">
                  <c:v>38.292000000000002</c:v>
                </c:pt>
                <c:pt idx="92">
                  <c:v>38.206699999999998</c:v>
                </c:pt>
                <c:pt idx="93">
                  <c:v>38.111600000000003</c:v>
                </c:pt>
                <c:pt idx="94">
                  <c:v>37.975300000000004</c:v>
                </c:pt>
                <c:pt idx="95">
                  <c:v>37.874899999999997</c:v>
                </c:pt>
                <c:pt idx="96">
                  <c:v>37.806800000000003</c:v>
                </c:pt>
                <c:pt idx="97">
                  <c:v>37.849400000000003</c:v>
                </c:pt>
                <c:pt idx="98">
                  <c:v>37.9557</c:v>
                </c:pt>
                <c:pt idx="99">
                  <c:v>37.980599999999995</c:v>
                </c:pt>
                <c:pt idx="100">
                  <c:v>38.032499999999999</c:v>
                </c:pt>
                <c:pt idx="101">
                  <c:v>38.063399999999994</c:v>
                </c:pt>
                <c:pt idx="102">
                  <c:v>38.155000000000001</c:v>
                </c:pt>
                <c:pt idx="103">
                  <c:v>38.278800000000004</c:v>
                </c:pt>
                <c:pt idx="104">
                  <c:v>38.490600000000001</c:v>
                </c:pt>
                <c:pt idx="105">
                  <c:v>38.674399999999999</c:v>
                </c:pt>
                <c:pt idx="106">
                  <c:v>38.9435</c:v>
                </c:pt>
                <c:pt idx="107">
                  <c:v>39.216999999999999</c:v>
                </c:pt>
                <c:pt idx="108">
                  <c:v>39.410499999999999</c:v>
                </c:pt>
                <c:pt idx="109">
                  <c:v>39.53</c:v>
                </c:pt>
                <c:pt idx="110">
                  <c:v>39.5916</c:v>
                </c:pt>
                <c:pt idx="111">
                  <c:v>39.656400000000005</c:v>
                </c:pt>
                <c:pt idx="112">
                  <c:v>39.691900000000004</c:v>
                </c:pt>
                <c:pt idx="113">
                  <c:v>39.652000000000001</c:v>
                </c:pt>
                <c:pt idx="114">
                  <c:v>39.4953</c:v>
                </c:pt>
                <c:pt idx="115">
                  <c:v>39.335000000000001</c:v>
                </c:pt>
                <c:pt idx="116">
                  <c:v>39.200899999999997</c:v>
                </c:pt>
                <c:pt idx="117">
                  <c:v>39.051900000000003</c:v>
                </c:pt>
                <c:pt idx="118">
                  <c:v>38.849299999999999</c:v>
                </c:pt>
                <c:pt idx="119">
                  <c:v>38.666600000000003</c:v>
                </c:pt>
                <c:pt idx="120">
                  <c:v>38.496099999999998</c:v>
                </c:pt>
                <c:pt idx="121">
                  <c:v>38.321800000000003</c:v>
                </c:pt>
                <c:pt idx="122">
                  <c:v>38.117400000000004</c:v>
                </c:pt>
                <c:pt idx="123">
                  <c:v>37.933999999999997</c:v>
                </c:pt>
                <c:pt idx="124">
                  <c:v>37.881399999999999</c:v>
                </c:pt>
                <c:pt idx="125">
                  <c:v>37.8247</c:v>
                </c:pt>
                <c:pt idx="126">
                  <c:v>37.753</c:v>
                </c:pt>
                <c:pt idx="127">
                  <c:v>37.669999999999995</c:v>
                </c:pt>
                <c:pt idx="128">
                  <c:v>37.582599999999999</c:v>
                </c:pt>
                <c:pt idx="129">
                  <c:v>37.526499999999999</c:v>
                </c:pt>
                <c:pt idx="130">
                  <c:v>37.470599999999997</c:v>
                </c:pt>
                <c:pt idx="131">
                  <c:v>37.424600000000005</c:v>
                </c:pt>
                <c:pt idx="132">
                  <c:v>37.352400000000003</c:v>
                </c:pt>
                <c:pt idx="133">
                  <c:v>37.244899999999994</c:v>
                </c:pt>
                <c:pt idx="134">
                  <c:v>37.084099999999999</c:v>
                </c:pt>
                <c:pt idx="135">
                  <c:v>36.890099999999997</c:v>
                </c:pt>
                <c:pt idx="136">
                  <c:v>36.653700000000001</c:v>
                </c:pt>
                <c:pt idx="137">
                  <c:v>36.353299999999997</c:v>
                </c:pt>
                <c:pt idx="138">
                  <c:v>36.072800000000001</c:v>
                </c:pt>
                <c:pt idx="139">
                  <c:v>35.913200000000003</c:v>
                </c:pt>
                <c:pt idx="140">
                  <c:v>35.677599999999998</c:v>
                </c:pt>
                <c:pt idx="141">
                  <c:v>35.335999999999999</c:v>
                </c:pt>
                <c:pt idx="142">
                  <c:v>35.089399999999998</c:v>
                </c:pt>
                <c:pt idx="143">
                  <c:v>35.029199999999996</c:v>
                </c:pt>
                <c:pt idx="144">
                  <c:v>35.020299999999999</c:v>
                </c:pt>
                <c:pt idx="145">
                  <c:v>35.0212</c:v>
                </c:pt>
                <c:pt idx="146">
                  <c:v>35.232900000000001</c:v>
                </c:pt>
                <c:pt idx="147">
                  <c:v>35.793199999999999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2.40374</c:v>
                </c:pt>
                <c:pt idx="1">
                  <c:v>2.4757100000000003</c:v>
                </c:pt>
                <c:pt idx="2">
                  <c:v>2.5487299999999999</c:v>
                </c:pt>
                <c:pt idx="3">
                  <c:v>2.6259300000000003</c:v>
                </c:pt>
                <c:pt idx="4">
                  <c:v>2.7028499999999998</c:v>
                </c:pt>
                <c:pt idx="5">
                  <c:v>2.77982</c:v>
                </c:pt>
                <c:pt idx="6">
                  <c:v>2.8533900000000001</c:v>
                </c:pt>
                <c:pt idx="7">
                  <c:v>2.9249399999999999</c:v>
                </c:pt>
                <c:pt idx="8">
                  <c:v>2.9952200000000002</c:v>
                </c:pt>
                <c:pt idx="9">
                  <c:v>3.06677</c:v>
                </c:pt>
                <c:pt idx="10">
                  <c:v>3.1367600000000002</c:v>
                </c:pt>
                <c:pt idx="11">
                  <c:v>3.2062800000000005</c:v>
                </c:pt>
                <c:pt idx="12">
                  <c:v>3.2779799999999999</c:v>
                </c:pt>
                <c:pt idx="13">
                  <c:v>3.3516300000000001</c:v>
                </c:pt>
                <c:pt idx="14">
                  <c:v>3.4257</c:v>
                </c:pt>
                <c:pt idx="15">
                  <c:v>3.4986499999999996</c:v>
                </c:pt>
                <c:pt idx="16">
                  <c:v>3.57246</c:v>
                </c:pt>
                <c:pt idx="17">
                  <c:v>3.6478699999999997</c:v>
                </c:pt>
                <c:pt idx="18">
                  <c:v>3.7185699999999997</c:v>
                </c:pt>
                <c:pt idx="19">
                  <c:v>3.7809399999999997</c:v>
                </c:pt>
                <c:pt idx="20">
                  <c:v>3.8390000000000004</c:v>
                </c:pt>
                <c:pt idx="21">
                  <c:v>3.8929799999999997</c:v>
                </c:pt>
                <c:pt idx="22">
                  <c:v>3.9437800000000003</c:v>
                </c:pt>
                <c:pt idx="23">
                  <c:v>3.9922999999999997</c:v>
                </c:pt>
                <c:pt idx="24">
                  <c:v>4.0391599999999999</c:v>
                </c:pt>
                <c:pt idx="25">
                  <c:v>4.08148</c:v>
                </c:pt>
                <c:pt idx="26">
                  <c:v>4.1191599999999999</c:v>
                </c:pt>
                <c:pt idx="27">
                  <c:v>4.1533600000000002</c:v>
                </c:pt>
                <c:pt idx="28">
                  <c:v>4.1857800000000003</c:v>
                </c:pt>
                <c:pt idx="29">
                  <c:v>4.2135099999999994</c:v>
                </c:pt>
                <c:pt idx="30">
                  <c:v>4.2386299999999997</c:v>
                </c:pt>
                <c:pt idx="31">
                  <c:v>4.2642699999999998</c:v>
                </c:pt>
                <c:pt idx="32">
                  <c:v>4.2891200000000005</c:v>
                </c:pt>
                <c:pt idx="33">
                  <c:v>4.3123199999999997</c:v>
                </c:pt>
                <c:pt idx="34">
                  <c:v>4.3335600000000003</c:v>
                </c:pt>
                <c:pt idx="35">
                  <c:v>4.3535400000000006</c:v>
                </c:pt>
                <c:pt idx="36">
                  <c:v>4.3736699999999997</c:v>
                </c:pt>
                <c:pt idx="37">
                  <c:v>4.3950100000000001</c:v>
                </c:pt>
                <c:pt idx="38">
                  <c:v>4.4134099999999998</c:v>
                </c:pt>
                <c:pt idx="39">
                  <c:v>4.4315100000000003</c:v>
                </c:pt>
                <c:pt idx="40">
                  <c:v>4.4487100000000002</c:v>
                </c:pt>
                <c:pt idx="41">
                  <c:v>4.4658300000000004</c:v>
                </c:pt>
                <c:pt idx="42">
                  <c:v>4.4805099999999998</c:v>
                </c:pt>
                <c:pt idx="43">
                  <c:v>4.4942000000000002</c:v>
                </c:pt>
                <c:pt idx="44">
                  <c:v>4.5133000000000001</c:v>
                </c:pt>
                <c:pt idx="45">
                  <c:v>4.5339600000000004</c:v>
                </c:pt>
                <c:pt idx="46">
                  <c:v>4.5592600000000001</c:v>
                </c:pt>
                <c:pt idx="47">
                  <c:v>4.5867800000000001</c:v>
                </c:pt>
                <c:pt idx="48">
                  <c:v>4.6162599999999996</c:v>
                </c:pt>
                <c:pt idx="49">
                  <c:v>4.6469899999999997</c:v>
                </c:pt>
                <c:pt idx="50">
                  <c:v>4.6805700000000003</c:v>
                </c:pt>
                <c:pt idx="51">
                  <c:v>4.7168399999999995</c:v>
                </c:pt>
                <c:pt idx="52">
                  <c:v>4.7541500000000001</c:v>
                </c:pt>
                <c:pt idx="53">
                  <c:v>4.7909899999999999</c:v>
                </c:pt>
                <c:pt idx="54">
                  <c:v>4.8288900000000003</c:v>
                </c:pt>
                <c:pt idx="55">
                  <c:v>4.8692099999999998</c:v>
                </c:pt>
                <c:pt idx="56">
                  <c:v>4.9110700000000005</c:v>
                </c:pt>
                <c:pt idx="57">
                  <c:v>4.9539600000000004</c:v>
                </c:pt>
                <c:pt idx="58">
                  <c:v>4.9959199999999999</c:v>
                </c:pt>
                <c:pt idx="59">
                  <c:v>5.0388000000000002</c:v>
                </c:pt>
                <c:pt idx="60">
                  <c:v>5.0832999999999995</c:v>
                </c:pt>
                <c:pt idx="61">
                  <c:v>5.1277900000000001</c:v>
                </c:pt>
                <c:pt idx="62">
                  <c:v>5.1694399999999998</c:v>
                </c:pt>
                <c:pt idx="63">
                  <c:v>5.2078199999999999</c:v>
                </c:pt>
                <c:pt idx="64">
                  <c:v>5.2417699999999998</c:v>
                </c:pt>
                <c:pt idx="65">
                  <c:v>5.2741899999999999</c:v>
                </c:pt>
                <c:pt idx="66">
                  <c:v>5.3063599999999997</c:v>
                </c:pt>
                <c:pt idx="67">
                  <c:v>5.3342000000000001</c:v>
                </c:pt>
                <c:pt idx="68">
                  <c:v>5.3608000000000002</c:v>
                </c:pt>
                <c:pt idx="69">
                  <c:v>5.3858300000000003</c:v>
                </c:pt>
                <c:pt idx="70">
                  <c:v>5.4090099999999994</c:v>
                </c:pt>
                <c:pt idx="71">
                  <c:v>5.4297399999999998</c:v>
                </c:pt>
                <c:pt idx="72">
                  <c:v>5.4487899999999998</c:v>
                </c:pt>
                <c:pt idx="73">
                  <c:v>5.4646600000000003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63.869699999999995</c:v>
                </c:pt>
                <c:pt idx="1">
                  <c:v>63.687199999999997</c:v>
                </c:pt>
                <c:pt idx="2">
                  <c:v>63.400100000000002</c:v>
                </c:pt>
                <c:pt idx="3">
                  <c:v>62.817900000000002</c:v>
                </c:pt>
                <c:pt idx="4">
                  <c:v>61.984700000000004</c:v>
                </c:pt>
                <c:pt idx="5">
                  <c:v>61.065800000000003</c:v>
                </c:pt>
                <c:pt idx="6">
                  <c:v>60.152000000000008</c:v>
                </c:pt>
                <c:pt idx="7">
                  <c:v>59.186399999999992</c:v>
                </c:pt>
                <c:pt idx="8">
                  <c:v>58.064499999999995</c:v>
                </c:pt>
                <c:pt idx="9">
                  <c:v>56.976400000000005</c:v>
                </c:pt>
                <c:pt idx="10">
                  <c:v>55.940900000000006</c:v>
                </c:pt>
                <c:pt idx="11">
                  <c:v>54.843299999999992</c:v>
                </c:pt>
                <c:pt idx="12">
                  <c:v>53.706299999999999</c:v>
                </c:pt>
                <c:pt idx="13">
                  <c:v>52.383500000000005</c:v>
                </c:pt>
                <c:pt idx="14">
                  <c:v>51.069499999999998</c:v>
                </c:pt>
                <c:pt idx="15">
                  <c:v>49.893300000000004</c:v>
                </c:pt>
                <c:pt idx="16">
                  <c:v>48.775100000000002</c:v>
                </c:pt>
                <c:pt idx="17">
                  <c:v>47.664000000000001</c:v>
                </c:pt>
                <c:pt idx="18">
                  <c:v>46.823999999999998</c:v>
                </c:pt>
                <c:pt idx="19">
                  <c:v>46.251300000000001</c:v>
                </c:pt>
                <c:pt idx="20">
                  <c:v>45.828200000000002</c:v>
                </c:pt>
                <c:pt idx="21">
                  <c:v>45.585999999999999</c:v>
                </c:pt>
                <c:pt idx="22">
                  <c:v>45.471699999999998</c:v>
                </c:pt>
                <c:pt idx="23">
                  <c:v>45.444200000000002</c:v>
                </c:pt>
                <c:pt idx="24">
                  <c:v>45.474199999999996</c:v>
                </c:pt>
                <c:pt idx="25">
                  <c:v>45.560499999999998</c:v>
                </c:pt>
                <c:pt idx="26">
                  <c:v>45.613300000000002</c:v>
                </c:pt>
                <c:pt idx="27">
                  <c:v>45.678999999999995</c:v>
                </c:pt>
                <c:pt idx="28">
                  <c:v>45.6252</c:v>
                </c:pt>
                <c:pt idx="29">
                  <c:v>45.552900000000001</c:v>
                </c:pt>
                <c:pt idx="30">
                  <c:v>45.45</c:v>
                </c:pt>
                <c:pt idx="31">
                  <c:v>45.364699999999999</c:v>
                </c:pt>
                <c:pt idx="32">
                  <c:v>45.313800000000001</c:v>
                </c:pt>
                <c:pt idx="33">
                  <c:v>45.275300000000001</c:v>
                </c:pt>
                <c:pt idx="34">
                  <c:v>45.221699999999998</c:v>
                </c:pt>
                <c:pt idx="35">
                  <c:v>45.198799999999999</c:v>
                </c:pt>
                <c:pt idx="36">
                  <c:v>45.153799999999997</c:v>
                </c:pt>
                <c:pt idx="37">
                  <c:v>45.0426</c:v>
                </c:pt>
                <c:pt idx="38">
                  <c:v>44.927900000000001</c:v>
                </c:pt>
                <c:pt idx="39">
                  <c:v>44.790199999999999</c:v>
                </c:pt>
                <c:pt idx="40">
                  <c:v>44.688499999999998</c:v>
                </c:pt>
                <c:pt idx="41">
                  <c:v>44.591200000000001</c:v>
                </c:pt>
                <c:pt idx="42">
                  <c:v>44.569299999999998</c:v>
                </c:pt>
                <c:pt idx="43">
                  <c:v>44.554200000000002</c:v>
                </c:pt>
                <c:pt idx="44">
                  <c:v>44.552799999999998</c:v>
                </c:pt>
                <c:pt idx="45">
                  <c:v>44.563699999999997</c:v>
                </c:pt>
                <c:pt idx="46">
                  <c:v>44.473600000000005</c:v>
                </c:pt>
                <c:pt idx="47">
                  <c:v>44.3613</c:v>
                </c:pt>
                <c:pt idx="48">
                  <c:v>44.237500000000004</c:v>
                </c:pt>
                <c:pt idx="49">
                  <c:v>44.077100000000002</c:v>
                </c:pt>
                <c:pt idx="50">
                  <c:v>43.8889</c:v>
                </c:pt>
                <c:pt idx="51">
                  <c:v>43.698700000000002</c:v>
                </c:pt>
                <c:pt idx="52">
                  <c:v>43.528800000000004</c:v>
                </c:pt>
                <c:pt idx="53">
                  <c:v>43.341099999999997</c:v>
                </c:pt>
                <c:pt idx="54">
                  <c:v>43.266599999999997</c:v>
                </c:pt>
                <c:pt idx="55">
                  <c:v>43.198700000000002</c:v>
                </c:pt>
                <c:pt idx="56">
                  <c:v>43.043100000000003</c:v>
                </c:pt>
                <c:pt idx="57">
                  <c:v>42.850200000000001</c:v>
                </c:pt>
                <c:pt idx="58">
                  <c:v>42.724600000000002</c:v>
                </c:pt>
                <c:pt idx="59">
                  <c:v>42.628799999999998</c:v>
                </c:pt>
                <c:pt idx="60">
                  <c:v>42.506500000000003</c:v>
                </c:pt>
                <c:pt idx="61">
                  <c:v>42.344100000000005</c:v>
                </c:pt>
                <c:pt idx="62">
                  <c:v>42.163499999999999</c:v>
                </c:pt>
                <c:pt idx="63">
                  <c:v>42.030299999999997</c:v>
                </c:pt>
                <c:pt idx="64">
                  <c:v>41.953099999999999</c:v>
                </c:pt>
                <c:pt idx="65">
                  <c:v>41.938400000000001</c:v>
                </c:pt>
                <c:pt idx="66">
                  <c:v>41.844099999999997</c:v>
                </c:pt>
                <c:pt idx="67">
                  <c:v>41.685400000000001</c:v>
                </c:pt>
                <c:pt idx="68">
                  <c:v>41.598100000000002</c:v>
                </c:pt>
                <c:pt idx="69">
                  <c:v>41.49</c:v>
                </c:pt>
                <c:pt idx="70">
                  <c:v>41.371499999999997</c:v>
                </c:pt>
                <c:pt idx="71">
                  <c:v>41.253599999999999</c:v>
                </c:pt>
                <c:pt idx="72">
                  <c:v>41.097200000000001</c:v>
                </c:pt>
                <c:pt idx="73">
                  <c:v>40.870100000000001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5.4646600000000003</c:v>
                </c:pt>
                <c:pt idx="1">
                  <c:v>5.4762900000000005</c:v>
                </c:pt>
                <c:pt idx="2">
                  <c:v>5.4856099999999994</c:v>
                </c:pt>
                <c:pt idx="3">
                  <c:v>5.4908599999999996</c:v>
                </c:pt>
                <c:pt idx="4">
                  <c:v>5.4967800000000002</c:v>
                </c:pt>
                <c:pt idx="5">
                  <c:v>5.5007200000000003</c:v>
                </c:pt>
                <c:pt idx="6">
                  <c:v>5.5073099999999995</c:v>
                </c:pt>
                <c:pt idx="7">
                  <c:v>5.509500000000001</c:v>
                </c:pt>
                <c:pt idx="8">
                  <c:v>5.5097399999999999</c:v>
                </c:pt>
                <c:pt idx="9">
                  <c:v>5.5058399999999992</c:v>
                </c:pt>
                <c:pt idx="10">
                  <c:v>5.4978099999999994</c:v>
                </c:pt>
                <c:pt idx="11">
                  <c:v>5.4851700000000001</c:v>
                </c:pt>
                <c:pt idx="12">
                  <c:v>5.4680300000000006</c:v>
                </c:pt>
                <c:pt idx="13">
                  <c:v>5.4474499999999999</c:v>
                </c:pt>
                <c:pt idx="14">
                  <c:v>5.4235699999999998</c:v>
                </c:pt>
                <c:pt idx="15">
                  <c:v>5.40083</c:v>
                </c:pt>
                <c:pt idx="16">
                  <c:v>5.3775399999999998</c:v>
                </c:pt>
                <c:pt idx="17">
                  <c:v>5.3525700000000001</c:v>
                </c:pt>
                <c:pt idx="18">
                  <c:v>5.3225500000000006</c:v>
                </c:pt>
                <c:pt idx="19">
                  <c:v>5.29671</c:v>
                </c:pt>
                <c:pt idx="20">
                  <c:v>5.2712899999999996</c:v>
                </c:pt>
                <c:pt idx="21">
                  <c:v>5.2418800000000001</c:v>
                </c:pt>
                <c:pt idx="22">
                  <c:v>5.2127400000000002</c:v>
                </c:pt>
                <c:pt idx="23">
                  <c:v>5.1818600000000004</c:v>
                </c:pt>
                <c:pt idx="24">
                  <c:v>5.1529699999999998</c:v>
                </c:pt>
                <c:pt idx="25">
                  <c:v>5.1245700000000003</c:v>
                </c:pt>
                <c:pt idx="26">
                  <c:v>5.0951699999999995</c:v>
                </c:pt>
                <c:pt idx="27">
                  <c:v>5.0636400000000004</c:v>
                </c:pt>
                <c:pt idx="28">
                  <c:v>5.0340600000000002</c:v>
                </c:pt>
                <c:pt idx="29">
                  <c:v>5.0036400000000008</c:v>
                </c:pt>
                <c:pt idx="30">
                  <c:v>4.9747200000000005</c:v>
                </c:pt>
                <c:pt idx="31">
                  <c:v>4.9428000000000001</c:v>
                </c:pt>
                <c:pt idx="32">
                  <c:v>4.9127299999999998</c:v>
                </c:pt>
                <c:pt idx="33">
                  <c:v>4.8784200000000002</c:v>
                </c:pt>
                <c:pt idx="34">
                  <c:v>4.8474199999999996</c:v>
                </c:pt>
                <c:pt idx="35">
                  <c:v>4.8230599999999999</c:v>
                </c:pt>
                <c:pt idx="36">
                  <c:v>4.8054199999999998</c:v>
                </c:pt>
                <c:pt idx="37">
                  <c:v>4.7935499999999998</c:v>
                </c:pt>
                <c:pt idx="38">
                  <c:v>4.7824200000000001</c:v>
                </c:pt>
                <c:pt idx="39">
                  <c:v>4.7752999999999997</c:v>
                </c:pt>
                <c:pt idx="40">
                  <c:v>4.7741499999999997</c:v>
                </c:pt>
                <c:pt idx="41">
                  <c:v>4.7790300000000006</c:v>
                </c:pt>
                <c:pt idx="42">
                  <c:v>4.7878799999999995</c:v>
                </c:pt>
                <c:pt idx="43">
                  <c:v>4.7982999999999993</c:v>
                </c:pt>
                <c:pt idx="44">
                  <c:v>4.8062500000000004</c:v>
                </c:pt>
                <c:pt idx="45">
                  <c:v>4.8151599999999997</c:v>
                </c:pt>
                <c:pt idx="46">
                  <c:v>4.82531</c:v>
                </c:pt>
                <c:pt idx="47">
                  <c:v>4.8346800000000005</c:v>
                </c:pt>
                <c:pt idx="48">
                  <c:v>4.8412300000000004</c:v>
                </c:pt>
                <c:pt idx="49">
                  <c:v>4.8402599999999998</c:v>
                </c:pt>
                <c:pt idx="50">
                  <c:v>4.8372200000000003</c:v>
                </c:pt>
                <c:pt idx="51">
                  <c:v>4.8430999999999997</c:v>
                </c:pt>
                <c:pt idx="52">
                  <c:v>4.8513999999999999</c:v>
                </c:pt>
                <c:pt idx="53">
                  <c:v>4.8607800000000001</c:v>
                </c:pt>
                <c:pt idx="54">
                  <c:v>4.8696400000000004</c:v>
                </c:pt>
                <c:pt idx="55">
                  <c:v>4.8779599999999999</c:v>
                </c:pt>
                <c:pt idx="56">
                  <c:v>4.8867099999999999</c:v>
                </c:pt>
                <c:pt idx="57">
                  <c:v>4.8970799999999999</c:v>
                </c:pt>
                <c:pt idx="58">
                  <c:v>4.9124099999999995</c:v>
                </c:pt>
                <c:pt idx="59">
                  <c:v>4.92666</c:v>
                </c:pt>
                <c:pt idx="60">
                  <c:v>4.9392899999999997</c:v>
                </c:pt>
                <c:pt idx="61">
                  <c:v>4.9483600000000001</c:v>
                </c:pt>
                <c:pt idx="62">
                  <c:v>4.9524299999999997</c:v>
                </c:pt>
                <c:pt idx="63">
                  <c:v>4.9584200000000003</c:v>
                </c:pt>
                <c:pt idx="64">
                  <c:v>4.9650600000000003</c:v>
                </c:pt>
                <c:pt idx="65">
                  <c:v>4.9626799999999998</c:v>
                </c:pt>
                <c:pt idx="66">
                  <c:v>4.9509699999999999</c:v>
                </c:pt>
                <c:pt idx="67">
                  <c:v>4.9304300000000003</c:v>
                </c:pt>
                <c:pt idx="68">
                  <c:v>4.9067100000000003</c:v>
                </c:pt>
                <c:pt idx="69">
                  <c:v>4.8807</c:v>
                </c:pt>
                <c:pt idx="70">
                  <c:v>4.8494799999999998</c:v>
                </c:pt>
                <c:pt idx="71">
                  <c:v>4.8140499999999999</c:v>
                </c:pt>
                <c:pt idx="72">
                  <c:v>4.7667000000000002</c:v>
                </c:pt>
                <c:pt idx="73">
                  <c:v>4.7150599999999994</c:v>
                </c:pt>
                <c:pt idx="74">
                  <c:v>4.6856599999999995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40.870100000000001</c:v>
                </c:pt>
                <c:pt idx="1">
                  <c:v>40.644799999999996</c:v>
                </c:pt>
                <c:pt idx="2">
                  <c:v>40.416800000000002</c:v>
                </c:pt>
                <c:pt idx="3">
                  <c:v>40.227899999999998</c:v>
                </c:pt>
                <c:pt idx="4">
                  <c:v>40.065100000000001</c:v>
                </c:pt>
                <c:pt idx="5">
                  <c:v>39.921900000000001</c:v>
                </c:pt>
                <c:pt idx="6">
                  <c:v>39.760800000000003</c:v>
                </c:pt>
                <c:pt idx="7">
                  <c:v>39.624400000000001</c:v>
                </c:pt>
                <c:pt idx="8">
                  <c:v>39.506799999999998</c:v>
                </c:pt>
                <c:pt idx="9">
                  <c:v>39.387699999999995</c:v>
                </c:pt>
                <c:pt idx="10">
                  <c:v>39.2423</c:v>
                </c:pt>
                <c:pt idx="11">
                  <c:v>39.109300000000005</c:v>
                </c:pt>
                <c:pt idx="12">
                  <c:v>39.011200000000002</c:v>
                </c:pt>
                <c:pt idx="13">
                  <c:v>38.950200000000002</c:v>
                </c:pt>
                <c:pt idx="14">
                  <c:v>38.879899999999999</c:v>
                </c:pt>
                <c:pt idx="15">
                  <c:v>38.789699999999996</c:v>
                </c:pt>
                <c:pt idx="16">
                  <c:v>38.638300000000001</c:v>
                </c:pt>
                <c:pt idx="17">
                  <c:v>38.446000000000005</c:v>
                </c:pt>
                <c:pt idx="18">
                  <c:v>38.292000000000002</c:v>
                </c:pt>
                <c:pt idx="19">
                  <c:v>38.206699999999998</c:v>
                </c:pt>
                <c:pt idx="20">
                  <c:v>38.111600000000003</c:v>
                </c:pt>
                <c:pt idx="21">
                  <c:v>37.975300000000004</c:v>
                </c:pt>
                <c:pt idx="22">
                  <c:v>37.874899999999997</c:v>
                </c:pt>
                <c:pt idx="23">
                  <c:v>37.806800000000003</c:v>
                </c:pt>
                <c:pt idx="24">
                  <c:v>37.849400000000003</c:v>
                </c:pt>
                <c:pt idx="25">
                  <c:v>37.9557</c:v>
                </c:pt>
                <c:pt idx="26">
                  <c:v>37.980599999999995</c:v>
                </c:pt>
                <c:pt idx="27">
                  <c:v>38.032499999999999</c:v>
                </c:pt>
                <c:pt idx="28">
                  <c:v>38.063399999999994</c:v>
                </c:pt>
                <c:pt idx="29">
                  <c:v>38.155000000000001</c:v>
                </c:pt>
                <c:pt idx="30">
                  <c:v>38.278800000000004</c:v>
                </c:pt>
                <c:pt idx="31">
                  <c:v>38.490600000000001</c:v>
                </c:pt>
                <c:pt idx="32">
                  <c:v>38.674399999999999</c:v>
                </c:pt>
                <c:pt idx="33">
                  <c:v>38.9435</c:v>
                </c:pt>
                <c:pt idx="34">
                  <c:v>39.216999999999999</c:v>
                </c:pt>
                <c:pt idx="35">
                  <c:v>39.410499999999999</c:v>
                </c:pt>
                <c:pt idx="36">
                  <c:v>39.53</c:v>
                </c:pt>
                <c:pt idx="37">
                  <c:v>39.5916</c:v>
                </c:pt>
                <c:pt idx="38">
                  <c:v>39.656400000000005</c:v>
                </c:pt>
                <c:pt idx="39">
                  <c:v>39.691900000000004</c:v>
                </c:pt>
                <c:pt idx="40">
                  <c:v>39.652000000000001</c:v>
                </c:pt>
                <c:pt idx="41">
                  <c:v>39.4953</c:v>
                </c:pt>
                <c:pt idx="42">
                  <c:v>39.335000000000001</c:v>
                </c:pt>
                <c:pt idx="43">
                  <c:v>39.200899999999997</c:v>
                </c:pt>
                <c:pt idx="44">
                  <c:v>39.051900000000003</c:v>
                </c:pt>
                <c:pt idx="45">
                  <c:v>38.849299999999999</c:v>
                </c:pt>
                <c:pt idx="46">
                  <c:v>38.666600000000003</c:v>
                </c:pt>
                <c:pt idx="47">
                  <c:v>38.496099999999998</c:v>
                </c:pt>
                <c:pt idx="48">
                  <c:v>38.321800000000003</c:v>
                </c:pt>
                <c:pt idx="49">
                  <c:v>38.117400000000004</c:v>
                </c:pt>
                <c:pt idx="50">
                  <c:v>37.933999999999997</c:v>
                </c:pt>
                <c:pt idx="51">
                  <c:v>37.881399999999999</c:v>
                </c:pt>
                <c:pt idx="52">
                  <c:v>37.8247</c:v>
                </c:pt>
                <c:pt idx="53">
                  <c:v>37.753</c:v>
                </c:pt>
                <c:pt idx="54">
                  <c:v>37.669999999999995</c:v>
                </c:pt>
                <c:pt idx="55">
                  <c:v>37.582599999999999</c:v>
                </c:pt>
                <c:pt idx="56">
                  <c:v>37.526499999999999</c:v>
                </c:pt>
                <c:pt idx="57">
                  <c:v>37.470599999999997</c:v>
                </c:pt>
                <c:pt idx="58">
                  <c:v>37.424600000000005</c:v>
                </c:pt>
                <c:pt idx="59">
                  <c:v>37.352400000000003</c:v>
                </c:pt>
                <c:pt idx="60">
                  <c:v>37.244899999999994</c:v>
                </c:pt>
                <c:pt idx="61">
                  <c:v>37.084099999999999</c:v>
                </c:pt>
                <c:pt idx="62">
                  <c:v>36.890099999999997</c:v>
                </c:pt>
                <c:pt idx="63">
                  <c:v>36.653700000000001</c:v>
                </c:pt>
                <c:pt idx="64">
                  <c:v>36.353299999999997</c:v>
                </c:pt>
                <c:pt idx="65">
                  <c:v>36.072800000000001</c:v>
                </c:pt>
                <c:pt idx="66">
                  <c:v>35.913200000000003</c:v>
                </c:pt>
                <c:pt idx="67">
                  <c:v>35.677599999999998</c:v>
                </c:pt>
                <c:pt idx="68">
                  <c:v>35.335999999999999</c:v>
                </c:pt>
                <c:pt idx="69">
                  <c:v>35.089399999999998</c:v>
                </c:pt>
                <c:pt idx="70">
                  <c:v>35.029199999999996</c:v>
                </c:pt>
                <c:pt idx="71">
                  <c:v>35.020299999999999</c:v>
                </c:pt>
                <c:pt idx="72">
                  <c:v>35.0212</c:v>
                </c:pt>
                <c:pt idx="73">
                  <c:v>35.232900000000001</c:v>
                </c:pt>
                <c:pt idx="74">
                  <c:v>35.793199999999999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2.40374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63.869699999999995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4.243099864864865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47.123168918918928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5.0481587837837862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38.140941891891899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5.0481587837837862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38.140941891891899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517</v>
      </c>
      <c r="D5" s="191"/>
      <c r="E5" s="191"/>
      <c r="F5" s="192"/>
      <c r="G5" s="48" t="str">
        <f>lang!B27</f>
        <v>编号</v>
      </c>
      <c r="H5" s="190">
        <v>14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516</v>
      </c>
      <c r="D6" s="145"/>
      <c r="E6" s="145"/>
      <c r="F6" s="146"/>
      <c r="G6" s="49" t="str">
        <f>lang!B28</f>
        <v xml:space="preserve"> 日期</v>
      </c>
      <c r="H6" s="129">
        <f>FH_info!A2</f>
        <v>43608.413784722223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63</v>
      </c>
      <c r="D7" s="148"/>
      <c r="E7" s="148"/>
      <c r="F7" s="149"/>
      <c r="G7" s="50" t="str">
        <f>lang!B29</f>
        <v>误差率（%）</v>
      </c>
      <c r="H7" s="132">
        <f>M!B17*1</f>
        <v>17.565300000000001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47.960500000000003</v>
      </c>
      <c r="O8" s="59">
        <f>M!C5*1</f>
        <v>11.840299999999999</v>
      </c>
      <c r="P8" s="59">
        <f>M!D5*1</f>
        <v>24.6875</v>
      </c>
      <c r="Q8" s="59">
        <f>M!E5*1</f>
        <v>20</v>
      </c>
      <c r="R8" s="59">
        <f>M!F5*1</f>
        <v>9.9804999999999993</v>
      </c>
      <c r="S8" s="59">
        <f>M!G5*1</f>
        <v>50</v>
      </c>
      <c r="T8" s="59">
        <f>M!H5*1</f>
        <v>57.9773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23.5077</v>
      </c>
      <c r="O9" s="59">
        <f>M!C6*1</f>
        <v>3.5293999999999999</v>
      </c>
      <c r="P9" s="59">
        <f>M!D6*1</f>
        <v>15.0138</v>
      </c>
      <c r="Q9" s="59">
        <f>M!E6*1</f>
        <v>20</v>
      </c>
      <c r="R9" s="59">
        <f>M!F6*1</f>
        <v>16.381499999999999</v>
      </c>
      <c r="S9" s="59">
        <f>M!G6*1</f>
        <v>40</v>
      </c>
      <c r="T9" s="59">
        <f>M!H6*1</f>
        <v>28.378299999999999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9.9804999999999993</v>
      </c>
      <c r="D10" s="99">
        <f>N8</f>
        <v>47.960500000000003</v>
      </c>
      <c r="E10" s="100">
        <f>T8</f>
        <v>57.9773</v>
      </c>
      <c r="F10" s="91">
        <f>P8</f>
        <v>24.6875</v>
      </c>
      <c r="G10" s="81" t="str">
        <f>CONCATENATE(M9,"
(20 ~ 40)")</f>
        <v>压力
(20 ~ 40)</v>
      </c>
      <c r="H10" s="98">
        <f>R9</f>
        <v>16.381499999999999</v>
      </c>
      <c r="I10" s="108">
        <f>N9</f>
        <v>23.5077</v>
      </c>
      <c r="J10" s="98">
        <f>T9</f>
        <v>28.378299999999999</v>
      </c>
      <c r="K10" s="92">
        <f>P9</f>
        <v>15.0138</v>
      </c>
      <c r="L10" s="6"/>
      <c r="M10" s="27" t="str">
        <f>lang!B16</f>
        <v>焦虑</v>
      </c>
      <c r="N10" s="59">
        <f>M!B7*1</f>
        <v>26.828600000000002</v>
      </c>
      <c r="O10" s="59">
        <f>M!C7*1</f>
        <v>6.34415</v>
      </c>
      <c r="P10" s="59">
        <f>M!D7*1</f>
        <v>23.646999999999998</v>
      </c>
      <c r="Q10" s="59">
        <f>M!E7*1</f>
        <v>15</v>
      </c>
      <c r="R10" s="59">
        <f>M!F7*1</f>
        <v>6.7146299999999997</v>
      </c>
      <c r="S10" s="59">
        <f>M!G7*1</f>
        <v>40</v>
      </c>
      <c r="T10" s="59">
        <f>M!H7*1</f>
        <v>37.368600000000001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6.7146299999999997</v>
      </c>
      <c r="D11" s="102">
        <f>N10</f>
        <v>26.828600000000002</v>
      </c>
      <c r="E11" s="103">
        <f>T10</f>
        <v>37.368600000000001</v>
      </c>
      <c r="F11" s="94">
        <f>P10</f>
        <v>23.646999999999998</v>
      </c>
      <c r="G11" s="52" t="str">
        <f>CONCATENATE(M11,"
(20 ~ 50)")</f>
        <v>可疑
(20 ~ 50)</v>
      </c>
      <c r="H11" s="101">
        <f>R11</f>
        <v>14.845800000000001</v>
      </c>
      <c r="I11" s="104">
        <f>N11</f>
        <v>33.640900000000002</v>
      </c>
      <c r="J11" s="101">
        <f>T11</f>
        <v>38.9559</v>
      </c>
      <c r="K11" s="95">
        <f>P11</f>
        <v>19.076599999999999</v>
      </c>
      <c r="L11" s="4"/>
      <c r="M11" s="27" t="str">
        <f>lang!B17</f>
        <v>可疑</v>
      </c>
      <c r="N11" s="59">
        <f>M!B8*1</f>
        <v>33.640900000000002</v>
      </c>
      <c r="O11" s="59">
        <f>M!C8*1</f>
        <v>6.4175500000000003</v>
      </c>
      <c r="P11" s="59">
        <f>M!D8*1</f>
        <v>19.076599999999999</v>
      </c>
      <c r="Q11" s="59">
        <f>M!E8*1</f>
        <v>20</v>
      </c>
      <c r="R11" s="59">
        <f>M!F8*1</f>
        <v>14.845800000000001</v>
      </c>
      <c r="S11" s="59">
        <f>M!G8*1</f>
        <v>50</v>
      </c>
      <c r="T11" s="59">
        <f>M!H8*1</f>
        <v>38.9559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59.891199999999998</v>
      </c>
      <c r="D12" s="104">
        <f>N12</f>
        <v>69.594499999999996</v>
      </c>
      <c r="E12" s="101">
        <f>T12</f>
        <v>79.059100000000001</v>
      </c>
      <c r="F12" s="93">
        <f>P12</f>
        <v>5.6738200000000001</v>
      </c>
      <c r="G12" s="52" t="str">
        <f>CONCATENATE(M13,"
(40 ~ 100)")</f>
        <v>自信
(40 ~ 100)</v>
      </c>
      <c r="H12" s="101">
        <f>R13</f>
        <v>73.344499999999996</v>
      </c>
      <c r="I12" s="104">
        <f>N13</f>
        <v>80.000100000000003</v>
      </c>
      <c r="J12" s="101">
        <f>T13</f>
        <v>90.260900000000007</v>
      </c>
      <c r="K12" s="95">
        <f>P13</f>
        <v>6.0785900000000002</v>
      </c>
      <c r="L12" s="4"/>
      <c r="M12" s="27" t="str">
        <f>lang!B18</f>
        <v>平衡</v>
      </c>
      <c r="N12" s="59">
        <f>M!B9*1</f>
        <v>69.594499999999996</v>
      </c>
      <c r="O12" s="59">
        <f>M!C9*1</f>
        <v>3.9486599999999998</v>
      </c>
      <c r="P12" s="59">
        <f>M!D9*1</f>
        <v>5.6738200000000001</v>
      </c>
      <c r="Q12" s="59">
        <f>M!E9*1</f>
        <v>50</v>
      </c>
      <c r="R12" s="59">
        <f>M!F9*1</f>
        <v>59.891199999999998</v>
      </c>
      <c r="S12" s="59">
        <f>M!G9*1</f>
        <v>100</v>
      </c>
      <c r="T12" s="59">
        <f>M!H9*1</f>
        <v>79.059100000000001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9.5020699999999998</v>
      </c>
      <c r="D13" s="102">
        <f>N14</f>
        <v>35.023499999999999</v>
      </c>
      <c r="E13" s="103">
        <f>T14</f>
        <v>45.186700000000002</v>
      </c>
      <c r="F13" s="94">
        <f>P14</f>
        <v>23.712499999999999</v>
      </c>
      <c r="G13" s="52" t="str">
        <f>CONCATENATE(M15,"
(50 ~ 100)")</f>
        <v>自我调节
(50 ~ 100)</v>
      </c>
      <c r="H13" s="101">
        <f>R15</f>
        <v>67.284999999999997</v>
      </c>
      <c r="I13" s="104">
        <f>N15</f>
        <v>74.222700000000003</v>
      </c>
      <c r="J13" s="101">
        <f>T15</f>
        <v>84.393100000000004</v>
      </c>
      <c r="K13" s="95">
        <f>P15</f>
        <v>4.7560700000000002</v>
      </c>
      <c r="L13" s="4"/>
      <c r="M13" s="27" t="str">
        <f>lang!B19</f>
        <v>自信</v>
      </c>
      <c r="N13" s="59">
        <f>M!B10*1</f>
        <v>80.000100000000003</v>
      </c>
      <c r="O13" s="59">
        <f>M!C10*1</f>
        <v>4.8628799999999996</v>
      </c>
      <c r="P13" s="59">
        <f>M!D10*1</f>
        <v>6.0785900000000002</v>
      </c>
      <c r="Q13" s="59">
        <f>M!E10*1</f>
        <v>40</v>
      </c>
      <c r="R13" s="59">
        <f>M!F10*1</f>
        <v>73.344499999999996</v>
      </c>
      <c r="S13" s="59">
        <f>M!G10*1</f>
        <v>100</v>
      </c>
      <c r="T13" s="59">
        <f>M!H10*1</f>
        <v>90.260900000000007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17.470099999999999</v>
      </c>
      <c r="D14" s="106">
        <f>N16</f>
        <v>23.867000000000001</v>
      </c>
      <c r="E14" s="107">
        <f>T16</f>
        <v>35.877400000000002</v>
      </c>
      <c r="F14" s="96">
        <f>P16</f>
        <v>13.5748</v>
      </c>
      <c r="G14" s="112" t="str">
        <f>CONCATENATE(M17,"
(10 ~ 50)")</f>
        <v>神经质
(10 ~ 50)</v>
      </c>
      <c r="H14" s="105">
        <f>R17</f>
        <v>3.38829</v>
      </c>
      <c r="I14" s="106">
        <f>N17</f>
        <v>32.399000000000001</v>
      </c>
      <c r="J14" s="107">
        <f>T17</f>
        <v>53.828400000000002</v>
      </c>
      <c r="K14" s="97">
        <f>P17</f>
        <v>39.432600000000001</v>
      </c>
      <c r="M14" s="27" t="str">
        <f>lang!B20</f>
        <v>活力</v>
      </c>
      <c r="N14" s="59">
        <f>M!B11*1</f>
        <v>35.023499999999999</v>
      </c>
      <c r="O14" s="59">
        <f>M!C11*1</f>
        <v>8.3049599999999995</v>
      </c>
      <c r="P14" s="59">
        <f>M!D11*1</f>
        <v>23.712499999999999</v>
      </c>
      <c r="Q14" s="59">
        <f>M!E11*1</f>
        <v>10</v>
      </c>
      <c r="R14" s="59">
        <f>M!F11*1</f>
        <v>9.5020699999999998</v>
      </c>
      <c r="S14" s="59">
        <f>M!G11*1</f>
        <v>50</v>
      </c>
      <c r="T14" s="59">
        <f>M!H11*1</f>
        <v>45.186700000000002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74.222700000000003</v>
      </c>
      <c r="O15" s="59">
        <f>M!C12*1</f>
        <v>3.5300799999999999</v>
      </c>
      <c r="P15" s="59">
        <f>M!D12*1</f>
        <v>4.7560700000000002</v>
      </c>
      <c r="Q15" s="59">
        <f>M!E12*1</f>
        <v>50</v>
      </c>
      <c r="R15" s="59">
        <f>M!F12*1</f>
        <v>67.284999999999997</v>
      </c>
      <c r="S15" s="59">
        <f>M!G12*1</f>
        <v>100</v>
      </c>
      <c r="T15" s="59">
        <f>M!H12*1</f>
        <v>84.393100000000004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23.867000000000001</v>
      </c>
      <c r="O16" s="59">
        <f>M!C13*1</f>
        <v>3.2399</v>
      </c>
      <c r="P16" s="59">
        <f>M!D13*1</f>
        <v>13.5748</v>
      </c>
      <c r="Q16" s="59">
        <f>M!E13*1</f>
        <v>10</v>
      </c>
      <c r="R16" s="59">
        <f>M!F13*1</f>
        <v>17.470099999999999</v>
      </c>
      <c r="S16" s="59">
        <f>M!G13*1</f>
        <v>25</v>
      </c>
      <c r="T16" s="59">
        <f>M!H13*1</f>
        <v>35.877400000000002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32.399000000000001</v>
      </c>
      <c r="O17" s="59">
        <f>M!C14*1</f>
        <v>12.775700000000001</v>
      </c>
      <c r="P17" s="59">
        <f>M!D14*1</f>
        <v>39.432600000000001</v>
      </c>
      <c r="Q17" s="59">
        <f>M!E14*1</f>
        <v>10</v>
      </c>
      <c r="R17" s="59">
        <f>M!F14*1</f>
        <v>3.38829</v>
      </c>
      <c r="S17" s="59">
        <f>M!G14*1</f>
        <v>50</v>
      </c>
      <c r="T17" s="59">
        <f>M!H14*1</f>
        <v>53.828400000000002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64.710200000000015</v>
      </c>
      <c r="O18" s="22">
        <f>N18/(N18+N19+N20)</f>
        <v>0.51427657479826083</v>
      </c>
      <c r="P18" s="65">
        <f>SUM(P12:P15)/4</f>
        <v>10.055245000000001</v>
      </c>
      <c r="Q18" s="22">
        <f>P18/(P18+P19+P20)</f>
        <v>0.17589810368796246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32.984425000000002</v>
      </c>
      <c r="O19" s="22">
        <f>N19/(N18+N19+N20)</f>
        <v>0.26213977256584153</v>
      </c>
      <c r="P19" s="18">
        <f>SUM(P8:P11)/4</f>
        <v>20.606225000000002</v>
      </c>
      <c r="Q19" s="22">
        <f>P19/(P18+P19+P20)</f>
        <v>0.36046818368597522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28.133000000000003</v>
      </c>
      <c r="O20" s="22">
        <f>N20/(N18+N19+N20)</f>
        <v>0.22358365263589772</v>
      </c>
      <c r="P20" s="18">
        <f>(P16+P17)/2</f>
        <v>26.503700000000002</v>
      </c>
      <c r="Q20" s="22">
        <f>P20/(P18+P19+P20)</f>
        <v>0.46363371262606234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-0.1703281621621624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2.258464140609266</v>
      </c>
      <c r="D25" s="44" t="str">
        <f>lang!B11</f>
        <v>频率方差</v>
      </c>
      <c r="E25" s="182">
        <f ca="1">FH!L3</f>
        <v>0.69845734515975877</v>
      </c>
      <c r="F25" s="183"/>
      <c r="G25" s="174" t="str">
        <f>lang!B12</f>
        <v>生理变化率</v>
      </c>
      <c r="H25" s="175"/>
      <c r="I25" s="62" t="str">
        <f ca="1">CONCATENATE(info!M7,"-",info!M8)</f>
        <v>35-63.9</v>
      </c>
      <c r="J25" s="42" t="str">
        <f>lang!B13</f>
        <v>千卡l/分钟</v>
      </c>
      <c r="K25" s="41" t="str">
        <f ca="1">CONCATENATE(info!M5,"-",info!M6)</f>
        <v>2.4-5.5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93%]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50.716399999999993</v>
      </c>
      <c r="F28" s="121"/>
      <c r="G28" s="135" t="str">
        <f>lang!B33</f>
        <v>稳定性</v>
      </c>
      <c r="H28" s="136"/>
      <c r="I28" s="137"/>
      <c r="J28" s="138">
        <f>M!B19*100</f>
        <v>45.883000000000003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43608.413784722223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12.488900000000001</v>
      </c>
      <c r="O7" s="59">
        <f t="shared" ref="O7:T7" si="2">AG7-X7</f>
        <v>-7.9822100000000002</v>
      </c>
      <c r="P7" s="59">
        <f t="shared" si="2"/>
        <v>-21.319520000000001</v>
      </c>
      <c r="Q7" s="59">
        <f t="shared" si="2"/>
        <v>0</v>
      </c>
      <c r="R7" s="59">
        <f t="shared" si="2"/>
        <v>37.844000000000001</v>
      </c>
      <c r="S7" s="59">
        <f t="shared" si="2"/>
        <v>0</v>
      </c>
      <c r="T7" s="59">
        <f t="shared" si="2"/>
        <v>6.5234000000000023</v>
      </c>
      <c r="U7" s="14"/>
      <c r="V7" s="27" t="str">
        <f>M7</f>
        <v>攻击性</v>
      </c>
      <c r="W7" s="59">
        <f>'M1'!B5*1</f>
        <v>40.720100000000002</v>
      </c>
      <c r="X7" s="59">
        <f>'M1'!C5*1</f>
        <v>10.960900000000001</v>
      </c>
      <c r="Y7" s="59">
        <f>'M1'!D5*1</f>
        <v>26.9176</v>
      </c>
      <c r="Z7" s="59">
        <f>'M1'!E5*1</f>
        <v>20</v>
      </c>
      <c r="AA7" s="59">
        <f>'M1'!F5*1</f>
        <v>9.9804999999999993</v>
      </c>
      <c r="AB7" s="59">
        <f>'M1'!G5*1</f>
        <v>50</v>
      </c>
      <c r="AC7" s="59">
        <f>'M1'!H5*1</f>
        <v>51.453899999999997</v>
      </c>
      <c r="AE7" s="27" t="str">
        <f>V7</f>
        <v>攻击性</v>
      </c>
      <c r="AF7" s="59">
        <f>'M2'!B5*1</f>
        <v>53.209000000000003</v>
      </c>
      <c r="AG7" s="59">
        <f>'M2'!C5*1</f>
        <v>2.9786899999999998</v>
      </c>
      <c r="AH7" s="59">
        <f>'M2'!D5*1</f>
        <v>5.5980800000000004</v>
      </c>
      <c r="AI7" s="59">
        <f>'M2'!E5*1</f>
        <v>20</v>
      </c>
      <c r="AJ7" s="59">
        <f>'M2'!F5*1</f>
        <v>47.8245</v>
      </c>
      <c r="AK7" s="59">
        <f>'M2'!G5*1</f>
        <v>50</v>
      </c>
      <c r="AL7" s="59">
        <f>'M2'!H5*1</f>
        <v>57.9773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6.5169999999999995</v>
      </c>
      <c r="O8" s="59">
        <f t="shared" ref="O8:O16" si="5">AG8-X8</f>
        <v>-0.54334499999999997</v>
      </c>
      <c r="P8" s="59">
        <f t="shared" ref="P8:P16" si="6">AH8-Y8</f>
        <v>-3.6379800000000002</v>
      </c>
      <c r="Q8" s="59">
        <f t="shared" ref="Q8:Q16" si="7">AI8-Z8</f>
        <v>0</v>
      </c>
      <c r="R8" s="59">
        <f t="shared" ref="R8:R16" si="8">AJ8-AA8</f>
        <v>7.470600000000001</v>
      </c>
      <c r="S8" s="59">
        <f t="shared" ref="S8:S16" si="9">AK8-AB8</f>
        <v>0</v>
      </c>
      <c r="T8" s="59">
        <f t="shared" ref="T8:T16" si="10">AL8-AC8</f>
        <v>5.2149999999999999</v>
      </c>
      <c r="U8" s="15"/>
      <c r="V8" s="27" t="str">
        <f t="shared" ref="V8:V16" si="11">M8</f>
        <v>压力</v>
      </c>
      <c r="W8" s="59">
        <f>'M1'!B6*1</f>
        <v>20.9787</v>
      </c>
      <c r="X8" s="59">
        <f>'M1'!C6*1</f>
        <v>1.4709399999999999</v>
      </c>
      <c r="Y8" s="59">
        <f>'M1'!D6*1</f>
        <v>7.0115800000000004</v>
      </c>
      <c r="Z8" s="59">
        <f>'M1'!E6*1</f>
        <v>20</v>
      </c>
      <c r="AA8" s="59">
        <f>'M1'!F6*1</f>
        <v>16.381499999999999</v>
      </c>
      <c r="AB8" s="59">
        <f>'M1'!G6*1</f>
        <v>40</v>
      </c>
      <c r="AC8" s="59">
        <f>'M1'!H6*1</f>
        <v>23.1633</v>
      </c>
      <c r="AE8" s="27" t="str">
        <f t="shared" ref="AE8:AE16" si="12">V8</f>
        <v>压力</v>
      </c>
      <c r="AF8" s="59">
        <f>'M2'!B6*1</f>
        <v>27.495699999999999</v>
      </c>
      <c r="AG8" s="59">
        <f>'M2'!C6*1</f>
        <v>0.92759499999999995</v>
      </c>
      <c r="AH8" s="59">
        <f>'M2'!D6*1</f>
        <v>3.3736000000000002</v>
      </c>
      <c r="AI8" s="59">
        <f>'M2'!E6*1</f>
        <v>20</v>
      </c>
      <c r="AJ8" s="59">
        <f>'M2'!F6*1</f>
        <v>23.8521</v>
      </c>
      <c r="AK8" s="59">
        <f>'M2'!G6*1</f>
        <v>40</v>
      </c>
      <c r="AL8" s="59">
        <f>'M2'!H6*1</f>
        <v>28.378299999999999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37.844000000000001</v>
      </c>
      <c r="D9" s="78">
        <f>N7</f>
        <v>12.488900000000001</v>
      </c>
      <c r="E9" s="79">
        <f>T7</f>
        <v>6.5234000000000023</v>
      </c>
      <c r="F9" s="79">
        <f>P7</f>
        <v>-21.319520000000001</v>
      </c>
      <c r="G9" s="80" t="str">
        <f>CONCATENATE(M8,"
(20 ~ 40)")</f>
        <v>压力
(20 ~ 40)</v>
      </c>
      <c r="H9" s="77">
        <f>R8</f>
        <v>7.470600000000001</v>
      </c>
      <c r="I9" s="81">
        <f>N8</f>
        <v>6.5169999999999995</v>
      </c>
      <c r="J9" s="77">
        <f>T8</f>
        <v>5.2149999999999999</v>
      </c>
      <c r="K9" s="82">
        <f>P8</f>
        <v>-3.6379800000000002</v>
      </c>
      <c r="L9" s="6"/>
      <c r="M9" s="27" t="str">
        <f>lang!B16</f>
        <v>焦虑</v>
      </c>
      <c r="N9" s="59">
        <f t="shared" si="4"/>
        <v>7.4558999999999997</v>
      </c>
      <c r="O9" s="59">
        <f t="shared" si="5"/>
        <v>-3.8311599999999997</v>
      </c>
      <c r="P9" s="59">
        <f t="shared" si="6"/>
        <v>-20.472500000000004</v>
      </c>
      <c r="Q9" s="59">
        <f t="shared" si="7"/>
        <v>0</v>
      </c>
      <c r="R9" s="59">
        <f t="shared" si="8"/>
        <v>14.25047</v>
      </c>
      <c r="S9" s="59">
        <f t="shared" si="9"/>
        <v>0</v>
      </c>
      <c r="T9" s="59">
        <f t="shared" si="10"/>
        <v>1.4793999999999983</v>
      </c>
      <c r="U9" s="14"/>
      <c r="V9" s="27" t="str">
        <f t="shared" si="11"/>
        <v>焦虑</v>
      </c>
      <c r="W9" s="59">
        <f>'M1'!B7*1</f>
        <v>22.528700000000001</v>
      </c>
      <c r="X9" s="59">
        <f>'M1'!C7*1</f>
        <v>6.9720899999999997</v>
      </c>
      <c r="Y9" s="59">
        <f>'M1'!D7*1</f>
        <v>30.947600000000001</v>
      </c>
      <c r="Z9" s="59">
        <f>'M1'!E7*1</f>
        <v>15</v>
      </c>
      <c r="AA9" s="59">
        <f>'M1'!F7*1</f>
        <v>6.7146299999999997</v>
      </c>
      <c r="AB9" s="59">
        <f>'M1'!G7*1</f>
        <v>40</v>
      </c>
      <c r="AC9" s="59">
        <f>'M1'!H7*1</f>
        <v>35.889200000000002</v>
      </c>
      <c r="AE9" s="27" t="str">
        <f t="shared" si="12"/>
        <v>焦虑</v>
      </c>
      <c r="AF9" s="59">
        <f>'M2'!B7*1</f>
        <v>29.9846</v>
      </c>
      <c r="AG9" s="59">
        <f>'M2'!C7*1</f>
        <v>3.14093</v>
      </c>
      <c r="AH9" s="59">
        <f>'M2'!D7*1</f>
        <v>10.475099999999999</v>
      </c>
      <c r="AI9" s="59">
        <f>'M2'!E7*1</f>
        <v>15</v>
      </c>
      <c r="AJ9" s="59">
        <f>'M2'!F7*1</f>
        <v>20.9651</v>
      </c>
      <c r="AK9" s="59">
        <f>'M2'!G7*1</f>
        <v>40</v>
      </c>
      <c r="AL9" s="59">
        <f>'M2'!H7*1</f>
        <v>37.368600000000001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14.25047</v>
      </c>
      <c r="D10" s="51">
        <f>N9</f>
        <v>7.4558999999999997</v>
      </c>
      <c r="E10" s="53">
        <f>T9</f>
        <v>1.4793999999999983</v>
      </c>
      <c r="F10" s="53">
        <f>P9</f>
        <v>-20.472500000000004</v>
      </c>
      <c r="G10" s="73" t="str">
        <f>CONCATENATE(M10,"
(20 ~ 50)")</f>
        <v>可疑
(20 ~ 50)</v>
      </c>
      <c r="H10" s="24">
        <f>R10</f>
        <v>17.949000000000002</v>
      </c>
      <c r="I10" s="52">
        <f>N10</f>
        <v>10.695800000000002</v>
      </c>
      <c r="J10" s="24">
        <f>T10</f>
        <v>4.5163000000000011</v>
      </c>
      <c r="K10" s="25">
        <f>P10</f>
        <v>-14.633960000000002</v>
      </c>
      <c r="L10" s="4"/>
      <c r="M10" s="27" t="str">
        <f>lang!B17</f>
        <v>可疑</v>
      </c>
      <c r="N10" s="59">
        <f t="shared" si="4"/>
        <v>10.695800000000002</v>
      </c>
      <c r="O10" s="59">
        <f t="shared" si="5"/>
        <v>-3.31738</v>
      </c>
      <c r="P10" s="59">
        <f t="shared" si="6"/>
        <v>-14.633960000000002</v>
      </c>
      <c r="Q10" s="59">
        <f t="shared" si="7"/>
        <v>0</v>
      </c>
      <c r="R10" s="59">
        <f t="shared" si="8"/>
        <v>17.949000000000002</v>
      </c>
      <c r="S10" s="59">
        <f t="shared" si="9"/>
        <v>0</v>
      </c>
      <c r="T10" s="59">
        <f t="shared" si="10"/>
        <v>4.5163000000000011</v>
      </c>
      <c r="U10" s="14"/>
      <c r="V10" s="27" t="str">
        <f t="shared" si="11"/>
        <v>可疑</v>
      </c>
      <c r="W10" s="59">
        <f>'M1'!B8*1</f>
        <v>25.7105</v>
      </c>
      <c r="X10" s="59">
        <f>'M1'!C8*1</f>
        <v>4.8323999999999998</v>
      </c>
      <c r="Y10" s="59">
        <f>'M1'!D8*1</f>
        <v>18.795400000000001</v>
      </c>
      <c r="Z10" s="59">
        <f>'M1'!E8*1</f>
        <v>20</v>
      </c>
      <c r="AA10" s="59">
        <f>'M1'!F8*1</f>
        <v>14.845800000000001</v>
      </c>
      <c r="AB10" s="59">
        <f>'M1'!G8*1</f>
        <v>50</v>
      </c>
      <c r="AC10" s="59">
        <f>'M1'!H8*1</f>
        <v>34.439599999999999</v>
      </c>
      <c r="AE10" s="27" t="str">
        <f t="shared" si="12"/>
        <v>可疑</v>
      </c>
      <c r="AF10" s="59">
        <f>'M2'!B8*1</f>
        <v>36.406300000000002</v>
      </c>
      <c r="AG10" s="59">
        <f>'M2'!C8*1</f>
        <v>1.51502</v>
      </c>
      <c r="AH10" s="59">
        <f>'M2'!D8*1</f>
        <v>4.1614399999999998</v>
      </c>
      <c r="AI10" s="59">
        <f>'M2'!E8*1</f>
        <v>20</v>
      </c>
      <c r="AJ10" s="59">
        <f>'M2'!F8*1</f>
        <v>32.794800000000002</v>
      </c>
      <c r="AK10" s="59">
        <f>'M2'!G8*1</f>
        <v>50</v>
      </c>
      <c r="AL10" s="59">
        <f>'M2'!H8*1</f>
        <v>38.9559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0.84629999999999939</v>
      </c>
      <c r="D11" s="52">
        <f>N11</f>
        <v>-2.3585999999999956</v>
      </c>
      <c r="E11" s="24">
        <f>T11</f>
        <v>-2.5259999999999962</v>
      </c>
      <c r="F11" s="24">
        <f>P11</f>
        <v>-1.0920999999999994</v>
      </c>
      <c r="G11" s="73" t="str">
        <f>CONCATENATE(M12,"
(40 ~ 100)")</f>
        <v>自信
(40 ~ 100)</v>
      </c>
      <c r="H11" s="24">
        <f>R12</f>
        <v>-6.585400000000007</v>
      </c>
      <c r="I11" s="52">
        <f>N12</f>
        <v>-8.3876999999999953</v>
      </c>
      <c r="J11" s="24">
        <f>T12</f>
        <v>-10.259100000000004</v>
      </c>
      <c r="K11" s="25">
        <f>P12</f>
        <v>-1.7487200000000001</v>
      </c>
      <c r="L11" s="4"/>
      <c r="M11" s="27" t="str">
        <f>lang!B18</f>
        <v>平衡</v>
      </c>
      <c r="N11" s="59">
        <f t="shared" si="4"/>
        <v>-2.3585999999999956</v>
      </c>
      <c r="O11" s="59">
        <f t="shared" si="5"/>
        <v>-0.88769999999999971</v>
      </c>
      <c r="P11" s="59">
        <f t="shared" si="6"/>
        <v>-1.0920999999999994</v>
      </c>
      <c r="Q11" s="59">
        <f t="shared" si="7"/>
        <v>0</v>
      </c>
      <c r="R11" s="59">
        <f t="shared" si="8"/>
        <v>0.84629999999999939</v>
      </c>
      <c r="S11" s="59">
        <f t="shared" si="9"/>
        <v>0</v>
      </c>
      <c r="T11" s="59">
        <f t="shared" si="10"/>
        <v>-2.5259999999999962</v>
      </c>
      <c r="U11" s="14"/>
      <c r="V11" s="27" t="str">
        <f t="shared" si="11"/>
        <v>平衡</v>
      </c>
      <c r="W11" s="59">
        <f>'M1'!B9*1</f>
        <v>70.9101</v>
      </c>
      <c r="X11" s="59">
        <f>'M1'!C9*1</f>
        <v>4.1805599999999998</v>
      </c>
      <c r="Y11" s="59">
        <f>'M1'!D9*1</f>
        <v>5.8955799999999998</v>
      </c>
      <c r="Z11" s="59">
        <f>'M1'!E9*1</f>
        <v>50</v>
      </c>
      <c r="AA11" s="59">
        <f>'M1'!F9*1</f>
        <v>59.891199999999998</v>
      </c>
      <c r="AB11" s="59">
        <f>'M1'!G9*1</f>
        <v>100</v>
      </c>
      <c r="AC11" s="59">
        <f>'M1'!H9*1</f>
        <v>79.059100000000001</v>
      </c>
      <c r="AE11" s="27" t="str">
        <f t="shared" si="12"/>
        <v>平衡</v>
      </c>
      <c r="AF11" s="59">
        <f>'M2'!B9*1</f>
        <v>68.551500000000004</v>
      </c>
      <c r="AG11" s="59">
        <f>'M2'!C9*1</f>
        <v>3.2928600000000001</v>
      </c>
      <c r="AH11" s="59">
        <f>'M2'!D9*1</f>
        <v>4.8034800000000004</v>
      </c>
      <c r="AI11" s="59">
        <f>'M2'!E9*1</f>
        <v>50</v>
      </c>
      <c r="AJ11" s="59">
        <f>'M2'!F9*1</f>
        <v>60.737499999999997</v>
      </c>
      <c r="AK11" s="59">
        <f>'M2'!G9*1</f>
        <v>100</v>
      </c>
      <c r="AL11" s="59">
        <f>'M2'!H9*1</f>
        <v>76.533100000000005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24.35923</v>
      </c>
      <c r="D12" s="51">
        <f>N13</f>
        <v>8.2073999999999963</v>
      </c>
      <c r="E12" s="53">
        <f>T13</f>
        <v>4.3063000000000002</v>
      </c>
      <c r="F12" s="53">
        <f>P13</f>
        <v>-16.835630000000002</v>
      </c>
      <c r="G12" s="73" t="str">
        <f>CONCATENATE(M14,"
(50 ~ 100)")</f>
        <v>自我调节
(50 ~ 100)</v>
      </c>
      <c r="H12" s="24">
        <f>R14</f>
        <v>-3.3256999999999977</v>
      </c>
      <c r="I12" s="52">
        <f>N14</f>
        <v>-5.4453000000000031</v>
      </c>
      <c r="J12" s="24">
        <f>T14</f>
        <v>-7.9928000000000026</v>
      </c>
      <c r="K12" s="25">
        <f>P14</f>
        <v>-1.2022399999999998</v>
      </c>
      <c r="L12" s="4"/>
      <c r="M12" s="27" t="str">
        <f>lang!B19</f>
        <v>自信</v>
      </c>
      <c r="N12" s="59">
        <f t="shared" si="4"/>
        <v>-8.3876999999999953</v>
      </c>
      <c r="O12" s="59">
        <f t="shared" si="5"/>
        <v>-1.6314500000000001</v>
      </c>
      <c r="P12" s="59">
        <f t="shared" si="6"/>
        <v>-1.7487200000000001</v>
      </c>
      <c r="Q12" s="59">
        <f t="shared" si="7"/>
        <v>0</v>
      </c>
      <c r="R12" s="59">
        <f t="shared" si="8"/>
        <v>-6.585400000000007</v>
      </c>
      <c r="S12" s="59">
        <f t="shared" si="9"/>
        <v>0</v>
      </c>
      <c r="T12" s="59">
        <f t="shared" si="10"/>
        <v>-10.259100000000004</v>
      </c>
      <c r="U12" s="15"/>
      <c r="V12" s="27" t="str">
        <f t="shared" si="11"/>
        <v>自信</v>
      </c>
      <c r="W12" s="59">
        <f>'M1'!B10*1</f>
        <v>83.983099999999993</v>
      </c>
      <c r="X12" s="59">
        <f>'M1'!C10*1</f>
        <v>3.0989800000000001</v>
      </c>
      <c r="Y12" s="59">
        <f>'M1'!D10*1</f>
        <v>3.69001</v>
      </c>
      <c r="Z12" s="59">
        <f>'M1'!E10*1</f>
        <v>40</v>
      </c>
      <c r="AA12" s="59">
        <f>'M1'!F10*1</f>
        <v>79.929900000000004</v>
      </c>
      <c r="AB12" s="59">
        <f>'M1'!G10*1</f>
        <v>100</v>
      </c>
      <c r="AC12" s="59">
        <f>'M1'!H10*1</f>
        <v>90.260900000000007</v>
      </c>
      <c r="AE12" s="27" t="str">
        <f t="shared" si="12"/>
        <v>自信</v>
      </c>
      <c r="AF12" s="59">
        <f>'M2'!B10*1</f>
        <v>75.595399999999998</v>
      </c>
      <c r="AG12" s="59">
        <f>'M2'!C10*1</f>
        <v>1.46753</v>
      </c>
      <c r="AH12" s="59">
        <f>'M2'!D10*1</f>
        <v>1.94129</v>
      </c>
      <c r="AI12" s="59">
        <f>'M2'!E10*1</f>
        <v>40</v>
      </c>
      <c r="AJ12" s="59">
        <f>'M2'!F10*1</f>
        <v>73.344499999999996</v>
      </c>
      <c r="AK12" s="59">
        <f>'M2'!G10*1</f>
        <v>100</v>
      </c>
      <c r="AL12" s="59">
        <f>'M2'!H10*1</f>
        <v>80.001800000000003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-1.5226000000000006</v>
      </c>
      <c r="D13" s="55">
        <f>N15</f>
        <v>-0.69909999999999783</v>
      </c>
      <c r="E13" s="56">
        <f>T15</f>
        <v>-5.5015000000000001</v>
      </c>
      <c r="F13" s="56">
        <f>P15</f>
        <v>-2.3717000000000006</v>
      </c>
      <c r="G13" s="74" t="str">
        <f>CONCATENATE(M16,"
(10 ~ 50)")</f>
        <v>神经质
(10 ~ 50)</v>
      </c>
      <c r="H13" s="54">
        <f>R16</f>
        <v>0.6458999999999997</v>
      </c>
      <c r="I13" s="55">
        <f>N16</f>
        <v>-6.5856999999999992</v>
      </c>
      <c r="J13" s="56">
        <f>T16</f>
        <v>-18.843400000000003</v>
      </c>
      <c r="K13" s="57">
        <f>P16</f>
        <v>0.41829999999999501</v>
      </c>
      <c r="M13" s="27" t="str">
        <f>lang!B20</f>
        <v>活力</v>
      </c>
      <c r="N13" s="59">
        <f t="shared" si="4"/>
        <v>8.2073999999999963</v>
      </c>
      <c r="O13" s="59">
        <f t="shared" si="5"/>
        <v>-4.5293600000000005</v>
      </c>
      <c r="P13" s="59">
        <f t="shared" si="6"/>
        <v>-16.835630000000002</v>
      </c>
      <c r="Q13" s="59">
        <f t="shared" si="7"/>
        <v>0</v>
      </c>
      <c r="R13" s="59">
        <f t="shared" si="8"/>
        <v>24.35923</v>
      </c>
      <c r="S13" s="59">
        <f t="shared" si="9"/>
        <v>0</v>
      </c>
      <c r="T13" s="59">
        <f t="shared" si="10"/>
        <v>4.3063000000000002</v>
      </c>
      <c r="U13" s="14"/>
      <c r="V13" s="27" t="str">
        <f t="shared" si="11"/>
        <v>活力</v>
      </c>
      <c r="W13" s="59">
        <f>'M1'!B11*1</f>
        <v>31.121300000000002</v>
      </c>
      <c r="X13" s="59">
        <f>'M1'!C11*1</f>
        <v>7.93215</v>
      </c>
      <c r="Y13" s="59">
        <f>'M1'!D11*1</f>
        <v>25.4878</v>
      </c>
      <c r="Z13" s="59">
        <f>'M1'!E11*1</f>
        <v>10</v>
      </c>
      <c r="AA13" s="59">
        <f>'M1'!F11*1</f>
        <v>9.5020699999999998</v>
      </c>
      <c r="AB13" s="59">
        <f>'M1'!G11*1</f>
        <v>50</v>
      </c>
      <c r="AC13" s="59">
        <f>'M1'!H11*1</f>
        <v>40.880400000000002</v>
      </c>
      <c r="AE13" s="27" t="str">
        <f t="shared" si="12"/>
        <v>活力</v>
      </c>
      <c r="AF13" s="59">
        <f>'M2'!B11*1</f>
        <v>39.328699999999998</v>
      </c>
      <c r="AG13" s="59">
        <f>'M2'!C11*1</f>
        <v>3.40279</v>
      </c>
      <c r="AH13" s="59">
        <f>'M2'!D11*1</f>
        <v>8.6521699999999999</v>
      </c>
      <c r="AI13" s="59">
        <f>'M2'!E11*1</f>
        <v>10</v>
      </c>
      <c r="AJ13" s="59">
        <f>'M2'!F11*1</f>
        <v>33.8613</v>
      </c>
      <c r="AK13" s="59">
        <f>'M2'!G11*1</f>
        <v>50</v>
      </c>
      <c r="AL13" s="59">
        <f>'M2'!H11*1</f>
        <v>45.186700000000002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-5.4453000000000031</v>
      </c>
      <c r="O14" s="59">
        <f t="shared" si="5"/>
        <v>-1.0606599999999999</v>
      </c>
      <c r="P14" s="59">
        <f t="shared" si="6"/>
        <v>-1.2022399999999998</v>
      </c>
      <c r="Q14" s="59">
        <f t="shared" si="7"/>
        <v>0</v>
      </c>
      <c r="R14" s="59">
        <f t="shared" si="8"/>
        <v>-3.3256999999999977</v>
      </c>
      <c r="S14" s="59">
        <f t="shared" si="9"/>
        <v>0</v>
      </c>
      <c r="T14" s="59">
        <f t="shared" si="10"/>
        <v>-7.9928000000000026</v>
      </c>
      <c r="U14" s="14"/>
      <c r="V14" s="27" t="str">
        <f t="shared" si="11"/>
        <v>自我调节</v>
      </c>
      <c r="W14" s="59">
        <f>'M1'!B12*1</f>
        <v>77.702200000000005</v>
      </c>
      <c r="X14" s="59">
        <f>'M1'!C12*1</f>
        <v>2.73915</v>
      </c>
      <c r="Y14" s="59">
        <f>'M1'!D12*1</f>
        <v>3.5251899999999998</v>
      </c>
      <c r="Z14" s="59">
        <f>'M1'!E12*1</f>
        <v>50</v>
      </c>
      <c r="AA14" s="59">
        <f>'M1'!F12*1</f>
        <v>70.610699999999994</v>
      </c>
      <c r="AB14" s="59">
        <f>'M1'!G12*1</f>
        <v>100</v>
      </c>
      <c r="AC14" s="59">
        <f>'M1'!H12*1</f>
        <v>84.393100000000004</v>
      </c>
      <c r="AE14" s="27" t="str">
        <f t="shared" si="12"/>
        <v>自我调节</v>
      </c>
      <c r="AF14" s="59">
        <f>'M2'!B12*1</f>
        <v>72.256900000000002</v>
      </c>
      <c r="AG14" s="59">
        <f>'M2'!C12*1</f>
        <v>1.67849</v>
      </c>
      <c r="AH14" s="59">
        <f>'M2'!D12*1</f>
        <v>2.3229500000000001</v>
      </c>
      <c r="AI14" s="59">
        <f>'M2'!E12*1</f>
        <v>50</v>
      </c>
      <c r="AJ14" s="59">
        <f>'M2'!F12*1</f>
        <v>67.284999999999997</v>
      </c>
      <c r="AK14" s="59">
        <f>'M2'!G12*1</f>
        <v>100</v>
      </c>
      <c r="AL14" s="59">
        <f>'M2'!H12*1</f>
        <v>76.400300000000001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-0.69909999999999783</v>
      </c>
      <c r="O15" s="59">
        <f t="shared" si="5"/>
        <v>-0.6585700000000001</v>
      </c>
      <c r="P15" s="59">
        <f t="shared" si="6"/>
        <v>-2.3717000000000006</v>
      </c>
      <c r="Q15" s="59">
        <f t="shared" si="7"/>
        <v>0</v>
      </c>
      <c r="R15" s="59">
        <f t="shared" si="8"/>
        <v>-1.5226000000000006</v>
      </c>
      <c r="S15" s="59">
        <f t="shared" si="9"/>
        <v>0</v>
      </c>
      <c r="T15" s="59">
        <f t="shared" si="10"/>
        <v>-5.5015000000000001</v>
      </c>
      <c r="U15" s="14"/>
      <c r="V15" s="27" t="str">
        <f t="shared" si="11"/>
        <v>抑郁</v>
      </c>
      <c r="W15" s="59">
        <f>'M1'!B13*1</f>
        <v>24.202999999999999</v>
      </c>
      <c r="X15" s="59">
        <f>'M1'!C13*1</f>
        <v>3.50122</v>
      </c>
      <c r="Y15" s="59">
        <f>'M1'!D13*1</f>
        <v>14.466100000000001</v>
      </c>
      <c r="Z15" s="59">
        <f>'M1'!E13*1</f>
        <v>10</v>
      </c>
      <c r="AA15" s="59">
        <f>'M1'!F13*1</f>
        <v>18.992699999999999</v>
      </c>
      <c r="AB15" s="59">
        <f>'M1'!G13*1</f>
        <v>25</v>
      </c>
      <c r="AC15" s="59">
        <f>'M1'!H13*1</f>
        <v>35.877400000000002</v>
      </c>
      <c r="AE15" s="27" t="str">
        <f t="shared" si="12"/>
        <v>抑郁</v>
      </c>
      <c r="AF15" s="59">
        <f>'M2'!B13*1</f>
        <v>23.503900000000002</v>
      </c>
      <c r="AG15" s="59">
        <f>'M2'!C13*1</f>
        <v>2.8426499999999999</v>
      </c>
      <c r="AH15" s="59">
        <f>'M2'!D13*1</f>
        <v>12.0944</v>
      </c>
      <c r="AI15" s="59">
        <f>'M2'!E13*1</f>
        <v>10</v>
      </c>
      <c r="AJ15" s="59">
        <f>'M2'!F13*1</f>
        <v>17.470099999999999</v>
      </c>
      <c r="AK15" s="59">
        <f>'M2'!G13*1</f>
        <v>25</v>
      </c>
      <c r="AL15" s="59">
        <f>'M2'!H13*1</f>
        <v>30.375900000000001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-6.5856999999999992</v>
      </c>
      <c r="O16" s="59">
        <f t="shared" si="5"/>
        <v>-2.4603000000000002</v>
      </c>
      <c r="P16" s="59">
        <f t="shared" si="6"/>
        <v>0.41829999999999501</v>
      </c>
      <c r="Q16" s="59">
        <f t="shared" si="7"/>
        <v>0</v>
      </c>
      <c r="R16" s="59">
        <f t="shared" si="8"/>
        <v>0.6458999999999997</v>
      </c>
      <c r="S16" s="59">
        <f t="shared" si="9"/>
        <v>0</v>
      </c>
      <c r="T16" s="59">
        <f t="shared" si="10"/>
        <v>-18.843400000000003</v>
      </c>
      <c r="U16" s="15"/>
      <c r="V16" s="27" t="str">
        <f t="shared" si="11"/>
        <v>神经质</v>
      </c>
      <c r="W16" s="59">
        <f>'M1'!B14*1</f>
        <v>35.0122</v>
      </c>
      <c r="X16" s="59">
        <f>'M1'!C14*1</f>
        <v>13.712400000000001</v>
      </c>
      <c r="Y16" s="59">
        <f>'M1'!D14*1</f>
        <v>39.164700000000003</v>
      </c>
      <c r="Z16" s="59">
        <f>'M1'!E14*1</f>
        <v>10</v>
      </c>
      <c r="AA16" s="59">
        <f>'M1'!F14*1</f>
        <v>3.38829</v>
      </c>
      <c r="AB16" s="59">
        <f>'M1'!G14*1</f>
        <v>50</v>
      </c>
      <c r="AC16" s="59">
        <f>'M1'!H14*1</f>
        <v>53.828400000000002</v>
      </c>
      <c r="AE16" s="27" t="str">
        <f t="shared" si="12"/>
        <v>神经质</v>
      </c>
      <c r="AF16" s="59">
        <f>'M2'!B14*1</f>
        <v>28.426500000000001</v>
      </c>
      <c r="AG16" s="59">
        <f>'M2'!C14*1</f>
        <v>11.2521</v>
      </c>
      <c r="AH16" s="59">
        <f>'M2'!D14*1</f>
        <v>39.582999999999998</v>
      </c>
      <c r="AI16" s="59">
        <f>'M2'!E14*1</f>
        <v>10</v>
      </c>
      <c r="AJ16" s="59">
        <f>'M2'!F14*1</f>
        <v>4.0341899999999997</v>
      </c>
      <c r="AK16" s="59">
        <f>'M2'!G14*1</f>
        <v>50</v>
      </c>
      <c r="AL16" s="59">
        <f>'M2'!H14*1</f>
        <v>34.984999999999999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-1.9960499999999994</v>
      </c>
      <c r="O17" s="22">
        <f>N17/(N17+N18+N19)</f>
        <v>-0.5467207165258352</v>
      </c>
      <c r="P17" s="65">
        <f>SUM(P11:P14)/4</f>
        <v>-5.2196725000000006</v>
      </c>
      <c r="Q17" s="22">
        <f>P17/(P17+P18+P19)</f>
        <v>0.24606747598246068</v>
      </c>
      <c r="R17" s="14"/>
      <c r="S17" s="14"/>
      <c r="T17" s="14"/>
      <c r="U17" s="14"/>
      <c r="V17" s="21" t="str">
        <f>M17</f>
        <v>Positive</v>
      </c>
      <c r="W17" s="65">
        <f>SUM(W11:W14)/4</f>
        <v>65.929174999999987</v>
      </c>
      <c r="X17" s="22">
        <f>W17/(W17+W18+W19)</f>
        <v>0.5359168566575172</v>
      </c>
      <c r="Y17" s="65">
        <f>SUM(Y11:Y14)/4</f>
        <v>9.6496450000000014</v>
      </c>
      <c r="Z17" s="22">
        <f>Y17/(Y17+Y18+Y19)</f>
        <v>0.16816182258571299</v>
      </c>
      <c r="AA17" s="14"/>
      <c r="AB17" s="14"/>
      <c r="AC17" s="14"/>
      <c r="AE17" s="21" t="str">
        <f>V17</f>
        <v>Positive</v>
      </c>
      <c r="AF17" s="65">
        <f>SUM(AF11:AF14)/4</f>
        <v>63.933125000000004</v>
      </c>
      <c r="AG17" s="22">
        <f>AF17/(AF17+AF18+AF19)</f>
        <v>0.50471304976288212</v>
      </c>
      <c r="AH17" s="65">
        <f>SUM(AH11:AH14)/4</f>
        <v>4.4299724999999999</v>
      </c>
      <c r="AI17" s="22">
        <f>AH17/(AH17+AH18+AH19)</f>
        <v>0.12247396738149655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9.2894000000000005</v>
      </c>
      <c r="O18" s="22">
        <f>N18/(N17+N18+N19)</f>
        <v>2.5443788602966335</v>
      </c>
      <c r="P18" s="18">
        <f>SUM(P7:P10)/4</f>
        <v>-15.015990000000002</v>
      </c>
      <c r="Q18" s="22">
        <f>P18/(P17+P18+P19)</f>
        <v>0.70788861919552803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27.484500000000001</v>
      </c>
      <c r="X18" s="22">
        <f>W18/(W17+W18+W19)</f>
        <v>0.22341257640192727</v>
      </c>
      <c r="Y18" s="18">
        <f>SUM(Y7:Y10)/4</f>
        <v>20.918044999999999</v>
      </c>
      <c r="Z18" s="22">
        <f>Y18/(Y17+Y18+Y19)</f>
        <v>0.36453326232519018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36.773899999999998</v>
      </c>
      <c r="AG18" s="22">
        <f>AF18/(AF17+AF18+AF19)</f>
        <v>0.29030752400536108</v>
      </c>
      <c r="AH18" s="18">
        <f>SUM(AH7:AH10)/4</f>
        <v>5.9020549999999998</v>
      </c>
      <c r="AI18" s="22">
        <f>AH18/(AH17+AH18+AH19)</f>
        <v>0.1631721396811828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-3.6423999999999985</v>
      </c>
      <c r="O19" s="22">
        <f>N19/(N17+N18+N19)</f>
        <v>-0.99765814377079831</v>
      </c>
      <c r="P19" s="18">
        <f>(P15+P16)/2</f>
        <v>-0.97670000000000279</v>
      </c>
      <c r="Q19" s="22">
        <f>P19/(P17+P18+P19)</f>
        <v>4.6043904822011344E-2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29.607599999999998</v>
      </c>
      <c r="X19" s="22">
        <f>W19/(W17+W18+W19)</f>
        <v>0.24067056694055564</v>
      </c>
      <c r="Y19" s="18">
        <f>(Y15+Y16)/2</f>
        <v>26.815400000000004</v>
      </c>
      <c r="Z19" s="22">
        <f>Y19/(Y17+Y18+Y19)</f>
        <v>0.46730491508909683</v>
      </c>
      <c r="AA19" s="14"/>
      <c r="AB19" s="14"/>
      <c r="AC19" s="14"/>
      <c r="AE19" s="21" t="str">
        <f t="shared" si="14"/>
        <v>Physiological</v>
      </c>
      <c r="AF19" s="18">
        <f>(AF15+AF16)/2</f>
        <v>25.965200000000003</v>
      </c>
      <c r="AG19" s="22">
        <f>AF19/(AF17+AF18+AF19)</f>
        <v>0.20497942623175683</v>
      </c>
      <c r="AH19" s="18">
        <f>(AH15+AH16)/2</f>
        <v>25.838699999999999</v>
      </c>
      <c r="AI19" s="22">
        <f>AH19/(AH17+AH18+AH19)</f>
        <v>0.71435389293732066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1.96/2.54</v>
      </c>
      <c r="D24" s="44" t="str">
        <f>lang!B11</f>
        <v>频率方差</v>
      </c>
      <c r="E24" s="182" t="str">
        <f ca="1">CONCATENATE(ROUND('FH1'!L3,2),"/",ROUND('FH2'!L3,2))</f>
        <v>0.66/0.61</v>
      </c>
      <c r="F24" s="183"/>
      <c r="G24" s="174" t="str">
        <f>lang!B12</f>
        <v>生理变化率</v>
      </c>
      <c r="H24" s="175"/>
      <c r="I24" s="62" t="str">
        <f ca="1">CONCATENATE(info!M7,"-",info!M8)</f>
        <v>35-63.9</v>
      </c>
      <c r="J24" s="42" t="str">
        <f>lang!B13</f>
        <v>千卡l/分钟</v>
      </c>
      <c r="K24" s="41" t="str">
        <f ca="1">CONCATENATE(info!M5,"-",info!M6)</f>
        <v>2.4-5.5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93%]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2.8994999999999935</v>
      </c>
      <c r="F27" s="121"/>
      <c r="G27" s="135" t="str">
        <f>lang!B33</f>
        <v>稳定性</v>
      </c>
      <c r="H27" s="136"/>
      <c r="I27" s="137"/>
      <c r="J27" s="138">
        <f>dM!B19*100</f>
        <v>9.111200000000002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-0.93516449778618815</v>
      </c>
      <c r="C2">
        <f t="array" aca="1" ref="C2" ca="1">CORREL(FT_E02,FT_PH02)</f>
        <v>0.47317894440265768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2.40374</v>
      </c>
      <c r="G2" s="61">
        <f>IF(FT!B2&lt;&gt;"",FT!B2*100,"")</f>
        <v>63.869699999999995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2.4757100000000003</v>
      </c>
      <c r="G3" s="61">
        <f>IF(FT!B3&lt;&gt;"",FT!B3*100,"")</f>
        <v>63.687199999999997</v>
      </c>
      <c r="H3" s="61">
        <f t="shared" ref="H3:H66" si="1">(IF(F3&lt;&gt;"",1,""))</f>
        <v>1</v>
      </c>
      <c r="I3" t="str">
        <f>IF(FT!B3&lt;&gt;"",FT!E3,"")</f>
        <v>1 [0.405915]</v>
      </c>
      <c r="J3">
        <f>IF(FT!B3&lt;&gt;"",FT!C3,"")</f>
        <v>0.40591500000000003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0.47123168918918928</v>
      </c>
      <c r="V3">
        <f ca="1">AVERAGE(OFFSET(FT!B2,info!$L$3/2,0,info!$L$3/2,1))</f>
        <v>0.381409418918919</v>
      </c>
      <c r="W3">
        <f ca="1">AVERAGE(OFFSET(FT!A2,0,0,info!$L$3/2,1))</f>
        <v>0.42430998648648649</v>
      </c>
      <c r="X3">
        <f ca="1">AVERAGE(OFFSET(FT!A2,info!$L$3/2,0,info!$L$3/2,1))</f>
        <v>0.5048158783783786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2.5487299999999999</v>
      </c>
      <c r="G4" s="61">
        <f>IF(FT!B4&lt;&gt;"",FT!B4*100,"")</f>
        <v>63.400100000000002</v>
      </c>
      <c r="H4" s="61">
        <f t="shared" si="1"/>
        <v>1</v>
      </c>
      <c r="I4" t="str">
        <f>IF(FT!B4&lt;&gt;"",FT!E4,"")</f>
        <v>1 [0.809854]</v>
      </c>
      <c r="J4">
        <f>IF(FT!B4&lt;&gt;"",FT!C4,"")</f>
        <v>0.80985399999999996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14.928625</v>
      </c>
      <c r="V4">
        <f>U4*3</f>
        <v>44.785875000000004</v>
      </c>
      <c r="W4">
        <f>U4</f>
        <v>14.928625</v>
      </c>
      <c r="X4">
        <f>V4</f>
        <v>44.785875000000004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2.6259300000000003</v>
      </c>
      <c r="G5" s="61">
        <f>IF(FT!B5&lt;&gt;"",FT!B5*100,"")</f>
        <v>62.817900000000002</v>
      </c>
      <c r="H5" s="61">
        <f t="shared" si="1"/>
        <v>1</v>
      </c>
      <c r="I5" t="str">
        <f>IF(FT!B5&lt;&gt;"",FT!E5,"")</f>
        <v>1 [1.215744]</v>
      </c>
      <c r="J5">
        <f>IF(FT!B5&lt;&gt;"",FT!C5,"")</f>
        <v>1.21574</v>
      </c>
      <c r="K5" t="s">
        <v>53</v>
      </c>
      <c r="L5" s="63">
        <f ca="1">MIN(FT_E)</f>
        <v>2.40374</v>
      </c>
      <c r="M5" s="63">
        <f ca="1">ROUND(L5,1)</f>
        <v>2.4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47.123168918918928</v>
      </c>
      <c r="V5">
        <f ca="1">V3*100</f>
        <v>38.140941891891899</v>
      </c>
      <c r="W5">
        <f ca="1">W3*10</f>
        <v>4.243099864864865</v>
      </c>
      <c r="X5">
        <f ca="1">X3*10</f>
        <v>5.0481587837837862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2.7028499999999998</v>
      </c>
      <c r="G6" s="61">
        <f>IF(FT!B6&lt;&gt;"",FT!B6*100,"")</f>
        <v>61.984700000000004</v>
      </c>
      <c r="H6" s="61">
        <f t="shared" si="1"/>
        <v>1</v>
      </c>
      <c r="I6" t="str">
        <f>IF(FT!B6&lt;&gt;"",FT!E6,"")</f>
        <v>1 [1.621780]</v>
      </c>
      <c r="J6">
        <f>IF(FT!B6&lt;&gt;"",FT!C6,"")</f>
        <v>1.62178</v>
      </c>
      <c r="K6" t="s">
        <v>54</v>
      </c>
      <c r="L6" s="63">
        <f ca="1">MAX(FT_E)</f>
        <v>5.5097399999999999</v>
      </c>
      <c r="M6" s="63">
        <f ca="1">ROUND(L6,1)</f>
        <v>5.5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2.77982</v>
      </c>
      <c r="G7" s="61">
        <f>IF(FT!B7&lt;&gt;"",FT!B7*100,"")</f>
        <v>61.065800000000003</v>
      </c>
      <c r="H7" s="61">
        <f t="shared" si="1"/>
        <v>1</v>
      </c>
      <c r="I7" t="str">
        <f>IF(FT!B7&lt;&gt;"",FT!E7,"")</f>
        <v>1 [2.029499]</v>
      </c>
      <c r="J7">
        <f>IF(FT!B7&lt;&gt;"",FT!C7,"")</f>
        <v>2.0295000000000001</v>
      </c>
      <c r="K7" t="s">
        <v>55</v>
      </c>
      <c r="L7" s="63">
        <f ca="1">MIN(FT_PH)</f>
        <v>35.020299999999999</v>
      </c>
      <c r="M7" s="63">
        <f ca="1">ROUND(L7,1)</f>
        <v>35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2083</v>
      </c>
      <c r="D8" s="61">
        <f>FH!B8*1</f>
        <v>2083</v>
      </c>
      <c r="E8">
        <f t="shared" si="3"/>
        <v>6</v>
      </c>
      <c r="F8" s="61">
        <f>IF(FT!A8&lt;&gt;"",FT!A8*10,"")</f>
        <v>2.8533900000000001</v>
      </c>
      <c r="G8" s="61">
        <f>IF(FT!B8&lt;&gt;"",FT!B8*100,"")</f>
        <v>60.152000000000008</v>
      </c>
      <c r="H8" s="61">
        <f t="shared" si="1"/>
        <v>1</v>
      </c>
      <c r="I8" t="str">
        <f>IF(FT!B8&lt;&gt;"",FT!E8,"")</f>
        <v>1 [2.437420]</v>
      </c>
      <c r="J8">
        <f>IF(FT!B8&lt;&gt;"",FT!C8,"")</f>
        <v>2.4374199999999999</v>
      </c>
      <c r="K8" t="s">
        <v>56</v>
      </c>
      <c r="L8" s="63">
        <f ca="1">MAX(FT_PH)</f>
        <v>63.869699999999995</v>
      </c>
      <c r="M8" s="63">
        <f ca="1">ROUND(L8,1)</f>
        <v>63.9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2.9249399999999999</v>
      </c>
      <c r="G9" s="61">
        <f>IF(FT!B9&lt;&gt;"",FT!B9*100,"")</f>
        <v>59.186399999999992</v>
      </c>
      <c r="H9" s="61">
        <f t="shared" si="1"/>
        <v>1</v>
      </c>
      <c r="I9" t="str">
        <f>IF(FT!B9&lt;&gt;"",FT!E9,"")</f>
        <v>1 [2.843408]</v>
      </c>
      <c r="J9">
        <f>IF(FT!B9&lt;&gt;"",FT!C9,"")</f>
        <v>2.84341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2686</v>
      </c>
      <c r="D10" s="61">
        <f>FH!B10*1</f>
        <v>2686</v>
      </c>
      <c r="E10">
        <f t="shared" si="3"/>
        <v>8</v>
      </c>
      <c r="F10" s="61">
        <f>IF(FT!A10&lt;&gt;"",FT!A10*10,"")</f>
        <v>2.9952200000000002</v>
      </c>
      <c r="G10" s="61">
        <f>IF(FT!B10&lt;&gt;"",FT!B10*100,"")</f>
        <v>58.064499999999995</v>
      </c>
      <c r="H10" s="61">
        <f t="shared" si="1"/>
        <v>1</v>
      </c>
      <c r="I10" t="str">
        <f>IF(FT!B10&lt;&gt;"",FT!E10,"")</f>
        <v>1 [3.250708]</v>
      </c>
      <c r="J10">
        <f>IF(FT!B10&lt;&gt;"",FT!C10,"")</f>
        <v>3.2507100000000002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3.06677</v>
      </c>
      <c r="G11" s="61">
        <f>IF(FT!B11&lt;&gt;"",FT!B11*100,"")</f>
        <v>56.976400000000005</v>
      </c>
      <c r="H11" s="61">
        <f t="shared" si="1"/>
        <v>1</v>
      </c>
      <c r="I11" t="str">
        <f>IF(FT!B11&lt;&gt;"",FT!E11,"")</f>
        <v>1 [3.656542]</v>
      </c>
      <c r="J11">
        <f>IF(FT!B11&lt;&gt;"",FT!C11,"")</f>
        <v>3.6565400000000001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3.1367600000000002</v>
      </c>
      <c r="G12" s="61">
        <f>IF(FT!B12&lt;&gt;"",FT!B12*100,"")</f>
        <v>55.940900000000006</v>
      </c>
      <c r="H12" s="61">
        <f t="shared" si="1"/>
        <v>1</v>
      </c>
      <c r="I12" t="str">
        <f>IF(FT!B12&lt;&gt;"",FT!E12,"")</f>
        <v>1 [4.062178]</v>
      </c>
      <c r="J12">
        <f>IF(FT!B12&lt;&gt;"",FT!C12,"")</f>
        <v>4.0621799999999997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3306</v>
      </c>
      <c r="D13" s="61">
        <f>FH!B13*1</f>
        <v>3306</v>
      </c>
      <c r="E13">
        <f t="shared" si="3"/>
        <v>11</v>
      </c>
      <c r="F13" s="61">
        <f>IF(FT!A13&lt;&gt;"",FT!A13*10,"")</f>
        <v>3.2062800000000005</v>
      </c>
      <c r="G13" s="61">
        <f>IF(FT!B13&lt;&gt;"",FT!B13*100,"")</f>
        <v>54.843299999999992</v>
      </c>
      <c r="H13" s="61">
        <f t="shared" si="1"/>
        <v>1</v>
      </c>
      <c r="I13" t="str">
        <f>IF(FT!B13&lt;&gt;"",FT!E13,"")</f>
        <v>1 [4.467983]</v>
      </c>
      <c r="J13">
        <f>IF(FT!B13&lt;&gt;"",FT!C13,"")</f>
        <v>4.4679799999999998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3.2779799999999999</v>
      </c>
      <c r="G14" s="61">
        <f>IF(FT!B14&lt;&gt;"",FT!B14*100,"")</f>
        <v>53.706299999999999</v>
      </c>
      <c r="H14" s="61">
        <f t="shared" si="1"/>
        <v>1</v>
      </c>
      <c r="I14" t="str">
        <f>IF(FT!B14&lt;&gt;"",FT!E14,"")</f>
        <v>1 [4.875956]</v>
      </c>
      <c r="J14">
        <f>IF(FT!B14&lt;&gt;"",FT!C14,"")</f>
        <v>4.8759600000000001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3248</v>
      </c>
      <c r="D15" s="61">
        <f>FH!B15*1</f>
        <v>3248</v>
      </c>
      <c r="E15">
        <f t="shared" si="3"/>
        <v>13</v>
      </c>
      <c r="F15" s="61">
        <f>IF(FT!A15&lt;&gt;"",FT!A15*10,"")</f>
        <v>3.3516300000000001</v>
      </c>
      <c r="G15" s="61">
        <f>IF(FT!B15&lt;&gt;"",FT!B15*100,"")</f>
        <v>52.383500000000005</v>
      </c>
      <c r="H15" s="61">
        <f t="shared" si="1"/>
        <v>1</v>
      </c>
      <c r="I15" t="str">
        <f>IF(FT!B15&lt;&gt;"",FT!E15,"")</f>
        <v>1 [5.277816]</v>
      </c>
      <c r="J15">
        <f>IF(FT!B15&lt;&gt;"",FT!C15,"")</f>
        <v>5.2778200000000002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3.4257</v>
      </c>
      <c r="G16" s="61">
        <f>IF(FT!B16&lt;&gt;"",FT!B16*100,"")</f>
        <v>51.069499999999998</v>
      </c>
      <c r="H16" s="61">
        <f t="shared" si="1"/>
        <v>1</v>
      </c>
      <c r="I16" t="str">
        <f>IF(FT!B16&lt;&gt;"",FT!E16,"")</f>
        <v>1 [5.685440]</v>
      </c>
      <c r="J16">
        <f>IF(FT!B16&lt;&gt;"",FT!C16,"")</f>
        <v>5.6854399999999998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3.4986499999999996</v>
      </c>
      <c r="G17" s="61">
        <f>IF(FT!B17&lt;&gt;"",FT!B17*100,"")</f>
        <v>49.893300000000004</v>
      </c>
      <c r="H17" s="61">
        <f t="shared" si="1"/>
        <v>1</v>
      </c>
      <c r="I17" t="str">
        <f>IF(FT!B17&lt;&gt;"",FT!E17,"")</f>
        <v>1 [6.093642]</v>
      </c>
      <c r="J17">
        <f>IF(FT!B17&lt;&gt;"",FT!C17,"")</f>
        <v>6.0936399999999997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2976</v>
      </c>
      <c r="D18" s="61">
        <f>FH!B18*1</f>
        <v>2976</v>
      </c>
      <c r="E18">
        <f t="shared" si="3"/>
        <v>16</v>
      </c>
      <c r="F18" s="61">
        <f>IF(FT!A18&lt;&gt;"",FT!A18*10,"")</f>
        <v>3.57246</v>
      </c>
      <c r="G18" s="61">
        <f>IF(FT!B18&lt;&gt;"",FT!B18*100,"")</f>
        <v>48.775100000000002</v>
      </c>
      <c r="H18" s="61">
        <f t="shared" si="1"/>
        <v>1</v>
      </c>
      <c r="I18" t="str">
        <f>IF(FT!B18&lt;&gt;"",FT!E18,"")</f>
        <v>1 [6.498560]</v>
      </c>
      <c r="J18">
        <f>IF(FT!B18&lt;&gt;"",FT!C18,"")</f>
        <v>6.4985600000000003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3.6478699999999997</v>
      </c>
      <c r="G19" s="61">
        <f>IF(FT!B19&lt;&gt;"",FT!B19*100,"")</f>
        <v>47.664000000000001</v>
      </c>
      <c r="H19" s="61">
        <f t="shared" si="1"/>
        <v>1</v>
      </c>
      <c r="I19" t="str">
        <f>IF(FT!B19&lt;&gt;"",FT!E19,"")</f>
        <v>1 [6.906865]</v>
      </c>
      <c r="J19">
        <f>IF(FT!B19&lt;&gt;"",FT!C19,"")</f>
        <v>6.90686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3.7185699999999997</v>
      </c>
      <c r="G20" s="61">
        <f>IF(FT!B20&lt;&gt;"",FT!B20*100,"")</f>
        <v>46.823999999999998</v>
      </c>
      <c r="H20" s="61">
        <f t="shared" si="1"/>
        <v>1</v>
      </c>
      <c r="I20" t="str">
        <f>IF(FT!B20&lt;&gt;"",FT!E20,"")</f>
        <v>1 [7.310469]</v>
      </c>
      <c r="J20">
        <f>IF(FT!B20&lt;&gt;"",FT!C20,"")</f>
        <v>7.3104699999999996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6991</v>
      </c>
      <c r="D21" s="61">
        <f>FH!B21*1</f>
        <v>6991</v>
      </c>
      <c r="E21">
        <f t="shared" si="3"/>
        <v>19</v>
      </c>
      <c r="F21" s="61">
        <f>IF(FT!A21&lt;&gt;"",FT!A21*10,"")</f>
        <v>3.7809399999999997</v>
      </c>
      <c r="G21" s="61">
        <f>IF(FT!B21&lt;&gt;"",FT!B21*100,"")</f>
        <v>46.251300000000001</v>
      </c>
      <c r="H21" s="61">
        <f t="shared" si="1"/>
        <v>1</v>
      </c>
      <c r="I21" t="str">
        <f>IF(FT!B21&lt;&gt;"",FT!E21,"")</f>
        <v>1 [7.716394]</v>
      </c>
      <c r="J21">
        <f>IF(FT!B21&lt;&gt;"",FT!C21,"")</f>
        <v>7.7163899999999996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3.8390000000000004</v>
      </c>
      <c r="G22" s="61">
        <f>IF(FT!B22&lt;&gt;"",FT!B22*100,"")</f>
        <v>45.828200000000002</v>
      </c>
      <c r="H22" s="61">
        <f t="shared" si="1"/>
        <v>1</v>
      </c>
      <c r="I22" t="str">
        <f>IF(FT!B22&lt;&gt;"",FT!E22,"")</f>
        <v>1 [8.123598]</v>
      </c>
      <c r="J22">
        <f>IF(FT!B22&lt;&gt;"",FT!C22,"")</f>
        <v>8.1235999999999997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11784</v>
      </c>
      <c r="D23" s="61">
        <f>FH!B23*1</f>
        <v>11784</v>
      </c>
      <c r="E23">
        <f t="shared" si="3"/>
        <v>21</v>
      </c>
      <c r="F23" s="61">
        <f>IF(FT!A23&lt;&gt;"",FT!A23*10,"")</f>
        <v>3.8929799999999997</v>
      </c>
      <c r="G23" s="61">
        <f>IF(FT!B23&lt;&gt;"",FT!B23*100,"")</f>
        <v>45.585999999999999</v>
      </c>
      <c r="H23" s="61">
        <f t="shared" si="1"/>
        <v>1</v>
      </c>
      <c r="I23" t="str">
        <f>IF(FT!B23&lt;&gt;"",FT!E23,"")</f>
        <v>1 [8.530254]</v>
      </c>
      <c r="J23">
        <f>IF(FT!B23&lt;&gt;"",FT!C23,"")</f>
        <v>8.5302500000000006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3.9437800000000003</v>
      </c>
      <c r="G24" s="61">
        <f>IF(FT!B24&lt;&gt;"",FT!B24*100,"")</f>
        <v>45.471699999999998</v>
      </c>
      <c r="H24" s="61">
        <f t="shared" si="1"/>
        <v>1</v>
      </c>
      <c r="I24" t="str">
        <f>IF(FT!B24&lt;&gt;"",FT!E24,"")</f>
        <v>1 [8.936105]</v>
      </c>
      <c r="J24">
        <f>IF(FT!B24&lt;&gt;"",FT!C24,"")</f>
        <v>8.9360999999999997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3.9922999999999997</v>
      </c>
      <c r="G25" s="61">
        <f>IF(FT!B25&lt;&gt;"",FT!B25*100,"")</f>
        <v>45.444200000000002</v>
      </c>
      <c r="H25" s="61">
        <f t="shared" si="1"/>
        <v>1</v>
      </c>
      <c r="I25" t="str">
        <f>IF(FT!B25&lt;&gt;"",FT!E25,"")</f>
        <v>1 [9.340221]</v>
      </c>
      <c r="J25">
        <f>IF(FT!B25&lt;&gt;"",FT!C25,"")</f>
        <v>9.3402200000000004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10002</v>
      </c>
      <c r="D26" s="61">
        <f>FH!B26*1</f>
        <v>10002</v>
      </c>
      <c r="E26">
        <f t="shared" si="3"/>
        <v>24</v>
      </c>
      <c r="F26" s="61">
        <f>IF(FT!A26&lt;&gt;"",FT!A26*10,"")</f>
        <v>4.0391599999999999</v>
      </c>
      <c r="G26" s="61">
        <f>IF(FT!B26&lt;&gt;"",FT!B26*100,"")</f>
        <v>45.474199999999996</v>
      </c>
      <c r="H26" s="61">
        <f t="shared" si="1"/>
        <v>1</v>
      </c>
      <c r="I26" t="str">
        <f>IF(FT!B26&lt;&gt;"",FT!E26,"")</f>
        <v>1 [9.746309]</v>
      </c>
      <c r="J26">
        <f>IF(FT!B26&lt;&gt;"",FT!C26,"")</f>
        <v>9.7463099999999994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4.08148</v>
      </c>
      <c r="G27" s="61">
        <f>IF(FT!B27&lt;&gt;"",FT!B27*100,"")</f>
        <v>45.560499999999998</v>
      </c>
      <c r="H27" s="61">
        <f t="shared" si="1"/>
        <v>1</v>
      </c>
      <c r="I27" t="str">
        <f>IF(FT!B27&lt;&gt;"",FT!E27,"")</f>
        <v>1 [10.154719]</v>
      </c>
      <c r="J27">
        <f>IF(FT!B27&lt;&gt;"",FT!C27,"")</f>
        <v>10.1547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13812</v>
      </c>
      <c r="D28" s="61">
        <f>FH!B28*1</f>
        <v>13812</v>
      </c>
      <c r="E28">
        <f t="shared" si="3"/>
        <v>26</v>
      </c>
      <c r="F28" s="61">
        <f>IF(FT!A28&lt;&gt;"",FT!A28*10,"")</f>
        <v>4.1191599999999999</v>
      </c>
      <c r="G28" s="61">
        <f>IF(FT!B28&lt;&gt;"",FT!B28*100,"")</f>
        <v>45.613300000000002</v>
      </c>
      <c r="H28" s="61">
        <f t="shared" si="1"/>
        <v>1</v>
      </c>
      <c r="I28" t="str">
        <f>IF(FT!B28&lt;&gt;"",FT!E28,"")</f>
        <v>1 [10.557782]</v>
      </c>
      <c r="J28">
        <f>IF(FT!B28&lt;&gt;"",FT!C28,"")</f>
        <v>10.5578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4.1533600000000002</v>
      </c>
      <c r="G29" s="61">
        <f>IF(FT!B29&lt;&gt;"",FT!B29*100,"")</f>
        <v>45.678999999999995</v>
      </c>
      <c r="H29" s="61">
        <f t="shared" si="1"/>
        <v>1</v>
      </c>
      <c r="I29" t="str">
        <f>IF(FT!B29&lt;&gt;"",FT!E29,"")</f>
        <v>1 [10.966662]</v>
      </c>
      <c r="J29">
        <f>IF(FT!B29&lt;&gt;"",FT!C29,"")</f>
        <v>10.966699999999999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4.1857800000000003</v>
      </c>
      <c r="G30" s="61">
        <f>IF(FT!B30&lt;&gt;"",FT!B30*100,"")</f>
        <v>45.6252</v>
      </c>
      <c r="H30" s="61">
        <f t="shared" si="1"/>
        <v>1</v>
      </c>
      <c r="I30" t="str">
        <f>IF(FT!B30&lt;&gt;"",FT!E30,"")</f>
        <v>1 [11.370544]</v>
      </c>
      <c r="J30">
        <f>IF(FT!B30&lt;&gt;"",FT!C30,"")</f>
        <v>11.3705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18044</v>
      </c>
      <c r="D31" s="61">
        <f>FH!B31*1</f>
        <v>18044</v>
      </c>
      <c r="E31">
        <f t="shared" si="3"/>
        <v>29</v>
      </c>
      <c r="F31" s="61">
        <f>IF(FT!A31&lt;&gt;"",FT!A31*10,"")</f>
        <v>4.2135099999999994</v>
      </c>
      <c r="G31" s="61">
        <f>IF(FT!B31&lt;&gt;"",FT!B31*100,"")</f>
        <v>45.552900000000001</v>
      </c>
      <c r="H31" s="61">
        <f t="shared" si="1"/>
        <v>1</v>
      </c>
      <c r="I31" t="str">
        <f>IF(FT!B31&lt;&gt;"",FT!E31,"")</f>
        <v>1 [11.777711]</v>
      </c>
      <c r="J31">
        <f>IF(FT!B31&lt;&gt;"",FT!C31,"")</f>
        <v>11.777699999999999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4.2386299999999997</v>
      </c>
      <c r="G32" s="61">
        <f>IF(FT!B32&lt;&gt;"",FT!B32*100,"")</f>
        <v>45.45</v>
      </c>
      <c r="H32" s="61">
        <f t="shared" si="1"/>
        <v>1</v>
      </c>
      <c r="I32" t="str">
        <f>IF(FT!B32&lt;&gt;"",FT!E32,"")</f>
        <v>1 [12.183473]</v>
      </c>
      <c r="J32">
        <f>IF(FT!B32&lt;&gt;"",FT!C32,"")</f>
        <v>12.1835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23664</v>
      </c>
      <c r="D33" s="61">
        <f>FH!B33*1</f>
        <v>23664</v>
      </c>
      <c r="E33">
        <f t="shared" si="3"/>
        <v>31</v>
      </c>
      <c r="F33" s="61">
        <f>IF(FT!A33&lt;&gt;"",FT!A33*10,"")</f>
        <v>4.2642699999999998</v>
      </c>
      <c r="G33" s="61">
        <f>IF(FT!B33&lt;&gt;"",FT!B33*100,"")</f>
        <v>45.364699999999999</v>
      </c>
      <c r="H33" s="61">
        <f t="shared" si="1"/>
        <v>1</v>
      </c>
      <c r="I33" t="str">
        <f>IF(FT!B33&lt;&gt;"",FT!E33,"")</f>
        <v>1 [12.593415]</v>
      </c>
      <c r="J33">
        <f>IF(FT!B33&lt;&gt;"",FT!C33,"")</f>
        <v>12.593400000000001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4.2891200000000005</v>
      </c>
      <c r="G34" s="61">
        <f>IF(FT!B34&lt;&gt;"",FT!B34*100,"")</f>
        <v>45.313800000000001</v>
      </c>
      <c r="H34" s="61">
        <f t="shared" si="1"/>
        <v>1</v>
      </c>
      <c r="I34" t="str">
        <f>IF(FT!B34&lt;&gt;"",FT!E34,"")</f>
        <v>1 [12.997196]</v>
      </c>
      <c r="J34">
        <f>IF(FT!B34&lt;&gt;"",FT!C34,"")</f>
        <v>12.997199999999999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4.3123199999999997</v>
      </c>
      <c r="G35" s="61">
        <f>IF(FT!B35&lt;&gt;"",FT!B35*100,"")</f>
        <v>45.275300000000001</v>
      </c>
      <c r="H35" s="61">
        <f t="shared" si="1"/>
        <v>1</v>
      </c>
      <c r="I35" t="str">
        <f>IF(FT!B35&lt;&gt;"",FT!E35,"")</f>
        <v>1 [13.402158]</v>
      </c>
      <c r="J35">
        <f>IF(FT!B35&lt;&gt;"",FT!C35,"")</f>
        <v>13.402200000000001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25861</v>
      </c>
      <c r="D36" s="61">
        <f>FH!B36*1</f>
        <v>25861</v>
      </c>
      <c r="E36">
        <f t="shared" si="3"/>
        <v>34</v>
      </c>
      <c r="F36" s="61">
        <f>IF(FT!A36&lt;&gt;"",FT!A36*10,"")</f>
        <v>4.3335600000000003</v>
      </c>
      <c r="G36" s="61">
        <f>IF(FT!B36&lt;&gt;"",FT!B36*100,"")</f>
        <v>45.221699999999998</v>
      </c>
      <c r="H36" s="61">
        <f t="shared" si="1"/>
        <v>1</v>
      </c>
      <c r="I36" t="str">
        <f>IF(FT!B36&lt;&gt;"",FT!E36,"")</f>
        <v>1 [13.809010]</v>
      </c>
      <c r="J36">
        <f>IF(FT!B36&lt;&gt;"",FT!C36,"")</f>
        <v>13.808999999999999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4.3535400000000006</v>
      </c>
      <c r="G37" s="61">
        <f>IF(FT!B37&lt;&gt;"",FT!B37*100,"")</f>
        <v>45.198799999999999</v>
      </c>
      <c r="H37" s="61">
        <f t="shared" si="1"/>
        <v>1</v>
      </c>
      <c r="I37" t="str">
        <f>IF(FT!B37&lt;&gt;"",FT!E37,"")</f>
        <v>1 [14.216973]</v>
      </c>
      <c r="J37">
        <f>IF(FT!B37&lt;&gt;"",FT!C37,"")</f>
        <v>14.217000000000001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4.3736699999999997</v>
      </c>
      <c r="G38" s="61">
        <f>IF(FT!B38&lt;&gt;"",FT!B38*100,"")</f>
        <v>45.153799999999997</v>
      </c>
      <c r="H38" s="61">
        <f t="shared" si="1"/>
        <v>1</v>
      </c>
      <c r="I38" t="str">
        <f>IF(FT!B38&lt;&gt;"",FT!E38,"")</f>
        <v>1 [14.624870]</v>
      </c>
      <c r="J38">
        <f>IF(FT!B38&lt;&gt;"",FT!C38,"")</f>
        <v>14.6249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28413</v>
      </c>
      <c r="D39" s="61">
        <f>FH!B39*1</f>
        <v>28413</v>
      </c>
      <c r="E39">
        <f t="shared" si="3"/>
        <v>37</v>
      </c>
      <c r="F39" s="61">
        <f>IF(FT!A39&lt;&gt;"",FT!A39*10,"")</f>
        <v>4.3950100000000001</v>
      </c>
      <c r="G39" s="61">
        <f>IF(FT!B39&lt;&gt;"",FT!B39*100,"")</f>
        <v>45.0426</v>
      </c>
      <c r="H39" s="61">
        <f t="shared" si="1"/>
        <v>1</v>
      </c>
      <c r="I39" t="str">
        <f>IF(FT!B39&lt;&gt;"",FT!E39,"")</f>
        <v>1 [15.028805]</v>
      </c>
      <c r="J39">
        <f>IF(FT!B39&lt;&gt;"",FT!C39,"")</f>
        <v>15.0288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4.4134099999999998</v>
      </c>
      <c r="G40" s="61">
        <f>IF(FT!B40&lt;&gt;"",FT!B40*100,"")</f>
        <v>44.927900000000001</v>
      </c>
      <c r="H40" s="61">
        <f t="shared" si="1"/>
        <v>1</v>
      </c>
      <c r="I40" t="str">
        <f>IF(FT!B40&lt;&gt;"",FT!E40,"")</f>
        <v>1 [15.433664]</v>
      </c>
      <c r="J40">
        <f>IF(FT!B40&lt;&gt;"",FT!C40,"")</f>
        <v>15.4337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29476</v>
      </c>
      <c r="D41" s="61">
        <f>FH!B41*1</f>
        <v>29476</v>
      </c>
      <c r="E41">
        <f t="shared" si="3"/>
        <v>39</v>
      </c>
      <c r="F41" s="61">
        <f>IF(FT!A41&lt;&gt;"",FT!A41*10,"")</f>
        <v>4.4315100000000003</v>
      </c>
      <c r="G41" s="61">
        <f>IF(FT!B41&lt;&gt;"",FT!B41*100,"")</f>
        <v>44.790199999999999</v>
      </c>
      <c r="H41" s="61">
        <f t="shared" si="1"/>
        <v>1</v>
      </c>
      <c r="I41" t="str">
        <f>IF(FT!B41&lt;&gt;"",FT!E41,"")</f>
        <v>1 [15.841753]</v>
      </c>
      <c r="J41">
        <f>IF(FT!B41&lt;&gt;"",FT!C41,"")</f>
        <v>15.841799999999999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4.4487100000000002</v>
      </c>
      <c r="G42" s="61">
        <f>IF(FT!B42&lt;&gt;"",FT!B42*100,"")</f>
        <v>44.688499999999998</v>
      </c>
      <c r="H42" s="61">
        <f t="shared" si="1"/>
        <v>1</v>
      </c>
      <c r="I42" t="str">
        <f>IF(FT!B42&lt;&gt;"",FT!E42,"")</f>
        <v>1 [16.245417]</v>
      </c>
      <c r="J42">
        <f>IF(FT!B42&lt;&gt;"",FT!C42,"")</f>
        <v>16.2454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4.4658300000000004</v>
      </c>
      <c r="G43" s="61">
        <f>IF(FT!B43&lt;&gt;"",FT!B43*100,"")</f>
        <v>44.591200000000001</v>
      </c>
      <c r="H43" s="61">
        <f t="shared" si="1"/>
        <v>1</v>
      </c>
      <c r="I43" t="str">
        <f>IF(FT!B43&lt;&gt;"",FT!E43,"")</f>
        <v>1 [16.653437]</v>
      </c>
      <c r="J43">
        <f>IF(FT!B43&lt;&gt;"",FT!C43,"")</f>
        <v>16.653400000000001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36094</v>
      </c>
      <c r="D44" s="61">
        <f>FH!B44*1</f>
        <v>36094</v>
      </c>
      <c r="E44">
        <f t="shared" si="3"/>
        <v>42</v>
      </c>
      <c r="F44" s="61">
        <f>IF(FT!A44&lt;&gt;"",FT!A44*10,"")</f>
        <v>4.4805099999999998</v>
      </c>
      <c r="G44" s="61">
        <f>IF(FT!B44&lt;&gt;"",FT!B44*100,"")</f>
        <v>44.569299999999998</v>
      </c>
      <c r="H44" s="61">
        <f t="shared" si="1"/>
        <v>1</v>
      </c>
      <c r="I44" t="str">
        <f>IF(FT!B44&lt;&gt;"",FT!E44,"")</f>
        <v>1 [17.060464]</v>
      </c>
      <c r="J44">
        <f>IF(FT!B44&lt;&gt;"",FT!C44,"")</f>
        <v>17.060500000000001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4.4942000000000002</v>
      </c>
      <c r="G45" s="61">
        <f>IF(FT!B45&lt;&gt;"",FT!B45*100,"")</f>
        <v>44.554200000000002</v>
      </c>
      <c r="H45" s="61">
        <f t="shared" si="1"/>
        <v>1</v>
      </c>
      <c r="I45" t="str">
        <f>IF(FT!B45&lt;&gt;"",FT!E45,"")</f>
        <v>1 [17.468261]</v>
      </c>
      <c r="J45">
        <f>IF(FT!B45&lt;&gt;"",FT!C45,"")</f>
        <v>17.468299999999999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39511</v>
      </c>
      <c r="D46" s="61">
        <f>FH!B46*1</f>
        <v>39511</v>
      </c>
      <c r="E46">
        <f t="shared" si="3"/>
        <v>44</v>
      </c>
      <c r="F46" s="61">
        <f>IF(FT!A46&lt;&gt;"",FT!A46*10,"")</f>
        <v>4.5133000000000001</v>
      </c>
      <c r="G46" s="61">
        <f>IF(FT!B46&lt;&gt;"",FT!B46*100,"")</f>
        <v>44.552799999999998</v>
      </c>
      <c r="H46" s="61">
        <f t="shared" si="1"/>
        <v>1</v>
      </c>
      <c r="I46" t="str">
        <f>IF(FT!B46&lt;&gt;"",FT!E46,"")</f>
        <v>1 [17.874371]</v>
      </c>
      <c r="J46">
        <f>IF(FT!B46&lt;&gt;"",FT!C46,"")</f>
        <v>17.874400000000001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4.5339600000000004</v>
      </c>
      <c r="G47" s="61">
        <f>IF(FT!B47&lt;&gt;"",FT!B47*100,"")</f>
        <v>44.563699999999997</v>
      </c>
      <c r="H47" s="61">
        <f t="shared" si="1"/>
        <v>1</v>
      </c>
      <c r="I47" t="str">
        <f>IF(FT!B47&lt;&gt;"",FT!E47,"")</f>
        <v>1 [18.279076]</v>
      </c>
      <c r="J47">
        <f>IF(FT!B47&lt;&gt;"",FT!C47,"")</f>
        <v>18.2791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4.5592600000000001</v>
      </c>
      <c r="G48" s="61">
        <f>IF(FT!B48&lt;&gt;"",FT!B48*100,"")</f>
        <v>44.473600000000005</v>
      </c>
      <c r="H48" s="61">
        <f t="shared" si="1"/>
        <v>1</v>
      </c>
      <c r="I48" t="str">
        <f>IF(FT!B48&lt;&gt;"",FT!E48,"")</f>
        <v>1 [18.684067]</v>
      </c>
      <c r="J48">
        <f>IF(FT!B48&lt;&gt;"",FT!C48,"")</f>
        <v>18.684100000000001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44608</v>
      </c>
      <c r="D49" s="61">
        <f>FH!B49*1</f>
        <v>44608</v>
      </c>
      <c r="E49">
        <f t="shared" si="3"/>
        <v>47</v>
      </c>
      <c r="F49" s="61">
        <f>IF(FT!A49&lt;&gt;"",FT!A49*10,"")</f>
        <v>4.5867800000000001</v>
      </c>
      <c r="G49" s="61">
        <f>IF(FT!B49&lt;&gt;"",FT!B49*100,"")</f>
        <v>44.3613</v>
      </c>
      <c r="H49" s="61">
        <f t="shared" si="1"/>
        <v>1</v>
      </c>
      <c r="I49" t="str">
        <f>IF(FT!B49&lt;&gt;"",FT!E49,"")</f>
        <v>1 [19.092240]</v>
      </c>
      <c r="J49">
        <f>IF(FT!B49&lt;&gt;"",FT!C49,"")</f>
        <v>19.092199999999998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4.6162599999999996</v>
      </c>
      <c r="G50" s="61">
        <f>IF(FT!B50&lt;&gt;"",FT!B50*100,"")</f>
        <v>44.237500000000004</v>
      </c>
      <c r="H50" s="61">
        <f t="shared" si="1"/>
        <v>1</v>
      </c>
      <c r="I50" t="str">
        <f>IF(FT!B50&lt;&gt;"",FT!E50,"")</f>
        <v>1 [19.496905]</v>
      </c>
      <c r="J50">
        <f>IF(FT!B50&lt;&gt;"",FT!C50,"")</f>
        <v>19.4969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60653</v>
      </c>
      <c r="D51" s="61">
        <f>FH!B51*1</f>
        <v>60653</v>
      </c>
      <c r="E51">
        <f t="shared" si="3"/>
        <v>49</v>
      </c>
      <c r="F51" s="61">
        <f>IF(FT!A51&lt;&gt;"",FT!A51*10,"")</f>
        <v>4.6469899999999997</v>
      </c>
      <c r="G51" s="61">
        <f>IF(FT!B51&lt;&gt;"",FT!B51*100,"")</f>
        <v>44.077100000000002</v>
      </c>
      <c r="H51" s="61">
        <f t="shared" si="1"/>
        <v>1</v>
      </c>
      <c r="I51" t="str">
        <f>IF(FT!B51&lt;&gt;"",FT!E51,"")</f>
        <v>1 [19.906072]</v>
      </c>
      <c r="J51">
        <f>IF(FT!B51&lt;&gt;"",FT!C51,"")</f>
        <v>19.906099999999999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4.6805700000000003</v>
      </c>
      <c r="G52" s="61">
        <f>IF(FT!B52&lt;&gt;"",FT!B52*100,"")</f>
        <v>43.8889</v>
      </c>
      <c r="H52" s="61">
        <f t="shared" si="1"/>
        <v>1</v>
      </c>
      <c r="I52" t="str">
        <f>IF(FT!B52&lt;&gt;"",FT!E52,"")</f>
        <v>1 [20.307047]</v>
      </c>
      <c r="J52">
        <f>IF(FT!B52&lt;&gt;"",FT!C52,"")</f>
        <v>20.306999999999999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4.7168399999999995</v>
      </c>
      <c r="G53" s="61">
        <f>IF(FT!B53&lt;&gt;"",FT!B53*100,"")</f>
        <v>43.698700000000002</v>
      </c>
      <c r="H53" s="61">
        <f t="shared" si="1"/>
        <v>1</v>
      </c>
      <c r="I53" t="str">
        <f>IF(FT!B53&lt;&gt;"",FT!E53,"")</f>
        <v>1 [20.716592]</v>
      </c>
      <c r="J53">
        <f>IF(FT!B53&lt;&gt;"",FT!C53,"")</f>
        <v>20.7166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52798</v>
      </c>
      <c r="D54" s="61">
        <f>FH!B54*1</f>
        <v>52798</v>
      </c>
      <c r="E54">
        <f t="shared" si="3"/>
        <v>52</v>
      </c>
      <c r="F54" s="61">
        <f>IF(FT!A54&lt;&gt;"",FT!A54*10,"")</f>
        <v>4.7541500000000001</v>
      </c>
      <c r="G54" s="61">
        <f>IF(FT!B54&lt;&gt;"",FT!B54*100,"")</f>
        <v>43.528800000000004</v>
      </c>
      <c r="H54" s="61">
        <f t="shared" si="1"/>
        <v>1</v>
      </c>
      <c r="I54" t="str">
        <f>IF(FT!B54&lt;&gt;"",FT!E54,"")</f>
        <v>1 [21.122914]</v>
      </c>
      <c r="J54">
        <f>IF(FT!B54&lt;&gt;"",FT!C54,"")</f>
        <v>21.122900000000001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4.7909899999999999</v>
      </c>
      <c r="G55" s="61">
        <f>IF(FT!B55&lt;&gt;"",FT!B55*100,"")</f>
        <v>43.341099999999997</v>
      </c>
      <c r="H55" s="61">
        <f t="shared" si="1"/>
        <v>1</v>
      </c>
      <c r="I55" t="str">
        <f>IF(FT!B55&lt;&gt;"",FT!E55,"")</f>
        <v>1 [21.528443]</v>
      </c>
      <c r="J55">
        <f>IF(FT!B55&lt;&gt;"",FT!C55,"")</f>
        <v>21.528400000000001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4.8288900000000003</v>
      </c>
      <c r="G56" s="61">
        <f>IF(FT!B56&lt;&gt;"",FT!B56*100,"")</f>
        <v>43.266599999999997</v>
      </c>
      <c r="H56" s="61">
        <f t="shared" si="1"/>
        <v>1</v>
      </c>
      <c r="I56" t="str">
        <f>IF(FT!B56&lt;&gt;"",FT!E56,"")</f>
        <v>1 [21.937288]</v>
      </c>
      <c r="J56">
        <f>IF(FT!B56&lt;&gt;"",FT!C56,"")</f>
        <v>21.9373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64020</v>
      </c>
      <c r="D57" s="61">
        <f>FH!B57*1</f>
        <v>64020</v>
      </c>
      <c r="E57">
        <f t="shared" si="3"/>
        <v>55</v>
      </c>
      <c r="F57" s="61">
        <f>IF(FT!A57&lt;&gt;"",FT!A57*10,"")</f>
        <v>4.8692099999999998</v>
      </c>
      <c r="G57" s="61">
        <f>IF(FT!B57&lt;&gt;"",FT!B57*100,"")</f>
        <v>43.198700000000002</v>
      </c>
      <c r="H57" s="61">
        <f t="shared" si="1"/>
        <v>1</v>
      </c>
      <c r="I57" t="str">
        <f>IF(FT!B57&lt;&gt;"",FT!E57,"")</f>
        <v>1 [22.341200]</v>
      </c>
      <c r="J57">
        <f>IF(FT!B57&lt;&gt;"",FT!C57,"")</f>
        <v>22.341200000000001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4.9110700000000005</v>
      </c>
      <c r="G58" s="61">
        <f>IF(FT!B58&lt;&gt;"",FT!B58*100,"")</f>
        <v>43.043100000000003</v>
      </c>
      <c r="H58" s="61">
        <f t="shared" si="1"/>
        <v>1</v>
      </c>
      <c r="I58" t="str">
        <f>IF(FT!B58&lt;&gt;"",FT!E58,"")</f>
        <v>1 [22.745288]</v>
      </c>
      <c r="J58">
        <f>IF(FT!B58&lt;&gt;"",FT!C58,"")</f>
        <v>22.7453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62738</v>
      </c>
      <c r="D59" s="61">
        <f>FH!B59*1</f>
        <v>62738</v>
      </c>
      <c r="E59">
        <f t="shared" si="3"/>
        <v>57</v>
      </c>
      <c r="F59" s="61">
        <f>IF(FT!A59&lt;&gt;"",FT!A59*10,"")</f>
        <v>4.9539600000000004</v>
      </c>
      <c r="G59" s="61">
        <f>IF(FT!B59&lt;&gt;"",FT!B59*100,"")</f>
        <v>42.850200000000001</v>
      </c>
      <c r="H59" s="61">
        <f t="shared" si="1"/>
        <v>1</v>
      </c>
      <c r="I59" t="str">
        <f>IF(FT!B59&lt;&gt;"",FT!E59,"")</f>
        <v>1 [23.153025]</v>
      </c>
      <c r="J59">
        <f>IF(FT!B59&lt;&gt;"",FT!C59,"")</f>
        <v>23.152999999999999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4.9959199999999999</v>
      </c>
      <c r="G60" s="61">
        <f>IF(FT!B60&lt;&gt;"",FT!B60*100,"")</f>
        <v>42.724600000000002</v>
      </c>
      <c r="H60" s="61">
        <f t="shared" si="1"/>
        <v>1</v>
      </c>
      <c r="I60" t="str">
        <f>IF(FT!B60&lt;&gt;"",FT!E60,"")</f>
        <v>1 [23.559196]</v>
      </c>
      <c r="J60">
        <f>IF(FT!B60&lt;&gt;"",FT!C60,"")</f>
        <v>23.559200000000001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5.0388000000000002</v>
      </c>
      <c r="G61" s="61">
        <f>IF(FT!B61&lt;&gt;"",FT!B61*100,"")</f>
        <v>42.628799999999998</v>
      </c>
      <c r="H61" s="61">
        <f t="shared" si="1"/>
        <v>1</v>
      </c>
      <c r="I61" t="str">
        <f>IF(FT!B61&lt;&gt;"",FT!E61,"")</f>
        <v>1 [23.970109]</v>
      </c>
      <c r="J61">
        <f>IF(FT!B61&lt;&gt;"",FT!C61,"")</f>
        <v>23.970099999999999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75518</v>
      </c>
      <c r="D62" s="61">
        <f>FH!B62*1</f>
        <v>75518</v>
      </c>
      <c r="E62">
        <f t="shared" si="3"/>
        <v>60</v>
      </c>
      <c r="F62" s="61">
        <f>IF(FT!A62&lt;&gt;"",FT!A62*10,"")</f>
        <v>5.0832999999999995</v>
      </c>
      <c r="G62" s="61">
        <f>IF(FT!B62&lt;&gt;"",FT!B62*100,"")</f>
        <v>42.506500000000003</v>
      </c>
      <c r="H62" s="61">
        <f t="shared" si="1"/>
        <v>1</v>
      </c>
      <c r="I62" t="str">
        <f>IF(FT!B62&lt;&gt;"",FT!E62,"")</f>
        <v>1 [24.375803]</v>
      </c>
      <c r="J62">
        <f>IF(FT!B62&lt;&gt;"",FT!C62,"")</f>
        <v>24.375800000000002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5.1277900000000001</v>
      </c>
      <c r="G63" s="61">
        <f>IF(FT!B63&lt;&gt;"",FT!B63*100,"")</f>
        <v>42.344100000000005</v>
      </c>
      <c r="H63" s="61">
        <f t="shared" si="1"/>
        <v>1</v>
      </c>
      <c r="I63" t="str">
        <f>IF(FT!B63&lt;&gt;"",FT!E63,"")</f>
        <v>1 [24.778708]</v>
      </c>
      <c r="J63">
        <f>IF(FT!B63&lt;&gt;"",FT!C63,"")</f>
        <v>24.778700000000001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80103</v>
      </c>
      <c r="D64" s="61">
        <f>FH!B64*1</f>
        <v>80103</v>
      </c>
      <c r="E64">
        <f t="shared" si="3"/>
        <v>62</v>
      </c>
      <c r="F64" s="61">
        <f>IF(FT!A64&lt;&gt;"",FT!A64*10,"")</f>
        <v>5.1694399999999998</v>
      </c>
      <c r="G64" s="61">
        <f>IF(FT!B64&lt;&gt;"",FT!B64*100,"")</f>
        <v>42.163499999999999</v>
      </c>
      <c r="H64" s="61">
        <f t="shared" si="1"/>
        <v>1</v>
      </c>
      <c r="I64" t="str">
        <f>IF(FT!B64&lt;&gt;"",FT!E64,"")</f>
        <v>1 [25.184604]</v>
      </c>
      <c r="J64">
        <f>IF(FT!B64&lt;&gt;"",FT!C64,"")</f>
        <v>25.1846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5.2078199999999999</v>
      </c>
      <c r="G65" s="61">
        <f>IF(FT!B65&lt;&gt;"",FT!B65*100,"")</f>
        <v>42.030299999999997</v>
      </c>
      <c r="H65" s="61">
        <f t="shared" si="1"/>
        <v>1</v>
      </c>
      <c r="I65" t="str">
        <f>IF(FT!B65&lt;&gt;"",FT!E65,"")</f>
        <v>1 [25.591549]</v>
      </c>
      <c r="J65">
        <f>IF(FT!B65&lt;&gt;"",FT!C65,"")</f>
        <v>25.5915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5.2417699999999998</v>
      </c>
      <c r="G66" s="61">
        <f>IF(FT!B66&lt;&gt;"",FT!B66*100,"")</f>
        <v>41.953099999999999</v>
      </c>
      <c r="H66" s="61">
        <f t="shared" si="1"/>
        <v>1</v>
      </c>
      <c r="I66" t="str">
        <f>IF(FT!B66&lt;&gt;"",FT!E66,"")</f>
        <v>1 [25.999473]</v>
      </c>
      <c r="J66">
        <f>IF(FT!B66&lt;&gt;"",FT!C66,"")</f>
        <v>25.999500000000001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85771</v>
      </c>
      <c r="D67" s="61">
        <f>FH!B67*1</f>
        <v>85771</v>
      </c>
      <c r="E67">
        <f t="shared" si="3"/>
        <v>65</v>
      </c>
      <c r="F67" s="61">
        <f>IF(FT!A67&lt;&gt;"",FT!A67*10,"")</f>
        <v>5.2741899999999999</v>
      </c>
      <c r="G67" s="61">
        <f>IF(FT!B67&lt;&gt;"",FT!B67*100,"")</f>
        <v>41.938400000000001</v>
      </c>
      <c r="H67" s="61">
        <f t="shared" ref="H67:H130" si="9">(IF(F67&lt;&gt;"",1,""))</f>
        <v>1</v>
      </c>
      <c r="I67" t="str">
        <f>IF(FT!B67&lt;&gt;"",FT!E67,"")</f>
        <v>1 [26.407099]</v>
      </c>
      <c r="J67">
        <f>IF(FT!B67&lt;&gt;"",FT!C67,"")</f>
        <v>26.4071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5.3063599999999997</v>
      </c>
      <c r="G68" s="61">
        <f>IF(FT!B68&lt;&gt;"",FT!B68*100,"")</f>
        <v>41.844099999999997</v>
      </c>
      <c r="H68" s="61">
        <f t="shared" si="9"/>
        <v>1</v>
      </c>
      <c r="I68" t="str">
        <f>IF(FT!B68&lt;&gt;"",FT!E68,"")</f>
        <v>1 [26.810296]</v>
      </c>
      <c r="J68">
        <f>IF(FT!B68&lt;&gt;"",FT!C68,"")</f>
        <v>26.810300000000002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96509</v>
      </c>
      <c r="D69" s="61">
        <f>FH!B69*1</f>
        <v>96509</v>
      </c>
      <c r="E69">
        <f t="shared" si="11"/>
        <v>67</v>
      </c>
      <c r="F69" s="61">
        <f>IF(FT!A69&lt;&gt;"",FT!A69*10,"")</f>
        <v>5.3342000000000001</v>
      </c>
      <c r="G69" s="61">
        <f>IF(FT!B69&lt;&gt;"",FT!B69*100,"")</f>
        <v>41.685400000000001</v>
      </c>
      <c r="H69" s="61">
        <f t="shared" si="9"/>
        <v>1</v>
      </c>
      <c r="I69" t="str">
        <f>IF(FT!B69&lt;&gt;"",FT!E69,"")</f>
        <v>1 [27.215173]</v>
      </c>
      <c r="J69">
        <f>IF(FT!B69&lt;&gt;"",FT!C69,"")</f>
        <v>27.215199999999999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5.3608000000000002</v>
      </c>
      <c r="G70" s="61">
        <f>IF(FT!B70&lt;&gt;"",FT!B70*100,"")</f>
        <v>41.598100000000002</v>
      </c>
      <c r="H70" s="61">
        <f t="shared" si="9"/>
        <v>1</v>
      </c>
      <c r="I70" t="str">
        <f>IF(FT!B70&lt;&gt;"",FT!E70,"")</f>
        <v>1 [27.622333]</v>
      </c>
      <c r="J70">
        <f>IF(FT!B70&lt;&gt;"",FT!C70,"")</f>
        <v>27.622299999999999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5.3858300000000003</v>
      </c>
      <c r="G71" s="61">
        <f>IF(FT!B71&lt;&gt;"",FT!B71*100,"")</f>
        <v>41.49</v>
      </c>
      <c r="H71" s="61">
        <f t="shared" si="9"/>
        <v>1</v>
      </c>
      <c r="I71" t="str">
        <f>IF(FT!B71&lt;&gt;"",FT!E71,"")</f>
        <v>1 [28.030073]</v>
      </c>
      <c r="J71">
        <f>IF(FT!B71&lt;&gt;"",FT!C71,"")</f>
        <v>28.030100000000001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106524</v>
      </c>
      <c r="D72" s="61">
        <f>FH!B72*1</f>
        <v>106524</v>
      </c>
      <c r="E72">
        <f t="shared" si="11"/>
        <v>70</v>
      </c>
      <c r="F72" s="61">
        <f>IF(FT!A72&lt;&gt;"",FT!A72*10,"")</f>
        <v>5.4090099999999994</v>
      </c>
      <c r="G72" s="61">
        <f>IF(FT!B72&lt;&gt;"",FT!B72*100,"")</f>
        <v>41.371499999999997</v>
      </c>
      <c r="H72" s="61">
        <f t="shared" si="9"/>
        <v>1</v>
      </c>
      <c r="I72" t="str">
        <f>IF(FT!B72&lt;&gt;"",FT!E72,"")</f>
        <v>1 [28.436931]</v>
      </c>
      <c r="J72">
        <f>IF(FT!B72&lt;&gt;"",FT!C72,"")</f>
        <v>28.436900000000001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5.4297399999999998</v>
      </c>
      <c r="G73" s="61">
        <f>IF(FT!B73&lt;&gt;"",FT!B73*100,"")</f>
        <v>41.253599999999999</v>
      </c>
      <c r="H73" s="61">
        <f t="shared" si="9"/>
        <v>1</v>
      </c>
      <c r="I73" t="str">
        <f>IF(FT!B73&lt;&gt;"",FT!E73,"")</f>
        <v>1 [28.842021]</v>
      </c>
      <c r="J73">
        <f>IF(FT!B73&lt;&gt;"",FT!C73,"")</f>
        <v>28.841999999999999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5.4487899999999998</v>
      </c>
      <c r="G74" s="61">
        <f>IF(FT!B74&lt;&gt;"",FT!B74*100,"")</f>
        <v>41.097200000000001</v>
      </c>
      <c r="H74" s="61">
        <f t="shared" si="9"/>
        <v>1</v>
      </c>
      <c r="I74" t="str">
        <f>IF(FT!B74&lt;&gt;"",FT!E74,"")</f>
        <v>1 [29.245819]</v>
      </c>
      <c r="J74">
        <f>IF(FT!B74&lt;&gt;"",FT!C74,"")</f>
        <v>29.245799999999999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104696</v>
      </c>
      <c r="D75" s="61">
        <f>FH!B75*1</f>
        <v>104696</v>
      </c>
      <c r="E75">
        <f t="shared" si="11"/>
        <v>73</v>
      </c>
      <c r="F75" s="61">
        <f>IF(FT!A75&lt;&gt;"",FT!A75*10,"")</f>
        <v>5.4646600000000003</v>
      </c>
      <c r="G75" s="61">
        <f>IF(FT!B75&lt;&gt;"",FT!B75*100,"")</f>
        <v>40.870100000000001</v>
      </c>
      <c r="H75" s="61">
        <f t="shared" si="9"/>
        <v>1</v>
      </c>
      <c r="I75" t="str">
        <f>IF(FT!B75&lt;&gt;"",FT!E75,"")</f>
        <v>1 [29.651936]</v>
      </c>
      <c r="J75">
        <f>IF(FT!B75&lt;&gt;"",FT!C75,"")</f>
        <v>29.651900000000001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5.4762900000000005</v>
      </c>
      <c r="G76" s="61">
        <f>IF(FT!B76&lt;&gt;"",FT!B76*100,"")</f>
        <v>40.644799999999996</v>
      </c>
      <c r="H76" s="61">
        <f t="shared" si="9"/>
        <v>1</v>
      </c>
      <c r="I76" t="str">
        <f>IF(FT!B76&lt;&gt;"",FT!E76,"")</f>
        <v>2 [30.060545]</v>
      </c>
      <c r="J76">
        <f>IF(FT!B76&lt;&gt;"",FT!C76,"")</f>
        <v>30.060500000000001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122464</v>
      </c>
      <c r="D77" s="61">
        <f>FH!B77*1</f>
        <v>122464</v>
      </c>
      <c r="E77">
        <f t="shared" si="11"/>
        <v>75</v>
      </c>
      <c r="F77" s="61">
        <f>IF(FT!A77&lt;&gt;"",FT!A77*10,"")</f>
        <v>5.4856099999999994</v>
      </c>
      <c r="G77" s="61">
        <f>IF(FT!B77&lt;&gt;"",FT!B77*100,"")</f>
        <v>40.416800000000002</v>
      </c>
      <c r="H77" s="61">
        <f t="shared" si="9"/>
        <v>1</v>
      </c>
      <c r="I77" t="str">
        <f>IF(FT!B77&lt;&gt;"",FT!E77,"")</f>
        <v>2 [30.469523]</v>
      </c>
      <c r="J77">
        <f>IF(FT!B77&lt;&gt;"",FT!C77,"")</f>
        <v>30.4695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5.4908599999999996</v>
      </c>
      <c r="G78" s="61">
        <f>IF(FT!B78&lt;&gt;"",FT!B78*100,"")</f>
        <v>40.227899999999998</v>
      </c>
      <c r="H78" s="61">
        <f t="shared" si="9"/>
        <v>1</v>
      </c>
      <c r="I78" t="str">
        <f>IF(FT!B78&lt;&gt;"",FT!E78,"")</f>
        <v>2 [30.874535]</v>
      </c>
      <c r="J78">
        <f>IF(FT!B78&lt;&gt;"",FT!C78,"")</f>
        <v>30.874500000000001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5.4967800000000002</v>
      </c>
      <c r="G79" s="61">
        <f>IF(FT!B79&lt;&gt;"",FT!B79*100,"")</f>
        <v>40.065100000000001</v>
      </c>
      <c r="H79" s="61">
        <f t="shared" si="9"/>
        <v>1</v>
      </c>
      <c r="I79" t="str">
        <f>IF(FT!B79&lt;&gt;"",FT!E79,"")</f>
        <v>2 [31.279393]</v>
      </c>
      <c r="J79">
        <f>IF(FT!B79&lt;&gt;"",FT!C79,"")</f>
        <v>31.279399999999999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128836</v>
      </c>
      <c r="D80" s="61">
        <f>FH!B80*1</f>
        <v>128836</v>
      </c>
      <c r="E80">
        <f t="shared" si="11"/>
        <v>78</v>
      </c>
      <c r="F80" s="61">
        <f>IF(FT!A80&lt;&gt;"",FT!A80*10,"")</f>
        <v>5.5007200000000003</v>
      </c>
      <c r="G80" s="61">
        <f>IF(FT!B80&lt;&gt;"",FT!B80*100,"")</f>
        <v>39.921900000000001</v>
      </c>
      <c r="H80" s="61">
        <f t="shared" si="9"/>
        <v>1</v>
      </c>
      <c r="I80" t="str">
        <f>IF(FT!B80&lt;&gt;"",FT!E80,"")</f>
        <v>2 [31.688179]</v>
      </c>
      <c r="J80">
        <f>IF(FT!B80&lt;&gt;"",FT!C80,"")</f>
        <v>31.688199999999998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5.5073099999999995</v>
      </c>
      <c r="G81" s="61">
        <f>IF(FT!B81&lt;&gt;"",FT!B81*100,"")</f>
        <v>39.760800000000003</v>
      </c>
      <c r="H81" s="61">
        <f t="shared" si="9"/>
        <v>1</v>
      </c>
      <c r="I81" t="str">
        <f>IF(FT!B81&lt;&gt;"",FT!E81,"")</f>
        <v>2 [32.094534]</v>
      </c>
      <c r="J81">
        <f>IF(FT!B81&lt;&gt;"",FT!C81,"")</f>
        <v>32.094499999999996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135367</v>
      </c>
      <c r="D82" s="61">
        <f>FH!B82*1</f>
        <v>135367</v>
      </c>
      <c r="E82">
        <f t="shared" si="11"/>
        <v>80</v>
      </c>
      <c r="F82" s="61">
        <f>IF(FT!A82&lt;&gt;"",FT!A82*10,"")</f>
        <v>5.509500000000001</v>
      </c>
      <c r="G82" s="61">
        <f>IF(FT!B82&lt;&gt;"",FT!B82*100,"")</f>
        <v>39.624400000000001</v>
      </c>
      <c r="H82" s="61">
        <f t="shared" si="9"/>
        <v>1</v>
      </c>
      <c r="I82" t="str">
        <f>IF(FT!B82&lt;&gt;"",FT!E82,"")</f>
        <v>2 [32.500185]</v>
      </c>
      <c r="J82">
        <f>IF(FT!B82&lt;&gt;"",FT!C82,"")</f>
        <v>32.5002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5.5097399999999999</v>
      </c>
      <c r="G83" s="61">
        <f>IF(FT!B83&lt;&gt;"",FT!B83*100,"")</f>
        <v>39.506799999999998</v>
      </c>
      <c r="H83" s="61">
        <f t="shared" si="9"/>
        <v>1</v>
      </c>
      <c r="I83" t="str">
        <f>IF(FT!B83&lt;&gt;"",FT!E83,"")</f>
        <v>2 [32.907510]</v>
      </c>
      <c r="J83">
        <f>IF(FT!B83&lt;&gt;"",FT!C83,"")</f>
        <v>32.907499999999999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5.5058399999999992</v>
      </c>
      <c r="G84" s="61">
        <f>IF(FT!B84&lt;&gt;"",FT!B84*100,"")</f>
        <v>39.387699999999995</v>
      </c>
      <c r="H84" s="61">
        <f t="shared" si="9"/>
        <v>1</v>
      </c>
      <c r="I84" t="str">
        <f>IF(FT!B84&lt;&gt;"",FT!E84,"")</f>
        <v>2 [33.309014]</v>
      </c>
      <c r="J84">
        <f>IF(FT!B84&lt;&gt;"",FT!C84,"")</f>
        <v>33.308999999999997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137442</v>
      </c>
      <c r="D85" s="61">
        <f>FH!B85*1</f>
        <v>137442</v>
      </c>
      <c r="E85">
        <f t="shared" si="11"/>
        <v>83</v>
      </c>
      <c r="F85" s="61">
        <f>IF(FT!A85&lt;&gt;"",FT!A85*10,"")</f>
        <v>5.4978099999999994</v>
      </c>
      <c r="G85" s="61">
        <f>IF(FT!B85&lt;&gt;"",FT!B85*100,"")</f>
        <v>39.2423</v>
      </c>
      <c r="H85" s="61">
        <f t="shared" si="9"/>
        <v>1</v>
      </c>
      <c r="I85" t="str">
        <f>IF(FT!B85&lt;&gt;"",FT!E85,"")</f>
        <v>2 [33.712890]</v>
      </c>
      <c r="J85">
        <f>IF(FT!B85&lt;&gt;"",FT!C85,"")</f>
        <v>33.712899999999998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5.4851700000000001</v>
      </c>
      <c r="G86" s="61">
        <f>IF(FT!B86&lt;&gt;"",FT!B86*100,"")</f>
        <v>39.109300000000005</v>
      </c>
      <c r="H86" s="61">
        <f t="shared" si="9"/>
        <v>1</v>
      </c>
      <c r="I86" t="str">
        <f>IF(FT!B86&lt;&gt;"",FT!E86,"")</f>
        <v>2 [34.125728]</v>
      </c>
      <c r="J86">
        <f>IF(FT!B86&lt;&gt;"",FT!C86,"")</f>
        <v>34.125700000000002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5.4680300000000006</v>
      </c>
      <c r="G87" s="61">
        <f>IF(FT!B87&lt;&gt;"",FT!B87*100,"")</f>
        <v>39.011200000000002</v>
      </c>
      <c r="H87" s="61">
        <f t="shared" si="9"/>
        <v>1</v>
      </c>
      <c r="I87" t="str">
        <f>IF(FT!B87&lt;&gt;"",FT!E87,"")</f>
        <v>2 [34.530652]</v>
      </c>
      <c r="J87">
        <f>IF(FT!B87&lt;&gt;"",FT!C87,"")</f>
        <v>34.530700000000003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141466</v>
      </c>
      <c r="D88" s="61">
        <f>FH!B88*1</f>
        <v>141466</v>
      </c>
      <c r="E88">
        <f t="shared" si="11"/>
        <v>86</v>
      </c>
      <c r="F88" s="61">
        <f>IF(FT!A88&lt;&gt;"",FT!A88*10,"")</f>
        <v>5.4474499999999999</v>
      </c>
      <c r="G88" s="61">
        <f>IF(FT!B88&lt;&gt;"",FT!B88*100,"")</f>
        <v>38.950200000000002</v>
      </c>
      <c r="H88" s="61">
        <f t="shared" si="9"/>
        <v>1</v>
      </c>
      <c r="I88" t="str">
        <f>IF(FT!B88&lt;&gt;"",FT!E88,"")</f>
        <v>2 [34.936553]</v>
      </c>
      <c r="J88">
        <f>IF(FT!B88&lt;&gt;"",FT!C88,"")</f>
        <v>34.936599999999999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5.4235699999999998</v>
      </c>
      <c r="G89" s="61">
        <f>IF(FT!B89&lt;&gt;"",FT!B89*100,"")</f>
        <v>38.879899999999999</v>
      </c>
      <c r="H89" s="61">
        <f t="shared" si="9"/>
        <v>1</v>
      </c>
      <c r="I89" t="str">
        <f>IF(FT!B89&lt;&gt;"",FT!E89,"")</f>
        <v>2 [35.343530]</v>
      </c>
      <c r="J89">
        <f>IF(FT!B89&lt;&gt;"",FT!C89,"")</f>
        <v>35.343499999999999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140290</v>
      </c>
      <c r="D90" s="61">
        <f>FH!B90*1</f>
        <v>140290</v>
      </c>
      <c r="E90">
        <f t="shared" si="11"/>
        <v>88</v>
      </c>
      <c r="F90" s="61">
        <f>IF(FT!A90&lt;&gt;"",FT!A90*10,"")</f>
        <v>5.40083</v>
      </c>
      <c r="G90" s="61">
        <f>IF(FT!B90&lt;&gt;"",FT!B90*100,"")</f>
        <v>38.789699999999996</v>
      </c>
      <c r="H90" s="61">
        <f t="shared" si="9"/>
        <v>1</v>
      </c>
      <c r="I90" t="str">
        <f>IF(FT!B90&lt;&gt;"",FT!E90,"")</f>
        <v>2 [35.745479]</v>
      </c>
      <c r="J90">
        <f>IF(FT!B90&lt;&gt;"",FT!C90,"")</f>
        <v>35.7455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5.3775399999999998</v>
      </c>
      <c r="G91" s="61">
        <f>IF(FT!B91&lt;&gt;"",FT!B91*100,"")</f>
        <v>38.638300000000001</v>
      </c>
      <c r="H91" s="61">
        <f t="shared" si="9"/>
        <v>1</v>
      </c>
      <c r="I91" t="str">
        <f>IF(FT!B91&lt;&gt;"",FT!E91,"")</f>
        <v>2 [36.154416]</v>
      </c>
      <c r="J91">
        <f>IF(FT!B91&lt;&gt;"",FT!C91,"")</f>
        <v>36.154400000000003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5.3525700000000001</v>
      </c>
      <c r="G92" s="61">
        <f>IF(FT!B92&lt;&gt;"",FT!B92*100,"")</f>
        <v>38.446000000000005</v>
      </c>
      <c r="H92" s="61">
        <f t="shared" si="9"/>
        <v>1</v>
      </c>
      <c r="I92" t="str">
        <f>IF(FT!B92&lt;&gt;"",FT!E92,"")</f>
        <v>2 [36.562554]</v>
      </c>
      <c r="J92">
        <f>IF(FT!B92&lt;&gt;"",FT!C92,"")</f>
        <v>36.562600000000003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151228</v>
      </c>
      <c r="D93" s="61">
        <f>FH!B93*1</f>
        <v>151228</v>
      </c>
      <c r="E93">
        <f t="shared" si="11"/>
        <v>91</v>
      </c>
      <c r="F93" s="61">
        <f>IF(FT!A93&lt;&gt;"",FT!A93*10,"")</f>
        <v>5.3225500000000006</v>
      </c>
      <c r="G93" s="61">
        <f>IF(FT!B93&lt;&gt;"",FT!B93*100,"")</f>
        <v>38.292000000000002</v>
      </c>
      <c r="H93" s="61">
        <f t="shared" si="9"/>
        <v>1</v>
      </c>
      <c r="I93" t="str">
        <f>IF(FT!B93&lt;&gt;"",FT!E93,"")</f>
        <v>2 [36.967685]</v>
      </c>
      <c r="J93">
        <f>IF(FT!B93&lt;&gt;"",FT!C93,"")</f>
        <v>36.967700000000001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5.29671</v>
      </c>
      <c r="G94" s="61">
        <f>IF(FT!B94&lt;&gt;"",FT!B94*100,"")</f>
        <v>38.206699999999998</v>
      </c>
      <c r="H94" s="61">
        <f t="shared" si="9"/>
        <v>1</v>
      </c>
      <c r="I94" t="str">
        <f>IF(FT!B94&lt;&gt;"",FT!E94,"")</f>
        <v>2 [37.371349]</v>
      </c>
      <c r="J94">
        <f>IF(FT!B94&lt;&gt;"",FT!C94,"")</f>
        <v>37.371299999999998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154785</v>
      </c>
      <c r="D95" s="61">
        <f>FH!B95*1</f>
        <v>154785</v>
      </c>
      <c r="E95">
        <f t="shared" si="11"/>
        <v>93</v>
      </c>
      <c r="F95" s="61">
        <f>IF(FT!A95&lt;&gt;"",FT!A95*10,"")</f>
        <v>5.2712899999999996</v>
      </c>
      <c r="G95" s="61">
        <f>IF(FT!B95&lt;&gt;"",FT!B95*100,"")</f>
        <v>38.111600000000003</v>
      </c>
      <c r="H95" s="61">
        <f t="shared" si="9"/>
        <v>1</v>
      </c>
      <c r="I95" t="str">
        <f>IF(FT!B95&lt;&gt;"",FT!E95,"")</f>
        <v>2 [37.778669]</v>
      </c>
      <c r="J95">
        <f>IF(FT!B95&lt;&gt;"",FT!C95,"")</f>
        <v>37.778700000000001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5.2418800000000001</v>
      </c>
      <c r="G96" s="61">
        <f>IF(FT!B96&lt;&gt;"",FT!B96*100,"")</f>
        <v>37.975300000000004</v>
      </c>
      <c r="H96" s="61">
        <f t="shared" si="9"/>
        <v>1</v>
      </c>
      <c r="I96" t="str">
        <f>IF(FT!B96&lt;&gt;"",FT!E96,"")</f>
        <v>2 [38.186865]</v>
      </c>
      <c r="J96">
        <f>IF(FT!B96&lt;&gt;"",FT!C96,"")</f>
        <v>38.186900000000001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5.2127400000000002</v>
      </c>
      <c r="G97" s="61">
        <f>IF(FT!B97&lt;&gt;"",FT!B97*100,"")</f>
        <v>37.874899999999997</v>
      </c>
      <c r="H97" s="61">
        <f t="shared" si="9"/>
        <v>1</v>
      </c>
      <c r="I97" t="str">
        <f>IF(FT!B97&lt;&gt;"",FT!E97,"")</f>
        <v>2 [38.593855]</v>
      </c>
      <c r="J97">
        <f>IF(FT!B97&lt;&gt;"",FT!C97,"")</f>
        <v>38.593899999999998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163830</v>
      </c>
      <c r="D98" s="61">
        <f>FH!B98*1</f>
        <v>163830</v>
      </c>
      <c r="E98">
        <f t="shared" si="11"/>
        <v>96</v>
      </c>
      <c r="F98" s="61">
        <f>IF(FT!A98&lt;&gt;"",FT!A98*10,"")</f>
        <v>5.1818600000000004</v>
      </c>
      <c r="G98" s="61">
        <f>IF(FT!B98&lt;&gt;"",FT!B98*100,"")</f>
        <v>37.806800000000003</v>
      </c>
      <c r="H98" s="61">
        <f t="shared" si="9"/>
        <v>1</v>
      </c>
      <c r="I98" t="str">
        <f>IF(FT!B98&lt;&gt;"",FT!E98,"")</f>
        <v>2 [38.997027]</v>
      </c>
      <c r="J98">
        <f>IF(FT!B98&lt;&gt;"",FT!C98,"")</f>
        <v>38.997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5.1529699999999998</v>
      </c>
      <c r="G99" s="61">
        <f>IF(FT!B99&lt;&gt;"",FT!B99*100,"")</f>
        <v>37.849400000000003</v>
      </c>
      <c r="H99" s="61">
        <f t="shared" si="9"/>
        <v>1</v>
      </c>
      <c r="I99" t="str">
        <f>IF(FT!B99&lt;&gt;"",FT!E99,"")</f>
        <v>2 [39.403648]</v>
      </c>
      <c r="J99">
        <f>IF(FT!B99&lt;&gt;"",FT!C99,"")</f>
        <v>39.403599999999997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165055</v>
      </c>
      <c r="D100" s="61">
        <f>FH!B100*1</f>
        <v>165055</v>
      </c>
      <c r="E100">
        <f t="shared" si="11"/>
        <v>98</v>
      </c>
      <c r="F100" s="61">
        <f>IF(FT!A100&lt;&gt;"",FT!A100*10,"")</f>
        <v>5.1245700000000003</v>
      </c>
      <c r="G100" s="61">
        <f>IF(FT!B100&lt;&gt;"",FT!B100*100,"")</f>
        <v>37.9557</v>
      </c>
      <c r="H100" s="61">
        <f t="shared" si="9"/>
        <v>1</v>
      </c>
      <c r="I100" t="str">
        <f>IF(FT!B100&lt;&gt;"",FT!E100,"")</f>
        <v>2 [39.807973]</v>
      </c>
      <c r="J100">
        <f>IF(FT!B100&lt;&gt;"",FT!C100,"")</f>
        <v>39.808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5.0951699999999995</v>
      </c>
      <c r="G101" s="61">
        <f>IF(FT!B101&lt;&gt;"",FT!B101*100,"")</f>
        <v>37.980599999999995</v>
      </c>
      <c r="H101" s="61">
        <f t="shared" si="9"/>
        <v>1</v>
      </c>
      <c r="I101" t="str">
        <f>IF(FT!B101&lt;&gt;"",FT!E101,"")</f>
        <v>2 [40.216820]</v>
      </c>
      <c r="J101">
        <f>IF(FT!B101&lt;&gt;"",FT!C101,"")</f>
        <v>40.216799999999999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5.0636400000000004</v>
      </c>
      <c r="G102" s="61">
        <f>IF(FT!B102&lt;&gt;"",FT!B102*100,"")</f>
        <v>38.032499999999999</v>
      </c>
      <c r="H102" s="61">
        <f t="shared" si="9"/>
        <v>1</v>
      </c>
      <c r="I102" t="str">
        <f>IF(FT!B102&lt;&gt;"",FT!E102,"")</f>
        <v>2 [40.627121]</v>
      </c>
      <c r="J102">
        <f>IF(FT!B102&lt;&gt;"",FT!C102,"")</f>
        <v>40.627099999999999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178510</v>
      </c>
      <c r="D103" s="61">
        <f>FH!B103*1</f>
        <v>178510</v>
      </c>
      <c r="E103">
        <f t="shared" si="11"/>
        <v>101</v>
      </c>
      <c r="F103" s="61">
        <f>IF(FT!A103&lt;&gt;"",FT!A103*10,"")</f>
        <v>5.0340600000000002</v>
      </c>
      <c r="G103" s="61">
        <f>IF(FT!B103&lt;&gt;"",FT!B103*100,"")</f>
        <v>38.063399999999994</v>
      </c>
      <c r="H103" s="61">
        <f t="shared" si="9"/>
        <v>1</v>
      </c>
      <c r="I103" t="str">
        <f>IF(FT!B103&lt;&gt;"",FT!E103,"")</f>
        <v>2 [41.030263]</v>
      </c>
      <c r="J103">
        <f>IF(FT!B103&lt;&gt;"",FT!C103,"")</f>
        <v>41.030299999999997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5.0036400000000008</v>
      </c>
      <c r="G104" s="61">
        <f>IF(FT!B104&lt;&gt;"",FT!B104*100,"")</f>
        <v>38.155000000000001</v>
      </c>
      <c r="H104" s="61">
        <f t="shared" si="9"/>
        <v>1</v>
      </c>
      <c r="I104" t="str">
        <f>IF(FT!B104&lt;&gt;"",FT!E104,"")</f>
        <v>2 [41.437153]</v>
      </c>
      <c r="J104">
        <f>IF(FT!B104&lt;&gt;"",FT!C104,"")</f>
        <v>41.437199999999997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4.9747200000000005</v>
      </c>
      <c r="G105" s="61">
        <f>IF(FT!B105&lt;&gt;"",FT!B105*100,"")</f>
        <v>38.278800000000004</v>
      </c>
      <c r="H105" s="61">
        <f t="shared" si="9"/>
        <v>1</v>
      </c>
      <c r="I105" t="str">
        <f>IF(FT!B105&lt;&gt;"",FT!E105,"")</f>
        <v>2 [41.841191]</v>
      </c>
      <c r="J105">
        <f>IF(FT!B105&lt;&gt;"",FT!C105,"")</f>
        <v>41.841200000000001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183429</v>
      </c>
      <c r="D106" s="61">
        <f>FH!B106*1</f>
        <v>183429</v>
      </c>
      <c r="E106">
        <f t="shared" si="11"/>
        <v>104</v>
      </c>
      <c r="F106" s="61">
        <f>IF(FT!A106&lt;&gt;"",FT!A106*10,"")</f>
        <v>4.9428000000000001</v>
      </c>
      <c r="G106" s="61">
        <f>IF(FT!B106&lt;&gt;"",FT!B106*100,"")</f>
        <v>38.490600000000001</v>
      </c>
      <c r="H106" s="61">
        <f t="shared" si="9"/>
        <v>1</v>
      </c>
      <c r="I106" t="str">
        <f>IF(FT!B106&lt;&gt;"",FT!E106,"")</f>
        <v>2 [42.247939]</v>
      </c>
      <c r="J106">
        <f>IF(FT!B106&lt;&gt;"",FT!C106,"")</f>
        <v>42.247900000000001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4.9127299999999998</v>
      </c>
      <c r="G107" s="61">
        <f>IF(FT!B107&lt;&gt;"",FT!B107*100,"")</f>
        <v>38.674399999999999</v>
      </c>
      <c r="H107" s="61">
        <f t="shared" si="9"/>
        <v>1</v>
      </c>
      <c r="I107" t="str">
        <f>IF(FT!B107&lt;&gt;"",FT!E107,"")</f>
        <v>2 [42.652092]</v>
      </c>
      <c r="J107">
        <f>IF(FT!B107&lt;&gt;"",FT!C107,"")</f>
        <v>42.652099999999997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200594</v>
      </c>
      <c r="D108" s="61">
        <f>FH!B108*1</f>
        <v>200594</v>
      </c>
      <c r="E108">
        <f t="shared" si="11"/>
        <v>106</v>
      </c>
      <c r="F108" s="61">
        <f>IF(FT!A108&lt;&gt;"",FT!A108*10,"")</f>
        <v>4.8784200000000002</v>
      </c>
      <c r="G108" s="61">
        <f>IF(FT!B108&lt;&gt;"",FT!B108*100,"")</f>
        <v>38.9435</v>
      </c>
      <c r="H108" s="61">
        <f t="shared" si="9"/>
        <v>1</v>
      </c>
      <c r="I108" t="str">
        <f>IF(FT!B108&lt;&gt;"",FT!E108,"")</f>
        <v>2 [43.058308]</v>
      </c>
      <c r="J108">
        <f>IF(FT!B108&lt;&gt;"",FT!C108,"")</f>
        <v>43.058300000000003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4.8474199999999996</v>
      </c>
      <c r="G109" s="61">
        <f>IF(FT!B109&lt;&gt;"",FT!B109*100,"")</f>
        <v>39.216999999999999</v>
      </c>
      <c r="H109" s="61">
        <f t="shared" si="9"/>
        <v>1</v>
      </c>
      <c r="I109" t="str">
        <f>IF(FT!B109&lt;&gt;"",FT!E109,"")</f>
        <v>2 [43.465777]</v>
      </c>
      <c r="J109">
        <f>IF(FT!B109&lt;&gt;"",FT!C109,"")</f>
        <v>43.465800000000002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4.8230599999999999</v>
      </c>
      <c r="G110" s="61">
        <f>IF(FT!B110&lt;&gt;"",FT!B110*100,"")</f>
        <v>39.410499999999999</v>
      </c>
      <c r="H110" s="61">
        <f t="shared" si="9"/>
        <v>1</v>
      </c>
      <c r="I110" t="str">
        <f>IF(FT!B110&lt;&gt;"",FT!E110,"")</f>
        <v>2 [43.877736]</v>
      </c>
      <c r="J110">
        <f>IF(FT!B110&lt;&gt;"",FT!C110,"")</f>
        <v>43.877699999999997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211636</v>
      </c>
      <c r="D111" s="61">
        <f>FH!B111*1</f>
        <v>211636</v>
      </c>
      <c r="E111">
        <f t="shared" si="11"/>
        <v>109</v>
      </c>
      <c r="F111" s="61">
        <f>IF(FT!A111&lt;&gt;"",FT!A111*10,"")</f>
        <v>4.8054199999999998</v>
      </c>
      <c r="G111" s="61">
        <f>IF(FT!B111&lt;&gt;"",FT!B111*100,"")</f>
        <v>39.53</v>
      </c>
      <c r="H111" s="61">
        <f t="shared" si="9"/>
        <v>1</v>
      </c>
      <c r="I111" t="str">
        <f>IF(FT!B111&lt;&gt;"",FT!E111,"")</f>
        <v>2 [44.280567]</v>
      </c>
      <c r="J111">
        <f>IF(FT!B111&lt;&gt;"",FT!C111,"")</f>
        <v>44.2806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4.7935499999999998</v>
      </c>
      <c r="G112" s="61">
        <f>IF(FT!B112&lt;&gt;"",FT!B112*100,"")</f>
        <v>39.5916</v>
      </c>
      <c r="H112" s="61">
        <f t="shared" si="9"/>
        <v>1</v>
      </c>
      <c r="I112" t="str">
        <f>IF(FT!B112&lt;&gt;"",FT!E112,"")</f>
        <v>2 [44.684456]</v>
      </c>
      <c r="J112">
        <f>IF(FT!B112&lt;&gt;"",FT!C112,"")</f>
        <v>44.6845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226512</v>
      </c>
      <c r="D113" s="61">
        <f>FH!B113*1</f>
        <v>226512</v>
      </c>
      <c r="E113">
        <f t="shared" si="11"/>
        <v>111</v>
      </c>
      <c r="F113" s="61">
        <f>IF(FT!A113&lt;&gt;"",FT!A113*10,"")</f>
        <v>4.7824200000000001</v>
      </c>
      <c r="G113" s="61">
        <f>IF(FT!B113&lt;&gt;"",FT!B113*100,"")</f>
        <v>39.656400000000005</v>
      </c>
      <c r="H113" s="61">
        <f t="shared" si="9"/>
        <v>1</v>
      </c>
      <c r="I113" t="str">
        <f>IF(FT!B113&lt;&gt;"",FT!E113,"")</f>
        <v>2 [45.089573]</v>
      </c>
      <c r="J113">
        <f>IF(FT!B113&lt;&gt;"",FT!C113,"")</f>
        <v>45.089599999999997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4.7752999999999997</v>
      </c>
      <c r="G114" s="61">
        <f>IF(FT!B114&lt;&gt;"",FT!B114*100,"")</f>
        <v>39.691900000000004</v>
      </c>
      <c r="H114" s="61">
        <f t="shared" si="9"/>
        <v>1</v>
      </c>
      <c r="I114" t="str">
        <f>IF(FT!B114&lt;&gt;"",FT!E114,"")</f>
        <v>2 [45.498376]</v>
      </c>
      <c r="J114">
        <f>IF(FT!B114&lt;&gt;"",FT!C114,"")</f>
        <v>45.498399999999997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4.7741499999999997</v>
      </c>
      <c r="G115" s="61">
        <f>IF(FT!B115&lt;&gt;"",FT!B115*100,"")</f>
        <v>39.652000000000001</v>
      </c>
      <c r="H115" s="61">
        <f t="shared" si="9"/>
        <v>1</v>
      </c>
      <c r="I115" t="str">
        <f>IF(FT!B115&lt;&gt;"",FT!E115,"")</f>
        <v>2 [45.903236]</v>
      </c>
      <c r="J115">
        <f>IF(FT!B115&lt;&gt;"",FT!C115,"")</f>
        <v>45.903199999999998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230978</v>
      </c>
      <c r="D116" s="61">
        <f>FH!B116*1</f>
        <v>230978</v>
      </c>
      <c r="E116">
        <f t="shared" si="11"/>
        <v>114</v>
      </c>
      <c r="F116" s="61">
        <f>IF(FT!A116&lt;&gt;"",FT!A116*10,"")</f>
        <v>4.7790300000000006</v>
      </c>
      <c r="G116" s="61">
        <f>IF(FT!B116&lt;&gt;"",FT!B116*100,"")</f>
        <v>39.4953</v>
      </c>
      <c r="H116" s="61">
        <f t="shared" si="9"/>
        <v>1</v>
      </c>
      <c r="I116" t="str">
        <f>IF(FT!B116&lt;&gt;"",FT!E116,"")</f>
        <v>2 [46.312227]</v>
      </c>
      <c r="J116">
        <f>IF(FT!B116&lt;&gt;"",FT!C116,"")</f>
        <v>46.312199999999997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4.7878799999999995</v>
      </c>
      <c r="G117" s="61">
        <f>IF(FT!B117&lt;&gt;"",FT!B117*100,"")</f>
        <v>39.335000000000001</v>
      </c>
      <c r="H117" s="61">
        <f t="shared" si="9"/>
        <v>1</v>
      </c>
      <c r="I117" t="str">
        <f>IF(FT!B117&lt;&gt;"",FT!E117,"")</f>
        <v>2 [46.714106]</v>
      </c>
      <c r="J117">
        <f>IF(FT!B117&lt;&gt;"",FT!C117,"")</f>
        <v>46.714100000000002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234164</v>
      </c>
      <c r="D118" s="61">
        <f>FH!B118*1</f>
        <v>234164</v>
      </c>
      <c r="E118">
        <f t="shared" si="11"/>
        <v>116</v>
      </c>
      <c r="F118" s="61">
        <f>IF(FT!A118&lt;&gt;"",FT!A118*10,"")</f>
        <v>4.7982999999999993</v>
      </c>
      <c r="G118" s="61">
        <f>IF(FT!B118&lt;&gt;"",FT!B118*100,"")</f>
        <v>39.200899999999997</v>
      </c>
      <c r="H118" s="61">
        <f t="shared" si="9"/>
        <v>1</v>
      </c>
      <c r="I118" t="str">
        <f>IF(FT!B118&lt;&gt;"",FT!E118,"")</f>
        <v>2 [47.123556]</v>
      </c>
      <c r="J118">
        <f>IF(FT!B118&lt;&gt;"",FT!C118,"")</f>
        <v>47.123600000000003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4.8062500000000004</v>
      </c>
      <c r="G119" s="61">
        <f>IF(FT!B119&lt;&gt;"",FT!B119*100,"")</f>
        <v>39.051900000000003</v>
      </c>
      <c r="H119" s="61">
        <f t="shared" si="9"/>
        <v>1</v>
      </c>
      <c r="I119" t="str">
        <f>IF(FT!B119&lt;&gt;"",FT!E119,"")</f>
        <v>2 [47.529993]</v>
      </c>
      <c r="J119">
        <f>IF(FT!B119&lt;&gt;"",FT!C119,"")</f>
        <v>47.53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4.8151599999999997</v>
      </c>
      <c r="G120" s="61">
        <f>IF(FT!B120&lt;&gt;"",FT!B120*100,"")</f>
        <v>38.849299999999999</v>
      </c>
      <c r="H120" s="61">
        <f t="shared" si="9"/>
        <v>1</v>
      </c>
      <c r="I120" t="str">
        <f>IF(FT!B120&lt;&gt;"",FT!E120,"")</f>
        <v>2 [47.936831]</v>
      </c>
      <c r="J120">
        <f>IF(FT!B120&lt;&gt;"",FT!C120,"")</f>
        <v>47.936799999999998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225403</v>
      </c>
      <c r="D121" s="61">
        <f>FH!B121*1</f>
        <v>225403</v>
      </c>
      <c r="E121">
        <f t="shared" si="11"/>
        <v>119</v>
      </c>
      <c r="F121" s="61">
        <f>IF(FT!A121&lt;&gt;"",FT!A121*10,"")</f>
        <v>4.82531</v>
      </c>
      <c r="G121" s="61">
        <f>IF(FT!B121&lt;&gt;"",FT!B121*100,"")</f>
        <v>38.666600000000003</v>
      </c>
      <c r="H121" s="61">
        <f t="shared" si="9"/>
        <v>1</v>
      </c>
      <c r="I121" t="str">
        <f>IF(FT!B121&lt;&gt;"",FT!E121,"")</f>
        <v>2 [48.342785]</v>
      </c>
      <c r="J121">
        <f>IF(FT!B121&lt;&gt;"",FT!C121,"")</f>
        <v>48.342799999999997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4.8346800000000005</v>
      </c>
      <c r="G122" s="61">
        <f>IF(FT!B122&lt;&gt;"",FT!B122*100,"")</f>
        <v>38.496099999999998</v>
      </c>
      <c r="H122" s="61">
        <f t="shared" si="9"/>
        <v>1</v>
      </c>
      <c r="I122" t="str">
        <f>IF(FT!B122&lt;&gt;"",FT!E122,"")</f>
        <v>2 [48.745585]</v>
      </c>
      <c r="J122">
        <f>IF(FT!B122&lt;&gt;"",FT!C122,"")</f>
        <v>48.745600000000003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4.8412300000000004</v>
      </c>
      <c r="G123" s="61">
        <f>IF(FT!B123&lt;&gt;"",FT!B123*100,"")</f>
        <v>38.321800000000003</v>
      </c>
      <c r="H123" s="61">
        <f t="shared" si="9"/>
        <v>1</v>
      </c>
      <c r="I123" t="str">
        <f>IF(FT!B123&lt;&gt;"",FT!E123,"")</f>
        <v>2 [49.150470]</v>
      </c>
      <c r="J123">
        <f>IF(FT!B123&lt;&gt;"",FT!C123,"")</f>
        <v>49.150500000000001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218526</v>
      </c>
      <c r="D124" s="61">
        <f>FH!B124*1</f>
        <v>218526</v>
      </c>
      <c r="E124">
        <f t="shared" si="11"/>
        <v>122</v>
      </c>
      <c r="F124" s="61">
        <f>IF(FT!A124&lt;&gt;"",FT!A124*10,"")</f>
        <v>4.8402599999999998</v>
      </c>
      <c r="G124" s="61">
        <f>IF(FT!B124&lt;&gt;"",FT!B124*100,"")</f>
        <v>38.117400000000004</v>
      </c>
      <c r="H124" s="61">
        <f t="shared" si="9"/>
        <v>1</v>
      </c>
      <c r="I124" t="str">
        <f>IF(FT!B124&lt;&gt;"",FT!E124,"")</f>
        <v>2 [49.558527]</v>
      </c>
      <c r="J124">
        <f>IF(FT!B124&lt;&gt;"",FT!C124,"")</f>
        <v>49.558500000000002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4.8372200000000003</v>
      </c>
      <c r="G125" s="61">
        <f>IF(FT!B125&lt;&gt;"",FT!B125*100,"")</f>
        <v>37.933999999999997</v>
      </c>
      <c r="H125" s="61">
        <f t="shared" si="9"/>
        <v>1</v>
      </c>
      <c r="I125" t="str">
        <f>IF(FT!B125&lt;&gt;"",FT!E125,"")</f>
        <v>2 [49.970444]</v>
      </c>
      <c r="J125">
        <f>IF(FT!B125&lt;&gt;"",FT!C125,"")</f>
        <v>49.970399999999998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224745</v>
      </c>
      <c r="D126" s="61">
        <f>FH!B126*1</f>
        <v>224745</v>
      </c>
      <c r="E126">
        <f t="shared" si="11"/>
        <v>124</v>
      </c>
      <c r="F126" s="61">
        <f>IF(FT!A126&lt;&gt;"",FT!A126*10,"")</f>
        <v>4.8430999999999997</v>
      </c>
      <c r="G126" s="61">
        <f>IF(FT!B126&lt;&gt;"",FT!B126*100,"")</f>
        <v>37.881399999999999</v>
      </c>
      <c r="H126" s="61">
        <f t="shared" si="9"/>
        <v>1</v>
      </c>
      <c r="I126" t="str">
        <f>IF(FT!B126&lt;&gt;"",FT!E126,"")</f>
        <v>2 [50.372394]</v>
      </c>
      <c r="J126">
        <f>IF(FT!B126&lt;&gt;"",FT!C126,"")</f>
        <v>50.372399999999999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4.8513999999999999</v>
      </c>
      <c r="G127" s="61">
        <f>IF(FT!B127&lt;&gt;"",FT!B127*100,"")</f>
        <v>37.8247</v>
      </c>
      <c r="H127" s="61">
        <f t="shared" si="9"/>
        <v>1</v>
      </c>
      <c r="I127" t="str">
        <f>IF(FT!B127&lt;&gt;"",FT!E127,"")</f>
        <v>2 [50.778127]</v>
      </c>
      <c r="J127">
        <f>IF(FT!B127&lt;&gt;"",FT!C127,"")</f>
        <v>50.778100000000002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4.8607800000000001</v>
      </c>
      <c r="G128" s="61">
        <f>IF(FT!B128&lt;&gt;"",FT!B128*100,"")</f>
        <v>37.753</v>
      </c>
      <c r="H128" s="61">
        <f t="shared" si="9"/>
        <v>1</v>
      </c>
      <c r="I128" t="str">
        <f>IF(FT!B128&lt;&gt;"",FT!E128,"")</f>
        <v>2 [51.185083]</v>
      </c>
      <c r="J128">
        <f>IF(FT!B128&lt;&gt;"",FT!C128,"")</f>
        <v>51.185099999999998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212728</v>
      </c>
      <c r="D129" s="61">
        <f>FH!B129*1</f>
        <v>212728</v>
      </c>
      <c r="E129">
        <f t="shared" si="11"/>
        <v>127</v>
      </c>
      <c r="F129" s="61">
        <f>IF(FT!A129&lt;&gt;"",FT!A129*10,"")</f>
        <v>4.8696400000000004</v>
      </c>
      <c r="G129" s="61">
        <f>IF(FT!B129&lt;&gt;"",FT!B129*100,"")</f>
        <v>37.669999999999995</v>
      </c>
      <c r="H129" s="61">
        <f t="shared" si="9"/>
        <v>1</v>
      </c>
      <c r="I129" t="str">
        <f>IF(FT!B129&lt;&gt;"",FT!E129,"")</f>
        <v>2 [51.589478]</v>
      </c>
      <c r="J129">
        <f>IF(FT!B129&lt;&gt;"",FT!C129,"")</f>
        <v>51.589500000000001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4.8779599999999999</v>
      </c>
      <c r="G130" s="61">
        <f>IF(FT!B130&lt;&gt;"",FT!B130*100,"")</f>
        <v>37.582599999999999</v>
      </c>
      <c r="H130" s="61">
        <f t="shared" si="9"/>
        <v>1</v>
      </c>
      <c r="I130" t="str">
        <f>IF(FT!B130&lt;&gt;"",FT!E130,"")</f>
        <v>2 [51.997225]</v>
      </c>
      <c r="J130">
        <f>IF(FT!B130&lt;&gt;"",FT!C130,"")</f>
        <v>51.997199999999999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213508</v>
      </c>
      <c r="D131" s="61">
        <f>FH!B131*1</f>
        <v>213508</v>
      </c>
      <c r="E131">
        <f t="shared" si="11"/>
        <v>129</v>
      </c>
      <c r="F131" s="61">
        <f>IF(FT!A131&lt;&gt;"",FT!A131*10,"")</f>
        <v>4.8867099999999999</v>
      </c>
      <c r="G131" s="61">
        <f>IF(FT!B131&lt;&gt;"",FT!B131*100,"")</f>
        <v>37.526499999999999</v>
      </c>
      <c r="H131" s="61">
        <f t="shared" ref="H131:H194" si="13">(IF(F131&lt;&gt;"",1,""))</f>
        <v>1</v>
      </c>
      <c r="I131" t="str">
        <f>IF(FT!B131&lt;&gt;"",FT!E131,"")</f>
        <v>2 [52.408001]</v>
      </c>
      <c r="J131">
        <f>IF(FT!B131&lt;&gt;"",FT!C131,"")</f>
        <v>52.408000000000001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4.8970799999999999</v>
      </c>
      <c r="G132" s="61">
        <f>IF(FT!B132&lt;&gt;"",FT!B132*100,"")</f>
        <v>37.470599999999997</v>
      </c>
      <c r="H132" s="61">
        <f t="shared" si="13"/>
        <v>1</v>
      </c>
      <c r="I132" t="str">
        <f>IF(FT!B132&lt;&gt;"",FT!E132,"")</f>
        <v>2 [52.809813]</v>
      </c>
      <c r="J132">
        <f>IF(FT!B132&lt;&gt;"",FT!C132,"")</f>
        <v>52.809800000000003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4.9124099999999995</v>
      </c>
      <c r="G133" s="61">
        <f>IF(FT!B133&lt;&gt;"",FT!B133*100,"")</f>
        <v>37.424600000000005</v>
      </c>
      <c r="H133" s="61">
        <f t="shared" si="13"/>
        <v>1</v>
      </c>
      <c r="I133" t="str">
        <f>IF(FT!B133&lt;&gt;"",FT!E133,"")</f>
        <v>2 [53.215768]</v>
      </c>
      <c r="J133">
        <f>IF(FT!B133&lt;&gt;"",FT!C133,"")</f>
        <v>53.215800000000002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215351</v>
      </c>
      <c r="D134" s="61">
        <f>FH!B134*1</f>
        <v>215351</v>
      </c>
      <c r="E134">
        <f t="shared" si="15"/>
        <v>132</v>
      </c>
      <c r="F134" s="61">
        <f>IF(FT!A134&lt;&gt;"",FT!A134*10,"")</f>
        <v>4.92666</v>
      </c>
      <c r="G134" s="61">
        <f>IF(FT!B134&lt;&gt;"",FT!B134*100,"")</f>
        <v>37.352400000000003</v>
      </c>
      <c r="H134" s="61">
        <f t="shared" si="13"/>
        <v>1</v>
      </c>
      <c r="I134" t="str">
        <f>IF(FT!B134&lt;&gt;"",FT!E134,"")</f>
        <v>2 [53.623036]</v>
      </c>
      <c r="J134">
        <f>IF(FT!B134&lt;&gt;"",FT!C134,"")</f>
        <v>53.622999999999998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4.9392899999999997</v>
      </c>
      <c r="G135" s="61">
        <f>IF(FT!B135&lt;&gt;"",FT!B135*100,"")</f>
        <v>37.244899999999994</v>
      </c>
      <c r="H135" s="61">
        <f t="shared" si="13"/>
        <v>1</v>
      </c>
      <c r="I135" t="str">
        <f>IF(FT!B135&lt;&gt;"",FT!E135,"")</f>
        <v>2 [54.028393]</v>
      </c>
      <c r="J135">
        <f>IF(FT!B135&lt;&gt;"",FT!C135,"")</f>
        <v>54.028399999999998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217730</v>
      </c>
      <c r="D136" s="61">
        <f>FH!B136*1</f>
        <v>217730</v>
      </c>
      <c r="E136">
        <f t="shared" si="15"/>
        <v>134</v>
      </c>
      <c r="F136" s="61">
        <f>IF(FT!A136&lt;&gt;"",FT!A136*10,"")</f>
        <v>4.9483600000000001</v>
      </c>
      <c r="G136" s="61">
        <f>IF(FT!B136&lt;&gt;"",FT!B136*100,"")</f>
        <v>37.084099999999999</v>
      </c>
      <c r="H136" s="61">
        <f t="shared" si="13"/>
        <v>1</v>
      </c>
      <c r="I136" t="str">
        <f>IF(FT!B136&lt;&gt;"",FT!E136,"")</f>
        <v>2 [54.435462]</v>
      </c>
      <c r="J136">
        <f>IF(FT!B136&lt;&gt;"",FT!C136,"")</f>
        <v>54.435499999999998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4.9524299999999997</v>
      </c>
      <c r="G137" s="61">
        <f>IF(FT!B137&lt;&gt;"",FT!B137*100,"")</f>
        <v>36.890099999999997</v>
      </c>
      <c r="H137" s="61">
        <f t="shared" si="13"/>
        <v>1</v>
      </c>
      <c r="I137" t="str">
        <f>IF(FT!B137&lt;&gt;"",FT!E137,"")</f>
        <v>2 [54.843366]</v>
      </c>
      <c r="J137">
        <f>IF(FT!B137&lt;&gt;"",FT!C137,"")</f>
        <v>54.843400000000003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4.9584200000000003</v>
      </c>
      <c r="G138" s="61">
        <f>IF(FT!B138&lt;&gt;"",FT!B138*100,"")</f>
        <v>36.653700000000001</v>
      </c>
      <c r="H138" s="61">
        <f t="shared" si="13"/>
        <v>1</v>
      </c>
      <c r="I138" t="str">
        <f>IF(FT!B138&lt;&gt;"",FT!E138,"")</f>
        <v>2 [55.248264]</v>
      </c>
      <c r="J138">
        <f>IF(FT!B138&lt;&gt;"",FT!C138,"")</f>
        <v>55.2483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214667</v>
      </c>
      <c r="D139" s="61">
        <f>FH!B139*1</f>
        <v>214667</v>
      </c>
      <c r="E139">
        <f t="shared" si="15"/>
        <v>137</v>
      </c>
      <c r="F139" s="61">
        <f>IF(FT!A139&lt;&gt;"",FT!A139*10,"")</f>
        <v>4.9650600000000003</v>
      </c>
      <c r="G139" s="61">
        <f>IF(FT!B139&lt;&gt;"",FT!B139*100,"")</f>
        <v>36.353299999999997</v>
      </c>
      <c r="H139" s="61">
        <f t="shared" si="13"/>
        <v>1</v>
      </c>
      <c r="I139" t="str">
        <f>IF(FT!B139&lt;&gt;"",FT!E139,"")</f>
        <v>2 [55.653536]</v>
      </c>
      <c r="J139">
        <f>IF(FT!B139&lt;&gt;"",FT!C139,"")</f>
        <v>55.653500000000001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4.9626799999999998</v>
      </c>
      <c r="G140" s="61">
        <f>IF(FT!B140&lt;&gt;"",FT!B140*100,"")</f>
        <v>36.072800000000001</v>
      </c>
      <c r="H140" s="61">
        <f t="shared" si="13"/>
        <v>1</v>
      </c>
      <c r="I140" t="str">
        <f>IF(FT!B140&lt;&gt;"",FT!E140,"")</f>
        <v>2 [56.061032]</v>
      </c>
      <c r="J140">
        <f>IF(FT!B140&lt;&gt;"",FT!C140,"")</f>
        <v>56.061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4.9509699999999999</v>
      </c>
      <c r="G141" s="61">
        <f>IF(FT!B141&lt;&gt;"",FT!B141*100,"")</f>
        <v>35.913200000000003</v>
      </c>
      <c r="H141" s="61">
        <f t="shared" si="13"/>
        <v>1</v>
      </c>
      <c r="I141" t="str">
        <f>IF(FT!B141&lt;&gt;"",FT!E141,"")</f>
        <v>2 [56.471142]</v>
      </c>
      <c r="J141">
        <f>IF(FT!B141&lt;&gt;"",FT!C141,"")</f>
        <v>56.4711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212007</v>
      </c>
      <c r="D142" s="61">
        <f>FH!B142*1</f>
        <v>212007</v>
      </c>
      <c r="E142">
        <f t="shared" si="15"/>
        <v>140</v>
      </c>
      <c r="F142" s="61">
        <f>IF(FT!A142&lt;&gt;"",FT!A142*10,"")</f>
        <v>4.9304300000000003</v>
      </c>
      <c r="G142" s="61">
        <f>IF(FT!B142&lt;&gt;"",FT!B142*100,"")</f>
        <v>35.677599999999998</v>
      </c>
      <c r="H142" s="61">
        <f t="shared" si="13"/>
        <v>1</v>
      </c>
      <c r="I142" t="str">
        <f>IF(FT!B142&lt;&gt;"",FT!E142,"")</f>
        <v>2 [56.875949]</v>
      </c>
      <c r="J142">
        <f>IF(FT!B142&lt;&gt;"",FT!C142,"")</f>
        <v>56.875900000000001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4.9067100000000003</v>
      </c>
      <c r="G143" s="61">
        <f>IF(FT!B143&lt;&gt;"",FT!B143*100,"")</f>
        <v>35.335999999999999</v>
      </c>
      <c r="H143" s="61">
        <f t="shared" si="13"/>
        <v>1</v>
      </c>
      <c r="I143" t="str">
        <f>IF(FT!B143&lt;&gt;"",FT!E143,"")</f>
        <v>2 [57.279840]</v>
      </c>
      <c r="J143">
        <f>IF(FT!B143&lt;&gt;"",FT!C143,"")</f>
        <v>57.279800000000002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199489</v>
      </c>
      <c r="D144" s="61">
        <f>FH!B144*1</f>
        <v>199489</v>
      </c>
      <c r="E144">
        <f t="shared" si="15"/>
        <v>142</v>
      </c>
      <c r="F144" s="61">
        <f>IF(FT!A144&lt;&gt;"",FT!A144*10,"")</f>
        <v>4.8807</v>
      </c>
      <c r="G144" s="61">
        <f>IF(FT!B144&lt;&gt;"",FT!B144*100,"")</f>
        <v>35.089399999999998</v>
      </c>
      <c r="H144" s="61">
        <f t="shared" si="13"/>
        <v>1</v>
      </c>
      <c r="I144" t="str">
        <f>IF(FT!B144&lt;&gt;"",FT!E144,"")</f>
        <v>2 [57.685458]</v>
      </c>
      <c r="J144">
        <f>IF(FT!B144&lt;&gt;"",FT!C144,"")</f>
        <v>57.685499999999998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4.8494799999999998</v>
      </c>
      <c r="G145" s="61">
        <f>IF(FT!B145&lt;&gt;"",FT!B145*100,"")</f>
        <v>35.029199999999996</v>
      </c>
      <c r="H145" s="61">
        <f t="shared" si="13"/>
        <v>1</v>
      </c>
      <c r="I145" t="str">
        <f>IF(FT!B145&lt;&gt;"",FT!E145,"")</f>
        <v>2 [58.095548]</v>
      </c>
      <c r="J145">
        <f>IF(FT!B145&lt;&gt;"",FT!C145,"")</f>
        <v>58.095500000000001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4.8140499999999999</v>
      </c>
      <c r="G146" s="61">
        <f>IF(FT!B146&lt;&gt;"",FT!B146*100,"")</f>
        <v>35.020299999999999</v>
      </c>
      <c r="H146" s="61">
        <f t="shared" si="13"/>
        <v>1</v>
      </c>
      <c r="I146" t="str">
        <f>IF(FT!B146&lt;&gt;"",FT!E146,"")</f>
        <v>2 [58.501560]</v>
      </c>
      <c r="J146">
        <f>IF(FT!B146&lt;&gt;"",FT!C146,"")</f>
        <v>58.501600000000003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190404</v>
      </c>
      <c r="D147" s="61">
        <f>FH!B147*1</f>
        <v>190404</v>
      </c>
      <c r="E147">
        <f t="shared" si="15"/>
        <v>145</v>
      </c>
      <c r="F147" s="61">
        <f>IF(FT!A147&lt;&gt;"",FT!A147*10,"")</f>
        <v>4.7667000000000002</v>
      </c>
      <c r="G147" s="61">
        <f>IF(FT!B147&lt;&gt;"",FT!B147*100,"")</f>
        <v>35.0212</v>
      </c>
      <c r="H147" s="61">
        <f t="shared" si="13"/>
        <v>1</v>
      </c>
      <c r="I147" t="str">
        <f>IF(FT!B147&lt;&gt;"",FT!E147,"")</f>
        <v>2 [58.903522]</v>
      </c>
      <c r="J147">
        <f>IF(FT!B147&lt;&gt;"",FT!C147,"")</f>
        <v>58.903500000000001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4.7150599999999994</v>
      </c>
      <c r="G148" s="61">
        <f>IF(FT!B148&lt;&gt;"",FT!B148*100,"")</f>
        <v>35.232900000000001</v>
      </c>
      <c r="H148" s="61">
        <f t="shared" si="13"/>
        <v>1</v>
      </c>
      <c r="I148" t="str">
        <f>IF(FT!B148&lt;&gt;"",FT!E148,"")</f>
        <v>2 [59.309407]</v>
      </c>
      <c r="J148">
        <f>IF(FT!B148&lt;&gt;"",FT!C148,"")</f>
        <v>59.309399999999997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184009</v>
      </c>
      <c r="D149" s="61">
        <f>FH!B149*1</f>
        <v>184009</v>
      </c>
      <c r="E149">
        <f t="shared" si="15"/>
        <v>147</v>
      </c>
      <c r="F149" s="61">
        <f>IF(FT!A149&lt;&gt;"",FT!A149*10,"")</f>
        <v>4.6856599999999995</v>
      </c>
      <c r="G149" s="61">
        <f>IF(FT!B149&lt;&gt;"",FT!B149*100,"")</f>
        <v>35.793199999999999</v>
      </c>
      <c r="H149" s="61">
        <f t="shared" si="13"/>
        <v>1</v>
      </c>
      <c r="I149" t="str">
        <f>IF(FT!B149&lt;&gt;"",FT!E149,"")</f>
        <v>2 [59.714530]</v>
      </c>
      <c r="J149">
        <f>IF(FT!B149&lt;&gt;"",FT!C149,"")</f>
        <v>59.714500000000001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168985</v>
      </c>
      <c r="D152" s="61">
        <f>FH!B152*1</f>
        <v>168985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167716</v>
      </c>
      <c r="D154" s="61">
        <f>FH!B154*1</f>
        <v>167716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160020</v>
      </c>
      <c r="D157" s="61">
        <f>FH!B157*1</f>
        <v>160020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143506</v>
      </c>
      <c r="D160" s="61">
        <f>FH!B160*1</f>
        <v>143506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144926</v>
      </c>
      <c r="D162" s="61">
        <f>FH!B162*1</f>
        <v>144926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133270</v>
      </c>
      <c r="D165" s="61">
        <f>FH!B165*1</f>
        <v>133270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120036</v>
      </c>
      <c r="D167" s="61">
        <f>FH!B167*1</f>
        <v>120036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113105</v>
      </c>
      <c r="D170" s="61">
        <f>FH!B170*1</f>
        <v>113105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110765</v>
      </c>
      <c r="D173" s="61">
        <f>FH!B173*1</f>
        <v>110765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98466</v>
      </c>
      <c r="D175" s="61">
        <f>FH!B175*1</f>
        <v>98466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81747</v>
      </c>
      <c r="D178" s="61">
        <f>FH!B178*1</f>
        <v>81747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68620</v>
      </c>
      <c r="D180" s="61">
        <f>FH!B180*1</f>
        <v>68620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60402</v>
      </c>
      <c r="D183" s="61">
        <f>FH!B183*1</f>
        <v>60402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40259</v>
      </c>
      <c r="D185" s="61">
        <f>FH!B185*1</f>
        <v>40259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30342</v>
      </c>
      <c r="D188" s="61">
        <f>FH!B188*1</f>
        <v>30342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24999</v>
      </c>
      <c r="D191" s="61">
        <f>FH!B191*1</f>
        <v>24999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19088</v>
      </c>
      <c r="D193" s="61">
        <f>FH!B193*1</f>
        <v>19088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8838</v>
      </c>
      <c r="D196" s="61">
        <f>FH!B196*1</f>
        <v>8838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5433</v>
      </c>
      <c r="D198" s="61">
        <f>FH!B198*1</f>
        <v>5433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2184</v>
      </c>
      <c r="D201" s="61">
        <f>FH!B201*1</f>
        <v>2184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1655</v>
      </c>
      <c r="D203" s="61">
        <f>FH!B203*1</f>
        <v>1655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1298</v>
      </c>
      <c r="D206" s="61">
        <f>FH!B206*1</f>
        <v>1298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1629</v>
      </c>
      <c r="D209" s="61">
        <f>FH!B209*1</f>
        <v>1629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1115</v>
      </c>
      <c r="D211" s="61">
        <f>FH!B211*1</f>
        <v>1115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346</v>
      </c>
      <c r="D214" s="61">
        <f>FH!B214*1</f>
        <v>346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47.960500000000003</v>
      </c>
      <c r="C5" s="66">
        <v>11.840299999999999</v>
      </c>
      <c r="D5" s="66">
        <v>24.6875</v>
      </c>
      <c r="E5" s="66">
        <v>20</v>
      </c>
      <c r="F5" s="66">
        <v>9.9804999999999993</v>
      </c>
      <c r="G5" s="66">
        <v>50</v>
      </c>
      <c r="H5" s="66">
        <v>57.9773</v>
      </c>
    </row>
    <row r="6" spans="1:8">
      <c r="A6" s="58" t="s">
        <v>303</v>
      </c>
      <c r="B6" s="66">
        <v>23.5077</v>
      </c>
      <c r="C6" s="66">
        <v>3.5293999999999999</v>
      </c>
      <c r="D6" s="66">
        <v>15.0138</v>
      </c>
      <c r="E6" s="66">
        <v>20</v>
      </c>
      <c r="F6" s="66">
        <v>16.381499999999999</v>
      </c>
      <c r="G6" s="66">
        <v>40</v>
      </c>
      <c r="H6" s="66">
        <v>28.378299999999999</v>
      </c>
    </row>
    <row r="7" spans="1:8">
      <c r="A7" s="58" t="s">
        <v>304</v>
      </c>
      <c r="B7" s="66">
        <v>26.828600000000002</v>
      </c>
      <c r="C7" s="66">
        <v>6.34415</v>
      </c>
      <c r="D7" s="66">
        <v>23.646999999999998</v>
      </c>
      <c r="E7" s="66">
        <v>15</v>
      </c>
      <c r="F7" s="66">
        <v>6.7146299999999997</v>
      </c>
      <c r="G7" s="66">
        <v>40</v>
      </c>
      <c r="H7" s="66">
        <v>37.368600000000001</v>
      </c>
    </row>
    <row r="8" spans="1:8">
      <c r="A8" s="58" t="s">
        <v>305</v>
      </c>
      <c r="B8" s="66">
        <v>33.640900000000002</v>
      </c>
      <c r="C8" s="66">
        <v>6.4175500000000003</v>
      </c>
      <c r="D8" s="66">
        <v>19.076599999999999</v>
      </c>
      <c r="E8" s="66">
        <v>20</v>
      </c>
      <c r="F8" s="66">
        <v>14.845800000000001</v>
      </c>
      <c r="G8" s="66">
        <v>50</v>
      </c>
      <c r="H8" s="66">
        <v>38.9559</v>
      </c>
    </row>
    <row r="9" spans="1:8">
      <c r="A9" s="58" t="s">
        <v>306</v>
      </c>
      <c r="B9" s="66">
        <v>69.594499999999996</v>
      </c>
      <c r="C9" s="66">
        <v>3.9486599999999998</v>
      </c>
      <c r="D9" s="66">
        <v>5.6738200000000001</v>
      </c>
      <c r="E9" s="66">
        <v>50</v>
      </c>
      <c r="F9" s="66">
        <v>59.891199999999998</v>
      </c>
      <c r="G9" s="66">
        <v>100</v>
      </c>
      <c r="H9" s="66">
        <v>79.059100000000001</v>
      </c>
    </row>
    <row r="10" spans="1:8">
      <c r="A10" s="58" t="s">
        <v>307</v>
      </c>
      <c r="B10" s="66">
        <v>80.000100000000003</v>
      </c>
      <c r="C10" s="66">
        <v>4.8628799999999996</v>
      </c>
      <c r="D10" s="66">
        <v>6.0785900000000002</v>
      </c>
      <c r="E10" s="66">
        <v>40</v>
      </c>
      <c r="F10" s="66">
        <v>73.344499999999996</v>
      </c>
      <c r="G10" s="66">
        <v>100</v>
      </c>
      <c r="H10" s="66">
        <v>90.260900000000007</v>
      </c>
    </row>
    <row r="11" spans="1:8">
      <c r="A11" s="58" t="s">
        <v>308</v>
      </c>
      <c r="B11" s="66">
        <v>35.023499999999999</v>
      </c>
      <c r="C11" s="66">
        <v>8.3049599999999995</v>
      </c>
      <c r="D11" s="66">
        <v>23.712499999999999</v>
      </c>
      <c r="E11" s="66">
        <v>10</v>
      </c>
      <c r="F11" s="66">
        <v>9.5020699999999998</v>
      </c>
      <c r="G11" s="66">
        <v>50</v>
      </c>
      <c r="H11" s="66">
        <v>45.186700000000002</v>
      </c>
    </row>
    <row r="12" spans="1:8">
      <c r="A12" s="58" t="s">
        <v>309</v>
      </c>
      <c r="B12" s="66">
        <v>74.222700000000003</v>
      </c>
      <c r="C12" s="66">
        <v>3.5300799999999999</v>
      </c>
      <c r="D12" s="66">
        <v>4.7560700000000002</v>
      </c>
      <c r="E12" s="66">
        <v>50</v>
      </c>
      <c r="F12" s="66">
        <v>67.284999999999997</v>
      </c>
      <c r="G12" s="66">
        <v>100</v>
      </c>
      <c r="H12" s="66">
        <v>84.393100000000004</v>
      </c>
    </row>
    <row r="13" spans="1:8">
      <c r="A13" s="58" t="s">
        <v>310</v>
      </c>
      <c r="B13" s="66">
        <v>23.867000000000001</v>
      </c>
      <c r="C13" s="66">
        <v>3.2399</v>
      </c>
      <c r="D13" s="66">
        <v>13.5748</v>
      </c>
      <c r="E13" s="66">
        <v>10</v>
      </c>
      <c r="F13" s="66">
        <v>17.470099999999999</v>
      </c>
      <c r="G13" s="66">
        <v>25</v>
      </c>
      <c r="H13" s="66">
        <v>35.877400000000002</v>
      </c>
    </row>
    <row r="14" spans="1:8">
      <c r="A14" s="58" t="s">
        <v>311</v>
      </c>
      <c r="B14" s="66">
        <v>32.399000000000001</v>
      </c>
      <c r="C14" s="66">
        <v>12.775700000000001</v>
      </c>
      <c r="D14" s="66">
        <v>39.432600000000001</v>
      </c>
      <c r="E14" s="66">
        <v>10</v>
      </c>
      <c r="F14" s="66">
        <v>3.38829</v>
      </c>
      <c r="G14" s="66">
        <v>50</v>
      </c>
      <c r="H14" s="66">
        <v>53.828400000000002</v>
      </c>
    </row>
    <row r="15" spans="1:8">
      <c r="A15" s="58" t="s">
        <v>312</v>
      </c>
      <c r="B15" s="66">
        <v>7.5247999999999995E-2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7.1981400000000001E-2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17.565300000000001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0.50716399999999995</v>
      </c>
      <c r="C18" s="66">
        <v>9.2026700000000003E-2</v>
      </c>
      <c r="D18" s="66">
        <v>0.181454</v>
      </c>
      <c r="E18" s="66">
        <v>0</v>
      </c>
      <c r="F18" s="66">
        <v>0.41513699999999998</v>
      </c>
      <c r="G18" s="66">
        <v>0</v>
      </c>
      <c r="H18" s="66">
        <v>0.59919100000000003</v>
      </c>
    </row>
    <row r="19" spans="1:8">
      <c r="A19" s="58" t="s">
        <v>316</v>
      </c>
      <c r="B19" s="66">
        <v>0.45883000000000002</v>
      </c>
      <c r="C19" s="66">
        <v>1.76533E-2</v>
      </c>
      <c r="D19" s="66">
        <v>3.8474700000000001E-2</v>
      </c>
      <c r="E19" s="66">
        <v>0</v>
      </c>
      <c r="F19" s="66">
        <v>0.44117600000000001</v>
      </c>
      <c r="G19" s="66">
        <v>0</v>
      </c>
      <c r="H19" s="66">
        <v>0.47648299999999999</v>
      </c>
    </row>
    <row r="20" spans="1:8">
      <c r="A20" s="58" t="s">
        <v>317</v>
      </c>
      <c r="B20" s="66">
        <v>4.4782099999999998E-3</v>
      </c>
      <c r="C20" s="66">
        <v>5.1149600000000003E-2</v>
      </c>
      <c r="D20" s="66">
        <v>11.421900000000001</v>
      </c>
      <c r="E20" s="66">
        <v>0</v>
      </c>
      <c r="F20" s="196">
        <v>1.63742E-5</v>
      </c>
      <c r="G20" s="66">
        <v>0</v>
      </c>
      <c r="H20" s="66">
        <v>0.60427799999999998</v>
      </c>
    </row>
    <row r="21" spans="1:8">
      <c r="A21" s="58" t="s">
        <v>318</v>
      </c>
      <c r="B21" s="66">
        <v>0.260486</v>
      </c>
      <c r="C21" s="66">
        <v>0.413914</v>
      </c>
      <c r="D21" s="66">
        <v>1.58901</v>
      </c>
      <c r="E21" s="66">
        <v>0</v>
      </c>
      <c r="F21" s="66">
        <v>5.78182E-3</v>
      </c>
      <c r="G21" s="66">
        <v>0</v>
      </c>
      <c r="H21" s="66">
        <v>3.0510899999999999</v>
      </c>
    </row>
    <row r="22" spans="1:8">
      <c r="A22" s="58" t="s">
        <v>319</v>
      </c>
      <c r="B22" s="66">
        <v>46.128999999999998</v>
      </c>
      <c r="C22" s="66">
        <v>10.510300000000001</v>
      </c>
      <c r="D22" s="66">
        <v>0.22784499999999999</v>
      </c>
      <c r="E22" s="66">
        <v>0</v>
      </c>
      <c r="F22" s="66">
        <v>30.0031</v>
      </c>
      <c r="G22" s="66">
        <v>0</v>
      </c>
      <c r="H22" s="66">
        <v>95.137699999999995</v>
      </c>
    </row>
    <row r="23" spans="1:8">
      <c r="A23" s="58" t="s">
        <v>320</v>
      </c>
      <c r="B23" s="66">
        <v>24.3704</v>
      </c>
      <c r="C23" s="66">
        <v>5.4580500000000001</v>
      </c>
      <c r="D23" s="66">
        <v>0.22396199999999999</v>
      </c>
      <c r="E23" s="66">
        <v>0</v>
      </c>
      <c r="F23" s="66">
        <v>11.615399999999999</v>
      </c>
      <c r="G23" s="66">
        <v>0</v>
      </c>
      <c r="H23" s="66">
        <v>34.452500000000001</v>
      </c>
    </row>
    <row r="24" spans="1:8">
      <c r="A24" s="58" t="s">
        <v>321</v>
      </c>
      <c r="B24" s="66">
        <v>8.5946000000000009E-3</v>
      </c>
      <c r="C24" s="66">
        <v>3.5399800000000002E-2</v>
      </c>
      <c r="D24" s="66">
        <v>4.1188399999999996</v>
      </c>
      <c r="E24" s="66">
        <v>0</v>
      </c>
      <c r="F24" s="66">
        <v>2.9920899999999999E-4</v>
      </c>
      <c r="G24" s="66">
        <v>0</v>
      </c>
      <c r="H24" s="66">
        <v>0.32996300000000001</v>
      </c>
    </row>
    <row r="25" spans="1:8">
      <c r="A25" s="58" t="s">
        <v>322</v>
      </c>
      <c r="B25" s="66">
        <v>0.30287799999999998</v>
      </c>
      <c r="C25" s="66">
        <v>0.25179000000000001</v>
      </c>
      <c r="D25" s="66">
        <v>0.83132300000000003</v>
      </c>
      <c r="E25" s="66">
        <v>0</v>
      </c>
      <c r="F25" s="66">
        <v>0.122866</v>
      </c>
      <c r="G25" s="66">
        <v>0</v>
      </c>
      <c r="H25" s="66">
        <v>1.27668</v>
      </c>
    </row>
    <row r="26" spans="1:8">
      <c r="A26" s="58" t="s">
        <v>323</v>
      </c>
      <c r="B26" s="66">
        <v>1.2572200000000001E-3</v>
      </c>
      <c r="C26" s="66">
        <v>4.7349799999999997E-3</v>
      </c>
      <c r="D26" s="66">
        <v>3.7662300000000002</v>
      </c>
      <c r="E26" s="66">
        <v>0</v>
      </c>
      <c r="F26" s="196">
        <v>3.2825599999999999E-6</v>
      </c>
      <c r="G26" s="66">
        <v>0</v>
      </c>
      <c r="H26" s="66">
        <v>5.3118400000000003E-2</v>
      </c>
    </row>
    <row r="27" spans="1:8">
      <c r="A27" s="58" t="s">
        <v>324</v>
      </c>
      <c r="B27" s="196">
        <v>-2.62605E-5</v>
      </c>
      <c r="C27" s="66">
        <v>2.2879599999999999E-3</v>
      </c>
      <c r="D27" s="66">
        <v>-87.125699999999995</v>
      </c>
      <c r="E27" s="66">
        <v>0</v>
      </c>
      <c r="F27" s="66">
        <v>-2.3417799999999999E-2</v>
      </c>
      <c r="G27" s="66">
        <v>0</v>
      </c>
      <c r="H27" s="66">
        <v>2.4760399999999998E-2</v>
      </c>
    </row>
    <row r="28" spans="1:8">
      <c r="A28" s="58" t="s">
        <v>325</v>
      </c>
      <c r="B28" s="66">
        <v>3.0696600000000001E-2</v>
      </c>
      <c r="C28" s="66">
        <v>2.8757999999999999E-2</v>
      </c>
      <c r="D28" s="66">
        <v>0.93684699999999999</v>
      </c>
      <c r="E28" s="66">
        <v>0</v>
      </c>
      <c r="F28" s="66">
        <v>1.29232E-3</v>
      </c>
      <c r="G28" s="66">
        <v>0</v>
      </c>
      <c r="H28" s="66">
        <v>0.165635</v>
      </c>
    </row>
    <row r="29" spans="1:8">
      <c r="A29" s="58" t="s">
        <v>326</v>
      </c>
      <c r="B29" s="66">
        <v>77.255700000000004</v>
      </c>
      <c r="C29" s="66">
        <v>7.8030200000000001</v>
      </c>
      <c r="D29" s="66">
        <v>0.10100199999999999</v>
      </c>
      <c r="E29" s="66">
        <v>0</v>
      </c>
      <c r="F29" s="66">
        <v>59.039200000000001</v>
      </c>
      <c r="G29" s="66">
        <v>0</v>
      </c>
      <c r="H29" s="66">
        <v>103.002</v>
      </c>
    </row>
    <row r="30" spans="1:8">
      <c r="A30" s="58" t="s">
        <v>327</v>
      </c>
      <c r="B30" s="66">
        <v>34.945</v>
      </c>
      <c r="C30" s="66">
        <v>7.64689</v>
      </c>
      <c r="D30" s="66">
        <v>0.21882599999999999</v>
      </c>
      <c r="E30" s="66">
        <v>0</v>
      </c>
      <c r="F30" s="66">
        <v>11.1904</v>
      </c>
      <c r="G30" s="66">
        <v>0</v>
      </c>
      <c r="H30" s="66">
        <v>41.994799999999998</v>
      </c>
    </row>
    <row r="31" spans="1:8">
      <c r="A31" s="58" t="s">
        <v>328</v>
      </c>
      <c r="B31" s="66">
        <v>244.06899999999999</v>
      </c>
      <c r="C31" s="66">
        <v>48.886699999999998</v>
      </c>
      <c r="D31" s="66">
        <v>0.200299</v>
      </c>
      <c r="E31" s="66">
        <v>0</v>
      </c>
      <c r="F31" s="66">
        <v>62.600499999999997</v>
      </c>
      <c r="G31" s="66">
        <v>0</v>
      </c>
      <c r="H31" s="66">
        <v>284.86500000000001</v>
      </c>
    </row>
    <row r="32" spans="1:8">
      <c r="A32" s="58" t="s">
        <v>329</v>
      </c>
      <c r="B32" s="66">
        <v>0.26828600000000002</v>
      </c>
      <c r="C32" s="66">
        <v>6.3441499999999998E-2</v>
      </c>
      <c r="D32" s="66">
        <v>0.23647000000000001</v>
      </c>
      <c r="E32" s="66">
        <v>0.15</v>
      </c>
      <c r="F32" s="66">
        <v>6.7146300000000006E-2</v>
      </c>
      <c r="G32" s="66">
        <v>0.4</v>
      </c>
      <c r="H32" s="66">
        <v>0.37368600000000002</v>
      </c>
    </row>
    <row r="33" spans="1:8">
      <c r="A33" s="58" t="s">
        <v>330</v>
      </c>
      <c r="B33" s="66">
        <v>0.35488599999999998</v>
      </c>
      <c r="C33" s="66">
        <v>4.5991700000000003E-2</v>
      </c>
      <c r="D33" s="66">
        <v>0.12959599999999999</v>
      </c>
      <c r="E33" s="66">
        <v>0</v>
      </c>
      <c r="F33" s="66">
        <v>0.31528699999999998</v>
      </c>
      <c r="G33" s="66">
        <v>0</v>
      </c>
      <c r="H33" s="66">
        <v>0.48842799999999997</v>
      </c>
    </row>
    <row r="34" spans="1:8">
      <c r="A34" s="58" t="s">
        <v>331</v>
      </c>
      <c r="B34" s="66">
        <v>0.23866999999999999</v>
      </c>
      <c r="C34" s="66">
        <v>3.2398999999999997E-2</v>
      </c>
      <c r="D34" s="66">
        <v>0.13574800000000001</v>
      </c>
      <c r="E34" s="66">
        <v>0.1</v>
      </c>
      <c r="F34" s="66">
        <v>0.174701</v>
      </c>
      <c r="G34" s="66">
        <v>0.25</v>
      </c>
      <c r="H34" s="66">
        <v>0.35877399999999998</v>
      </c>
    </row>
    <row r="35" spans="1:8">
      <c r="A35" s="58" t="s">
        <v>332</v>
      </c>
      <c r="B35" s="66">
        <v>9.6237100000000006E-2</v>
      </c>
      <c r="C35" s="66">
        <v>2.69445E-2</v>
      </c>
      <c r="D35" s="66">
        <v>0.27998000000000001</v>
      </c>
      <c r="E35" s="66">
        <v>0</v>
      </c>
      <c r="F35" s="66">
        <v>3.8815799999999998E-2</v>
      </c>
      <c r="G35" s="66">
        <v>0</v>
      </c>
      <c r="H35" s="66">
        <v>0.18313299999999999</v>
      </c>
    </row>
    <row r="36" spans="1:8">
      <c r="A36" s="58" t="s">
        <v>333</v>
      </c>
      <c r="B36" s="66">
        <v>0.20607</v>
      </c>
      <c r="C36" s="66">
        <v>0.11004</v>
      </c>
      <c r="D36" s="66">
        <v>0.53399300000000005</v>
      </c>
      <c r="E36" s="66">
        <v>0</v>
      </c>
      <c r="F36" s="66">
        <v>3.4028599999999999E-2</v>
      </c>
      <c r="G36" s="66">
        <v>0</v>
      </c>
      <c r="H36" s="66">
        <v>0.61835399999999996</v>
      </c>
    </row>
    <row r="37" spans="1:8">
      <c r="A37" s="58" t="s">
        <v>334</v>
      </c>
      <c r="B37" s="66">
        <v>0.32399</v>
      </c>
      <c r="C37" s="66">
        <v>0.12775700000000001</v>
      </c>
      <c r="D37" s="66">
        <v>0.39432600000000001</v>
      </c>
      <c r="E37" s="66">
        <v>0.1</v>
      </c>
      <c r="F37" s="66">
        <v>3.3882900000000001E-2</v>
      </c>
      <c r="G37" s="66">
        <v>0.5</v>
      </c>
      <c r="H37" s="66">
        <v>0.53828399999999998</v>
      </c>
    </row>
    <row r="38" spans="1:8">
      <c r="A38" s="58" t="s">
        <v>335</v>
      </c>
      <c r="B38" s="66">
        <v>-19.346699999999998</v>
      </c>
      <c r="C38" s="66">
        <v>50.375500000000002</v>
      </c>
      <c r="D38" s="66">
        <v>-2.6038299999999999</v>
      </c>
      <c r="E38" s="66">
        <v>0</v>
      </c>
      <c r="F38" s="66">
        <v>-318.88</v>
      </c>
      <c r="G38" s="66">
        <v>0</v>
      </c>
      <c r="H38" s="66">
        <v>372.166</v>
      </c>
    </row>
    <row r="39" spans="1:8">
      <c r="A39" s="58" t="s">
        <v>336</v>
      </c>
      <c r="B39" s="66">
        <v>-6.6762899999999998</v>
      </c>
      <c r="C39" s="66">
        <v>5.14635</v>
      </c>
      <c r="D39" s="66">
        <v>-0.77083900000000005</v>
      </c>
      <c r="E39" s="66">
        <v>0</v>
      </c>
      <c r="F39" s="66">
        <v>-18.265599999999999</v>
      </c>
      <c r="G39" s="66">
        <v>0</v>
      </c>
      <c r="H39" s="66">
        <v>22.063300000000002</v>
      </c>
    </row>
    <row r="40" spans="1:8">
      <c r="A40" s="58" t="s">
        <v>337</v>
      </c>
      <c r="B40" s="66">
        <v>-3.0451899999999998</v>
      </c>
      <c r="C40" s="66">
        <v>0.85863800000000001</v>
      </c>
      <c r="D40" s="66">
        <v>-0.28196599999999999</v>
      </c>
      <c r="E40" s="66">
        <v>0</v>
      </c>
      <c r="F40" s="66">
        <v>-4.5904699999999998</v>
      </c>
      <c r="G40" s="66">
        <v>0</v>
      </c>
      <c r="H40" s="66">
        <v>-0.76273000000000002</v>
      </c>
    </row>
    <row r="41" spans="1:8">
      <c r="A41" s="58" t="s">
        <v>338</v>
      </c>
      <c r="B41" s="66">
        <v>-0.11515599999999999</v>
      </c>
      <c r="C41" s="66">
        <v>0.208227</v>
      </c>
      <c r="D41" s="66">
        <v>-1.8082100000000001</v>
      </c>
      <c r="E41" s="66">
        <v>0</v>
      </c>
      <c r="F41" s="66">
        <v>-0.83333299999999999</v>
      </c>
      <c r="G41" s="66">
        <v>0</v>
      </c>
      <c r="H41" s="66">
        <v>0.86063000000000001</v>
      </c>
    </row>
    <row r="42" spans="1:8">
      <c r="A42" s="58" t="s">
        <v>339</v>
      </c>
      <c r="B42" s="66">
        <v>-0.13692699999999999</v>
      </c>
      <c r="C42" s="66">
        <v>7.8223500000000001E-2</v>
      </c>
      <c r="D42" s="66">
        <v>-0.57127700000000003</v>
      </c>
      <c r="E42" s="66">
        <v>0</v>
      </c>
      <c r="F42" s="66">
        <v>-0.28400199999999998</v>
      </c>
      <c r="G42" s="66">
        <v>0</v>
      </c>
      <c r="H42" s="66">
        <v>0.15703800000000001</v>
      </c>
    </row>
    <row r="43" spans="1:8">
      <c r="A43" s="58" t="s">
        <v>340</v>
      </c>
      <c r="B43" s="66">
        <v>-8.5433700000000001E-2</v>
      </c>
      <c r="C43" s="66">
        <v>4.2842199999999997E-2</v>
      </c>
      <c r="D43" s="66">
        <v>-0.50146800000000002</v>
      </c>
      <c r="E43" s="66">
        <v>0</v>
      </c>
      <c r="F43" s="66">
        <v>-0.158078</v>
      </c>
      <c r="G43" s="66">
        <v>0</v>
      </c>
      <c r="H43" s="66">
        <v>8.8760799999999997E-3</v>
      </c>
    </row>
    <row r="44" spans="1:8">
      <c r="A44" s="58" t="s">
        <v>341</v>
      </c>
      <c r="B44" s="66">
        <v>-1.27885</v>
      </c>
      <c r="C44" s="66">
        <v>14.8704</v>
      </c>
      <c r="D44" s="66">
        <v>-11.6279</v>
      </c>
      <c r="E44" s="66">
        <v>0</v>
      </c>
      <c r="F44" s="66">
        <v>-37.712899999999998</v>
      </c>
      <c r="G44" s="66">
        <v>0</v>
      </c>
      <c r="H44" s="66">
        <v>20.086099999999998</v>
      </c>
    </row>
    <row r="45" spans="1:8">
      <c r="A45" s="58" t="s">
        <v>342</v>
      </c>
      <c r="B45" s="66">
        <v>47.413800000000002</v>
      </c>
      <c r="C45" s="66">
        <v>5.1151900000000001</v>
      </c>
      <c r="D45" s="66">
        <v>0.10788399999999999</v>
      </c>
      <c r="E45" s="66">
        <v>0</v>
      </c>
      <c r="F45" s="66">
        <v>33.727499999999999</v>
      </c>
      <c r="G45" s="66">
        <v>0</v>
      </c>
      <c r="H45" s="66">
        <v>63.600099999999998</v>
      </c>
    </row>
    <row r="46" spans="1:8">
      <c r="A46" s="58" t="s">
        <v>343</v>
      </c>
      <c r="B46" s="66">
        <v>34.383499999999998</v>
      </c>
      <c r="C46" s="66">
        <v>9.15184</v>
      </c>
      <c r="D46" s="66">
        <v>0.26617000000000002</v>
      </c>
      <c r="E46" s="66">
        <v>0</v>
      </c>
      <c r="F46" s="66">
        <v>5.4974600000000002</v>
      </c>
      <c r="G46" s="66">
        <v>0</v>
      </c>
      <c r="H46" s="66">
        <v>40.464799999999997</v>
      </c>
    </row>
    <row r="47" spans="1:8">
      <c r="A47" s="58" t="s">
        <v>344</v>
      </c>
      <c r="B47" s="66">
        <v>1.8268800000000001</v>
      </c>
      <c r="C47" s="66">
        <v>0.622143</v>
      </c>
      <c r="D47" s="66">
        <v>0.34054899999999999</v>
      </c>
      <c r="E47" s="66">
        <v>0</v>
      </c>
      <c r="F47" s="66">
        <v>0.78224400000000005</v>
      </c>
      <c r="G47" s="66">
        <v>0</v>
      </c>
      <c r="H47" s="66">
        <v>4.00962</v>
      </c>
    </row>
    <row r="48" spans="1:8">
      <c r="A48" s="58" t="s">
        <v>345</v>
      </c>
      <c r="B48" s="66">
        <v>1.4843999999999999</v>
      </c>
      <c r="C48" s="66">
        <v>0.36985499999999999</v>
      </c>
      <c r="D48" s="66">
        <v>0.24916199999999999</v>
      </c>
      <c r="E48" s="66">
        <v>0</v>
      </c>
      <c r="F48" s="66">
        <v>0.98262400000000005</v>
      </c>
      <c r="G48" s="66">
        <v>0</v>
      </c>
      <c r="H48" s="66">
        <v>2.99579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12.488900000000001</v>
      </c>
      <c r="C5" s="66">
        <f>'M2'!C5-'M1'!C5</f>
        <v>-7.9822100000000002</v>
      </c>
      <c r="D5" s="66">
        <f>'M2'!D5-'M1'!D5</f>
        <v>-21.319520000000001</v>
      </c>
      <c r="E5" s="66">
        <f>'M2'!E5-'M1'!E5</f>
        <v>0</v>
      </c>
      <c r="F5" s="66">
        <f>'M2'!F5-'M1'!F5</f>
        <v>37.844000000000001</v>
      </c>
      <c r="G5" s="66">
        <f>'M2'!G5-'M1'!G5</f>
        <v>0</v>
      </c>
      <c r="H5" s="66">
        <f>'M2'!H5-'M1'!H5</f>
        <v>6.5234000000000023</v>
      </c>
    </row>
    <row r="6" spans="1:8">
      <c r="A6" s="66" t="s">
        <v>244</v>
      </c>
      <c r="B6" s="66">
        <f>'M2'!B6-'M1'!B6</f>
        <v>6.5169999999999995</v>
      </c>
      <c r="C6" s="66">
        <f>'M2'!C6-'M1'!C6</f>
        <v>-0.54334499999999997</v>
      </c>
      <c r="D6" s="66">
        <f>'M2'!D6-'M1'!D6</f>
        <v>-3.6379800000000002</v>
      </c>
      <c r="E6" s="66">
        <f>'M2'!E6-'M1'!E6</f>
        <v>0</v>
      </c>
      <c r="F6" s="66">
        <f>'M2'!F6-'M1'!F6</f>
        <v>7.470600000000001</v>
      </c>
      <c r="G6" s="66">
        <f>'M2'!G6-'M1'!G6</f>
        <v>0</v>
      </c>
      <c r="H6" s="66">
        <f>'M2'!H6-'M1'!H6</f>
        <v>5.2149999999999999</v>
      </c>
    </row>
    <row r="7" spans="1:8">
      <c r="A7" s="66" t="s">
        <v>245</v>
      </c>
      <c r="B7" s="66">
        <f>'M2'!B7-'M1'!B7</f>
        <v>7.4558999999999997</v>
      </c>
      <c r="C7" s="66">
        <f>'M2'!C7-'M1'!C7</f>
        <v>-3.8311599999999997</v>
      </c>
      <c r="D7" s="66">
        <f>'M2'!D7-'M1'!D7</f>
        <v>-20.472500000000004</v>
      </c>
      <c r="E7" s="66">
        <f>'M2'!E7-'M1'!E7</f>
        <v>0</v>
      </c>
      <c r="F7" s="66">
        <f>'M2'!F7-'M1'!F7</f>
        <v>14.25047</v>
      </c>
      <c r="G7" s="66">
        <f>'M2'!G7-'M1'!G7</f>
        <v>0</v>
      </c>
      <c r="H7" s="66">
        <f>'M2'!H7-'M1'!H7</f>
        <v>1.4793999999999983</v>
      </c>
    </row>
    <row r="8" spans="1:8">
      <c r="A8" s="66" t="s">
        <v>246</v>
      </c>
      <c r="B8" s="66">
        <f>'M2'!B8-'M1'!B8</f>
        <v>10.695800000000002</v>
      </c>
      <c r="C8" s="66">
        <f>'M2'!C8-'M1'!C8</f>
        <v>-3.31738</v>
      </c>
      <c r="D8" s="66">
        <f>'M2'!D8-'M1'!D8</f>
        <v>-14.633960000000002</v>
      </c>
      <c r="E8" s="66">
        <f>'M2'!E8-'M1'!E8</f>
        <v>0</v>
      </c>
      <c r="F8" s="66">
        <f>'M2'!F8-'M1'!F8</f>
        <v>17.949000000000002</v>
      </c>
      <c r="G8" s="66">
        <f>'M2'!G8-'M1'!G8</f>
        <v>0</v>
      </c>
      <c r="H8" s="66">
        <f>'M2'!H8-'M1'!H8</f>
        <v>4.5163000000000011</v>
      </c>
    </row>
    <row r="9" spans="1:8">
      <c r="A9" s="66" t="s">
        <v>247</v>
      </c>
      <c r="B9" s="66">
        <f>'M2'!B9-'M1'!B9</f>
        <v>-2.3585999999999956</v>
      </c>
      <c r="C9" s="66">
        <f>'M2'!C9-'M1'!C9</f>
        <v>-0.88769999999999971</v>
      </c>
      <c r="D9" s="66">
        <f>'M2'!D9-'M1'!D9</f>
        <v>-1.0920999999999994</v>
      </c>
      <c r="E9" s="66">
        <f>'M2'!E9-'M1'!E9</f>
        <v>0</v>
      </c>
      <c r="F9" s="66">
        <f>'M2'!F9-'M1'!F9</f>
        <v>0.84629999999999939</v>
      </c>
      <c r="G9" s="66">
        <f>'M2'!G9-'M1'!G9</f>
        <v>0</v>
      </c>
      <c r="H9" s="66">
        <f>'M2'!H9-'M1'!H9</f>
        <v>-2.5259999999999962</v>
      </c>
    </row>
    <row r="10" spans="1:8">
      <c r="A10" s="66" t="s">
        <v>248</v>
      </c>
      <c r="B10" s="66">
        <f>'M2'!B10-'M1'!B10</f>
        <v>-8.3876999999999953</v>
      </c>
      <c r="C10" s="66">
        <f>'M2'!C10-'M1'!C10</f>
        <v>-1.6314500000000001</v>
      </c>
      <c r="D10" s="66">
        <f>'M2'!D10-'M1'!D10</f>
        <v>-1.7487200000000001</v>
      </c>
      <c r="E10" s="66">
        <f>'M2'!E10-'M1'!E10</f>
        <v>0</v>
      </c>
      <c r="F10" s="66">
        <f>'M2'!F10-'M1'!F10</f>
        <v>-6.585400000000007</v>
      </c>
      <c r="G10" s="66">
        <f>'M2'!G10-'M1'!G10</f>
        <v>0</v>
      </c>
      <c r="H10" s="66">
        <f>'M2'!H10-'M1'!H10</f>
        <v>-10.259100000000004</v>
      </c>
    </row>
    <row r="11" spans="1:8">
      <c r="A11" s="66" t="s">
        <v>249</v>
      </c>
      <c r="B11" s="66">
        <f>'M2'!B11-'M1'!B11</f>
        <v>8.2073999999999963</v>
      </c>
      <c r="C11" s="66">
        <f>'M2'!C11-'M1'!C11</f>
        <v>-4.5293600000000005</v>
      </c>
      <c r="D11" s="66">
        <f>'M2'!D11-'M1'!D11</f>
        <v>-16.835630000000002</v>
      </c>
      <c r="E11" s="66">
        <f>'M2'!E11-'M1'!E11</f>
        <v>0</v>
      </c>
      <c r="F11" s="66">
        <f>'M2'!F11-'M1'!F11</f>
        <v>24.35923</v>
      </c>
      <c r="G11" s="66">
        <f>'M2'!G11-'M1'!G11</f>
        <v>0</v>
      </c>
      <c r="H11" s="66">
        <f>'M2'!H11-'M1'!H11</f>
        <v>4.3063000000000002</v>
      </c>
    </row>
    <row r="12" spans="1:8">
      <c r="A12" s="66" t="s">
        <v>250</v>
      </c>
      <c r="B12" s="66">
        <f>'M2'!B12-'M1'!B12</f>
        <v>-5.4453000000000031</v>
      </c>
      <c r="C12" s="66">
        <f>'M2'!C12-'M1'!C12</f>
        <v>-1.0606599999999999</v>
      </c>
      <c r="D12" s="66">
        <f>'M2'!D12-'M1'!D12</f>
        <v>-1.2022399999999998</v>
      </c>
      <c r="E12" s="66">
        <f>'M2'!E12-'M1'!E12</f>
        <v>0</v>
      </c>
      <c r="F12" s="66">
        <f>'M2'!F12-'M1'!F12</f>
        <v>-3.3256999999999977</v>
      </c>
      <c r="G12" s="66">
        <f>'M2'!G12-'M1'!G12</f>
        <v>0</v>
      </c>
      <c r="H12" s="66">
        <f>'M2'!H12-'M1'!H12</f>
        <v>-7.9928000000000026</v>
      </c>
    </row>
    <row r="13" spans="1:8">
      <c r="A13" s="66" t="s">
        <v>251</v>
      </c>
      <c r="B13" s="66">
        <f>'M2'!B13-'M1'!B13</f>
        <v>-0.69909999999999783</v>
      </c>
      <c r="C13" s="66">
        <f>'M2'!C13-'M1'!C13</f>
        <v>-0.6585700000000001</v>
      </c>
      <c r="D13" s="66">
        <f>'M2'!D13-'M1'!D13</f>
        <v>-2.3717000000000006</v>
      </c>
      <c r="E13" s="66">
        <f>'M2'!E13-'M1'!E13</f>
        <v>0</v>
      </c>
      <c r="F13" s="66">
        <f>'M2'!F13-'M1'!F13</f>
        <v>-1.5226000000000006</v>
      </c>
      <c r="G13" s="66">
        <f>'M2'!G13-'M1'!G13</f>
        <v>0</v>
      </c>
      <c r="H13" s="66">
        <f>'M2'!H13-'M1'!H13</f>
        <v>-5.5015000000000001</v>
      </c>
    </row>
    <row r="14" spans="1:8">
      <c r="A14" s="66" t="s">
        <v>252</v>
      </c>
      <c r="B14" s="66">
        <f>'M2'!B14-'M1'!B14</f>
        <v>-6.5856999999999992</v>
      </c>
      <c r="C14" s="66">
        <f>'M2'!C14-'M1'!C14</f>
        <v>-2.4603000000000002</v>
      </c>
      <c r="D14" s="66">
        <f>'M2'!D14-'M1'!D14</f>
        <v>0.41829999999999501</v>
      </c>
      <c r="E14" s="66">
        <f>'M2'!E14-'M1'!E14</f>
        <v>0</v>
      </c>
      <c r="F14" s="66">
        <f>'M2'!F14-'M1'!F14</f>
        <v>0.6458999999999997</v>
      </c>
      <c r="G14" s="66">
        <f>'M2'!G14-'M1'!G14</f>
        <v>0</v>
      </c>
      <c r="H14" s="66">
        <f>'M2'!H14-'M1'!H14</f>
        <v>-18.843400000000003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2.8994999999999937E-2</v>
      </c>
      <c r="C18" s="66">
        <f>'M2'!C18-'M1'!C18</f>
        <v>9.2026700000000003E-2</v>
      </c>
      <c r="D18" s="66">
        <f>'M2'!D18-'M1'!D18</f>
        <v>0.181454</v>
      </c>
      <c r="E18" s="66">
        <f>'M2'!E18-'M1'!E18</f>
        <v>0</v>
      </c>
      <c r="F18" s="66">
        <f>'M2'!F18-'M1'!F18</f>
        <v>0.41513699999999998</v>
      </c>
      <c r="G18" s="66">
        <f>'M2'!G18-'M1'!G18</f>
        <v>0</v>
      </c>
      <c r="H18" s="66">
        <f>'M2'!H18-'M1'!H18</f>
        <v>0.59919100000000003</v>
      </c>
    </row>
    <row r="19" spans="1:8">
      <c r="A19" s="66" t="s">
        <v>256</v>
      </c>
      <c r="B19" s="66">
        <f>'M2'!B19-'M1'!B19</f>
        <v>9.1112000000000026E-2</v>
      </c>
      <c r="C19" s="66">
        <f>'M2'!C19-'M1'!C19</f>
        <v>1.76533E-2</v>
      </c>
      <c r="D19" s="66">
        <f>'M2'!D19-'M1'!D19</f>
        <v>3.8474700000000001E-2</v>
      </c>
      <c r="E19" s="66">
        <f>'M2'!E19-'M1'!E19</f>
        <v>0</v>
      </c>
      <c r="F19" s="66">
        <f>'M2'!F19-'M1'!F19</f>
        <v>0.44117600000000001</v>
      </c>
      <c r="G19" s="66">
        <f>'M2'!G19-'M1'!G19</f>
        <v>0</v>
      </c>
      <c r="H19" s="66">
        <f>'M2'!H19-'M1'!H19</f>
        <v>0.47648299999999999</v>
      </c>
    </row>
    <row r="20" spans="1:8">
      <c r="A20" s="66" t="s">
        <v>63</v>
      </c>
      <c r="B20" s="66">
        <f>'M2'!B20-'M1'!B20</f>
        <v>-4.7327200000000002E-3</v>
      </c>
      <c r="C20" s="66">
        <f>'M2'!C20-'M1'!C20</f>
        <v>-3.5006200000000001E-2</v>
      </c>
      <c r="D20" s="66">
        <f>'M2'!D20-'M1'!D20</f>
        <v>2.4075699999999998</v>
      </c>
      <c r="E20" s="66">
        <f>'M2'!E20-'M1'!E20</f>
        <v>0</v>
      </c>
      <c r="F20" s="66">
        <f>'M2'!F20-'M1'!F20</f>
        <v>1.1756679999999999E-4</v>
      </c>
      <c r="G20" s="66">
        <f>'M2'!G20-'M1'!G20</f>
        <v>0</v>
      </c>
      <c r="H20" s="66">
        <f>'M2'!H20-'M1'!H20</f>
        <v>-0.38812599999999997</v>
      </c>
    </row>
    <row r="21" spans="1:8">
      <c r="A21" s="66" t="s">
        <v>64</v>
      </c>
      <c r="B21" s="66">
        <f>'M2'!B21-'M1'!B21</f>
        <v>-0.19488299999999997</v>
      </c>
      <c r="C21" s="66">
        <f>'M2'!C21-'M1'!C21</f>
        <v>-0.30741600000000002</v>
      </c>
      <c r="D21" s="66">
        <f>'M2'!D21-'M1'!D21</f>
        <v>-0.25419999999999998</v>
      </c>
      <c r="E21" s="66">
        <f>'M2'!E21-'M1'!E21</f>
        <v>0</v>
      </c>
      <c r="F21" s="66">
        <f>'M2'!F21-'M1'!F21</f>
        <v>1.7429999999999963E-4</v>
      </c>
      <c r="G21" s="66">
        <f>'M2'!G21-'M1'!G21</f>
        <v>0</v>
      </c>
      <c r="H21" s="66">
        <f>'M2'!H21-'M1'!H21</f>
        <v>-2.0152099999999997</v>
      </c>
    </row>
    <row r="22" spans="1:8">
      <c r="A22" s="66" t="s">
        <v>65</v>
      </c>
      <c r="B22" s="66">
        <f>'M2'!B22-'M1'!B22</f>
        <v>-7.4239999999999995</v>
      </c>
      <c r="C22" s="66">
        <f>'M2'!C22-'M1'!C22</f>
        <v>-6.3262800000000006</v>
      </c>
      <c r="D22" s="66">
        <f>'M2'!D22-'M1'!D22</f>
        <v>-0.104936</v>
      </c>
      <c r="E22" s="66">
        <f>'M2'!E22-'M1'!E22</f>
        <v>0</v>
      </c>
      <c r="F22" s="66">
        <f>'M2'!F22-'M1'!F22</f>
        <v>-8.3441999999999972</v>
      </c>
      <c r="G22" s="66">
        <f>'M2'!G22-'M1'!G22</f>
        <v>0</v>
      </c>
      <c r="H22" s="66">
        <f>'M2'!H22-'M1'!H22</f>
        <v>-32.265599999999992</v>
      </c>
    </row>
    <row r="23" spans="1:8">
      <c r="A23" s="66" t="s">
        <v>66</v>
      </c>
      <c r="B23" s="66">
        <f>'M2'!B23-'M1'!B23</f>
        <v>-8.1953999999999994</v>
      </c>
      <c r="C23" s="66">
        <f>'M2'!C23-'M1'!C23</f>
        <v>-4.5599000000000007</v>
      </c>
      <c r="D23" s="66">
        <f>'M2'!D23-'M1'!D23</f>
        <v>-0.11888199999999999</v>
      </c>
      <c r="E23" s="66">
        <f>'M2'!E23-'M1'!E23</f>
        <v>0</v>
      </c>
      <c r="F23" s="66">
        <f>'M2'!F23-'M1'!F23</f>
        <v>7.4443000000000001</v>
      </c>
      <c r="G23" s="66">
        <f>'M2'!G23-'M1'!G23</f>
        <v>0</v>
      </c>
      <c r="H23" s="66">
        <f>'M2'!H23-'M1'!H23</f>
        <v>-3.914200000000001</v>
      </c>
    </row>
    <row r="24" spans="1:8">
      <c r="A24" s="66" t="s">
        <v>67</v>
      </c>
      <c r="B24" s="66">
        <f>'M2'!B24-'M1'!B24</f>
        <v>-8.8730799999999985E-3</v>
      </c>
      <c r="C24" s="66">
        <f>'M2'!C24-'M1'!C24</f>
        <v>-2.8856300000000001E-2</v>
      </c>
      <c r="D24" s="66">
        <f>'M2'!D24-'M1'!D24</f>
        <v>0.24035999999999991</v>
      </c>
      <c r="E24" s="66">
        <f>'M2'!E24-'M1'!E24</f>
        <v>0</v>
      </c>
      <c r="F24" s="66">
        <f>'M2'!F24-'M1'!F24</f>
        <v>9.4602E-5</v>
      </c>
      <c r="G24" s="66">
        <f>'M2'!G24-'M1'!G24</f>
        <v>0</v>
      </c>
      <c r="H24" s="66">
        <f>'M2'!H24-'M1'!H24</f>
        <v>-0.26066919999999999</v>
      </c>
    </row>
    <row r="25" spans="1:8">
      <c r="A25" s="66" t="s">
        <v>68</v>
      </c>
      <c r="B25" s="66">
        <f>'M2'!B25-'M1'!B25</f>
        <v>-0.24005200000000002</v>
      </c>
      <c r="C25" s="66">
        <f>'M2'!C25-'M1'!C25</f>
        <v>-0.18476009999999998</v>
      </c>
      <c r="D25" s="66">
        <f>'M2'!D25-'M1'!D25</f>
        <v>-0.19254299999999996</v>
      </c>
      <c r="E25" s="66">
        <f>'M2'!E25-'M1'!E25</f>
        <v>0</v>
      </c>
      <c r="F25" s="66">
        <f>'M2'!F25-'M1'!F25</f>
        <v>-5.0655000000000006E-2</v>
      </c>
      <c r="G25" s="66">
        <f>'M2'!G25-'M1'!G25</f>
        <v>0</v>
      </c>
      <c r="H25" s="66">
        <f>'M2'!H25-'M1'!H25</f>
        <v>-0.72599200000000008</v>
      </c>
    </row>
    <row r="26" spans="1:8">
      <c r="A26" s="66" t="s">
        <v>69</v>
      </c>
      <c r="B26" s="66">
        <f>'M2'!B26-'M1'!B26</f>
        <v>-1.1029410000000001E-3</v>
      </c>
      <c r="C26" s="66">
        <f>'M2'!C26-'M1'!C26</f>
        <v>-3.9912999999999997E-3</v>
      </c>
      <c r="D26" s="66">
        <f>'M2'!D26-'M1'!D26</f>
        <v>-0.59077000000000002</v>
      </c>
      <c r="E26" s="66">
        <f>'M2'!E26-'M1'!E26</f>
        <v>0</v>
      </c>
      <c r="F26" s="66">
        <f>'M2'!F26-'M1'!F26</f>
        <v>2.626054E-5</v>
      </c>
      <c r="G26" s="66">
        <f>'M2'!G26-'M1'!G26</f>
        <v>0</v>
      </c>
      <c r="H26" s="66">
        <f>'M2'!H26-'M1'!H26</f>
        <v>-3.8277900000000004E-2</v>
      </c>
    </row>
    <row r="27" spans="1:8">
      <c r="A27" s="66" t="s">
        <v>70</v>
      </c>
      <c r="B27" s="66">
        <f>'M2'!B27-'M1'!B27</f>
        <v>1.9695400000000001E-5</v>
      </c>
      <c r="C27" s="66">
        <f>'M2'!C27-'M1'!C27</f>
        <v>-1.2158200000000001E-3</v>
      </c>
      <c r="D27" s="66">
        <f>'M2'!D27-'M1'!D27</f>
        <v>-9.7032000000000096</v>
      </c>
      <c r="E27" s="66">
        <f>'M2'!E27-'M1'!E27</f>
        <v>0</v>
      </c>
      <c r="F27" s="66">
        <f>'M2'!F27-'M1'!F27</f>
        <v>1.33338E-2</v>
      </c>
      <c r="G27" s="66">
        <f>'M2'!G27-'M1'!G27</f>
        <v>0</v>
      </c>
      <c r="H27" s="66">
        <f>'M2'!H27-'M1'!H27</f>
        <v>-1.4124899999999998E-2</v>
      </c>
    </row>
    <row r="28" spans="1:8">
      <c r="A28" s="66" t="s">
        <v>71</v>
      </c>
      <c r="B28" s="66">
        <f>'M2'!B28-'M1'!B28</f>
        <v>-1.84017E-2</v>
      </c>
      <c r="C28" s="66">
        <f>'M2'!C28-'M1'!C28</f>
        <v>-1.4872300000000005E-2</v>
      </c>
      <c r="D28" s="66">
        <f>'M2'!D28-'M1'!D28</f>
        <v>3.2249999999999224E-3</v>
      </c>
      <c r="E28" s="66">
        <f>'M2'!E28-'M1'!E28</f>
        <v>0</v>
      </c>
      <c r="F28" s="66">
        <f>'M2'!F28-'M1'!F28</f>
        <v>-4.5897999999999989E-4</v>
      </c>
      <c r="G28" s="66">
        <f>'M2'!G28-'M1'!G28</f>
        <v>0</v>
      </c>
      <c r="H28" s="66">
        <f>'M2'!H28-'M1'!H28</f>
        <v>-7.5742400000000001E-2</v>
      </c>
    </row>
    <row r="29" spans="1:8">
      <c r="A29" s="66" t="s">
        <v>72</v>
      </c>
      <c r="B29" s="66">
        <f>'M2'!B29-'M1'!B29</f>
        <v>-2.9385000000000048</v>
      </c>
      <c r="C29" s="66">
        <f>'M2'!C29-'M1'!C29</f>
        <v>-0.66645999999999983</v>
      </c>
      <c r="D29" s="66">
        <f>'M2'!D29-'M1'!D29</f>
        <v>-4.8490000000000061E-3</v>
      </c>
      <c r="E29" s="66">
        <f>'M2'!E29-'M1'!E29</f>
        <v>0</v>
      </c>
      <c r="F29" s="66">
        <f>'M2'!F29-'M1'!F29</f>
        <v>-0.3025999999999982</v>
      </c>
      <c r="G29" s="66">
        <f>'M2'!G29-'M1'!G29</f>
        <v>0</v>
      </c>
      <c r="H29" s="66">
        <f>'M2'!H29-'M1'!H29</f>
        <v>-7.7286000000000001</v>
      </c>
    </row>
    <row r="30" spans="1:8">
      <c r="A30" s="66" t="s">
        <v>73</v>
      </c>
      <c r="B30" s="66">
        <f>'M2'!B30-'M1'!B30</f>
        <v>-1.6111999999999966</v>
      </c>
      <c r="C30" s="66">
        <f>'M2'!C30-'M1'!C30</f>
        <v>-7.2670200000000005</v>
      </c>
      <c r="D30" s="66">
        <f>'M2'!D30-'M1'!D30</f>
        <v>-0.19837070000000001</v>
      </c>
      <c r="E30" s="66">
        <f>'M2'!E30-'M1'!E30</f>
        <v>0</v>
      </c>
      <c r="F30" s="66">
        <f>'M2'!F30-'M1'!F30</f>
        <v>16.683699999999998</v>
      </c>
      <c r="G30" s="66">
        <f>'M2'!G30-'M1'!G30</f>
        <v>0</v>
      </c>
      <c r="H30" s="66">
        <f>'M2'!H30-'M1'!H30</f>
        <v>-1.5681999999999974</v>
      </c>
    </row>
    <row r="31" spans="1:8">
      <c r="A31" s="66" t="s">
        <v>74</v>
      </c>
      <c r="B31" s="66">
        <f>'M2'!B31-'M1'!B31</f>
        <v>-6.070999999999998</v>
      </c>
      <c r="C31" s="66">
        <f>'M2'!C31-'M1'!C31</f>
        <v>-54.0184</v>
      </c>
      <c r="D31" s="66">
        <f>'M2'!D31-'M1'!D31</f>
        <v>-0.21535589999999999</v>
      </c>
      <c r="E31" s="66">
        <f>'M2'!E31-'M1'!E31</f>
        <v>0</v>
      </c>
      <c r="F31" s="66">
        <f>'M2'!F31-'M1'!F31</f>
        <v>149.55849999999998</v>
      </c>
      <c r="G31" s="66">
        <f>'M2'!G31-'M1'!G31</f>
        <v>0</v>
      </c>
      <c r="H31" s="66">
        <f>'M2'!H31-'M1'!H31</f>
        <v>-17.555999999999983</v>
      </c>
    </row>
    <row r="32" spans="1:8">
      <c r="A32" s="66" t="s">
        <v>75</v>
      </c>
      <c r="B32" s="66">
        <f>'M2'!B32-'M1'!B32</f>
        <v>7.4559000000000014E-2</v>
      </c>
      <c r="C32" s="66">
        <f>'M2'!C32-'M1'!C32</f>
        <v>-3.8311600000000001E-2</v>
      </c>
      <c r="D32" s="66">
        <f>'M2'!D32-'M1'!D32</f>
        <v>-0.20472499999999999</v>
      </c>
      <c r="E32" s="66">
        <f>'M2'!E32-'M1'!E32</f>
        <v>0</v>
      </c>
      <c r="F32" s="66">
        <f>'M2'!F32-'M1'!F32</f>
        <v>0.14250469999999998</v>
      </c>
      <c r="G32" s="66">
        <f>'M2'!G32-'M1'!G32</f>
        <v>0</v>
      </c>
      <c r="H32" s="66">
        <f>'M2'!H32-'M1'!H32</f>
        <v>1.4794000000000029E-2</v>
      </c>
    </row>
    <row r="33" spans="1:8">
      <c r="A33" s="66" t="s">
        <v>76</v>
      </c>
      <c r="B33" s="66">
        <f>'M2'!B33-'M1'!B33</f>
        <v>5.1151000000000002E-2</v>
      </c>
      <c r="C33" s="66">
        <f>'M2'!C33-'M1'!C33</f>
        <v>3.7314699999999999E-2</v>
      </c>
      <c r="D33" s="66">
        <f>'M2'!D33-'M1'!D33</f>
        <v>8.831760000000001E-2</v>
      </c>
      <c r="E33" s="66">
        <f>'M2'!E33-'M1'!E33</f>
        <v>0</v>
      </c>
      <c r="F33" s="66">
        <f>'M2'!F33-'M1'!F33</f>
        <v>-3.1190000000000384E-3</v>
      </c>
      <c r="G33" s="66">
        <f>'M2'!G33-'M1'!G33</f>
        <v>0</v>
      </c>
      <c r="H33" s="66">
        <f>'M2'!H33-'M1'!H33</f>
        <v>8.6444999999999994E-2</v>
      </c>
    </row>
    <row r="34" spans="1:8">
      <c r="A34" s="66" t="s">
        <v>77</v>
      </c>
      <c r="B34" s="66">
        <f>'M2'!B34-'M1'!B34</f>
        <v>-6.9909999999999972E-3</v>
      </c>
      <c r="C34" s="66">
        <f>'M2'!C34-'M1'!C34</f>
        <v>-6.5856999999999999E-3</v>
      </c>
      <c r="D34" s="66">
        <f>'M2'!D34-'M1'!D34</f>
        <v>-2.3717000000000016E-2</v>
      </c>
      <c r="E34" s="66">
        <f>'M2'!E34-'M1'!E34</f>
        <v>0</v>
      </c>
      <c r="F34" s="66">
        <f>'M2'!F34-'M1'!F34</f>
        <v>-1.5226000000000017E-2</v>
      </c>
      <c r="G34" s="66">
        <f>'M2'!G34-'M1'!G34</f>
        <v>0</v>
      </c>
      <c r="H34" s="66">
        <f>'M2'!H34-'M1'!H34</f>
        <v>-5.5014999999999981E-2</v>
      </c>
    </row>
    <row r="35" spans="1:8">
      <c r="A35" s="66" t="s">
        <v>78</v>
      </c>
      <c r="B35" s="66">
        <f>'M2'!B35-'M1'!B35</f>
        <v>7.9552000000000095E-3</v>
      </c>
      <c r="C35" s="66">
        <f>'M2'!C35-'M1'!C35</f>
        <v>-9.2099999999999994E-3</v>
      </c>
      <c r="D35" s="66">
        <f>'M2'!D35-'M1'!D35</f>
        <v>-0.12258499999999997</v>
      </c>
      <c r="E35" s="66">
        <f>'M2'!E35-'M1'!E35</f>
        <v>0</v>
      </c>
      <c r="F35" s="66">
        <f>'M2'!F35-'M1'!F35</f>
        <v>1.5868400000000005E-2</v>
      </c>
      <c r="G35" s="66">
        <f>'M2'!G35-'M1'!G35</f>
        <v>0</v>
      </c>
      <c r="H35" s="66">
        <f>'M2'!H35-'M1'!H35</f>
        <v>-2.6333999999999996E-2</v>
      </c>
    </row>
    <row r="36" spans="1:8">
      <c r="A36" s="66" t="s">
        <v>79</v>
      </c>
      <c r="B36" s="66">
        <f>'M2'!B36-'M1'!B36</f>
        <v>-2.7532000000000001E-2</v>
      </c>
      <c r="C36" s="66">
        <f>'M2'!C36-'M1'!C36</f>
        <v>9.2800000000001215E-4</v>
      </c>
      <c r="D36" s="66">
        <f>'M2'!D36-'M1'!D36</f>
        <v>8.1259999999999999E-2</v>
      </c>
      <c r="E36" s="66">
        <f>'M2'!E36-'M1'!E36</f>
        <v>0</v>
      </c>
      <c r="F36" s="66">
        <f>'M2'!F36-'M1'!F36</f>
        <v>6.4764000000000002E-3</v>
      </c>
      <c r="G36" s="66">
        <f>'M2'!G36-'M1'!G36</f>
        <v>0</v>
      </c>
      <c r="H36" s="66">
        <f>'M2'!H36-'M1'!H36</f>
        <v>-5.9935999999999989E-2</v>
      </c>
    </row>
    <row r="37" spans="1:8">
      <c r="A37" s="66" t="s">
        <v>80</v>
      </c>
      <c r="B37" s="66">
        <f>'M2'!B37-'M1'!B37</f>
        <v>-6.5856999999999999E-2</v>
      </c>
      <c r="C37" s="66">
        <f>'M2'!C37-'M1'!C37</f>
        <v>-2.4603E-2</v>
      </c>
      <c r="D37" s="66">
        <f>'M2'!D37-'M1'!D37</f>
        <v>4.1829999999999923E-3</v>
      </c>
      <c r="E37" s="66">
        <f>'M2'!E37-'M1'!E37</f>
        <v>0</v>
      </c>
      <c r="F37" s="66">
        <f>'M2'!F37-'M1'!F37</f>
        <v>6.4589999999999995E-3</v>
      </c>
      <c r="G37" s="66">
        <f>'M2'!G37-'M1'!G37</f>
        <v>0</v>
      </c>
      <c r="H37" s="66">
        <f>'M2'!H37-'M1'!H37</f>
        <v>-0.18843399999999999</v>
      </c>
    </row>
    <row r="38" spans="1:8">
      <c r="A38" s="66" t="s">
        <v>81</v>
      </c>
      <c r="B38" s="66">
        <f>'M2'!B38-'M1'!B38</f>
        <v>-9.3411000000000008</v>
      </c>
      <c r="C38" s="66">
        <f>'M2'!C38-'M1'!C38</f>
        <v>-6.6089999999999947</v>
      </c>
      <c r="D38" s="66">
        <f>'M2'!D38-'M1'!D38</f>
        <v>1.7393399999999999</v>
      </c>
      <c r="E38" s="66">
        <f>'M2'!E38-'M1'!E38</f>
        <v>0</v>
      </c>
      <c r="F38" s="66">
        <f>'M2'!F38-'M1'!F38</f>
        <v>157.11799999999999</v>
      </c>
      <c r="G38" s="66">
        <f>'M2'!G38-'M1'!G38</f>
        <v>0</v>
      </c>
      <c r="H38" s="66">
        <f>'M2'!H38-'M1'!H38</f>
        <v>91.94</v>
      </c>
    </row>
    <row r="39" spans="1:8">
      <c r="A39" s="66" t="s">
        <v>82</v>
      </c>
      <c r="B39" s="66">
        <f>'M2'!B39-'M1'!B39</f>
        <v>-0.61519999999999975</v>
      </c>
      <c r="C39" s="66">
        <f>'M2'!C39-'M1'!C39</f>
        <v>-4.4633799999999999</v>
      </c>
      <c r="D39" s="66">
        <f>'M2'!D39-'M1'!D39</f>
        <v>0.72915299999999994</v>
      </c>
      <c r="E39" s="66">
        <f>'M2'!E39-'M1'!E39</f>
        <v>0</v>
      </c>
      <c r="F39" s="66">
        <f>'M2'!F39-'M1'!F39</f>
        <v>7.055299999999999</v>
      </c>
      <c r="G39" s="66">
        <f>'M2'!G39-'M1'!G39</f>
        <v>0</v>
      </c>
      <c r="H39" s="66">
        <f>'M2'!H39-'M1'!H39</f>
        <v>-20.333380000000002</v>
      </c>
    </row>
    <row r="40" spans="1:8">
      <c r="A40" s="66" t="s">
        <v>83</v>
      </c>
      <c r="B40" s="66">
        <f>'M2'!B40-'M1'!B40</f>
        <v>-1.3319099999999997</v>
      </c>
      <c r="C40" s="66">
        <f>'M2'!C40-'M1'!C40</f>
        <v>-0.29162599999999994</v>
      </c>
      <c r="D40" s="66">
        <f>'M2'!D40-'M1'!D40</f>
        <v>0.22889000000000001</v>
      </c>
      <c r="E40" s="66">
        <f>'M2'!E40-'M1'!E40</f>
        <v>0</v>
      </c>
      <c r="F40" s="66">
        <f>'M2'!F40-'M1'!F40</f>
        <v>0.60327999999999982</v>
      </c>
      <c r="G40" s="66">
        <f>'M2'!G40-'M1'!G40</f>
        <v>0</v>
      </c>
      <c r="H40" s="66">
        <f>'M2'!H40-'M1'!H40</f>
        <v>-0.53905999999999998</v>
      </c>
    </row>
    <row r="41" spans="1:8">
      <c r="A41" s="66" t="s">
        <v>84</v>
      </c>
      <c r="B41" s="66">
        <f>'M2'!B41-'M1'!B41</f>
        <v>-4.6152200000000004E-2</v>
      </c>
      <c r="C41" s="66">
        <f>'M2'!C41-'M1'!C41</f>
        <v>4.2452000000000017E-2</v>
      </c>
      <c r="D41" s="66">
        <f>'M2'!D41-'M1'!D41</f>
        <v>0.43367</v>
      </c>
      <c r="E41" s="66">
        <f>'M2'!E41-'M1'!E41</f>
        <v>0</v>
      </c>
      <c r="F41" s="66">
        <f>'M2'!F41-'M1'!F41</f>
        <v>-0.20766499999999999</v>
      </c>
      <c r="G41" s="66">
        <f>'M2'!G41-'M1'!G41</f>
        <v>0</v>
      </c>
      <c r="H41" s="66">
        <f>'M2'!H41-'M1'!H41</f>
        <v>0.303261</v>
      </c>
    </row>
    <row r="42" spans="1:8">
      <c r="A42" s="66" t="s">
        <v>85</v>
      </c>
      <c r="B42" s="66">
        <f>'M2'!B42-'M1'!B42</f>
        <v>-7.6065899999999992E-2</v>
      </c>
      <c r="C42" s="66">
        <f>'M2'!C42-'M1'!C42</f>
        <v>-3.7447599999999998E-2</v>
      </c>
      <c r="D42" s="66">
        <f>'M2'!D42-'M1'!D42</f>
        <v>0.70099400000000012</v>
      </c>
      <c r="E42" s="66">
        <f>'M2'!E42-'M1'!E42</f>
        <v>0</v>
      </c>
      <c r="F42" s="66">
        <f>'M2'!F42-'M1'!F42</f>
        <v>4.3036999999999964E-2</v>
      </c>
      <c r="G42" s="66">
        <f>'M2'!G42-'M1'!G42</f>
        <v>0</v>
      </c>
      <c r="H42" s="66">
        <f>'M2'!H42-'M1'!H42</f>
        <v>-0.12131130000000001</v>
      </c>
    </row>
    <row r="43" spans="1:8">
      <c r="A43" s="66" t="s">
        <v>86</v>
      </c>
      <c r="B43" s="66">
        <f>'M2'!B43-'M1'!B43</f>
        <v>-5.2857599999999991E-2</v>
      </c>
      <c r="C43" s="66">
        <f>'M2'!C43-'M1'!C43</f>
        <v>9.6564999999999984E-3</v>
      </c>
      <c r="D43" s="66">
        <f>'M2'!D43-'M1'!D43</f>
        <v>0.17900199999999999</v>
      </c>
      <c r="E43" s="66">
        <f>'M2'!E43-'M1'!E43</f>
        <v>0</v>
      </c>
      <c r="F43" s="66">
        <f>'M2'!F43-'M1'!F43</f>
        <v>-5.2410999999999999E-2</v>
      </c>
      <c r="G43" s="66">
        <f>'M2'!G43-'M1'!G43</f>
        <v>0</v>
      </c>
      <c r="H43" s="66">
        <f>'M2'!H43-'M1'!H43</f>
        <v>8.8984568999999989E-3</v>
      </c>
    </row>
    <row r="44" spans="1:8">
      <c r="A44" s="66" t="s">
        <v>87</v>
      </c>
      <c r="B44" s="66">
        <f>'M2'!B44-'M1'!B44</f>
        <v>19.262860000000003</v>
      </c>
      <c r="C44" s="66">
        <f>'M2'!C44-'M1'!C44</f>
        <v>-8.9814500000000006</v>
      </c>
      <c r="D44" s="66">
        <f>'M2'!D44-'M1'!D44</f>
        <v>3.5016400000000001</v>
      </c>
      <c r="E44" s="66">
        <f>'M2'!E44-'M1'!E44</f>
        <v>0</v>
      </c>
      <c r="F44" s="66">
        <f>'M2'!F44-'M1'!F44</f>
        <v>20.335699999999999</v>
      </c>
      <c r="G44" s="66">
        <f>'M2'!G44-'M1'!G44</f>
        <v>0</v>
      </c>
      <c r="H44" s="66">
        <f>'M2'!H44-'M1'!H44</f>
        <v>-3.2455999999999996</v>
      </c>
    </row>
    <row r="45" spans="1:8">
      <c r="A45" s="66" t="s">
        <v>88</v>
      </c>
      <c r="B45" s="66">
        <f>'M2'!B45-'M1'!B45</f>
        <v>2.6777999999999977</v>
      </c>
      <c r="C45" s="66">
        <f>'M2'!C45-'M1'!C45</f>
        <v>-0.15442999999999962</v>
      </c>
      <c r="D45" s="66">
        <f>'M2'!D45-'M1'!D45</f>
        <v>-9.0919E-3</v>
      </c>
      <c r="E45" s="66">
        <f>'M2'!E45-'M1'!E45</f>
        <v>0</v>
      </c>
      <c r="F45" s="66">
        <f>'M2'!F45-'M1'!F45</f>
        <v>5.7894000000000005</v>
      </c>
      <c r="G45" s="66">
        <f>'M2'!G45-'M1'!G45</f>
        <v>0</v>
      </c>
      <c r="H45" s="66">
        <f>'M2'!H45-'M1'!H45</f>
        <v>2.4112000000000009</v>
      </c>
    </row>
    <row r="46" spans="1:8">
      <c r="A46" s="66" t="s">
        <v>89</v>
      </c>
      <c r="B46" s="66">
        <f>'M2'!B46-'M1'!B46</f>
        <v>10.137299999999996</v>
      </c>
      <c r="C46" s="66">
        <f>'M2'!C46-'M1'!C46</f>
        <v>-7.1202599999999991</v>
      </c>
      <c r="D46" s="66">
        <f>'M2'!D46-'M1'!D46</f>
        <v>-0.27696120000000002</v>
      </c>
      <c r="E46" s="66">
        <f>'M2'!E46-'M1'!E46</f>
        <v>0</v>
      </c>
      <c r="F46" s="66">
        <f>'M2'!F46-'M1'!F46</f>
        <v>29.107839999999999</v>
      </c>
      <c r="G46" s="66">
        <f>'M2'!G46-'M1'!G46</f>
        <v>0</v>
      </c>
      <c r="H46" s="66">
        <f>'M2'!H46-'M1'!H46</f>
        <v>6.3030999999999935</v>
      </c>
    </row>
    <row r="47" spans="1:8">
      <c r="A47" s="66" t="s">
        <v>90</v>
      </c>
      <c r="B47" s="66">
        <f>'M2'!B47-'M1'!B47</f>
        <v>-0.48219000000000012</v>
      </c>
      <c r="C47" s="66">
        <f>'M2'!C47-'M1'!C47</f>
        <v>-8.6581999999999937E-2</v>
      </c>
      <c r="D47" s="66">
        <f>'M2'!D47-'M1'!D47</f>
        <v>3.3866000000000007E-2</v>
      </c>
      <c r="E47" s="66">
        <f>'M2'!E47-'M1'!E47</f>
        <v>0</v>
      </c>
      <c r="F47" s="66">
        <f>'M2'!F47-'M1'!F47</f>
        <v>-0.158748</v>
      </c>
      <c r="G47" s="66">
        <f>'M2'!G47-'M1'!G47</f>
        <v>0</v>
      </c>
      <c r="H47" s="66">
        <f>'M2'!H47-'M1'!H47</f>
        <v>-7.7030000000000154E-2</v>
      </c>
    </row>
    <row r="48" spans="1:8">
      <c r="A48" s="66" t="s">
        <v>91</v>
      </c>
      <c r="B48" s="66">
        <f>'M2'!B48-'M1'!B48</f>
        <v>0.46065</v>
      </c>
      <c r="C48" s="66">
        <f>'M2'!C48-'M1'!C48</f>
        <v>-0.20970800000000001</v>
      </c>
      <c r="D48" s="66">
        <f>'M2'!D48-'M1'!D48</f>
        <v>-0.21587799999999999</v>
      </c>
      <c r="E48" s="66">
        <f>'M2'!E48-'M1'!E48</f>
        <v>0</v>
      </c>
      <c r="F48" s="66">
        <f>'M2'!F48-'M1'!F48</f>
        <v>0.33354600000000001</v>
      </c>
      <c r="G48" s="66">
        <f>'M2'!G48-'M1'!G48</f>
        <v>0</v>
      </c>
      <c r="H48" s="66">
        <f>'M2'!H48-'M1'!H48</f>
        <v>-0.88668000000000013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347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40.720100000000002</v>
      </c>
      <c r="C5" s="66">
        <v>10.960900000000001</v>
      </c>
      <c r="D5" s="66">
        <v>26.9176</v>
      </c>
      <c r="E5" s="66">
        <v>20</v>
      </c>
      <c r="F5" s="66">
        <v>9.9804999999999993</v>
      </c>
      <c r="G5" s="66">
        <v>50</v>
      </c>
      <c r="H5" s="66">
        <v>51.453899999999997</v>
      </c>
    </row>
    <row r="6" spans="1:8">
      <c r="A6" s="66" t="s">
        <v>303</v>
      </c>
      <c r="B6" s="66">
        <v>20.9787</v>
      </c>
      <c r="C6" s="66">
        <v>1.4709399999999999</v>
      </c>
      <c r="D6" s="66">
        <v>7.0115800000000004</v>
      </c>
      <c r="E6" s="66">
        <v>20</v>
      </c>
      <c r="F6" s="66">
        <v>16.381499999999999</v>
      </c>
      <c r="G6" s="66">
        <v>40</v>
      </c>
      <c r="H6" s="66">
        <v>23.1633</v>
      </c>
    </row>
    <row r="7" spans="1:8">
      <c r="A7" s="66" t="s">
        <v>304</v>
      </c>
      <c r="B7" s="66">
        <v>22.528700000000001</v>
      </c>
      <c r="C7" s="66">
        <v>6.9720899999999997</v>
      </c>
      <c r="D7" s="66">
        <v>30.947600000000001</v>
      </c>
      <c r="E7" s="66">
        <v>15</v>
      </c>
      <c r="F7" s="66">
        <v>6.7146299999999997</v>
      </c>
      <c r="G7" s="66">
        <v>40</v>
      </c>
      <c r="H7" s="66">
        <v>35.889200000000002</v>
      </c>
    </row>
    <row r="8" spans="1:8">
      <c r="A8" s="66" t="s">
        <v>305</v>
      </c>
      <c r="B8" s="66">
        <v>25.7105</v>
      </c>
      <c r="C8" s="66">
        <v>4.8323999999999998</v>
      </c>
      <c r="D8" s="66">
        <v>18.795400000000001</v>
      </c>
      <c r="E8" s="66">
        <v>20</v>
      </c>
      <c r="F8" s="66">
        <v>14.845800000000001</v>
      </c>
      <c r="G8" s="66">
        <v>50</v>
      </c>
      <c r="H8" s="66">
        <v>34.439599999999999</v>
      </c>
    </row>
    <row r="9" spans="1:8">
      <c r="A9" s="66" t="s">
        <v>306</v>
      </c>
      <c r="B9" s="66">
        <v>70.9101</v>
      </c>
      <c r="C9" s="66">
        <v>4.1805599999999998</v>
      </c>
      <c r="D9" s="66">
        <v>5.8955799999999998</v>
      </c>
      <c r="E9" s="66">
        <v>50</v>
      </c>
      <c r="F9" s="66">
        <v>59.891199999999998</v>
      </c>
      <c r="G9" s="66">
        <v>100</v>
      </c>
      <c r="H9" s="66">
        <v>79.059100000000001</v>
      </c>
    </row>
    <row r="10" spans="1:8">
      <c r="A10" s="66" t="s">
        <v>307</v>
      </c>
      <c r="B10" s="66">
        <v>83.983099999999993</v>
      </c>
      <c r="C10" s="66">
        <v>3.0989800000000001</v>
      </c>
      <c r="D10" s="66">
        <v>3.69001</v>
      </c>
      <c r="E10" s="66">
        <v>40</v>
      </c>
      <c r="F10" s="66">
        <v>79.929900000000004</v>
      </c>
      <c r="G10" s="66">
        <v>100</v>
      </c>
      <c r="H10" s="66">
        <v>90.260900000000007</v>
      </c>
    </row>
    <row r="11" spans="1:8">
      <c r="A11" s="66" t="s">
        <v>308</v>
      </c>
      <c r="B11" s="66">
        <v>31.121300000000002</v>
      </c>
      <c r="C11" s="66">
        <v>7.93215</v>
      </c>
      <c r="D11" s="66">
        <v>25.4878</v>
      </c>
      <c r="E11" s="66">
        <v>10</v>
      </c>
      <c r="F11" s="66">
        <v>9.5020699999999998</v>
      </c>
      <c r="G11" s="66">
        <v>50</v>
      </c>
      <c r="H11" s="66">
        <v>40.880400000000002</v>
      </c>
    </row>
    <row r="12" spans="1:8">
      <c r="A12" s="66" t="s">
        <v>309</v>
      </c>
      <c r="B12" s="66">
        <v>77.702200000000005</v>
      </c>
      <c r="C12" s="66">
        <v>2.73915</v>
      </c>
      <c r="D12" s="66">
        <v>3.5251899999999998</v>
      </c>
      <c r="E12" s="66">
        <v>50</v>
      </c>
      <c r="F12" s="66">
        <v>70.610699999999994</v>
      </c>
      <c r="G12" s="66">
        <v>100</v>
      </c>
      <c r="H12" s="66">
        <v>84.393100000000004</v>
      </c>
    </row>
    <row r="13" spans="1:8">
      <c r="A13" s="66" t="s">
        <v>310</v>
      </c>
      <c r="B13" s="66">
        <v>24.202999999999999</v>
      </c>
      <c r="C13" s="66">
        <v>3.50122</v>
      </c>
      <c r="D13" s="66">
        <v>14.466100000000001</v>
      </c>
      <c r="E13" s="66">
        <v>10</v>
      </c>
      <c r="F13" s="66">
        <v>18.992699999999999</v>
      </c>
      <c r="G13" s="66">
        <v>25</v>
      </c>
      <c r="H13" s="66">
        <v>35.877400000000002</v>
      </c>
    </row>
    <row r="14" spans="1:8">
      <c r="A14" s="66" t="s">
        <v>311</v>
      </c>
      <c r="B14" s="66">
        <v>35.0122</v>
      </c>
      <c r="C14" s="66">
        <v>13.712400000000001</v>
      </c>
      <c r="D14" s="66">
        <v>39.164700000000003</v>
      </c>
      <c r="E14" s="66">
        <v>10</v>
      </c>
      <c r="F14" s="66">
        <v>3.38829</v>
      </c>
      <c r="G14" s="66">
        <v>50</v>
      </c>
      <c r="H14" s="66">
        <v>53.828400000000002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0.47816900000000001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0.36771799999999999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7.41817E-3</v>
      </c>
      <c r="C20" s="66">
        <v>6.5003400000000003E-2</v>
      </c>
      <c r="D20" s="66">
        <v>8.7627299999999995</v>
      </c>
      <c r="E20" s="66">
        <v>0</v>
      </c>
      <c r="F20" s="196">
        <v>1.63742E-5</v>
      </c>
      <c r="G20" s="66">
        <v>0</v>
      </c>
      <c r="H20" s="66">
        <v>0.60427799999999998</v>
      </c>
    </row>
    <row r="21" spans="1:8">
      <c r="A21" s="66" t="s">
        <v>318</v>
      </c>
      <c r="B21" s="66">
        <v>0.38316099999999997</v>
      </c>
      <c r="C21" s="66">
        <v>0.51031300000000002</v>
      </c>
      <c r="D21" s="66">
        <v>1.33185</v>
      </c>
      <c r="E21" s="66">
        <v>0</v>
      </c>
      <c r="F21" s="66">
        <v>5.78182E-3</v>
      </c>
      <c r="G21" s="66">
        <v>0</v>
      </c>
      <c r="H21" s="66">
        <v>3.0510899999999999</v>
      </c>
    </row>
    <row r="22" spans="1:8">
      <c r="A22" s="66" t="s">
        <v>319</v>
      </c>
      <c r="B22" s="66">
        <v>51.152099999999997</v>
      </c>
      <c r="C22" s="66">
        <v>11.972300000000001</v>
      </c>
      <c r="D22" s="66">
        <v>0.23405300000000001</v>
      </c>
      <c r="E22" s="66">
        <v>0</v>
      </c>
      <c r="F22" s="66">
        <v>38.347299999999997</v>
      </c>
      <c r="G22" s="66">
        <v>0</v>
      </c>
      <c r="H22" s="66">
        <v>95.137699999999995</v>
      </c>
    </row>
    <row r="23" spans="1:8">
      <c r="A23" s="66" t="s">
        <v>320</v>
      </c>
      <c r="B23" s="66">
        <v>30.6938</v>
      </c>
      <c r="C23" s="66">
        <v>7.0607300000000004</v>
      </c>
      <c r="D23" s="66">
        <v>0.23003799999999999</v>
      </c>
      <c r="E23" s="66">
        <v>0</v>
      </c>
      <c r="F23" s="66">
        <v>11.615399999999999</v>
      </c>
      <c r="G23" s="66">
        <v>0</v>
      </c>
      <c r="H23" s="66">
        <v>34.452500000000001</v>
      </c>
    </row>
    <row r="24" spans="1:8">
      <c r="A24" s="66" t="s">
        <v>321</v>
      </c>
      <c r="B24" s="66">
        <v>1.3596499999999999E-2</v>
      </c>
      <c r="C24" s="66">
        <v>4.5957100000000001E-2</v>
      </c>
      <c r="D24" s="66">
        <v>3.3800699999999999</v>
      </c>
      <c r="E24" s="66">
        <v>0</v>
      </c>
      <c r="F24" s="66">
        <v>2.9920899999999999E-4</v>
      </c>
      <c r="G24" s="66">
        <v>0</v>
      </c>
      <c r="H24" s="66">
        <v>0.32996300000000001</v>
      </c>
    </row>
    <row r="25" spans="1:8">
      <c r="A25" s="66" t="s">
        <v>322</v>
      </c>
      <c r="B25" s="66">
        <v>0.46792400000000001</v>
      </c>
      <c r="C25" s="66">
        <v>0.27462199999999998</v>
      </c>
      <c r="D25" s="66">
        <v>0.58689499999999994</v>
      </c>
      <c r="E25" s="66">
        <v>0</v>
      </c>
      <c r="F25" s="66">
        <v>0.17352100000000001</v>
      </c>
      <c r="G25" s="66">
        <v>0</v>
      </c>
      <c r="H25" s="66">
        <v>1.27668</v>
      </c>
    </row>
    <row r="26" spans="1:8">
      <c r="A26" s="66" t="s">
        <v>323</v>
      </c>
      <c r="B26" s="66">
        <v>1.94656E-3</v>
      </c>
      <c r="C26" s="66">
        <v>6.1645800000000002E-3</v>
      </c>
      <c r="D26" s="66">
        <v>3.1669100000000001</v>
      </c>
      <c r="E26" s="66">
        <v>0</v>
      </c>
      <c r="F26" s="196">
        <v>3.2825599999999999E-6</v>
      </c>
      <c r="G26" s="66">
        <v>0</v>
      </c>
      <c r="H26" s="66">
        <v>5.3118400000000003E-2</v>
      </c>
    </row>
    <row r="27" spans="1:8">
      <c r="A27" s="66" t="s">
        <v>324</v>
      </c>
      <c r="B27" s="196">
        <v>-3.9390800000000002E-5</v>
      </c>
      <c r="C27" s="66">
        <v>2.8138500000000001E-3</v>
      </c>
      <c r="D27" s="66">
        <v>-71.434299999999993</v>
      </c>
      <c r="E27" s="66">
        <v>0</v>
      </c>
      <c r="F27" s="66">
        <v>-2.3417799999999999E-2</v>
      </c>
      <c r="G27" s="66">
        <v>0</v>
      </c>
      <c r="H27" s="66">
        <v>2.4760399999999998E-2</v>
      </c>
    </row>
    <row r="28" spans="1:8">
      <c r="A28" s="66" t="s">
        <v>325</v>
      </c>
      <c r="B28" s="66">
        <v>4.07292E-2</v>
      </c>
      <c r="C28" s="66">
        <v>3.3076800000000003E-2</v>
      </c>
      <c r="D28" s="66">
        <v>0.81211500000000003</v>
      </c>
      <c r="E28" s="66">
        <v>0</v>
      </c>
      <c r="F28" s="66">
        <v>1.7512999999999999E-3</v>
      </c>
      <c r="G28" s="66">
        <v>0</v>
      </c>
      <c r="H28" s="66">
        <v>0.165635</v>
      </c>
    </row>
    <row r="29" spans="1:8">
      <c r="A29" s="66" t="s">
        <v>326</v>
      </c>
      <c r="B29" s="66">
        <v>78.6952</v>
      </c>
      <c r="C29" s="66">
        <v>8.0109899999999996</v>
      </c>
      <c r="D29" s="66">
        <v>0.101798</v>
      </c>
      <c r="E29" s="66">
        <v>0</v>
      </c>
      <c r="F29" s="66">
        <v>59.341799999999999</v>
      </c>
      <c r="G29" s="66">
        <v>0</v>
      </c>
      <c r="H29" s="66">
        <v>103.002</v>
      </c>
    </row>
    <row r="30" spans="1:8">
      <c r="A30" s="66" t="s">
        <v>327</v>
      </c>
      <c r="B30" s="66">
        <v>35.9636</v>
      </c>
      <c r="C30" s="66">
        <v>10.0997</v>
      </c>
      <c r="D30" s="66">
        <v>0.28083000000000002</v>
      </c>
      <c r="E30" s="66">
        <v>0</v>
      </c>
      <c r="F30" s="66">
        <v>11.1904</v>
      </c>
      <c r="G30" s="66">
        <v>0</v>
      </c>
      <c r="H30" s="66">
        <v>41.994799999999998</v>
      </c>
    </row>
    <row r="31" spans="1:8">
      <c r="A31" s="66" t="s">
        <v>328</v>
      </c>
      <c r="B31" s="66">
        <v>249.46199999999999</v>
      </c>
      <c r="C31" s="66">
        <v>65.844999999999999</v>
      </c>
      <c r="D31" s="66">
        <v>0.26394699999999999</v>
      </c>
      <c r="E31" s="66">
        <v>0</v>
      </c>
      <c r="F31" s="66">
        <v>62.600499999999997</v>
      </c>
      <c r="G31" s="66">
        <v>0</v>
      </c>
      <c r="H31" s="66">
        <v>284.86500000000001</v>
      </c>
    </row>
    <row r="32" spans="1:8">
      <c r="A32" s="66" t="s">
        <v>329</v>
      </c>
      <c r="B32" s="66">
        <v>0.22528699999999999</v>
      </c>
      <c r="C32" s="66">
        <v>6.9720900000000002E-2</v>
      </c>
      <c r="D32" s="66">
        <v>0.30947599999999997</v>
      </c>
      <c r="E32" s="66">
        <v>0.15</v>
      </c>
      <c r="F32" s="66">
        <v>6.7146300000000006E-2</v>
      </c>
      <c r="G32" s="66">
        <v>0.4</v>
      </c>
      <c r="H32" s="66">
        <v>0.35889199999999999</v>
      </c>
    </row>
    <row r="33" spans="1:8">
      <c r="A33" s="66" t="s">
        <v>330</v>
      </c>
      <c r="B33" s="66">
        <v>0.346549</v>
      </c>
      <c r="C33" s="66">
        <v>1.48422E-2</v>
      </c>
      <c r="D33" s="66">
        <v>4.2828400000000003E-2</v>
      </c>
      <c r="E33" s="66">
        <v>0</v>
      </c>
      <c r="F33" s="66">
        <v>0.31840600000000002</v>
      </c>
      <c r="G33" s="66">
        <v>0</v>
      </c>
      <c r="H33" s="66">
        <v>0.40198299999999998</v>
      </c>
    </row>
    <row r="34" spans="1:8">
      <c r="A34" s="66" t="s">
        <v>331</v>
      </c>
      <c r="B34" s="66">
        <v>0.24203</v>
      </c>
      <c r="C34" s="66">
        <v>3.50122E-2</v>
      </c>
      <c r="D34" s="66">
        <v>0.14466100000000001</v>
      </c>
      <c r="E34" s="66">
        <v>0.1</v>
      </c>
      <c r="F34" s="66">
        <v>0.18992700000000001</v>
      </c>
      <c r="G34" s="66">
        <v>0.25</v>
      </c>
      <c r="H34" s="66">
        <v>0.35877399999999998</v>
      </c>
    </row>
    <row r="35" spans="1:8">
      <c r="A35" s="66" t="s">
        <v>332</v>
      </c>
      <c r="B35" s="66">
        <v>8.9691599999999996E-2</v>
      </c>
      <c r="C35" s="66">
        <v>3.11185E-2</v>
      </c>
      <c r="D35" s="66">
        <v>0.34694999999999998</v>
      </c>
      <c r="E35" s="66">
        <v>0</v>
      </c>
      <c r="F35" s="66">
        <v>3.8815799999999998E-2</v>
      </c>
      <c r="G35" s="66">
        <v>0</v>
      </c>
      <c r="H35" s="66">
        <v>0.18313299999999999</v>
      </c>
    </row>
    <row r="36" spans="1:8">
      <c r="A36" s="66" t="s">
        <v>333</v>
      </c>
      <c r="B36" s="66">
        <v>0.213002</v>
      </c>
      <c r="C36" s="66">
        <v>0.10942499999999999</v>
      </c>
      <c r="D36" s="66">
        <v>0.51372799999999996</v>
      </c>
      <c r="E36" s="66">
        <v>0</v>
      </c>
      <c r="F36" s="66">
        <v>3.4028599999999999E-2</v>
      </c>
      <c r="G36" s="66">
        <v>0</v>
      </c>
      <c r="H36" s="66">
        <v>0.61835399999999996</v>
      </c>
    </row>
    <row r="37" spans="1:8">
      <c r="A37" s="66" t="s">
        <v>334</v>
      </c>
      <c r="B37" s="66">
        <v>0.35012199999999999</v>
      </c>
      <c r="C37" s="66">
        <v>0.137124</v>
      </c>
      <c r="D37" s="66">
        <v>0.39164700000000002</v>
      </c>
      <c r="E37" s="66">
        <v>0.1</v>
      </c>
      <c r="F37" s="66">
        <v>3.3882900000000001E-2</v>
      </c>
      <c r="G37" s="66">
        <v>0.5</v>
      </c>
      <c r="H37" s="66">
        <v>0.53828399999999998</v>
      </c>
    </row>
    <row r="38" spans="1:8">
      <c r="A38" s="66" t="s">
        <v>335</v>
      </c>
      <c r="B38" s="66">
        <v>-14.404199999999999</v>
      </c>
      <c r="C38" s="66">
        <v>53.496299999999998</v>
      </c>
      <c r="D38" s="66">
        <v>-3.71393</v>
      </c>
      <c r="E38" s="66">
        <v>0</v>
      </c>
      <c r="F38" s="66">
        <v>-318.88</v>
      </c>
      <c r="G38" s="66">
        <v>0</v>
      </c>
      <c r="H38" s="66">
        <v>280.226</v>
      </c>
    </row>
    <row r="39" spans="1:8">
      <c r="A39" s="66" t="s">
        <v>336</v>
      </c>
      <c r="B39" s="66">
        <v>-6.4000599999999999</v>
      </c>
      <c r="C39" s="66">
        <v>6.7812000000000001</v>
      </c>
      <c r="D39" s="66">
        <v>-1.05955</v>
      </c>
      <c r="E39" s="66">
        <v>0</v>
      </c>
      <c r="F39" s="66">
        <v>-18.265599999999999</v>
      </c>
      <c r="G39" s="66">
        <v>0</v>
      </c>
      <c r="H39" s="66">
        <v>22.063300000000002</v>
      </c>
    </row>
    <row r="40" spans="1:8">
      <c r="A40" s="66" t="s">
        <v>337</v>
      </c>
      <c r="B40" s="66">
        <v>-2.1883300000000001</v>
      </c>
      <c r="C40" s="66">
        <v>0.84471099999999999</v>
      </c>
      <c r="D40" s="66">
        <v>-0.38600600000000002</v>
      </c>
      <c r="E40" s="66">
        <v>0</v>
      </c>
      <c r="F40" s="66">
        <v>-4.5904699999999998</v>
      </c>
      <c r="G40" s="66">
        <v>0</v>
      </c>
      <c r="H40" s="66">
        <v>-0.76273000000000002</v>
      </c>
    </row>
    <row r="41" spans="1:8">
      <c r="A41" s="66" t="s">
        <v>338</v>
      </c>
      <c r="B41" s="66">
        <v>-8.5518800000000006E-2</v>
      </c>
      <c r="C41" s="66">
        <v>0.184471</v>
      </c>
      <c r="D41" s="66">
        <v>-2.1570800000000001</v>
      </c>
      <c r="E41" s="66">
        <v>0</v>
      </c>
      <c r="F41" s="66">
        <v>-0.625668</v>
      </c>
      <c r="G41" s="66">
        <v>0</v>
      </c>
      <c r="H41" s="66">
        <v>0.557369</v>
      </c>
    </row>
    <row r="42" spans="1:8">
      <c r="A42" s="66" t="s">
        <v>339</v>
      </c>
      <c r="B42" s="66">
        <v>-8.6563100000000004E-2</v>
      </c>
      <c r="C42" s="66">
        <v>8.7118799999999996E-2</v>
      </c>
      <c r="D42" s="66">
        <v>-1.0064200000000001</v>
      </c>
      <c r="E42" s="66">
        <v>0</v>
      </c>
      <c r="F42" s="66">
        <v>-0.28400199999999998</v>
      </c>
      <c r="G42" s="66">
        <v>0</v>
      </c>
      <c r="H42" s="66">
        <v>0.15703800000000001</v>
      </c>
    </row>
    <row r="43" spans="1:8">
      <c r="A43" s="66" t="s">
        <v>340</v>
      </c>
      <c r="B43" s="66">
        <v>-5.6858400000000003E-2</v>
      </c>
      <c r="C43" s="66">
        <v>3.1512999999999999E-2</v>
      </c>
      <c r="D43" s="66">
        <v>-0.55423699999999998</v>
      </c>
      <c r="E43" s="66">
        <v>0</v>
      </c>
      <c r="F43" s="66">
        <v>-0.105667</v>
      </c>
      <c r="G43" s="66">
        <v>0</v>
      </c>
      <c r="H43" s="196">
        <v>-2.2376899999999999E-5</v>
      </c>
    </row>
    <row r="44" spans="1:8">
      <c r="A44" s="66" t="s">
        <v>341</v>
      </c>
      <c r="B44" s="66">
        <v>-16.289000000000001</v>
      </c>
      <c r="C44" s="66">
        <v>16.400600000000001</v>
      </c>
      <c r="D44" s="66">
        <v>-1.00685</v>
      </c>
      <c r="E44" s="66">
        <v>0</v>
      </c>
      <c r="F44" s="66">
        <v>-37.712899999999998</v>
      </c>
      <c r="G44" s="66">
        <v>0</v>
      </c>
      <c r="H44" s="66">
        <v>20.086099999999998</v>
      </c>
    </row>
    <row r="45" spans="1:8">
      <c r="A45" s="66" t="s">
        <v>342</v>
      </c>
      <c r="B45" s="66">
        <v>46.190100000000001</v>
      </c>
      <c r="C45" s="66">
        <v>4.99979</v>
      </c>
      <c r="D45" s="66">
        <v>0.10824400000000001</v>
      </c>
      <c r="E45" s="66">
        <v>0</v>
      </c>
      <c r="F45" s="66">
        <v>33.727499999999999</v>
      </c>
      <c r="G45" s="66">
        <v>0</v>
      </c>
      <c r="H45" s="66">
        <v>61.188899999999997</v>
      </c>
    </row>
    <row r="46" spans="1:8">
      <c r="A46" s="66" t="s">
        <v>343</v>
      </c>
      <c r="B46" s="66">
        <v>27.019500000000001</v>
      </c>
      <c r="C46" s="66">
        <v>8.4511699999999994</v>
      </c>
      <c r="D46" s="66">
        <v>0.31278</v>
      </c>
      <c r="E46" s="66">
        <v>0</v>
      </c>
      <c r="F46" s="66">
        <v>5.4974600000000002</v>
      </c>
      <c r="G46" s="66">
        <v>0</v>
      </c>
      <c r="H46" s="66">
        <v>34.161700000000003</v>
      </c>
    </row>
    <row r="47" spans="1:8">
      <c r="A47" s="66" t="s">
        <v>344</v>
      </c>
      <c r="B47" s="66">
        <v>2.0870700000000002</v>
      </c>
      <c r="C47" s="66">
        <v>0.60999499999999995</v>
      </c>
      <c r="D47" s="66">
        <v>0.29227399999999998</v>
      </c>
      <c r="E47" s="66">
        <v>0</v>
      </c>
      <c r="F47" s="66">
        <v>0.94099200000000005</v>
      </c>
      <c r="G47" s="66">
        <v>0</v>
      </c>
      <c r="H47" s="66">
        <v>4.00962</v>
      </c>
    </row>
    <row r="48" spans="1:8">
      <c r="A48" s="66" t="s">
        <v>345</v>
      </c>
      <c r="B48" s="66">
        <v>1.24417</v>
      </c>
      <c r="C48" s="66">
        <v>0.427616</v>
      </c>
      <c r="D48" s="66">
        <v>0.34369699999999997</v>
      </c>
      <c r="E48" s="66">
        <v>0</v>
      </c>
      <c r="F48" s="66">
        <v>0.98262400000000005</v>
      </c>
      <c r="G48" s="66">
        <v>0</v>
      </c>
      <c r="H48" s="66">
        <v>2.99579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53.209000000000003</v>
      </c>
      <c r="C5" s="66">
        <v>2.9786899999999998</v>
      </c>
      <c r="D5" s="66">
        <v>5.5980800000000004</v>
      </c>
      <c r="E5" s="66">
        <v>20</v>
      </c>
      <c r="F5" s="66">
        <v>47.8245</v>
      </c>
      <c r="G5" s="66">
        <v>50</v>
      </c>
      <c r="H5" s="66">
        <v>57.9773</v>
      </c>
    </row>
    <row r="6" spans="1:8">
      <c r="A6" s="66" t="s">
        <v>303</v>
      </c>
      <c r="B6" s="66">
        <v>27.495699999999999</v>
      </c>
      <c r="C6" s="66">
        <v>0.92759499999999995</v>
      </c>
      <c r="D6" s="66">
        <v>3.3736000000000002</v>
      </c>
      <c r="E6" s="66">
        <v>20</v>
      </c>
      <c r="F6" s="66">
        <v>23.8521</v>
      </c>
      <c r="G6" s="66">
        <v>40</v>
      </c>
      <c r="H6" s="66">
        <v>28.378299999999999</v>
      </c>
    </row>
    <row r="7" spans="1:8">
      <c r="A7" s="66" t="s">
        <v>304</v>
      </c>
      <c r="B7" s="66">
        <v>29.9846</v>
      </c>
      <c r="C7" s="66">
        <v>3.14093</v>
      </c>
      <c r="D7" s="66">
        <v>10.475099999999999</v>
      </c>
      <c r="E7" s="66">
        <v>15</v>
      </c>
      <c r="F7" s="66">
        <v>20.9651</v>
      </c>
      <c r="G7" s="66">
        <v>40</v>
      </c>
      <c r="H7" s="66">
        <v>37.368600000000001</v>
      </c>
    </row>
    <row r="8" spans="1:8">
      <c r="A8" s="66" t="s">
        <v>305</v>
      </c>
      <c r="B8" s="66">
        <v>36.406300000000002</v>
      </c>
      <c r="C8" s="66">
        <v>1.51502</v>
      </c>
      <c r="D8" s="66">
        <v>4.1614399999999998</v>
      </c>
      <c r="E8" s="66">
        <v>20</v>
      </c>
      <c r="F8" s="66">
        <v>32.794800000000002</v>
      </c>
      <c r="G8" s="66">
        <v>50</v>
      </c>
      <c r="H8" s="66">
        <v>38.9559</v>
      </c>
    </row>
    <row r="9" spans="1:8">
      <c r="A9" s="66" t="s">
        <v>306</v>
      </c>
      <c r="B9" s="66">
        <v>68.551500000000004</v>
      </c>
      <c r="C9" s="66">
        <v>3.2928600000000001</v>
      </c>
      <c r="D9" s="66">
        <v>4.8034800000000004</v>
      </c>
      <c r="E9" s="66">
        <v>50</v>
      </c>
      <c r="F9" s="66">
        <v>60.737499999999997</v>
      </c>
      <c r="G9" s="66">
        <v>100</v>
      </c>
      <c r="H9" s="66">
        <v>76.533100000000005</v>
      </c>
    </row>
    <row r="10" spans="1:8">
      <c r="A10" s="66" t="s">
        <v>307</v>
      </c>
      <c r="B10" s="66">
        <v>75.595399999999998</v>
      </c>
      <c r="C10" s="66">
        <v>1.46753</v>
      </c>
      <c r="D10" s="66">
        <v>1.94129</v>
      </c>
      <c r="E10" s="66">
        <v>40</v>
      </c>
      <c r="F10" s="66">
        <v>73.344499999999996</v>
      </c>
      <c r="G10" s="66">
        <v>100</v>
      </c>
      <c r="H10" s="66">
        <v>80.001800000000003</v>
      </c>
    </row>
    <row r="11" spans="1:8">
      <c r="A11" s="66" t="s">
        <v>308</v>
      </c>
      <c r="B11" s="66">
        <v>39.328699999999998</v>
      </c>
      <c r="C11" s="66">
        <v>3.40279</v>
      </c>
      <c r="D11" s="66">
        <v>8.6521699999999999</v>
      </c>
      <c r="E11" s="66">
        <v>10</v>
      </c>
      <c r="F11" s="66">
        <v>33.8613</v>
      </c>
      <c r="G11" s="66">
        <v>50</v>
      </c>
      <c r="H11" s="66">
        <v>45.186700000000002</v>
      </c>
    </row>
    <row r="12" spans="1:8">
      <c r="A12" s="66" t="s">
        <v>309</v>
      </c>
      <c r="B12" s="66">
        <v>72.256900000000002</v>
      </c>
      <c r="C12" s="66">
        <v>1.67849</v>
      </c>
      <c r="D12" s="66">
        <v>2.3229500000000001</v>
      </c>
      <c r="E12" s="66">
        <v>50</v>
      </c>
      <c r="F12" s="66">
        <v>67.284999999999997</v>
      </c>
      <c r="G12" s="66">
        <v>100</v>
      </c>
      <c r="H12" s="66">
        <v>76.400300000000001</v>
      </c>
    </row>
    <row r="13" spans="1:8">
      <c r="A13" s="66" t="s">
        <v>310</v>
      </c>
      <c r="B13" s="66">
        <v>23.503900000000002</v>
      </c>
      <c r="C13" s="66">
        <v>2.8426499999999999</v>
      </c>
      <c r="D13" s="66">
        <v>12.0944</v>
      </c>
      <c r="E13" s="66">
        <v>10</v>
      </c>
      <c r="F13" s="66">
        <v>17.470099999999999</v>
      </c>
      <c r="G13" s="66">
        <v>25</v>
      </c>
      <c r="H13" s="66">
        <v>30.375900000000001</v>
      </c>
    </row>
    <row r="14" spans="1:8">
      <c r="A14" s="66" t="s">
        <v>311</v>
      </c>
      <c r="B14" s="66">
        <v>28.426500000000001</v>
      </c>
      <c r="C14" s="66">
        <v>11.2521</v>
      </c>
      <c r="D14" s="66">
        <v>39.582999999999998</v>
      </c>
      <c r="E14" s="66">
        <v>10</v>
      </c>
      <c r="F14" s="66">
        <v>4.0341899999999997</v>
      </c>
      <c r="G14" s="66">
        <v>50</v>
      </c>
      <c r="H14" s="66">
        <v>34.984999999999999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0.50716399999999995</v>
      </c>
      <c r="C18" s="66">
        <v>9.2026700000000003E-2</v>
      </c>
      <c r="D18" s="66">
        <v>0.181454</v>
      </c>
      <c r="E18" s="66">
        <v>0</v>
      </c>
      <c r="F18" s="66">
        <v>0.41513699999999998</v>
      </c>
      <c r="G18" s="66">
        <v>0</v>
      </c>
      <c r="H18" s="66">
        <v>0.59919100000000003</v>
      </c>
    </row>
    <row r="19" spans="1:8">
      <c r="A19" s="66" t="s">
        <v>316</v>
      </c>
      <c r="B19" s="66">
        <v>0.45883000000000002</v>
      </c>
      <c r="C19" s="66">
        <v>1.76533E-2</v>
      </c>
      <c r="D19" s="66">
        <v>3.8474700000000001E-2</v>
      </c>
      <c r="E19" s="66">
        <v>0</v>
      </c>
      <c r="F19" s="66">
        <v>0.44117600000000001</v>
      </c>
      <c r="G19" s="66">
        <v>0</v>
      </c>
      <c r="H19" s="66">
        <v>0.47648299999999999</v>
      </c>
    </row>
    <row r="20" spans="1:8">
      <c r="A20" s="66" t="s">
        <v>317</v>
      </c>
      <c r="B20" s="66">
        <v>2.6854499999999998E-3</v>
      </c>
      <c r="C20" s="66">
        <v>2.9997200000000002E-2</v>
      </c>
      <c r="D20" s="66">
        <v>11.170299999999999</v>
      </c>
      <c r="E20" s="66">
        <v>0</v>
      </c>
      <c r="F20" s="66">
        <v>1.33941E-4</v>
      </c>
      <c r="G20" s="66">
        <v>0</v>
      </c>
      <c r="H20" s="66">
        <v>0.21615200000000001</v>
      </c>
    </row>
    <row r="21" spans="1:8">
      <c r="A21" s="66" t="s">
        <v>318</v>
      </c>
      <c r="B21" s="66">
        <v>0.188278</v>
      </c>
      <c r="C21" s="66">
        <v>0.20289699999999999</v>
      </c>
      <c r="D21" s="66">
        <v>1.07765</v>
      </c>
      <c r="E21" s="66">
        <v>0</v>
      </c>
      <c r="F21" s="66">
        <v>5.9561199999999996E-3</v>
      </c>
      <c r="G21" s="66">
        <v>0</v>
      </c>
      <c r="H21" s="66">
        <v>1.0358799999999999</v>
      </c>
    </row>
    <row r="22" spans="1:8">
      <c r="A22" s="66" t="s">
        <v>319</v>
      </c>
      <c r="B22" s="66">
        <v>43.728099999999998</v>
      </c>
      <c r="C22" s="66">
        <v>5.64602</v>
      </c>
      <c r="D22" s="66">
        <v>0.12911700000000001</v>
      </c>
      <c r="E22" s="66">
        <v>0</v>
      </c>
      <c r="F22" s="66">
        <v>30.0031</v>
      </c>
      <c r="G22" s="66">
        <v>0</v>
      </c>
      <c r="H22" s="66">
        <v>62.872100000000003</v>
      </c>
    </row>
    <row r="23" spans="1:8">
      <c r="A23" s="66" t="s">
        <v>320</v>
      </c>
      <c r="B23" s="66">
        <v>22.4984</v>
      </c>
      <c r="C23" s="66">
        <v>2.5008300000000001</v>
      </c>
      <c r="D23" s="66">
        <v>0.111156</v>
      </c>
      <c r="E23" s="66">
        <v>0</v>
      </c>
      <c r="F23" s="66">
        <v>19.059699999999999</v>
      </c>
      <c r="G23" s="66">
        <v>0</v>
      </c>
      <c r="H23" s="66">
        <v>30.5383</v>
      </c>
    </row>
    <row r="24" spans="1:8">
      <c r="A24" s="66" t="s">
        <v>321</v>
      </c>
      <c r="B24" s="66">
        <v>4.7234199999999999E-3</v>
      </c>
      <c r="C24" s="66">
        <v>1.7100799999999999E-2</v>
      </c>
      <c r="D24" s="66">
        <v>3.6204299999999998</v>
      </c>
      <c r="E24" s="66">
        <v>0</v>
      </c>
      <c r="F24" s="66">
        <v>3.9381099999999999E-4</v>
      </c>
      <c r="G24" s="66">
        <v>0</v>
      </c>
      <c r="H24" s="66">
        <v>6.9293800000000003E-2</v>
      </c>
    </row>
    <row r="25" spans="1:8">
      <c r="A25" s="66" t="s">
        <v>322</v>
      </c>
      <c r="B25" s="66">
        <v>0.22787199999999999</v>
      </c>
      <c r="C25" s="66">
        <v>8.9861899999999995E-2</v>
      </c>
      <c r="D25" s="66">
        <v>0.39435199999999998</v>
      </c>
      <c r="E25" s="66">
        <v>0</v>
      </c>
      <c r="F25" s="66">
        <v>0.122866</v>
      </c>
      <c r="G25" s="66">
        <v>0</v>
      </c>
      <c r="H25" s="66">
        <v>0.55068799999999996</v>
      </c>
    </row>
    <row r="26" spans="1:8">
      <c r="A26" s="66" t="s">
        <v>323</v>
      </c>
      <c r="B26" s="66">
        <v>8.4361899999999999E-4</v>
      </c>
      <c r="C26" s="66">
        <v>2.1732800000000001E-3</v>
      </c>
      <c r="D26" s="66">
        <v>2.5761400000000001</v>
      </c>
      <c r="E26" s="66">
        <v>0</v>
      </c>
      <c r="F26" s="196">
        <v>2.9543099999999998E-5</v>
      </c>
      <c r="G26" s="66">
        <v>0</v>
      </c>
      <c r="H26" s="66">
        <v>1.48405E-2</v>
      </c>
    </row>
    <row r="27" spans="1:8">
      <c r="A27" s="66" t="s">
        <v>324</v>
      </c>
      <c r="B27" s="196">
        <v>-1.9695400000000001E-5</v>
      </c>
      <c r="C27" s="66">
        <v>1.5980300000000001E-3</v>
      </c>
      <c r="D27" s="66">
        <v>-81.137500000000003</v>
      </c>
      <c r="E27" s="66">
        <v>0</v>
      </c>
      <c r="F27" s="66">
        <v>-1.0083999999999999E-2</v>
      </c>
      <c r="G27" s="66">
        <v>0</v>
      </c>
      <c r="H27" s="66">
        <v>1.0635500000000001E-2</v>
      </c>
    </row>
    <row r="28" spans="1:8">
      <c r="A28" s="66" t="s">
        <v>325</v>
      </c>
      <c r="B28" s="66">
        <v>2.23275E-2</v>
      </c>
      <c r="C28" s="66">
        <v>1.8204499999999998E-2</v>
      </c>
      <c r="D28" s="66">
        <v>0.81533999999999995</v>
      </c>
      <c r="E28" s="66">
        <v>0</v>
      </c>
      <c r="F28" s="66">
        <v>1.29232E-3</v>
      </c>
      <c r="G28" s="66">
        <v>0</v>
      </c>
      <c r="H28" s="66">
        <v>8.9892600000000003E-2</v>
      </c>
    </row>
    <row r="29" spans="1:8">
      <c r="A29" s="66" t="s">
        <v>326</v>
      </c>
      <c r="B29" s="66">
        <v>75.756699999999995</v>
      </c>
      <c r="C29" s="66">
        <v>7.3445299999999998</v>
      </c>
      <c r="D29" s="66">
        <v>9.6948999999999994E-2</v>
      </c>
      <c r="E29" s="66">
        <v>0</v>
      </c>
      <c r="F29" s="66">
        <v>59.039200000000001</v>
      </c>
      <c r="G29" s="66">
        <v>0</v>
      </c>
      <c r="H29" s="66">
        <v>95.273399999999995</v>
      </c>
    </row>
    <row r="30" spans="1:8">
      <c r="A30" s="66" t="s">
        <v>327</v>
      </c>
      <c r="B30" s="66">
        <v>34.352400000000003</v>
      </c>
      <c r="C30" s="66">
        <v>2.8326799999999999</v>
      </c>
      <c r="D30" s="66">
        <v>8.2459299999999999E-2</v>
      </c>
      <c r="E30" s="66">
        <v>0</v>
      </c>
      <c r="F30" s="66">
        <v>27.874099999999999</v>
      </c>
      <c r="G30" s="66">
        <v>0</v>
      </c>
      <c r="H30" s="66">
        <v>40.426600000000001</v>
      </c>
    </row>
    <row r="31" spans="1:8">
      <c r="A31" s="66" t="s">
        <v>328</v>
      </c>
      <c r="B31" s="66">
        <v>243.39099999999999</v>
      </c>
      <c r="C31" s="66">
        <v>11.826599999999999</v>
      </c>
      <c r="D31" s="66">
        <v>4.8591099999999998E-2</v>
      </c>
      <c r="E31" s="66">
        <v>0</v>
      </c>
      <c r="F31" s="66">
        <v>212.15899999999999</v>
      </c>
      <c r="G31" s="66">
        <v>0</v>
      </c>
      <c r="H31" s="66">
        <v>267.30900000000003</v>
      </c>
    </row>
    <row r="32" spans="1:8">
      <c r="A32" s="66" t="s">
        <v>329</v>
      </c>
      <c r="B32" s="66">
        <v>0.299846</v>
      </c>
      <c r="C32" s="66">
        <v>3.1409300000000001E-2</v>
      </c>
      <c r="D32" s="66">
        <v>0.104751</v>
      </c>
      <c r="E32" s="66">
        <v>0.15</v>
      </c>
      <c r="F32" s="66">
        <v>0.209651</v>
      </c>
      <c r="G32" s="66">
        <v>0.4</v>
      </c>
      <c r="H32" s="66">
        <v>0.37368600000000002</v>
      </c>
    </row>
    <row r="33" spans="1:8">
      <c r="A33" s="66" t="s">
        <v>330</v>
      </c>
      <c r="B33" s="66">
        <v>0.3977</v>
      </c>
      <c r="C33" s="66">
        <v>5.2156899999999999E-2</v>
      </c>
      <c r="D33" s="66">
        <v>0.13114600000000001</v>
      </c>
      <c r="E33" s="66">
        <v>0</v>
      </c>
      <c r="F33" s="66">
        <v>0.31528699999999998</v>
      </c>
      <c r="G33" s="66">
        <v>0</v>
      </c>
      <c r="H33" s="66">
        <v>0.48842799999999997</v>
      </c>
    </row>
    <row r="34" spans="1:8">
      <c r="A34" s="66" t="s">
        <v>331</v>
      </c>
      <c r="B34" s="66">
        <v>0.235039</v>
      </c>
      <c r="C34" s="66">
        <v>2.84265E-2</v>
      </c>
      <c r="D34" s="66">
        <v>0.120944</v>
      </c>
      <c r="E34" s="66">
        <v>0.1</v>
      </c>
      <c r="F34" s="66">
        <v>0.174701</v>
      </c>
      <c r="G34" s="66">
        <v>0.25</v>
      </c>
      <c r="H34" s="66">
        <v>0.303759</v>
      </c>
    </row>
    <row r="35" spans="1:8">
      <c r="A35" s="66" t="s">
        <v>332</v>
      </c>
      <c r="B35" s="66">
        <v>9.7646800000000006E-2</v>
      </c>
      <c r="C35" s="66">
        <v>2.1908500000000001E-2</v>
      </c>
      <c r="D35" s="66">
        <v>0.22436500000000001</v>
      </c>
      <c r="E35" s="66">
        <v>0</v>
      </c>
      <c r="F35" s="66">
        <v>5.4684200000000002E-2</v>
      </c>
      <c r="G35" s="66">
        <v>0</v>
      </c>
      <c r="H35" s="66">
        <v>0.15679899999999999</v>
      </c>
    </row>
    <row r="36" spans="1:8">
      <c r="A36" s="66" t="s">
        <v>333</v>
      </c>
      <c r="B36" s="66">
        <v>0.18547</v>
      </c>
      <c r="C36" s="66">
        <v>0.11035300000000001</v>
      </c>
      <c r="D36" s="66">
        <v>0.59498799999999996</v>
      </c>
      <c r="E36" s="66">
        <v>0</v>
      </c>
      <c r="F36" s="66">
        <v>4.0504999999999999E-2</v>
      </c>
      <c r="G36" s="66">
        <v>0</v>
      </c>
      <c r="H36" s="66">
        <v>0.55841799999999997</v>
      </c>
    </row>
    <row r="37" spans="1:8">
      <c r="A37" s="66" t="s">
        <v>334</v>
      </c>
      <c r="B37" s="66">
        <v>0.28426499999999999</v>
      </c>
      <c r="C37" s="66">
        <v>0.112521</v>
      </c>
      <c r="D37" s="66">
        <v>0.39583000000000002</v>
      </c>
      <c r="E37" s="66">
        <v>0.1</v>
      </c>
      <c r="F37" s="66">
        <v>4.03419E-2</v>
      </c>
      <c r="G37" s="66">
        <v>0.5</v>
      </c>
      <c r="H37" s="66">
        <v>0.34984999999999999</v>
      </c>
    </row>
    <row r="38" spans="1:8">
      <c r="A38" s="66" t="s">
        <v>335</v>
      </c>
      <c r="B38" s="66">
        <v>-23.7453</v>
      </c>
      <c r="C38" s="66">
        <v>46.887300000000003</v>
      </c>
      <c r="D38" s="66">
        <v>-1.9745900000000001</v>
      </c>
      <c r="E38" s="66">
        <v>0</v>
      </c>
      <c r="F38" s="66">
        <v>-161.762</v>
      </c>
      <c r="G38" s="66">
        <v>0</v>
      </c>
      <c r="H38" s="66">
        <v>372.166</v>
      </c>
    </row>
    <row r="39" spans="1:8">
      <c r="A39" s="66" t="s">
        <v>336</v>
      </c>
      <c r="B39" s="66">
        <v>-7.0152599999999996</v>
      </c>
      <c r="C39" s="66">
        <v>2.3178200000000002</v>
      </c>
      <c r="D39" s="66">
        <v>-0.330397</v>
      </c>
      <c r="E39" s="66">
        <v>0</v>
      </c>
      <c r="F39" s="66">
        <v>-11.2103</v>
      </c>
      <c r="G39" s="66">
        <v>0</v>
      </c>
      <c r="H39" s="66">
        <v>1.7299199999999999</v>
      </c>
    </row>
    <row r="40" spans="1:8">
      <c r="A40" s="66" t="s">
        <v>337</v>
      </c>
      <c r="B40" s="66">
        <v>-3.5202399999999998</v>
      </c>
      <c r="C40" s="66">
        <v>0.55308500000000005</v>
      </c>
      <c r="D40" s="66">
        <v>-0.15711600000000001</v>
      </c>
      <c r="E40" s="66">
        <v>0</v>
      </c>
      <c r="F40" s="66">
        <v>-3.98719</v>
      </c>
      <c r="G40" s="66">
        <v>0</v>
      </c>
      <c r="H40" s="66">
        <v>-1.30179</v>
      </c>
    </row>
    <row r="41" spans="1:8">
      <c r="A41" s="66" t="s">
        <v>338</v>
      </c>
      <c r="B41" s="66">
        <v>-0.13167100000000001</v>
      </c>
      <c r="C41" s="66">
        <v>0.22692300000000001</v>
      </c>
      <c r="D41" s="66">
        <v>-1.7234100000000001</v>
      </c>
      <c r="E41" s="66">
        <v>0</v>
      </c>
      <c r="F41" s="66">
        <v>-0.83333299999999999</v>
      </c>
      <c r="G41" s="66">
        <v>0</v>
      </c>
      <c r="H41" s="66">
        <v>0.86063000000000001</v>
      </c>
    </row>
    <row r="42" spans="1:8">
      <c r="A42" s="66" t="s">
        <v>339</v>
      </c>
      <c r="B42" s="66">
        <v>-0.162629</v>
      </c>
      <c r="C42" s="66">
        <v>4.9671199999999999E-2</v>
      </c>
      <c r="D42" s="66">
        <v>-0.30542599999999998</v>
      </c>
      <c r="E42" s="66">
        <v>0</v>
      </c>
      <c r="F42" s="66">
        <v>-0.24096500000000001</v>
      </c>
      <c r="G42" s="66">
        <v>0</v>
      </c>
      <c r="H42" s="66">
        <v>3.57267E-2</v>
      </c>
    </row>
    <row r="43" spans="1:8">
      <c r="A43" s="66" t="s">
        <v>340</v>
      </c>
      <c r="B43" s="66">
        <v>-0.10971599999999999</v>
      </c>
      <c r="C43" s="66">
        <v>4.1169499999999998E-2</v>
      </c>
      <c r="D43" s="66">
        <v>-0.37523499999999999</v>
      </c>
      <c r="E43" s="66">
        <v>0</v>
      </c>
      <c r="F43" s="66">
        <v>-0.158078</v>
      </c>
      <c r="G43" s="66">
        <v>0</v>
      </c>
      <c r="H43" s="66">
        <v>8.8760799999999997E-3</v>
      </c>
    </row>
    <row r="44" spans="1:8">
      <c r="A44" s="66" t="s">
        <v>341</v>
      </c>
      <c r="B44" s="66">
        <v>2.9738600000000002</v>
      </c>
      <c r="C44" s="66">
        <v>7.4191500000000001</v>
      </c>
      <c r="D44" s="66">
        <v>2.4947900000000001</v>
      </c>
      <c r="E44" s="66">
        <v>0</v>
      </c>
      <c r="F44" s="66">
        <v>-17.377199999999998</v>
      </c>
      <c r="G44" s="66">
        <v>0</v>
      </c>
      <c r="H44" s="66">
        <v>16.840499999999999</v>
      </c>
    </row>
    <row r="45" spans="1:8">
      <c r="A45" s="66" t="s">
        <v>342</v>
      </c>
      <c r="B45" s="66">
        <v>48.867899999999999</v>
      </c>
      <c r="C45" s="66">
        <v>4.8453600000000003</v>
      </c>
      <c r="D45" s="66">
        <v>9.9152100000000007E-2</v>
      </c>
      <c r="E45" s="66">
        <v>0</v>
      </c>
      <c r="F45" s="66">
        <v>39.5169</v>
      </c>
      <c r="G45" s="66">
        <v>0</v>
      </c>
      <c r="H45" s="66">
        <v>63.600099999999998</v>
      </c>
    </row>
    <row r="46" spans="1:8">
      <c r="A46" s="66" t="s">
        <v>343</v>
      </c>
      <c r="B46" s="66">
        <v>37.156799999999997</v>
      </c>
      <c r="C46" s="66">
        <v>1.33091</v>
      </c>
      <c r="D46" s="66">
        <v>3.5818799999999998E-2</v>
      </c>
      <c r="E46" s="66">
        <v>0</v>
      </c>
      <c r="F46" s="66">
        <v>34.6053</v>
      </c>
      <c r="G46" s="66">
        <v>0</v>
      </c>
      <c r="H46" s="66">
        <v>40.464799999999997</v>
      </c>
    </row>
    <row r="47" spans="1:8">
      <c r="A47" s="66" t="s">
        <v>344</v>
      </c>
      <c r="B47" s="66">
        <v>1.6048800000000001</v>
      </c>
      <c r="C47" s="66">
        <v>0.52341300000000002</v>
      </c>
      <c r="D47" s="66">
        <v>0.32613999999999999</v>
      </c>
      <c r="E47" s="66">
        <v>0</v>
      </c>
      <c r="F47" s="66">
        <v>0.78224400000000005</v>
      </c>
      <c r="G47" s="66">
        <v>0</v>
      </c>
      <c r="H47" s="66">
        <v>3.9325899999999998</v>
      </c>
    </row>
    <row r="48" spans="1:8">
      <c r="A48" s="66" t="s">
        <v>345</v>
      </c>
      <c r="B48" s="66">
        <v>1.70482</v>
      </c>
      <c r="C48" s="66">
        <v>0.21790799999999999</v>
      </c>
      <c r="D48" s="66">
        <v>0.12781899999999999</v>
      </c>
      <c r="E48" s="66">
        <v>0</v>
      </c>
      <c r="F48" s="66">
        <v>1.3161700000000001</v>
      </c>
      <c r="G48" s="66">
        <v>0</v>
      </c>
      <c r="H48" s="66">
        <v>2.1091099999999998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116.97347079673699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2.258464140609266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0.69845734515975877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2083</v>
      </c>
      <c r="B8" s="66">
        <v>2083</v>
      </c>
      <c r="D8">
        <f t="shared" si="0"/>
        <v>8.8954749662629607E-3</v>
      </c>
      <c r="E8">
        <f t="shared" si="0"/>
        <v>8.8954749662629607E-3</v>
      </c>
      <c r="G8">
        <f t="shared" ca="1" si="1"/>
        <v>6</v>
      </c>
      <c r="H8">
        <f t="shared" ca="1" si="2"/>
        <v>5.3372849797577768E-2</v>
      </c>
      <c r="I8">
        <f t="shared" ca="1" si="3"/>
        <v>109.54876357025178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2686</v>
      </c>
      <c r="B10" s="66">
        <v>2686</v>
      </c>
      <c r="D10">
        <f t="shared" si="0"/>
        <v>1.1470593259425019E-2</v>
      </c>
      <c r="E10">
        <f t="shared" si="0"/>
        <v>1.1470593259425019E-2</v>
      </c>
      <c r="G10">
        <f t="shared" ca="1" si="1"/>
        <v>8</v>
      </c>
      <c r="H10">
        <f t="shared" ca="1" si="2"/>
        <v>9.1764746075400153E-2</v>
      </c>
      <c r="I10">
        <f t="shared" ca="1" si="3"/>
        <v>136.21578794558883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3306</v>
      </c>
      <c r="B13" s="66">
        <v>3306</v>
      </c>
      <c r="D13">
        <f t="shared" si="0"/>
        <v>1.4118310244102424E-2</v>
      </c>
      <c r="E13">
        <f t="shared" si="0"/>
        <v>1.4118310244102424E-2</v>
      </c>
      <c r="G13">
        <f t="shared" ca="1" si="1"/>
        <v>11</v>
      </c>
      <c r="H13">
        <f t="shared" ca="1" si="2"/>
        <v>0.15530141268512668</v>
      </c>
      <c r="I13">
        <f t="shared" ca="1" si="3"/>
        <v>158.55393976447661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3248</v>
      </c>
      <c r="B15" s="66">
        <v>3248</v>
      </c>
      <c r="D15">
        <f t="shared" si="0"/>
        <v>1.3870620590697118E-2</v>
      </c>
      <c r="E15">
        <f t="shared" si="0"/>
        <v>1.3870620590697118E-2</v>
      </c>
      <c r="G15">
        <f t="shared" ca="1" si="1"/>
        <v>13</v>
      </c>
      <c r="H15">
        <f t="shared" ca="1" si="2"/>
        <v>0.18031806767906253</v>
      </c>
      <c r="I15">
        <f t="shared" ca="1" si="3"/>
        <v>149.94810295639252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2976</v>
      </c>
      <c r="B18" s="66">
        <v>2976</v>
      </c>
      <c r="D18">
        <f t="shared" si="0"/>
        <v>1.2709041526451546E-2</v>
      </c>
      <c r="E18">
        <f t="shared" si="0"/>
        <v>1.2709041526451546E-2</v>
      </c>
      <c r="G18">
        <f t="shared" ca="1" si="1"/>
        <v>16</v>
      </c>
      <c r="H18">
        <f t="shared" ca="1" si="2"/>
        <v>0.20334466442322474</v>
      </c>
      <c r="I18">
        <f t="shared" ca="1" si="3"/>
        <v>129.57683508525966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6991</v>
      </c>
      <c r="B21" s="66">
        <v>6991</v>
      </c>
      <c r="D21">
        <f t="shared" si="0"/>
        <v>2.9855144257870551E-2</v>
      </c>
      <c r="E21">
        <f t="shared" si="0"/>
        <v>2.9855144257870551E-2</v>
      </c>
      <c r="G21">
        <f t="shared" ca="1" si="1"/>
        <v>19</v>
      </c>
      <c r="H21">
        <f t="shared" ca="1" si="2"/>
        <v>0.56724774089954044</v>
      </c>
      <c r="I21">
        <f t="shared" ca="1" si="3"/>
        <v>286.57358795926746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11784</v>
      </c>
      <c r="B23" s="66">
        <v>11784</v>
      </c>
      <c r="D23">
        <f t="shared" si="0"/>
        <v>5.0323704753933142E-2</v>
      </c>
      <c r="E23">
        <f t="shared" si="0"/>
        <v>5.0323704753933142E-2</v>
      </c>
      <c r="G23">
        <f t="shared" ca="1" si="1"/>
        <v>21</v>
      </c>
      <c r="H23">
        <f t="shared" ca="1" si="2"/>
        <v>1.0567977998325959</v>
      </c>
      <c r="I23">
        <f t="shared" ca="1" si="3"/>
        <v>463.526969253868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10002</v>
      </c>
      <c r="B26" s="66">
        <v>10002</v>
      </c>
      <c r="D26">
        <f t="shared" si="0"/>
        <v>4.2713653678618402E-2</v>
      </c>
      <c r="E26">
        <f t="shared" si="0"/>
        <v>4.2713653678618402E-2</v>
      </c>
      <c r="G26">
        <f t="shared" ca="1" si="1"/>
        <v>24</v>
      </c>
      <c r="H26">
        <f t="shared" ca="1" si="2"/>
        <v>1.0251276882868416</v>
      </c>
      <c r="I26">
        <f t="shared" ca="1" si="3"/>
        <v>369.21965311687978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13812</v>
      </c>
      <c r="B28" s="66">
        <v>13812</v>
      </c>
      <c r="D28">
        <f t="shared" si="0"/>
        <v>5.8984301600587624E-2</v>
      </c>
      <c r="E28">
        <f t="shared" si="0"/>
        <v>5.8984301600587624E-2</v>
      </c>
      <c r="G28">
        <f t="shared" ca="1" si="1"/>
        <v>26</v>
      </c>
      <c r="H28">
        <f t="shared" ca="1" si="2"/>
        <v>1.5335918416152783</v>
      </c>
      <c r="I28">
        <f t="shared" ca="1" si="3"/>
        <v>488.16424827971559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18044</v>
      </c>
      <c r="B31" s="66">
        <v>18044</v>
      </c>
      <c r="D31">
        <f t="shared" si="0"/>
        <v>7.7057105276643723E-2</v>
      </c>
      <c r="E31">
        <f t="shared" si="0"/>
        <v>7.7057105276643723E-2</v>
      </c>
      <c r="G31">
        <f t="shared" ca="1" si="1"/>
        <v>29</v>
      </c>
      <c r="H31">
        <f t="shared" ca="1" si="2"/>
        <v>2.2346560530226678</v>
      </c>
      <c r="I31">
        <f t="shared" ca="1" si="3"/>
        <v>596.37048709987505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23664</v>
      </c>
      <c r="B33" s="66">
        <v>23664</v>
      </c>
      <c r="D33">
        <f t="shared" si="0"/>
        <v>0.10105737858936471</v>
      </c>
      <c r="E33">
        <f t="shared" si="0"/>
        <v>0.10105737858936471</v>
      </c>
      <c r="G33">
        <f t="shared" ca="1" si="1"/>
        <v>31</v>
      </c>
      <c r="H33">
        <f t="shared" ca="1" si="2"/>
        <v>3.1327787362703061</v>
      </c>
      <c r="I33">
        <f t="shared" ca="1" si="3"/>
        <v>746.95931603207987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25861</v>
      </c>
      <c r="B36" s="66">
        <v>25861</v>
      </c>
      <c r="D36">
        <f t="shared" si="0"/>
        <v>0.11043969183990707</v>
      </c>
      <c r="E36">
        <f t="shared" si="0"/>
        <v>0.11043969183990707</v>
      </c>
      <c r="G36">
        <f t="shared" ca="1" si="1"/>
        <v>34</v>
      </c>
      <c r="H36">
        <f t="shared" ca="1" si="2"/>
        <v>3.7549495225568403</v>
      </c>
      <c r="I36">
        <f t="shared" ca="1" si="3"/>
        <v>760.33275522492443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28413</v>
      </c>
      <c r="B39" s="66">
        <v>28413</v>
      </c>
      <c r="D39">
        <f t="shared" si="0"/>
        <v>0.12133803658974053</v>
      </c>
      <c r="E39">
        <f t="shared" si="0"/>
        <v>0.12133803658974053</v>
      </c>
      <c r="G39">
        <f t="shared" ca="1" si="1"/>
        <v>37</v>
      </c>
      <c r="H39">
        <f t="shared" ca="1" si="2"/>
        <v>4.4895073538203993</v>
      </c>
      <c r="I39">
        <f t="shared" ca="1" si="3"/>
        <v>776.04847934208703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29476</v>
      </c>
      <c r="B41" s="66">
        <v>29476</v>
      </c>
      <c r="D41">
        <f t="shared" si="0"/>
        <v>0.12587759006508259</v>
      </c>
      <c r="E41">
        <f t="shared" si="0"/>
        <v>0.12587759006508259</v>
      </c>
      <c r="G41">
        <f t="shared" ca="1" si="1"/>
        <v>39</v>
      </c>
      <c r="H41">
        <f t="shared" ca="1" si="2"/>
        <v>4.9092260125382214</v>
      </c>
      <c r="I41">
        <f t="shared" ca="1" si="3"/>
        <v>765.31839512943463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36094</v>
      </c>
      <c r="B44" s="66">
        <v>36094</v>
      </c>
      <c r="D44">
        <f t="shared" si="0"/>
        <v>0.1541398336208811</v>
      </c>
      <c r="E44">
        <f t="shared" si="0"/>
        <v>0.1541398336208811</v>
      </c>
      <c r="G44">
        <f t="shared" ca="1" si="1"/>
        <v>42</v>
      </c>
      <c r="H44">
        <f t="shared" ca="1" si="2"/>
        <v>6.4738730120770063</v>
      </c>
      <c r="I44">
        <f t="shared" ca="1" si="3"/>
        <v>866.42329155430104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39511</v>
      </c>
      <c r="B46" s="66">
        <v>39511</v>
      </c>
      <c r="D46">
        <f t="shared" si="0"/>
        <v>0.16873217061546608</v>
      </c>
      <c r="E46">
        <f t="shared" si="0"/>
        <v>0.16873217061546608</v>
      </c>
      <c r="G46">
        <f t="shared" ca="1" si="1"/>
        <v>44</v>
      </c>
      <c r="H46">
        <f t="shared" ca="1" si="2"/>
        <v>7.4242155070805076</v>
      </c>
      <c r="I46">
        <f t="shared" ca="1" si="3"/>
        <v>898.52031177580363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44608</v>
      </c>
      <c r="B49" s="66">
        <v>44608</v>
      </c>
      <c r="D49">
        <f t="shared" si="0"/>
        <v>0.19049896653627371</v>
      </c>
      <c r="E49">
        <f t="shared" si="0"/>
        <v>0.19049896653627371</v>
      </c>
      <c r="G49">
        <f t="shared" ca="1" si="1"/>
        <v>47</v>
      </c>
      <c r="H49">
        <f t="shared" ca="1" si="2"/>
        <v>8.9534514272048646</v>
      </c>
      <c r="I49">
        <f t="shared" ca="1" si="3"/>
        <v>932.73754008800324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60653</v>
      </c>
      <c r="B51" s="66">
        <v>60653</v>
      </c>
      <c r="D51">
        <f t="shared" si="0"/>
        <v>0.25901931979296561</v>
      </c>
      <c r="E51">
        <f t="shared" si="0"/>
        <v>0.25901931979296561</v>
      </c>
      <c r="G51">
        <f t="shared" ca="1" si="1"/>
        <v>49</v>
      </c>
      <c r="H51">
        <f t="shared" ca="1" si="2"/>
        <v>12.691946669855314</v>
      </c>
      <c r="I51">
        <f t="shared" ca="1" si="3"/>
        <v>1196.7709826591129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52798</v>
      </c>
      <c r="B54" s="66">
        <v>52798</v>
      </c>
      <c r="D54">
        <f t="shared" si="0"/>
        <v>0.22547445380160913</v>
      </c>
      <c r="E54">
        <f t="shared" si="0"/>
        <v>0.22547445380160913</v>
      </c>
      <c r="G54">
        <f t="shared" ca="1" si="1"/>
        <v>52</v>
      </c>
      <c r="H54">
        <f t="shared" ca="1" si="2"/>
        <v>11.724671597683674</v>
      </c>
      <c r="I54">
        <f t="shared" ca="1" si="3"/>
        <v>951.85211051039187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64020</v>
      </c>
      <c r="B57" s="66">
        <v>64020</v>
      </c>
      <c r="D57">
        <f t="shared" si="0"/>
        <v>0.27339813122427015</v>
      </c>
      <c r="E57">
        <f t="shared" si="0"/>
        <v>0.27339813122427015</v>
      </c>
      <c r="G57">
        <f t="shared" ca="1" si="1"/>
        <v>55</v>
      </c>
      <c r="H57">
        <f t="shared" ca="1" si="2"/>
        <v>15.036897217334857</v>
      </c>
      <c r="I57">
        <f t="shared" ca="1" si="3"/>
        <v>1050.0432325535464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62738</v>
      </c>
      <c r="B59" s="66">
        <v>62738</v>
      </c>
      <c r="D59">
        <f t="shared" si="0"/>
        <v>0.26792333578175981</v>
      </c>
      <c r="E59">
        <f t="shared" si="0"/>
        <v>0.26792333578175981</v>
      </c>
      <c r="G59">
        <f t="shared" ca="1" si="1"/>
        <v>57</v>
      </c>
      <c r="H59">
        <f t="shared" ca="1" si="2"/>
        <v>15.271630139560308</v>
      </c>
      <c r="I59">
        <f t="shared" ca="1" si="3"/>
        <v>963.6712622623478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75518</v>
      </c>
      <c r="B62" s="66">
        <v>75518</v>
      </c>
      <c r="D62">
        <f t="shared" si="0"/>
        <v>0.32250046975623919</v>
      </c>
      <c r="E62">
        <f t="shared" si="0"/>
        <v>0.32250046975623919</v>
      </c>
      <c r="G62">
        <f t="shared" ca="1" si="1"/>
        <v>60</v>
      </c>
      <c r="H62">
        <f t="shared" ca="1" si="2"/>
        <v>19.350028185374352</v>
      </c>
      <c r="I62">
        <f t="shared" ca="1" si="3"/>
        <v>1046.8289056347464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80103</v>
      </c>
      <c r="B64" s="66">
        <v>80103</v>
      </c>
      <c r="D64">
        <f t="shared" si="0"/>
        <v>0.34208076390905517</v>
      </c>
      <c r="E64">
        <f t="shared" si="0"/>
        <v>0.34208076390905517</v>
      </c>
      <c r="G64">
        <f t="shared" ca="1" si="1"/>
        <v>62</v>
      </c>
      <c r="H64">
        <f t="shared" ca="1" si="2"/>
        <v>21.209007362361422</v>
      </c>
      <c r="I64">
        <f t="shared" ca="1" si="3"/>
        <v>1033.7962872678715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85771</v>
      </c>
      <c r="B67" s="66">
        <v>85771</v>
      </c>
      <c r="D67">
        <f t="shared" ref="D67:E130" si="4">IFERROR( A67/MAX(A$2:A$257), 0 )</f>
        <v>0.36628602176252539</v>
      </c>
      <c r="E67">
        <f t="shared" si="4"/>
        <v>0.36628602176252539</v>
      </c>
      <c r="G67">
        <f t="shared" ref="G67:G130" ca="1" si="5">CELL("row",D67)-2</f>
        <v>65</v>
      </c>
      <c r="H67">
        <f t="shared" ref="H67:H130" ca="1" si="6">D67*G67</f>
        <v>23.808591414564152</v>
      </c>
      <c r="I67">
        <f t="shared" ref="I67:I130" ca="1" si="7">D67*((G67-$L$1)^2)</f>
        <v>989.42706389979867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96509</v>
      </c>
      <c r="B69" s="66">
        <v>96509</v>
      </c>
      <c r="D69">
        <f t="shared" si="4"/>
        <v>0.41214277173263181</v>
      </c>
      <c r="E69">
        <f t="shared" si="4"/>
        <v>0.41214277173263181</v>
      </c>
      <c r="G69">
        <f t="shared" ca="1" si="5"/>
        <v>67</v>
      </c>
      <c r="H69">
        <f t="shared" ca="1" si="6"/>
        <v>27.61356570608633</v>
      </c>
      <c r="I69">
        <f t="shared" ca="1" si="7"/>
        <v>1029.2638374606283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106524</v>
      </c>
      <c r="B72" s="66">
        <v>106524</v>
      </c>
      <c r="D72">
        <f t="shared" si="4"/>
        <v>0.45491194205770313</v>
      </c>
      <c r="E72">
        <f t="shared" si="4"/>
        <v>0.45491194205770313</v>
      </c>
      <c r="G72">
        <f t="shared" ca="1" si="5"/>
        <v>70</v>
      </c>
      <c r="H72">
        <f t="shared" ca="1" si="6"/>
        <v>31.84383594403922</v>
      </c>
      <c r="I72">
        <f t="shared" ca="1" si="7"/>
        <v>1003.7663657423698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104696</v>
      </c>
      <c r="B75" s="66">
        <v>104696</v>
      </c>
      <c r="D75">
        <f t="shared" si="4"/>
        <v>0.44710544746417041</v>
      </c>
      <c r="E75">
        <f t="shared" si="4"/>
        <v>0.44710544746417041</v>
      </c>
      <c r="G75">
        <f t="shared" ca="1" si="5"/>
        <v>73</v>
      </c>
      <c r="H75">
        <f t="shared" ca="1" si="6"/>
        <v>32.63869766488444</v>
      </c>
      <c r="I75">
        <f t="shared" ca="1" si="7"/>
        <v>864.55266204880513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122464</v>
      </c>
      <c r="B77" s="66">
        <v>122464</v>
      </c>
      <c r="D77">
        <f t="shared" si="4"/>
        <v>0.52298389163150616</v>
      </c>
      <c r="E77">
        <f t="shared" si="4"/>
        <v>0.52298389163150616</v>
      </c>
      <c r="G77">
        <f t="shared" ca="1" si="5"/>
        <v>75</v>
      </c>
      <c r="H77">
        <f t="shared" ca="1" si="6"/>
        <v>39.223791872362959</v>
      </c>
      <c r="I77">
        <f t="shared" ca="1" si="7"/>
        <v>921.37850785231387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128836</v>
      </c>
      <c r="B80" s="66">
        <v>128836</v>
      </c>
      <c r="D80">
        <f t="shared" si="4"/>
        <v>0.55019558941596491</v>
      </c>
      <c r="E80">
        <f t="shared" si="4"/>
        <v>0.55019558941596491</v>
      </c>
      <c r="G80">
        <f t="shared" ca="1" si="5"/>
        <v>78</v>
      </c>
      <c r="H80">
        <f t="shared" ca="1" si="6"/>
        <v>42.915255974445266</v>
      </c>
      <c r="I80">
        <f t="shared" ca="1" si="7"/>
        <v>835.70937117975222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135367</v>
      </c>
      <c r="B82" s="66">
        <v>135367</v>
      </c>
      <c r="D82">
        <f t="shared" si="4"/>
        <v>0.57808629849165538</v>
      </c>
      <c r="E82">
        <f t="shared" si="4"/>
        <v>0.57808629849165538</v>
      </c>
      <c r="G82">
        <f t="shared" ca="1" si="5"/>
        <v>80</v>
      </c>
      <c r="H82">
        <f t="shared" ca="1" si="6"/>
        <v>46.246903879332429</v>
      </c>
      <c r="I82">
        <f t="shared" ca="1" si="7"/>
        <v>790.2656729916165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137442</v>
      </c>
      <c r="B85" s="66">
        <v>137442</v>
      </c>
      <c r="D85">
        <f t="shared" si="4"/>
        <v>0.58694760936779355</v>
      </c>
      <c r="E85">
        <f t="shared" si="4"/>
        <v>0.58694760936779355</v>
      </c>
      <c r="G85">
        <f t="shared" ca="1" si="5"/>
        <v>83</v>
      </c>
      <c r="H85">
        <f t="shared" ca="1" si="6"/>
        <v>48.716651577526868</v>
      </c>
      <c r="I85">
        <f t="shared" ca="1" si="7"/>
        <v>677.4530043566017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141466</v>
      </c>
      <c r="B88" s="66">
        <v>141466</v>
      </c>
      <c r="D88">
        <f t="shared" si="4"/>
        <v>0.604132146700603</v>
      </c>
      <c r="E88">
        <f t="shared" si="4"/>
        <v>0.604132146700603</v>
      </c>
      <c r="G88">
        <f t="shared" ca="1" si="5"/>
        <v>86</v>
      </c>
      <c r="H88">
        <f t="shared" ca="1" si="6"/>
        <v>51.955364616251856</v>
      </c>
      <c r="I88">
        <f t="shared" ca="1" si="7"/>
        <v>579.57773520656667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140290</v>
      </c>
      <c r="B90" s="66">
        <v>140290</v>
      </c>
      <c r="D90">
        <f t="shared" si="4"/>
        <v>0.59911002545224712</v>
      </c>
      <c r="E90">
        <f t="shared" si="4"/>
        <v>0.59911002545224712</v>
      </c>
      <c r="G90">
        <f t="shared" ca="1" si="5"/>
        <v>88</v>
      </c>
      <c r="H90">
        <f t="shared" ca="1" si="6"/>
        <v>52.721682239797744</v>
      </c>
      <c r="I90">
        <f t="shared" ca="1" si="7"/>
        <v>502.9301061829089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151228</v>
      </c>
      <c r="B93" s="66">
        <v>151228</v>
      </c>
      <c r="D93">
        <f t="shared" si="4"/>
        <v>0.64582087767547536</v>
      </c>
      <c r="E93">
        <f t="shared" si="4"/>
        <v>0.64582087767547536</v>
      </c>
      <c r="G93">
        <f t="shared" ca="1" si="5"/>
        <v>91</v>
      </c>
      <c r="H93">
        <f t="shared" ca="1" si="6"/>
        <v>58.769699868468258</v>
      </c>
      <c r="I93">
        <f t="shared" ca="1" si="7"/>
        <v>435.6844459430294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154785</v>
      </c>
      <c r="B95" s="66">
        <v>154785</v>
      </c>
      <c r="D95">
        <f t="shared" si="4"/>
        <v>0.66101108624724547</v>
      </c>
      <c r="E95">
        <f t="shared" si="4"/>
        <v>0.66101108624724547</v>
      </c>
      <c r="G95">
        <f t="shared" ca="1" si="5"/>
        <v>93</v>
      </c>
      <c r="H95">
        <f t="shared" ca="1" si="6"/>
        <v>61.474031020993827</v>
      </c>
      <c r="I95">
        <f t="shared" ca="1" si="7"/>
        <v>379.90111821873199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163830</v>
      </c>
      <c r="B98" s="66">
        <v>163830</v>
      </c>
      <c r="D98">
        <f t="shared" si="4"/>
        <v>0.69963786064467637</v>
      </c>
      <c r="E98">
        <f t="shared" si="4"/>
        <v>0.69963786064467637</v>
      </c>
      <c r="G98">
        <f t="shared" ca="1" si="5"/>
        <v>96</v>
      </c>
      <c r="H98">
        <f t="shared" ca="1" si="6"/>
        <v>67.165234621888928</v>
      </c>
      <c r="I98">
        <f t="shared" ca="1" si="7"/>
        <v>307.76123387781445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165055</v>
      </c>
      <c r="B100" s="66">
        <v>165055</v>
      </c>
      <c r="D100">
        <f t="shared" si="4"/>
        <v>0.70486923694504711</v>
      </c>
      <c r="E100">
        <f t="shared" si="4"/>
        <v>0.70486923694504711</v>
      </c>
      <c r="G100">
        <f t="shared" ca="1" si="5"/>
        <v>98</v>
      </c>
      <c r="H100">
        <f t="shared" ca="1" si="6"/>
        <v>69.077185220614609</v>
      </c>
      <c r="I100">
        <f t="shared" ca="1" si="7"/>
        <v>253.74770509125349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178510</v>
      </c>
      <c r="B103" s="66">
        <v>178510</v>
      </c>
      <c r="D103">
        <f t="shared" si="4"/>
        <v>0.76232896602381239</v>
      </c>
      <c r="E103">
        <f t="shared" si="4"/>
        <v>0.76232896602381239</v>
      </c>
      <c r="G103">
        <f t="shared" ca="1" si="5"/>
        <v>101</v>
      </c>
      <c r="H103">
        <f t="shared" ca="1" si="6"/>
        <v>76.995225568405047</v>
      </c>
      <c r="I103">
        <f t="shared" ca="1" si="7"/>
        <v>194.50958446520102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183429</v>
      </c>
      <c r="B106" s="66">
        <v>183429</v>
      </c>
      <c r="D106">
        <f t="shared" si="4"/>
        <v>0.78333561093934168</v>
      </c>
      <c r="E106">
        <f t="shared" si="4"/>
        <v>0.78333561093934168</v>
      </c>
      <c r="G106">
        <f t="shared" ca="1" si="5"/>
        <v>104</v>
      </c>
      <c r="H106">
        <f t="shared" ca="1" si="6"/>
        <v>81.466903537691536</v>
      </c>
      <c r="I106">
        <f t="shared" ca="1" si="7"/>
        <v>131.84395654848538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200594</v>
      </c>
      <c r="B108" s="66">
        <v>200594</v>
      </c>
      <c r="D108">
        <f t="shared" si="4"/>
        <v>0.85663893681351533</v>
      </c>
      <c r="E108">
        <f t="shared" si="4"/>
        <v>0.85663893681351533</v>
      </c>
      <c r="G108">
        <f t="shared" ca="1" si="5"/>
        <v>106</v>
      </c>
      <c r="H108">
        <f t="shared" ca="1" si="6"/>
        <v>90.80372730223263</v>
      </c>
      <c r="I108">
        <f t="shared" ca="1" si="7"/>
        <v>103.1539433892317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211636</v>
      </c>
      <c r="B111" s="66">
        <v>211636</v>
      </c>
      <c r="D111">
        <f t="shared" si="4"/>
        <v>0.90379392220836674</v>
      </c>
      <c r="E111">
        <f t="shared" si="4"/>
        <v>0.90379392220836674</v>
      </c>
      <c r="G111">
        <f t="shared" ca="1" si="5"/>
        <v>109</v>
      </c>
      <c r="H111">
        <f t="shared" ca="1" si="6"/>
        <v>98.513537520711978</v>
      </c>
      <c r="I111">
        <f t="shared" ca="1" si="7"/>
        <v>57.459816187533683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226512</v>
      </c>
      <c r="B113" s="66">
        <v>226512</v>
      </c>
      <c r="D113">
        <f t="shared" si="4"/>
        <v>0.96732204779556208</v>
      </c>
      <c r="E113">
        <f t="shared" si="4"/>
        <v>0.96732204779556208</v>
      </c>
      <c r="G113">
        <f t="shared" ca="1" si="5"/>
        <v>111</v>
      </c>
      <c r="H113">
        <f t="shared" ca="1" si="6"/>
        <v>107.37274730530739</v>
      </c>
      <c r="I113">
        <f t="shared" ca="1" si="7"/>
        <v>34.516327121847034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230978</v>
      </c>
      <c r="B116" s="66">
        <v>230978</v>
      </c>
      <c r="D116">
        <f t="shared" si="4"/>
        <v>0.98639415110777062</v>
      </c>
      <c r="E116">
        <f t="shared" si="4"/>
        <v>0.98639415110777062</v>
      </c>
      <c r="G116">
        <f t="shared" ca="1" si="5"/>
        <v>114</v>
      </c>
      <c r="H116">
        <f t="shared" ca="1" si="6"/>
        <v>112.44893322628585</v>
      </c>
      <c r="I116">
        <f t="shared" ca="1" si="7"/>
        <v>8.7212320772248582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234164</v>
      </c>
      <c r="B118" s="66">
        <v>234164</v>
      </c>
      <c r="D118">
        <f t="shared" si="4"/>
        <v>1</v>
      </c>
      <c r="E118">
        <f t="shared" si="4"/>
        <v>1</v>
      </c>
      <c r="G118">
        <f t="shared" ca="1" si="5"/>
        <v>116</v>
      </c>
      <c r="H118">
        <f t="shared" ca="1" si="6"/>
        <v>116</v>
      </c>
      <c r="I118">
        <f t="shared" ca="1" si="7"/>
        <v>0.94764539209975007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225403</v>
      </c>
      <c r="B121" s="66">
        <v>225403</v>
      </c>
      <c r="D121">
        <f t="shared" si="4"/>
        <v>0.96258605080200199</v>
      </c>
      <c r="E121">
        <f t="shared" si="4"/>
        <v>0.96258605080200199</v>
      </c>
      <c r="G121">
        <f t="shared" ca="1" si="5"/>
        <v>119</v>
      </c>
      <c r="H121">
        <f t="shared" ca="1" si="6"/>
        <v>114.54774004543823</v>
      </c>
      <c r="I121">
        <f t="shared" ca="1" si="7"/>
        <v>3.9531682339472058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218526</v>
      </c>
      <c r="B124" s="66">
        <v>218526</v>
      </c>
      <c r="D124">
        <f t="shared" si="4"/>
        <v>0.93321774482841091</v>
      </c>
      <c r="E124">
        <f t="shared" si="4"/>
        <v>0.93321774482841091</v>
      </c>
      <c r="G124">
        <f t="shared" ca="1" si="5"/>
        <v>122</v>
      </c>
      <c r="H124">
        <f t="shared" ca="1" si="6"/>
        <v>113.85256486906613</v>
      </c>
      <c r="I124">
        <f t="shared" ca="1" si="7"/>
        <v>23.578675650488634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224745</v>
      </c>
      <c r="B126" s="66">
        <v>224745</v>
      </c>
      <c r="D126">
        <f t="shared" si="4"/>
        <v>0.95977605438923153</v>
      </c>
      <c r="E126">
        <f t="shared" si="4"/>
        <v>0.95977605438923153</v>
      </c>
      <c r="G126">
        <f t="shared" ca="1" si="5"/>
        <v>124</v>
      </c>
      <c r="H126">
        <f t="shared" ca="1" si="6"/>
        <v>119.01223074426471</v>
      </c>
      <c r="I126">
        <f t="shared" ca="1" si="7"/>
        <v>47.386171470614535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212728</v>
      </c>
      <c r="B129" s="66">
        <v>212728</v>
      </c>
      <c r="D129">
        <f t="shared" si="4"/>
        <v>0.9084573205104115</v>
      </c>
      <c r="E129">
        <f t="shared" si="4"/>
        <v>0.9084573205104115</v>
      </c>
      <c r="G129">
        <f t="shared" ca="1" si="5"/>
        <v>127</v>
      </c>
      <c r="H129">
        <f t="shared" ca="1" si="6"/>
        <v>115.37407970482226</v>
      </c>
      <c r="I129">
        <f t="shared" ca="1" si="7"/>
        <v>91.328384400286694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213508</v>
      </c>
      <c r="B131" s="66">
        <v>213508</v>
      </c>
      <c r="D131">
        <f t="shared" ref="D131:E194" si="8">IFERROR( A131/MAX(A$2:A$257), 0 )</f>
        <v>0.9117883192975863</v>
      </c>
      <c r="E131">
        <f t="shared" si="8"/>
        <v>0.9117883192975863</v>
      </c>
      <c r="G131">
        <f t="shared" ref="G131:G194" ca="1" si="9">CELL("row",D131)-2</f>
        <v>129</v>
      </c>
      <c r="H131">
        <f t="shared" ref="H131:H194" ca="1" si="10">D131*G131</f>
        <v>117.62069318938863</v>
      </c>
      <c r="I131">
        <f t="shared" ref="I131:I194" ca="1" si="11">D131*((G131-$L$1)^2)</f>
        <v>131.87869611795017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215351</v>
      </c>
      <c r="B134" s="66">
        <v>215351</v>
      </c>
      <c r="D134">
        <f t="shared" si="8"/>
        <v>0.91965887156010317</v>
      </c>
      <c r="E134">
        <f t="shared" si="8"/>
        <v>0.91965887156010317</v>
      </c>
      <c r="G134">
        <f t="shared" ca="1" si="9"/>
        <v>132</v>
      </c>
      <c r="H134">
        <f t="shared" ca="1" si="10"/>
        <v>121.39497104593362</v>
      </c>
      <c r="I134">
        <f t="shared" ca="1" si="11"/>
        <v>207.65582786976066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217730</v>
      </c>
      <c r="B136" s="66">
        <v>217730</v>
      </c>
      <c r="D136">
        <f t="shared" si="8"/>
        <v>0.92981841786098629</v>
      </c>
      <c r="E136">
        <f t="shared" si="8"/>
        <v>0.92981841786098629</v>
      </c>
      <c r="G136">
        <f t="shared" ca="1" si="9"/>
        <v>134</v>
      </c>
      <c r="H136">
        <f t="shared" ca="1" si="10"/>
        <v>124.59566799337216</v>
      </c>
      <c r="I136">
        <f t="shared" ca="1" si="11"/>
        <v>269.55686678812395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214667</v>
      </c>
      <c r="B139" s="66">
        <v>214667</v>
      </c>
      <c r="D139">
        <f t="shared" si="8"/>
        <v>0.91673784185442686</v>
      </c>
      <c r="E139">
        <f t="shared" si="8"/>
        <v>0.91673784185442686</v>
      </c>
      <c r="G139">
        <f t="shared" ca="1" si="9"/>
        <v>137</v>
      </c>
      <c r="H139">
        <f t="shared" ca="1" si="10"/>
        <v>125.59308433405648</v>
      </c>
      <c r="I139">
        <f t="shared" ca="1" si="11"/>
        <v>367.66859492242196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212007</v>
      </c>
      <c r="B142" s="66">
        <v>212007</v>
      </c>
      <c r="D142">
        <f t="shared" si="8"/>
        <v>0.90537828188790759</v>
      </c>
      <c r="E142">
        <f t="shared" si="8"/>
        <v>0.90537828188790759</v>
      </c>
      <c r="G142">
        <f t="shared" ca="1" si="9"/>
        <v>140</v>
      </c>
      <c r="H142">
        <f t="shared" ca="1" si="10"/>
        <v>126.75295946430707</v>
      </c>
      <c r="I142">
        <f t="shared" ca="1" si="11"/>
        <v>480.05062068831916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199489</v>
      </c>
      <c r="B144" s="66">
        <v>199489</v>
      </c>
      <c r="D144">
        <f t="shared" si="8"/>
        <v>0.8519200218650177</v>
      </c>
      <c r="E144">
        <f t="shared" si="8"/>
        <v>0.8519200218650177</v>
      </c>
      <c r="G144">
        <f t="shared" ca="1" si="9"/>
        <v>142</v>
      </c>
      <c r="H144">
        <f t="shared" ca="1" si="10"/>
        <v>120.97264310483251</v>
      </c>
      <c r="I144">
        <f t="shared" ca="1" si="11"/>
        <v>533.58065121697098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190404</v>
      </c>
      <c r="B147" s="66">
        <v>190404</v>
      </c>
      <c r="D147">
        <f t="shared" si="8"/>
        <v>0.81312242701696247</v>
      </c>
      <c r="E147">
        <f t="shared" si="8"/>
        <v>0.81312242701696247</v>
      </c>
      <c r="G147">
        <f t="shared" ca="1" si="9"/>
        <v>145</v>
      </c>
      <c r="H147">
        <f t="shared" ca="1" si="10"/>
        <v>117.90275191745955</v>
      </c>
      <c r="I147">
        <f t="shared" ca="1" si="11"/>
        <v>638.69655850381184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184009</v>
      </c>
      <c r="B149" s="66">
        <v>184009</v>
      </c>
      <c r="D149">
        <f t="shared" si="8"/>
        <v>0.78581250747339471</v>
      </c>
      <c r="E149">
        <f t="shared" si="8"/>
        <v>0.78581250747339471</v>
      </c>
      <c r="G149">
        <f t="shared" ca="1" si="9"/>
        <v>147</v>
      </c>
      <c r="H149">
        <f t="shared" ca="1" si="10"/>
        <v>115.51443859858902</v>
      </c>
      <c r="I149">
        <f t="shared" ca="1" si="11"/>
        <v>708.48262856406075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168985</v>
      </c>
      <c r="B152" s="66">
        <v>168985</v>
      </c>
      <c r="D152">
        <f t="shared" si="8"/>
        <v>0.7216523462188893</v>
      </c>
      <c r="E152">
        <f t="shared" si="8"/>
        <v>0.7216523462188893</v>
      </c>
      <c r="G152">
        <f t="shared" ca="1" si="9"/>
        <v>150</v>
      </c>
      <c r="H152">
        <f t="shared" ca="1" si="10"/>
        <v>108.2478519328334</v>
      </c>
      <c r="I152">
        <f t="shared" ca="1" si="11"/>
        <v>787.14347380765253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167716</v>
      </c>
      <c r="B154" s="66">
        <v>167716</v>
      </c>
      <c r="D154">
        <f t="shared" si="8"/>
        <v>0.71623306742283188</v>
      </c>
      <c r="E154">
        <f t="shared" si="8"/>
        <v>0.71623306742283188</v>
      </c>
      <c r="G154">
        <f t="shared" ca="1" si="9"/>
        <v>152</v>
      </c>
      <c r="H154">
        <f t="shared" ca="1" si="10"/>
        <v>108.86742624827045</v>
      </c>
      <c r="I154">
        <f t="shared" ca="1" si="11"/>
        <v>878.71608816087212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160020</v>
      </c>
      <c r="B157" s="66">
        <v>160020</v>
      </c>
      <c r="D157">
        <f t="shared" si="8"/>
        <v>0.68336721272270717</v>
      </c>
      <c r="E157">
        <f t="shared" si="8"/>
        <v>0.68336721272270717</v>
      </c>
      <c r="G157">
        <f t="shared" ca="1" si="9"/>
        <v>155</v>
      </c>
      <c r="H157">
        <f t="shared" ca="1" si="10"/>
        <v>105.92191797201961</v>
      </c>
      <c r="I157">
        <f t="shared" ca="1" si="11"/>
        <v>988.16055438890385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143506</v>
      </c>
      <c r="B160" s="66">
        <v>143506</v>
      </c>
      <c r="D160">
        <f t="shared" si="8"/>
        <v>0.6128439896824448</v>
      </c>
      <c r="E160">
        <f t="shared" si="8"/>
        <v>0.6128439896824448</v>
      </c>
      <c r="G160">
        <f t="shared" ca="1" si="9"/>
        <v>158</v>
      </c>
      <c r="H160">
        <f t="shared" ca="1" si="10"/>
        <v>96.829350369826273</v>
      </c>
      <c r="I160">
        <f t="shared" ca="1" si="11"/>
        <v>1031.524355522153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144926</v>
      </c>
      <c r="B162" s="66">
        <v>144926</v>
      </c>
      <c r="D162">
        <f t="shared" si="8"/>
        <v>0.61890811567960913</v>
      </c>
      <c r="E162">
        <f t="shared" si="8"/>
        <v>0.61890811567960913</v>
      </c>
      <c r="G162">
        <f t="shared" ca="1" si="9"/>
        <v>160</v>
      </c>
      <c r="H162">
        <f t="shared" ca="1" si="10"/>
        <v>99.025298508737464</v>
      </c>
      <c r="I162">
        <f t="shared" ca="1" si="11"/>
        <v>1145.7735874496498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133270</v>
      </c>
      <c r="B165" s="66">
        <v>133270</v>
      </c>
      <c r="D165">
        <f t="shared" si="8"/>
        <v>0.56913103636767393</v>
      </c>
      <c r="E165">
        <f t="shared" si="8"/>
        <v>0.56913103636767393</v>
      </c>
      <c r="G165">
        <f t="shared" ca="1" si="9"/>
        <v>163</v>
      </c>
      <c r="H165">
        <f t="shared" ca="1" si="10"/>
        <v>92.768358927930848</v>
      </c>
      <c r="I165">
        <f t="shared" ca="1" si="11"/>
        <v>1205.6707440587713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120036</v>
      </c>
      <c r="B167" s="66">
        <v>120036</v>
      </c>
      <c r="D167">
        <f t="shared" si="8"/>
        <v>0.51261509027860819</v>
      </c>
      <c r="E167">
        <f t="shared" si="8"/>
        <v>0.51261509027860819</v>
      </c>
      <c r="G167">
        <f t="shared" ca="1" si="9"/>
        <v>165</v>
      </c>
      <c r="H167">
        <f t="shared" ca="1" si="10"/>
        <v>84.58148989597035</v>
      </c>
      <c r="I167">
        <f t="shared" ca="1" si="11"/>
        <v>1182.3710586925754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113105</v>
      </c>
      <c r="B170" s="66">
        <v>113105</v>
      </c>
      <c r="D170">
        <f t="shared" si="8"/>
        <v>0.48301617669667413</v>
      </c>
      <c r="E170">
        <f t="shared" si="8"/>
        <v>0.48301617669667413</v>
      </c>
      <c r="G170">
        <f t="shared" ca="1" si="9"/>
        <v>168</v>
      </c>
      <c r="H170">
        <f t="shared" ca="1" si="10"/>
        <v>81.146717685041253</v>
      </c>
      <c r="I170">
        <f t="shared" ca="1" si="11"/>
        <v>1257.6324470359234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110765</v>
      </c>
      <c r="B173" s="66">
        <v>110765</v>
      </c>
      <c r="D173">
        <f t="shared" si="8"/>
        <v>0.47302318033514973</v>
      </c>
      <c r="E173">
        <f t="shared" si="8"/>
        <v>0.47302318033514973</v>
      </c>
      <c r="G173">
        <f t="shared" ca="1" si="9"/>
        <v>171</v>
      </c>
      <c r="H173">
        <f t="shared" ca="1" si="10"/>
        <v>80.886963837310603</v>
      </c>
      <c r="I173">
        <f t="shared" ca="1" si="11"/>
        <v>1380.6912110050773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98466</v>
      </c>
      <c r="B175" s="66">
        <v>98466</v>
      </c>
      <c r="D175">
        <f t="shared" si="8"/>
        <v>0.4205001622794281</v>
      </c>
      <c r="E175">
        <f t="shared" si="8"/>
        <v>0.4205001622794281</v>
      </c>
      <c r="G175">
        <f t="shared" ca="1" si="9"/>
        <v>173</v>
      </c>
      <c r="H175">
        <f t="shared" ca="1" si="10"/>
        <v>72.746528074341057</v>
      </c>
      <c r="I175">
        <f t="shared" ca="1" si="11"/>
        <v>1319.9382246947737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81747</v>
      </c>
      <c r="B178" s="66">
        <v>81747</v>
      </c>
      <c r="D178">
        <f t="shared" si="8"/>
        <v>0.34910148442971595</v>
      </c>
      <c r="E178">
        <f t="shared" si="8"/>
        <v>0.34910148442971595</v>
      </c>
      <c r="G178">
        <f t="shared" ca="1" si="9"/>
        <v>176</v>
      </c>
      <c r="H178">
        <f t="shared" ca="1" si="10"/>
        <v>61.441861259630009</v>
      </c>
      <c r="I178">
        <f t="shared" ca="1" si="11"/>
        <v>1216.3153563372891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68620</v>
      </c>
      <c r="B180" s="66">
        <v>68620</v>
      </c>
      <c r="D180">
        <f t="shared" si="8"/>
        <v>0.29304248304607028</v>
      </c>
      <c r="E180">
        <f t="shared" si="8"/>
        <v>0.29304248304607028</v>
      </c>
      <c r="G180">
        <f t="shared" ca="1" si="9"/>
        <v>178</v>
      </c>
      <c r="H180">
        <f t="shared" ca="1" si="10"/>
        <v>52.16156198220051</v>
      </c>
      <c r="I180">
        <f t="shared" ca="1" si="11"/>
        <v>1091.3597360562105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60402</v>
      </c>
      <c r="B183" s="66">
        <v>60402</v>
      </c>
      <c r="D183">
        <f t="shared" si="8"/>
        <v>0.25794742146529781</v>
      </c>
      <c r="E183">
        <f t="shared" si="8"/>
        <v>0.25794742146529781</v>
      </c>
      <c r="G183">
        <f t="shared" ca="1" si="9"/>
        <v>181</v>
      </c>
      <c r="H183">
        <f t="shared" ca="1" si="10"/>
        <v>46.688483285218901</v>
      </c>
      <c r="I183">
        <f t="shared" ca="1" si="11"/>
        <v>1057.4287417305291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40259</v>
      </c>
      <c r="B185" s="66">
        <v>40259</v>
      </c>
      <c r="D185">
        <f t="shared" si="8"/>
        <v>0.1719265130421414</v>
      </c>
      <c r="E185">
        <f t="shared" si="8"/>
        <v>0.1719265130421414</v>
      </c>
      <c r="G185">
        <f t="shared" ca="1" si="9"/>
        <v>183</v>
      </c>
      <c r="H185">
        <f t="shared" ca="1" si="10"/>
        <v>31.462551886711879</v>
      </c>
      <c r="I185">
        <f t="shared" ca="1" si="11"/>
        <v>749.51407350343663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30342</v>
      </c>
      <c r="B188" s="66">
        <v>30342</v>
      </c>
      <c r="D188">
        <f t="shared" si="8"/>
        <v>0.12957585282109974</v>
      </c>
      <c r="E188">
        <f t="shared" si="8"/>
        <v>0.12957585282109974</v>
      </c>
      <c r="G188">
        <f t="shared" ca="1" si="9"/>
        <v>186</v>
      </c>
      <c r="H188">
        <f t="shared" ca="1" si="10"/>
        <v>24.101108624724549</v>
      </c>
      <c r="I188">
        <f t="shared" ca="1" si="11"/>
        <v>617.38510756753374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24999</v>
      </c>
      <c r="B191" s="66">
        <v>24999</v>
      </c>
      <c r="D191">
        <f t="shared" si="8"/>
        <v>0.10675851112895236</v>
      </c>
      <c r="E191">
        <f t="shared" si="8"/>
        <v>0.10675851112895236</v>
      </c>
      <c r="G191">
        <f t="shared" ca="1" si="9"/>
        <v>189</v>
      </c>
      <c r="H191">
        <f t="shared" ca="1" si="10"/>
        <v>20.177358603371996</v>
      </c>
      <c r="I191">
        <f t="shared" ca="1" si="11"/>
        <v>553.84403625580114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19088</v>
      </c>
      <c r="B193" s="66">
        <v>19088</v>
      </c>
      <c r="D193">
        <f t="shared" si="8"/>
        <v>8.1515519037939216E-2</v>
      </c>
      <c r="E193">
        <f t="shared" si="8"/>
        <v>8.1515519037939216E-2</v>
      </c>
      <c r="G193">
        <f t="shared" ca="1" si="9"/>
        <v>191</v>
      </c>
      <c r="H193">
        <f t="shared" ca="1" si="10"/>
        <v>15.56946413624639</v>
      </c>
      <c r="I193">
        <f t="shared" ca="1" si="11"/>
        <v>446.69909580476525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8838</v>
      </c>
      <c r="B196" s="66">
        <v>8838</v>
      </c>
      <c r="D196">
        <f t="shared" si="12"/>
        <v>3.7742778565449858E-2</v>
      </c>
      <c r="E196">
        <f t="shared" si="12"/>
        <v>3.7742778565449858E-2</v>
      </c>
      <c r="G196">
        <f t="shared" ca="1" si="13"/>
        <v>194</v>
      </c>
      <c r="H196">
        <f t="shared" ca="1" si="14"/>
        <v>7.3220990416972729</v>
      </c>
      <c r="I196">
        <f t="shared" ca="1" si="15"/>
        <v>223.93115869788605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5433</v>
      </c>
      <c r="B198" s="66">
        <v>5433</v>
      </c>
      <c r="D198">
        <f t="shared" si="12"/>
        <v>2.320168770605217E-2</v>
      </c>
      <c r="E198">
        <f t="shared" si="12"/>
        <v>2.320168770605217E-2</v>
      </c>
      <c r="G198">
        <f t="shared" ca="1" si="13"/>
        <v>196</v>
      </c>
      <c r="H198">
        <f t="shared" ca="1" si="14"/>
        <v>4.547530790386225</v>
      </c>
      <c r="I198">
        <f t="shared" ca="1" si="15"/>
        <v>144.89900182448091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2184</v>
      </c>
      <c r="B201" s="66">
        <v>2184</v>
      </c>
      <c r="D201">
        <f t="shared" si="12"/>
        <v>9.3267966040894417E-3</v>
      </c>
      <c r="E201">
        <f t="shared" si="12"/>
        <v>9.3267966040894417E-3</v>
      </c>
      <c r="G201">
        <f t="shared" ca="1" si="13"/>
        <v>199</v>
      </c>
      <c r="H201">
        <f t="shared" ca="1" si="14"/>
        <v>1.8560325242137989</v>
      </c>
      <c r="I201">
        <f t="shared" ca="1" si="15"/>
        <v>62.753965857280072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1655</v>
      </c>
      <c r="B203" s="66">
        <v>1655</v>
      </c>
      <c r="D203">
        <f t="shared" si="12"/>
        <v>7.0676961445824294E-3</v>
      </c>
      <c r="E203">
        <f t="shared" si="12"/>
        <v>7.0676961445824294E-3</v>
      </c>
      <c r="G203">
        <f t="shared" ca="1" si="13"/>
        <v>201</v>
      </c>
      <c r="H203">
        <f t="shared" ca="1" si="14"/>
        <v>1.4206069250610682</v>
      </c>
      <c r="I203">
        <f t="shared" ca="1" si="15"/>
        <v>49.901169028808752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1298</v>
      </c>
      <c r="B206" s="66">
        <v>1298</v>
      </c>
      <c r="D206">
        <f t="shared" si="12"/>
        <v>5.5431236227601165E-3</v>
      </c>
      <c r="E206">
        <f t="shared" si="12"/>
        <v>5.5431236227601165E-3</v>
      </c>
      <c r="G206">
        <f t="shared" ca="1" si="13"/>
        <v>204</v>
      </c>
      <c r="H206">
        <f t="shared" ca="1" si="14"/>
        <v>1.1307972190430637</v>
      </c>
      <c r="I206">
        <f t="shared" ca="1" si="15"/>
        <v>41.981494111588347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1629</v>
      </c>
      <c r="B209" s="66">
        <v>1629</v>
      </c>
      <c r="D209">
        <f t="shared" si="12"/>
        <v>6.9566628516766031E-3</v>
      </c>
      <c r="E209">
        <f t="shared" si="12"/>
        <v>6.9566628516766031E-3</v>
      </c>
      <c r="G209">
        <f t="shared" ca="1" si="13"/>
        <v>207</v>
      </c>
      <c r="H209">
        <f t="shared" ca="1" si="14"/>
        <v>1.4400292102970569</v>
      </c>
      <c r="I209">
        <f t="shared" ca="1" si="15"/>
        <v>56.382193844778627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1115</v>
      </c>
      <c r="B211" s="66">
        <v>1115</v>
      </c>
      <c r="D211">
        <f t="shared" si="12"/>
        <v>4.7616200611537212E-3</v>
      </c>
      <c r="E211">
        <f t="shared" si="12"/>
        <v>4.7616200611537212E-3</v>
      </c>
      <c r="G211">
        <f t="shared" ca="1" si="13"/>
        <v>209</v>
      </c>
      <c r="H211">
        <f t="shared" ca="1" si="14"/>
        <v>0.99517859278112775</v>
      </c>
      <c r="I211">
        <f t="shared" ca="1" si="15"/>
        <v>40.325598794336052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346</v>
      </c>
      <c r="B214" s="66">
        <v>346</v>
      </c>
      <c r="D214">
        <f t="shared" si="12"/>
        <v>1.4775968979006166E-3</v>
      </c>
      <c r="E214">
        <f t="shared" si="12"/>
        <v>1.4775968979006166E-3</v>
      </c>
      <c r="G214">
        <f t="shared" ca="1" si="13"/>
        <v>212</v>
      </c>
      <c r="H214">
        <f t="shared" ca="1" si="14"/>
        <v>0.31325054235493072</v>
      </c>
      <c r="I214">
        <f t="shared" ca="1" si="15"/>
        <v>13.342760942488319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101.62009375476778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1.9620289638947497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0.65762507885616639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804</v>
      </c>
      <c r="B8" s="66">
        <v>804</v>
      </c>
      <c r="D8">
        <f t="shared" si="0"/>
        <v>0.59712134040372533</v>
      </c>
      <c r="E8">
        <f t="shared" si="1"/>
        <v>0.59712134040372533</v>
      </c>
      <c r="G8">
        <f t="shared" ca="1" si="2"/>
        <v>6</v>
      </c>
      <c r="H8">
        <f t="shared" ca="1" si="3"/>
        <v>3.5827280424223522</v>
      </c>
      <c r="I8">
        <f t="shared" ca="1" si="4"/>
        <v>5459.6012306753601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1225</v>
      </c>
      <c r="B10" s="66">
        <v>1225</v>
      </c>
      <c r="D10">
        <f t="shared" si="0"/>
        <v>0.90979308705791484</v>
      </c>
      <c r="E10">
        <f t="shared" si="1"/>
        <v>0.90979308705791484</v>
      </c>
      <c r="G10">
        <f t="shared" ca="1" si="2"/>
        <v>8</v>
      </c>
      <c r="H10">
        <f t="shared" ca="1" si="3"/>
        <v>7.2783446964633187</v>
      </c>
      <c r="I10">
        <f t="shared" ca="1" si="4"/>
        <v>7974.0834443266785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1494</v>
      </c>
      <c r="B13" s="66">
        <v>1494</v>
      </c>
      <c r="D13">
        <f t="shared" si="0"/>
        <v>1.1095762220934895</v>
      </c>
      <c r="E13">
        <f t="shared" si="1"/>
        <v>1.1095762220934895</v>
      </c>
      <c r="G13">
        <f t="shared" ca="1" si="2"/>
        <v>11</v>
      </c>
      <c r="H13">
        <f t="shared" ca="1" si="3"/>
        <v>12.205338443028385</v>
      </c>
      <c r="I13">
        <f t="shared" ca="1" si="4"/>
        <v>9111.8414804982058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1593</v>
      </c>
      <c r="B15" s="66">
        <v>1593</v>
      </c>
      <c r="D15">
        <f t="shared" si="0"/>
        <v>1.1831023572924557</v>
      </c>
      <c r="E15">
        <f t="shared" si="1"/>
        <v>1.1831023572924557</v>
      </c>
      <c r="G15">
        <f t="shared" ca="1" si="2"/>
        <v>13</v>
      </c>
      <c r="H15">
        <f t="shared" ca="1" si="3"/>
        <v>15.380330644801925</v>
      </c>
      <c r="I15">
        <f t="shared" ca="1" si="4"/>
        <v>9291.5192283813867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2197</v>
      </c>
      <c r="B18" s="66">
        <v>2197</v>
      </c>
      <c r="D18">
        <f t="shared" si="0"/>
        <v>1.6316860508295827</v>
      </c>
      <c r="E18">
        <f t="shared" si="1"/>
        <v>1.6316860508295827</v>
      </c>
      <c r="G18">
        <f t="shared" ca="1" si="2"/>
        <v>16</v>
      </c>
      <c r="H18">
        <f t="shared" ca="1" si="3"/>
        <v>26.106976813273324</v>
      </c>
      <c r="I18">
        <f t="shared" ca="1" si="4"/>
        <v>11961.564843145557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5507</v>
      </c>
      <c r="B21" s="66">
        <v>5507</v>
      </c>
      <c r="D21">
        <f t="shared" si="0"/>
        <v>4.0899841064717855</v>
      </c>
      <c r="E21">
        <f t="shared" si="1"/>
        <v>4.0899841064717855</v>
      </c>
      <c r="G21">
        <f t="shared" ca="1" si="2"/>
        <v>19</v>
      </c>
      <c r="H21">
        <f t="shared" ca="1" si="3"/>
        <v>77.70969802296392</v>
      </c>
      <c r="I21">
        <f t="shared" ca="1" si="4"/>
        <v>27918.558267977307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10467</v>
      </c>
      <c r="B23" s="66">
        <v>10467</v>
      </c>
      <c r="D23">
        <f t="shared" si="0"/>
        <v>7.7737177487634241</v>
      </c>
      <c r="E23">
        <f t="shared" si="1"/>
        <v>7.7737177487634241</v>
      </c>
      <c r="G23">
        <f t="shared" ca="1" si="2"/>
        <v>21</v>
      </c>
      <c r="H23">
        <f t="shared" ca="1" si="3"/>
        <v>163.24807272403191</v>
      </c>
      <c r="I23">
        <f t="shared" ca="1" si="4"/>
        <v>50526.052125371214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8858</v>
      </c>
      <c r="B26" s="66">
        <v>8858</v>
      </c>
      <c r="D26">
        <f t="shared" si="0"/>
        <v>6.5787323797216404</v>
      </c>
      <c r="E26">
        <f t="shared" si="1"/>
        <v>6.5787323797216404</v>
      </c>
      <c r="G26">
        <f t="shared" ca="1" si="2"/>
        <v>24</v>
      </c>
      <c r="H26">
        <f t="shared" ca="1" si="3"/>
        <v>157.88957711331938</v>
      </c>
      <c r="I26">
        <f t="shared" ca="1" si="4"/>
        <v>39636.066261865642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12294</v>
      </c>
      <c r="B28" s="66">
        <v>12294</v>
      </c>
      <c r="D28">
        <f t="shared" si="0"/>
        <v>9.1306091528898001</v>
      </c>
      <c r="E28">
        <f t="shared" si="1"/>
        <v>9.1306091528898001</v>
      </c>
      <c r="G28">
        <f t="shared" ca="1" si="2"/>
        <v>26</v>
      </c>
      <c r="H28">
        <f t="shared" ca="1" si="3"/>
        <v>237.39583797513481</v>
      </c>
      <c r="I28">
        <f t="shared" ca="1" si="4"/>
        <v>52212.462409670923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16203</v>
      </c>
      <c r="B31" s="66">
        <v>16203</v>
      </c>
      <c r="D31">
        <f t="shared" si="0"/>
        <v>12.033777460897465</v>
      </c>
      <c r="E31">
        <f t="shared" si="1"/>
        <v>12.033777460897465</v>
      </c>
      <c r="G31">
        <f t="shared" ca="1" si="2"/>
        <v>29</v>
      </c>
      <c r="H31">
        <f t="shared" ca="1" si="3"/>
        <v>348.97954636602645</v>
      </c>
      <c r="I31">
        <f t="shared" ca="1" si="4"/>
        <v>63462.267656418539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20105</v>
      </c>
      <c r="B33" s="66">
        <v>20105</v>
      </c>
      <c r="D33">
        <f t="shared" si="0"/>
        <v>14.931746951264799</v>
      </c>
      <c r="E33">
        <f t="shared" si="1"/>
        <v>14.931746951264799</v>
      </c>
      <c r="G33">
        <f t="shared" ca="1" si="2"/>
        <v>31</v>
      </c>
      <c r="H33">
        <f t="shared" ca="1" si="3"/>
        <v>462.88415548920875</v>
      </c>
      <c r="I33">
        <f t="shared" ca="1" si="4"/>
        <v>74467.573185275993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23107</v>
      </c>
      <c r="B36" s="66">
        <v>23107</v>
      </c>
      <c r="D36">
        <f t="shared" si="0"/>
        <v>17.161297030732438</v>
      </c>
      <c r="E36">
        <f t="shared" si="1"/>
        <v>17.161297030732438</v>
      </c>
      <c r="G36">
        <f t="shared" ca="1" si="2"/>
        <v>34</v>
      </c>
      <c r="H36">
        <f t="shared" ca="1" si="3"/>
        <v>583.48409904490291</v>
      </c>
      <c r="I36">
        <f t="shared" ca="1" si="4"/>
        <v>78469.637325860866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25129</v>
      </c>
      <c r="B39" s="66">
        <v>25129</v>
      </c>
      <c r="D39">
        <f t="shared" si="0"/>
        <v>18.663012640553749</v>
      </c>
      <c r="E39">
        <f t="shared" si="1"/>
        <v>18.663012640553749</v>
      </c>
      <c r="G39">
        <f t="shared" ca="1" si="2"/>
        <v>37</v>
      </c>
      <c r="H39">
        <f t="shared" ca="1" si="3"/>
        <v>690.53146770048875</v>
      </c>
      <c r="I39">
        <f t="shared" ca="1" si="4"/>
        <v>77932.196658312401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24646</v>
      </c>
      <c r="B41" s="66">
        <v>24646</v>
      </c>
      <c r="D41">
        <f t="shared" si="0"/>
        <v>18.304294223370913</v>
      </c>
      <c r="E41">
        <f t="shared" si="1"/>
        <v>18.304294223370913</v>
      </c>
      <c r="G41">
        <f t="shared" ca="1" si="2"/>
        <v>39</v>
      </c>
      <c r="H41">
        <f t="shared" ca="1" si="3"/>
        <v>713.86747471146566</v>
      </c>
      <c r="I41">
        <f t="shared" ca="1" si="4"/>
        <v>71776.192231615249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28393</v>
      </c>
      <c r="B44" s="66">
        <v>28393</v>
      </c>
      <c r="D44">
        <f t="shared" si="0"/>
        <v>21.087147037416635</v>
      </c>
      <c r="E44">
        <f t="shared" si="1"/>
        <v>21.087147037416635</v>
      </c>
      <c r="G44">
        <f t="shared" ca="1" si="2"/>
        <v>42</v>
      </c>
      <c r="H44">
        <f t="shared" ca="1" si="3"/>
        <v>885.66017557149871</v>
      </c>
      <c r="I44">
        <f t="shared" ca="1" si="4"/>
        <v>74955.436153944451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30634</v>
      </c>
      <c r="B46" s="66">
        <v>30634</v>
      </c>
      <c r="D46">
        <f t="shared" si="0"/>
        <v>22.751511370556866</v>
      </c>
      <c r="E46">
        <f t="shared" si="1"/>
        <v>22.751511370556866</v>
      </c>
      <c r="G46">
        <f t="shared" ca="1" si="2"/>
        <v>44</v>
      </c>
      <c r="H46">
        <f t="shared" ca="1" si="3"/>
        <v>1001.0665003045021</v>
      </c>
      <c r="I46">
        <f t="shared" ca="1" si="4"/>
        <v>75536.728761922583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32393</v>
      </c>
      <c r="B49" s="66">
        <v>32393</v>
      </c>
      <c r="D49">
        <f t="shared" si="0"/>
        <v>24.057899974748601</v>
      </c>
      <c r="E49">
        <f t="shared" si="1"/>
        <v>24.057899974748601</v>
      </c>
      <c r="G49">
        <f t="shared" ca="1" si="2"/>
        <v>47</v>
      </c>
      <c r="H49">
        <f t="shared" ca="1" si="3"/>
        <v>1130.7212988131841</v>
      </c>
      <c r="I49">
        <f t="shared" ca="1" si="4"/>
        <v>71773.247561136101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47243</v>
      </c>
      <c r="B51" s="66">
        <v>47243</v>
      </c>
      <c r="D51">
        <f t="shared" si="0"/>
        <v>35.086820254593526</v>
      </c>
      <c r="E51">
        <f t="shared" si="1"/>
        <v>35.086820254593526</v>
      </c>
      <c r="G51">
        <f t="shared" ca="1" si="2"/>
        <v>49</v>
      </c>
      <c r="H51">
        <f t="shared" ca="1" si="3"/>
        <v>1719.2541924750828</v>
      </c>
      <c r="I51">
        <f t="shared" ca="1" si="4"/>
        <v>97150.993705396904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39170</v>
      </c>
      <c r="B54" s="66">
        <v>39170</v>
      </c>
      <c r="D54">
        <f t="shared" si="0"/>
        <v>29.091098138823284</v>
      </c>
      <c r="E54">
        <f t="shared" si="1"/>
        <v>29.091098138823284</v>
      </c>
      <c r="G54">
        <f t="shared" ca="1" si="2"/>
        <v>52</v>
      </c>
      <c r="H54">
        <f t="shared" ca="1" si="3"/>
        <v>1512.7371032188107</v>
      </c>
      <c r="I54">
        <f t="shared" ca="1" si="4"/>
        <v>71626.755042678778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47086</v>
      </c>
      <c r="B57" s="66">
        <v>47086</v>
      </c>
      <c r="D57">
        <f t="shared" si="0"/>
        <v>34.970218201803249</v>
      </c>
      <c r="E57">
        <f t="shared" si="1"/>
        <v>34.970218201803249</v>
      </c>
      <c r="G57">
        <f t="shared" ca="1" si="2"/>
        <v>55</v>
      </c>
      <c r="H57">
        <f t="shared" ca="1" si="3"/>
        <v>1923.3620010991788</v>
      </c>
      <c r="I57">
        <f t="shared" ca="1" si="4"/>
        <v>76005.431212396477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45563</v>
      </c>
      <c r="B59" s="66">
        <v>45563</v>
      </c>
      <c r="D59">
        <f t="shared" si="0"/>
        <v>33.8391040209141</v>
      </c>
      <c r="E59">
        <f t="shared" si="1"/>
        <v>33.8391040209141</v>
      </c>
      <c r="G59">
        <f t="shared" ca="1" si="2"/>
        <v>57</v>
      </c>
      <c r="H59">
        <f t="shared" ca="1" si="3"/>
        <v>1928.8289291921037</v>
      </c>
      <c r="I59">
        <f t="shared" ca="1" si="4"/>
        <v>67372.057772555621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57092</v>
      </c>
      <c r="B62" s="66">
        <v>57092</v>
      </c>
      <c r="D62">
        <f t="shared" si="0"/>
        <v>42.401556674539165</v>
      </c>
      <c r="E62">
        <f t="shared" si="1"/>
        <v>42.401556674539165</v>
      </c>
      <c r="G62">
        <f t="shared" ca="1" si="2"/>
        <v>60</v>
      </c>
      <c r="H62">
        <f t="shared" ca="1" si="3"/>
        <v>2544.0934004723499</v>
      </c>
      <c r="I62">
        <f t="shared" ca="1" si="4"/>
        <v>73449.341977968113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60783</v>
      </c>
      <c r="B64" s="66">
        <v>60783</v>
      </c>
      <c r="D64">
        <f t="shared" si="0"/>
        <v>45.142818947462231</v>
      </c>
      <c r="E64">
        <f t="shared" si="1"/>
        <v>45.142818947462231</v>
      </c>
      <c r="G64">
        <f t="shared" ca="1" si="2"/>
        <v>62</v>
      </c>
      <c r="H64">
        <f t="shared" ca="1" si="3"/>
        <v>2798.8547747426583</v>
      </c>
      <c r="I64">
        <f t="shared" ca="1" si="4"/>
        <v>70863.022615160706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63830</v>
      </c>
      <c r="B67" s="66">
        <v>63830</v>
      </c>
      <c r="D67">
        <f t="shared" ref="D67:D130" si="5">IFERROR( 100*A67/MAX(A$2:A$257), 0 )</f>
        <v>47.405789997474862</v>
      </c>
      <c r="E67">
        <f t="shared" ref="E67:E130" si="6">IFERROR( 100*B67/MAX(B$2:B$257), 0 )</f>
        <v>47.405789997474862</v>
      </c>
      <c r="G67">
        <f t="shared" ref="G67:G130" ca="1" si="7">CELL("row",D67)-2</f>
        <v>65</v>
      </c>
      <c r="H67">
        <f t="shared" ref="H67:H130" ca="1" si="8">D67*G67</f>
        <v>3081.3763498358662</v>
      </c>
      <c r="I67">
        <f t="shared" ref="I67:I130" ca="1" si="9">D67*((G67-$L$1)^2)</f>
        <v>63572.646604865724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72913</v>
      </c>
      <c r="B69" s="66">
        <v>72913</v>
      </c>
      <c r="D69">
        <f t="shared" si="5"/>
        <v>54.151627229921424</v>
      </c>
      <c r="E69">
        <f t="shared" si="6"/>
        <v>54.151627229921424</v>
      </c>
      <c r="G69">
        <f t="shared" ca="1" si="7"/>
        <v>67</v>
      </c>
      <c r="H69">
        <f t="shared" ca="1" si="8"/>
        <v>3628.1590244047352</v>
      </c>
      <c r="I69">
        <f t="shared" ca="1" si="9"/>
        <v>64903.481097412681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82366</v>
      </c>
      <c r="B72" s="66">
        <v>82366</v>
      </c>
      <c r="D72">
        <f t="shared" si="5"/>
        <v>61.172259109071192</v>
      </c>
      <c r="E72">
        <f t="shared" si="6"/>
        <v>61.172259109071192</v>
      </c>
      <c r="G72">
        <f t="shared" ca="1" si="7"/>
        <v>70</v>
      </c>
      <c r="H72">
        <f t="shared" ca="1" si="8"/>
        <v>4282.0581376349837</v>
      </c>
      <c r="I72">
        <f t="shared" ca="1" si="9"/>
        <v>61161.879954384851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80587</v>
      </c>
      <c r="B75" s="66">
        <v>80587</v>
      </c>
      <c r="D75">
        <f t="shared" si="5"/>
        <v>59.851016740192804</v>
      </c>
      <c r="E75">
        <f t="shared" si="6"/>
        <v>59.851016740192804</v>
      </c>
      <c r="G75">
        <f t="shared" ca="1" si="7"/>
        <v>73</v>
      </c>
      <c r="H75">
        <f t="shared" ca="1" si="8"/>
        <v>4369.1242220340746</v>
      </c>
      <c r="I75">
        <f t="shared" ca="1" si="9"/>
        <v>49024.552348744059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97925</v>
      </c>
      <c r="B77" s="66">
        <v>97925</v>
      </c>
      <c r="D77">
        <f t="shared" si="5"/>
        <v>72.727745347058217</v>
      </c>
      <c r="E77">
        <f t="shared" si="6"/>
        <v>72.727745347058217</v>
      </c>
      <c r="G77">
        <f t="shared" ca="1" si="7"/>
        <v>75</v>
      </c>
      <c r="H77">
        <f t="shared" ca="1" si="8"/>
        <v>5454.580901029366</v>
      </c>
      <c r="I77">
        <f t="shared" ca="1" si="9"/>
        <v>51537.01793137112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102109</v>
      </c>
      <c r="B80" s="66">
        <v>102109</v>
      </c>
      <c r="D80">
        <f t="shared" si="5"/>
        <v>75.835152919507451</v>
      </c>
      <c r="E80">
        <f t="shared" si="6"/>
        <v>75.835152919507451</v>
      </c>
      <c r="G80">
        <f t="shared" ca="1" si="7"/>
        <v>78</v>
      </c>
      <c r="H80">
        <f t="shared" ca="1" si="8"/>
        <v>5915.1419277215809</v>
      </c>
      <c r="I80">
        <f t="shared" ca="1" si="9"/>
        <v>42309.10136114648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105101</v>
      </c>
      <c r="B82" s="66">
        <v>105101</v>
      </c>
      <c r="D82">
        <f t="shared" si="5"/>
        <v>78.057276116631755</v>
      </c>
      <c r="E82">
        <f t="shared" si="6"/>
        <v>78.057276116631755</v>
      </c>
      <c r="G82">
        <f t="shared" ca="1" si="7"/>
        <v>80</v>
      </c>
      <c r="H82">
        <f t="shared" ca="1" si="8"/>
        <v>6244.5820893305408</v>
      </c>
      <c r="I82">
        <f t="shared" ca="1" si="9"/>
        <v>36486.1918959123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104618</v>
      </c>
      <c r="B85" s="66">
        <v>104618</v>
      </c>
      <c r="D85">
        <f t="shared" si="5"/>
        <v>77.698557699448926</v>
      </c>
      <c r="E85">
        <f t="shared" si="6"/>
        <v>77.698557699448926</v>
      </c>
      <c r="G85">
        <f t="shared" ca="1" si="7"/>
        <v>83</v>
      </c>
      <c r="H85">
        <f t="shared" ca="1" si="8"/>
        <v>6448.9802890542605</v>
      </c>
      <c r="I85">
        <f t="shared" ca="1" si="9"/>
        <v>26938.703107620902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105001</v>
      </c>
      <c r="B88" s="66">
        <v>105001</v>
      </c>
      <c r="D88">
        <f t="shared" si="5"/>
        <v>77.983007293198455</v>
      </c>
      <c r="E88">
        <f t="shared" si="6"/>
        <v>77.983007293198455</v>
      </c>
      <c r="G88">
        <f t="shared" ca="1" si="7"/>
        <v>86</v>
      </c>
      <c r="H88">
        <f t="shared" ca="1" si="8"/>
        <v>6706.5386272150672</v>
      </c>
      <c r="I88">
        <f t="shared" ca="1" si="9"/>
        <v>19026.86564965994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102379</v>
      </c>
      <c r="B90" s="66">
        <v>102379</v>
      </c>
      <c r="D90">
        <f t="shared" si="5"/>
        <v>76.035678742777364</v>
      </c>
      <c r="E90">
        <f t="shared" si="6"/>
        <v>76.035678742777364</v>
      </c>
      <c r="G90">
        <f t="shared" ca="1" si="7"/>
        <v>88</v>
      </c>
      <c r="H90">
        <f t="shared" ca="1" si="8"/>
        <v>6691.1397293644077</v>
      </c>
      <c r="I90">
        <f t="shared" ca="1" si="9"/>
        <v>14105.14715042969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109107</v>
      </c>
      <c r="B93" s="66">
        <v>109107</v>
      </c>
      <c r="D93">
        <f t="shared" si="5"/>
        <v>81.032485183369729</v>
      </c>
      <c r="E93">
        <f t="shared" si="6"/>
        <v>81.032485183369729</v>
      </c>
      <c r="G93">
        <f t="shared" ca="1" si="7"/>
        <v>91</v>
      </c>
      <c r="H93">
        <f t="shared" ca="1" si="8"/>
        <v>7373.9561516866452</v>
      </c>
      <c r="I93">
        <f t="shared" ca="1" si="9"/>
        <v>9139.3615867696062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108172</v>
      </c>
      <c r="B95" s="66">
        <v>108172</v>
      </c>
      <c r="D95">
        <f t="shared" si="5"/>
        <v>80.338071684268371</v>
      </c>
      <c r="E95">
        <f t="shared" si="6"/>
        <v>80.338071684268371</v>
      </c>
      <c r="G95">
        <f t="shared" ca="1" si="7"/>
        <v>93</v>
      </c>
      <c r="H95">
        <f t="shared" ca="1" si="8"/>
        <v>7471.4406666369587</v>
      </c>
      <c r="I95">
        <f t="shared" ca="1" si="9"/>
        <v>5969.6020673745879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110937</v>
      </c>
      <c r="B98" s="66">
        <v>110937</v>
      </c>
      <c r="D98">
        <f t="shared" si="5"/>
        <v>82.391604652199106</v>
      </c>
      <c r="E98">
        <f t="shared" si="6"/>
        <v>82.391604652199106</v>
      </c>
      <c r="G98">
        <f t="shared" ca="1" si="7"/>
        <v>96</v>
      </c>
      <c r="H98">
        <f t="shared" ca="1" si="8"/>
        <v>7909.5940466111142</v>
      </c>
      <c r="I98">
        <f t="shared" ca="1" si="9"/>
        <v>2602.3762232698914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105510</v>
      </c>
      <c r="B100" s="66">
        <v>105510</v>
      </c>
      <c r="D100">
        <f t="shared" si="5"/>
        <v>78.361035604473955</v>
      </c>
      <c r="E100">
        <f t="shared" si="6"/>
        <v>78.361035604473955</v>
      </c>
      <c r="G100">
        <f t="shared" ca="1" si="7"/>
        <v>98</v>
      </c>
      <c r="H100">
        <f t="shared" ca="1" si="8"/>
        <v>7679.3814892384471</v>
      </c>
      <c r="I100">
        <f t="shared" ca="1" si="9"/>
        <v>1026.9275459218982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110940</v>
      </c>
      <c r="B103" s="66">
        <v>110940</v>
      </c>
      <c r="D103">
        <f t="shared" si="5"/>
        <v>82.393832716902097</v>
      </c>
      <c r="E103">
        <f t="shared" si="6"/>
        <v>82.393832716902097</v>
      </c>
      <c r="G103">
        <f t="shared" ca="1" si="7"/>
        <v>101</v>
      </c>
      <c r="H103">
        <f t="shared" ca="1" si="8"/>
        <v>8321.7771044071123</v>
      </c>
      <c r="I103">
        <f t="shared" ca="1" si="9"/>
        <v>31.681768790784901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107923</v>
      </c>
      <c r="B106" s="66">
        <v>107923</v>
      </c>
      <c r="D106">
        <f t="shared" si="5"/>
        <v>80.15314231391946</v>
      </c>
      <c r="E106">
        <f t="shared" si="6"/>
        <v>80.15314231391946</v>
      </c>
      <c r="G106">
        <f t="shared" ca="1" si="7"/>
        <v>104</v>
      </c>
      <c r="H106">
        <f t="shared" ca="1" si="8"/>
        <v>8335.9268006476232</v>
      </c>
      <c r="I106">
        <f t="shared" ca="1" si="9"/>
        <v>453.98368986870446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117744</v>
      </c>
      <c r="B108" s="66">
        <v>117744</v>
      </c>
      <c r="D108">
        <f t="shared" si="5"/>
        <v>87.44708346330377</v>
      </c>
      <c r="E108">
        <f t="shared" si="6"/>
        <v>87.44708346330377</v>
      </c>
      <c r="G108">
        <f t="shared" ca="1" si="7"/>
        <v>106</v>
      </c>
      <c r="H108">
        <f t="shared" ca="1" si="8"/>
        <v>9269.3908471102004</v>
      </c>
      <c r="I108">
        <f t="shared" ca="1" si="9"/>
        <v>1677.5480091924737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118410</v>
      </c>
      <c r="B111" s="66">
        <v>118410</v>
      </c>
      <c r="D111">
        <f t="shared" si="5"/>
        <v>87.94171382736954</v>
      </c>
      <c r="E111">
        <f t="shared" si="6"/>
        <v>87.94171382736954</v>
      </c>
      <c r="G111">
        <f t="shared" ca="1" si="7"/>
        <v>109</v>
      </c>
      <c r="H111">
        <f t="shared" ca="1" si="8"/>
        <v>9585.6468071832805</v>
      </c>
      <c r="I111">
        <f t="shared" ca="1" si="9"/>
        <v>4789.5709838172088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131022</v>
      </c>
      <c r="B113" s="66">
        <v>131022</v>
      </c>
      <c r="D113">
        <f t="shared" si="5"/>
        <v>97.308497838777242</v>
      </c>
      <c r="E113">
        <f t="shared" si="6"/>
        <v>97.308497838777242</v>
      </c>
      <c r="G113">
        <f t="shared" ca="1" si="7"/>
        <v>111</v>
      </c>
      <c r="H113">
        <f t="shared" ca="1" si="8"/>
        <v>10801.243260104275</v>
      </c>
      <c r="I113">
        <f t="shared" ca="1" si="9"/>
        <v>8561.4586480772577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134646</v>
      </c>
      <c r="B116" s="66">
        <v>134646</v>
      </c>
      <c r="D116">
        <f t="shared" si="5"/>
        <v>100</v>
      </c>
      <c r="E116">
        <f t="shared" si="6"/>
        <v>100</v>
      </c>
      <c r="G116">
        <f t="shared" ca="1" si="7"/>
        <v>114</v>
      </c>
      <c r="H116">
        <f t="shared" ca="1" si="8"/>
        <v>11400</v>
      </c>
      <c r="I116">
        <f t="shared" ca="1" si="9"/>
        <v>15326.207864073973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130397</v>
      </c>
      <c r="B118" s="66">
        <v>130397</v>
      </c>
      <c r="D118">
        <f t="shared" si="5"/>
        <v>96.844317692319123</v>
      </c>
      <c r="E118">
        <f t="shared" si="6"/>
        <v>96.844317692319123</v>
      </c>
      <c r="G118">
        <f t="shared" ca="1" si="7"/>
        <v>116</v>
      </c>
      <c r="H118">
        <f t="shared" ca="1" si="8"/>
        <v>11233.940852309019</v>
      </c>
      <c r="I118">
        <f t="shared" ca="1" si="9"/>
        <v>20025.63299849585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120077</v>
      </c>
      <c r="B121" s="66">
        <v>120077</v>
      </c>
      <c r="D121">
        <f t="shared" si="5"/>
        <v>89.179775114002638</v>
      </c>
      <c r="E121">
        <f t="shared" si="6"/>
        <v>89.179775114002638</v>
      </c>
      <c r="G121">
        <f t="shared" ca="1" si="7"/>
        <v>119</v>
      </c>
      <c r="H121">
        <f t="shared" ca="1" si="8"/>
        <v>10612.393238566314</v>
      </c>
      <c r="I121">
        <f t="shared" ca="1" si="9"/>
        <v>26937.744633358288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108636</v>
      </c>
      <c r="B124" s="66">
        <v>108636</v>
      </c>
      <c r="D124">
        <f t="shared" si="5"/>
        <v>80.68267902499889</v>
      </c>
      <c r="E124">
        <f t="shared" si="6"/>
        <v>80.68267902499889</v>
      </c>
      <c r="G124">
        <f t="shared" ca="1" si="7"/>
        <v>122</v>
      </c>
      <c r="H124">
        <f t="shared" ca="1" si="8"/>
        <v>9843.286841049865</v>
      </c>
      <c r="I124">
        <f t="shared" ca="1" si="9"/>
        <v>33510.790586373281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101410</v>
      </c>
      <c r="B126" s="66">
        <v>101410</v>
      </c>
      <c r="D126">
        <f t="shared" si="5"/>
        <v>75.316013843708689</v>
      </c>
      <c r="E126">
        <f t="shared" si="6"/>
        <v>75.316013843708689</v>
      </c>
      <c r="G126">
        <f t="shared" ca="1" si="7"/>
        <v>124</v>
      </c>
      <c r="H126">
        <f t="shared" ca="1" si="8"/>
        <v>9339.185716619877</v>
      </c>
      <c r="I126">
        <f t="shared" ca="1" si="9"/>
        <v>37722.794023986906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92124</v>
      </c>
      <c r="B129" s="66">
        <v>92124</v>
      </c>
      <c r="D129">
        <f t="shared" si="5"/>
        <v>68.419410899692522</v>
      </c>
      <c r="E129">
        <f t="shared" si="6"/>
        <v>68.419410899692522</v>
      </c>
      <c r="G129">
        <f t="shared" ca="1" si="7"/>
        <v>127</v>
      </c>
      <c r="H129">
        <f t="shared" ca="1" si="8"/>
        <v>8689.2651842609503</v>
      </c>
      <c r="I129">
        <f t="shared" ca="1" si="9"/>
        <v>44071.654775507333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86266</v>
      </c>
      <c r="B131" s="66">
        <v>86266</v>
      </c>
      <c r="D131">
        <f t="shared" ref="D131:D194" si="10">IFERROR( 100*A131/MAX(A$2:A$257), 0 )</f>
        <v>64.068743222969857</v>
      </c>
      <c r="E131">
        <f t="shared" ref="E131:E194" si="11">IFERROR( 100*B131/MAX(B$2:B$257), 0 )</f>
        <v>64.068743222969857</v>
      </c>
      <c r="G131">
        <f t="shared" ref="G131:G194" ca="1" si="12">CELL("row",D131)-2</f>
        <v>129</v>
      </c>
      <c r="H131">
        <f t="shared" ref="H131:H194" ca="1" si="13">D131*G131</f>
        <v>8264.8678757631114</v>
      </c>
      <c r="I131">
        <f t="shared" ref="I131:I194" ca="1" si="14">D131*((G131-$L$1)^2)</f>
        <v>48029.727017927107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85741</v>
      </c>
      <c r="B134" s="66">
        <v>85741</v>
      </c>
      <c r="D134">
        <f t="shared" si="10"/>
        <v>63.678831899945038</v>
      </c>
      <c r="E134">
        <f t="shared" si="11"/>
        <v>63.678831899945038</v>
      </c>
      <c r="G134">
        <f t="shared" ca="1" si="12"/>
        <v>132</v>
      </c>
      <c r="H134">
        <f t="shared" ca="1" si="13"/>
        <v>8405.6058107927456</v>
      </c>
      <c r="I134">
        <f t="shared" ca="1" si="14"/>
        <v>58771.658552162015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78085</v>
      </c>
      <c r="B136" s="66">
        <v>78085</v>
      </c>
      <c r="D136">
        <f t="shared" si="10"/>
        <v>57.992810777891656</v>
      </c>
      <c r="E136">
        <f t="shared" si="11"/>
        <v>57.992810777891656</v>
      </c>
      <c r="G136">
        <f t="shared" ca="1" si="12"/>
        <v>134</v>
      </c>
      <c r="H136">
        <f t="shared" ca="1" si="13"/>
        <v>7771.0366442374816</v>
      </c>
      <c r="I136">
        <f t="shared" ca="1" si="14"/>
        <v>60803.045450307087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69688</v>
      </c>
      <c r="B139" s="66">
        <v>69688</v>
      </c>
      <c r="D139">
        <f t="shared" si="10"/>
        <v>51.756457674197527</v>
      </c>
      <c r="E139">
        <f t="shared" si="11"/>
        <v>51.756457674197527</v>
      </c>
      <c r="G139">
        <f t="shared" ca="1" si="12"/>
        <v>137</v>
      </c>
      <c r="H139">
        <f t="shared" ca="1" si="13"/>
        <v>7090.6347013650611</v>
      </c>
      <c r="I139">
        <f t="shared" ca="1" si="14"/>
        <v>64785.512701106643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63194</v>
      </c>
      <c r="B142" s="66">
        <v>63194</v>
      </c>
      <c r="D142">
        <f t="shared" si="10"/>
        <v>46.933440280439079</v>
      </c>
      <c r="E142">
        <f t="shared" si="11"/>
        <v>46.933440280439079</v>
      </c>
      <c r="G142">
        <f t="shared" ca="1" si="12"/>
        <v>140</v>
      </c>
      <c r="H142">
        <f t="shared" ca="1" si="13"/>
        <v>6570.681639261471</v>
      </c>
      <c r="I142">
        <f t="shared" ca="1" si="14"/>
        <v>69133.764947496078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54079</v>
      </c>
      <c r="B144" s="66">
        <v>54079</v>
      </c>
      <c r="D144">
        <f t="shared" si="10"/>
        <v>40.163837024493859</v>
      </c>
      <c r="E144">
        <f t="shared" si="11"/>
        <v>40.163837024493859</v>
      </c>
      <c r="G144">
        <f t="shared" ca="1" si="12"/>
        <v>142</v>
      </c>
      <c r="H144">
        <f t="shared" ca="1" si="13"/>
        <v>5703.2648574781279</v>
      </c>
      <c r="I144">
        <f t="shared" ca="1" si="14"/>
        <v>65488.615437238172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47567</v>
      </c>
      <c r="B147" s="66">
        <v>47567</v>
      </c>
      <c r="D147">
        <f t="shared" si="10"/>
        <v>35.327451242517419</v>
      </c>
      <c r="E147">
        <f t="shared" si="11"/>
        <v>35.327451242517419</v>
      </c>
      <c r="G147">
        <f t="shared" ca="1" si="12"/>
        <v>145</v>
      </c>
      <c r="H147">
        <f t="shared" ca="1" si="13"/>
        <v>5122.4804301650256</v>
      </c>
      <c r="I147">
        <f t="shared" ca="1" si="14"/>
        <v>66479.772379020287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38810</v>
      </c>
      <c r="B149" s="66">
        <v>38810</v>
      </c>
      <c r="D149">
        <f t="shared" si="10"/>
        <v>28.823730374463409</v>
      </c>
      <c r="E149">
        <f t="shared" si="11"/>
        <v>28.823730374463409</v>
      </c>
      <c r="G149">
        <f t="shared" ca="1" si="12"/>
        <v>147</v>
      </c>
      <c r="H149">
        <f t="shared" ca="1" si="13"/>
        <v>4237.088365046121</v>
      </c>
      <c r="I149">
        <f t="shared" ca="1" si="14"/>
        <v>59357.742467625947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33686</v>
      </c>
      <c r="B152" s="66">
        <v>33686</v>
      </c>
      <c r="D152">
        <f t="shared" si="10"/>
        <v>25.018195861741159</v>
      </c>
      <c r="E152">
        <f t="shared" si="11"/>
        <v>25.018195861741159</v>
      </c>
      <c r="G152">
        <f t="shared" ca="1" si="12"/>
        <v>150</v>
      </c>
      <c r="H152">
        <f t="shared" ca="1" si="13"/>
        <v>3752.729379261174</v>
      </c>
      <c r="I152">
        <f t="shared" ca="1" si="14"/>
        <v>58557.972720339429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29108</v>
      </c>
      <c r="B154" s="66">
        <v>29108</v>
      </c>
      <c r="D154">
        <f t="shared" si="10"/>
        <v>21.618169124964723</v>
      </c>
      <c r="E154">
        <f t="shared" si="11"/>
        <v>21.618169124964723</v>
      </c>
      <c r="G154">
        <f t="shared" ca="1" si="12"/>
        <v>152</v>
      </c>
      <c r="H154">
        <f t="shared" ca="1" si="13"/>
        <v>3285.961706994638</v>
      </c>
      <c r="I154">
        <f t="shared" ca="1" si="14"/>
        <v>54869.830681956635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24774</v>
      </c>
      <c r="B157" s="66">
        <v>24774</v>
      </c>
      <c r="D157">
        <f t="shared" si="10"/>
        <v>18.399358317365536</v>
      </c>
      <c r="E157">
        <f t="shared" si="11"/>
        <v>18.399358317365536</v>
      </c>
      <c r="G157">
        <f t="shared" ca="1" si="12"/>
        <v>155</v>
      </c>
      <c r="H157">
        <f t="shared" ca="1" si="13"/>
        <v>2851.900539191658</v>
      </c>
      <c r="I157">
        <f t="shared" ca="1" si="14"/>
        <v>52427.396370063048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19725</v>
      </c>
      <c r="B160" s="66">
        <v>19725</v>
      </c>
      <c r="D160">
        <f t="shared" si="10"/>
        <v>14.649525422218261</v>
      </c>
      <c r="E160">
        <f t="shared" si="11"/>
        <v>14.649525422218261</v>
      </c>
      <c r="G160">
        <f t="shared" ca="1" si="12"/>
        <v>158</v>
      </c>
      <c r="H160">
        <f t="shared" ca="1" si="13"/>
        <v>2314.6250167104854</v>
      </c>
      <c r="I160">
        <f t="shared" ca="1" si="14"/>
        <v>46566.356045974389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20803</v>
      </c>
      <c r="B162" s="66">
        <v>20803</v>
      </c>
      <c r="D162">
        <f t="shared" si="10"/>
        <v>15.450143338829227</v>
      </c>
      <c r="E162">
        <f t="shared" si="11"/>
        <v>15.450143338829227</v>
      </c>
      <c r="G162">
        <f t="shared" ca="1" si="12"/>
        <v>160</v>
      </c>
      <c r="H162">
        <f t="shared" ca="1" si="13"/>
        <v>2472.0229342126763</v>
      </c>
      <c r="I162">
        <f t="shared" ca="1" si="14"/>
        <v>52657.386381298646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21338</v>
      </c>
      <c r="B165" s="66">
        <v>21338</v>
      </c>
      <c r="D165">
        <f t="shared" si="10"/>
        <v>15.847481544197377</v>
      </c>
      <c r="E165">
        <f t="shared" si="11"/>
        <v>15.847481544197377</v>
      </c>
      <c r="G165">
        <f t="shared" ca="1" si="12"/>
        <v>163</v>
      </c>
      <c r="H165">
        <f t="shared" ca="1" si="13"/>
        <v>2583.1394917041725</v>
      </c>
      <c r="I165">
        <f t="shared" ca="1" si="14"/>
        <v>59705.274052843073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18363</v>
      </c>
      <c r="B167" s="66">
        <v>18363</v>
      </c>
      <c r="D167">
        <f t="shared" si="10"/>
        <v>13.637984047056726</v>
      </c>
      <c r="E167">
        <f t="shared" si="11"/>
        <v>13.637984047056726</v>
      </c>
      <c r="G167">
        <f t="shared" ca="1" si="12"/>
        <v>165</v>
      </c>
      <c r="H167">
        <f t="shared" ca="1" si="13"/>
        <v>2250.2673677643597</v>
      </c>
      <c r="I167">
        <f t="shared" ca="1" si="14"/>
        <v>54783.952605322273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20112</v>
      </c>
      <c r="B170" s="66">
        <v>20112</v>
      </c>
      <c r="D170">
        <f t="shared" si="10"/>
        <v>14.936945768905129</v>
      </c>
      <c r="E170">
        <f t="shared" si="11"/>
        <v>14.936945768905129</v>
      </c>
      <c r="G170">
        <f t="shared" ca="1" si="12"/>
        <v>168</v>
      </c>
      <c r="H170">
        <f t="shared" ca="1" si="13"/>
        <v>2509.4068891760617</v>
      </c>
      <c r="I170">
        <f t="shared" ca="1" si="14"/>
        <v>65816.543945803423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21805</v>
      </c>
      <c r="B173" s="66">
        <v>21805</v>
      </c>
      <c r="D173">
        <f t="shared" si="10"/>
        <v>16.194316949630885</v>
      </c>
      <c r="E173">
        <f t="shared" si="11"/>
        <v>16.194316949630885</v>
      </c>
      <c r="G173">
        <f t="shared" ca="1" si="12"/>
        <v>171</v>
      </c>
      <c r="H173">
        <f t="shared" ca="1" si="13"/>
        <v>2769.2281983868811</v>
      </c>
      <c r="I173">
        <f t="shared" ca="1" si="14"/>
        <v>77952.50075900674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19372</v>
      </c>
      <c r="B175" s="66">
        <v>19372</v>
      </c>
      <c r="D175">
        <f t="shared" si="10"/>
        <v>14.387356475498715</v>
      </c>
      <c r="E175">
        <f t="shared" si="11"/>
        <v>14.387356475498715</v>
      </c>
      <c r="G175">
        <f t="shared" ca="1" si="12"/>
        <v>173</v>
      </c>
      <c r="H175">
        <f t="shared" ca="1" si="13"/>
        <v>2489.0126702612774</v>
      </c>
      <c r="I175">
        <f t="shared" ca="1" si="14"/>
        <v>73304.890716233509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20009</v>
      </c>
      <c r="B178" s="66">
        <v>20009</v>
      </c>
      <c r="D178">
        <f t="shared" si="10"/>
        <v>14.86044888076883</v>
      </c>
      <c r="E178">
        <f t="shared" si="11"/>
        <v>14.86044888076883</v>
      </c>
      <c r="G178">
        <f t="shared" ca="1" si="12"/>
        <v>176</v>
      </c>
      <c r="H178">
        <f t="shared" ca="1" si="13"/>
        <v>2615.439003015314</v>
      </c>
      <c r="I178">
        <f t="shared" ca="1" si="14"/>
        <v>82213.508307018506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14965</v>
      </c>
      <c r="B180" s="66">
        <v>14965</v>
      </c>
      <c r="D180">
        <f t="shared" si="10"/>
        <v>11.114329426793221</v>
      </c>
      <c r="E180">
        <f t="shared" si="11"/>
        <v>11.114329426793221</v>
      </c>
      <c r="G180">
        <f t="shared" ca="1" si="12"/>
        <v>178</v>
      </c>
      <c r="H180">
        <f t="shared" ca="1" si="13"/>
        <v>1978.3506379691933</v>
      </c>
      <c r="I180">
        <f t="shared" ca="1" si="14"/>
        <v>64839.776166930984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16356</v>
      </c>
      <c r="B183" s="66">
        <v>16356</v>
      </c>
      <c r="D183">
        <f t="shared" si="10"/>
        <v>12.147408760750412</v>
      </c>
      <c r="E183">
        <f t="shared" si="11"/>
        <v>12.147408760750412</v>
      </c>
      <c r="G183">
        <f t="shared" ca="1" si="12"/>
        <v>181</v>
      </c>
      <c r="H183">
        <f t="shared" ca="1" si="13"/>
        <v>2198.6809856958248</v>
      </c>
      <c r="I183">
        <f t="shared" ca="1" si="14"/>
        <v>76542.881775580696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11474</v>
      </c>
      <c r="B185" s="66">
        <v>11474</v>
      </c>
      <c r="D185">
        <f t="shared" si="10"/>
        <v>8.5216048007367462</v>
      </c>
      <c r="E185">
        <f t="shared" si="11"/>
        <v>8.5216048007367462</v>
      </c>
      <c r="G185">
        <f t="shared" ca="1" si="12"/>
        <v>183</v>
      </c>
      <c r="H185">
        <f t="shared" ca="1" si="13"/>
        <v>1559.4536785348246</v>
      </c>
      <c r="I185">
        <f t="shared" ca="1" si="14"/>
        <v>56435.939573325231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6203</v>
      </c>
      <c r="B188" s="66">
        <v>6203</v>
      </c>
      <c r="D188">
        <f t="shared" si="10"/>
        <v>4.6068951175675474</v>
      </c>
      <c r="E188">
        <f t="shared" si="11"/>
        <v>4.6068951175675474</v>
      </c>
      <c r="G188">
        <f t="shared" ca="1" si="12"/>
        <v>186</v>
      </c>
      <c r="H188">
        <f t="shared" ca="1" si="13"/>
        <v>856.88249186756377</v>
      </c>
      <c r="I188">
        <f t="shared" ca="1" si="14"/>
        <v>32800.948479011466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5583</v>
      </c>
      <c r="B191" s="66">
        <v>5583</v>
      </c>
      <c r="D191">
        <f t="shared" si="10"/>
        <v>4.146428412281093</v>
      </c>
      <c r="E191">
        <f t="shared" si="11"/>
        <v>4.146428412281093</v>
      </c>
      <c r="G191">
        <f t="shared" ca="1" si="12"/>
        <v>189</v>
      </c>
      <c r="H191">
        <f t="shared" ca="1" si="13"/>
        <v>783.6749699211266</v>
      </c>
      <c r="I191">
        <f t="shared" ca="1" si="14"/>
        <v>31659.009305973424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6714</v>
      </c>
      <c r="B193" s="66">
        <v>6714</v>
      </c>
      <c r="D193">
        <f t="shared" si="10"/>
        <v>4.9864088053117062</v>
      </c>
      <c r="E193">
        <f t="shared" si="11"/>
        <v>4.9864088053117062</v>
      </c>
      <c r="G193">
        <f t="shared" ca="1" si="12"/>
        <v>191</v>
      </c>
      <c r="H193">
        <f t="shared" ca="1" si="13"/>
        <v>952.40408181453586</v>
      </c>
      <c r="I193">
        <f t="shared" ca="1" si="14"/>
        <v>39835.2613057122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3878</v>
      </c>
      <c r="B196" s="66">
        <v>3878</v>
      </c>
      <c r="D196">
        <f t="shared" si="15"/>
        <v>2.8801449727433419</v>
      </c>
      <c r="E196">
        <f t="shared" si="16"/>
        <v>2.8801449727433419</v>
      </c>
      <c r="G196">
        <f t="shared" ca="1" si="17"/>
        <v>194</v>
      </c>
      <c r="H196">
        <f t="shared" ca="1" si="18"/>
        <v>558.74812471220832</v>
      </c>
      <c r="I196">
        <f t="shared" ca="1" si="19"/>
        <v>24579.292788505027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2730</v>
      </c>
      <c r="B198" s="66">
        <v>2730</v>
      </c>
      <c r="D198">
        <f t="shared" si="15"/>
        <v>2.0275388797290672</v>
      </c>
      <c r="E198">
        <f t="shared" si="16"/>
        <v>2.0275388797290672</v>
      </c>
      <c r="G198">
        <f t="shared" ca="1" si="17"/>
        <v>196</v>
      </c>
      <c r="H198">
        <f t="shared" ca="1" si="18"/>
        <v>397.39762042689716</v>
      </c>
      <c r="I198">
        <f t="shared" ca="1" si="19"/>
        <v>18060.43781382632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786</v>
      </c>
      <c r="B201" s="66">
        <v>786</v>
      </c>
      <c r="D201">
        <f t="shared" si="15"/>
        <v>0.58375295218573142</v>
      </c>
      <c r="E201">
        <f t="shared" si="16"/>
        <v>0.58375295218573142</v>
      </c>
      <c r="G201">
        <f t="shared" ca="1" si="17"/>
        <v>199</v>
      </c>
      <c r="H201">
        <f t="shared" ca="1" si="18"/>
        <v>116.16683748496055</v>
      </c>
      <c r="I201">
        <f t="shared" ca="1" si="19"/>
        <v>5535.6394295408327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791</v>
      </c>
      <c r="B203" s="66">
        <v>791</v>
      </c>
      <c r="D203">
        <f t="shared" si="15"/>
        <v>0.58746639335739648</v>
      </c>
      <c r="E203">
        <f t="shared" si="16"/>
        <v>0.58746639335739648</v>
      </c>
      <c r="G203">
        <f t="shared" ca="1" si="17"/>
        <v>201</v>
      </c>
      <c r="H203">
        <f t="shared" ca="1" si="18"/>
        <v>118.08074506483669</v>
      </c>
      <c r="I203">
        <f t="shared" ca="1" si="19"/>
        <v>5802.0329756258016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864</v>
      </c>
      <c r="B206" s="66">
        <v>864</v>
      </c>
      <c r="D206">
        <f t="shared" si="15"/>
        <v>0.64168263446370477</v>
      </c>
      <c r="E206">
        <f t="shared" si="16"/>
        <v>0.64168263446370477</v>
      </c>
      <c r="G206">
        <f t="shared" ca="1" si="17"/>
        <v>204</v>
      </c>
      <c r="H206">
        <f t="shared" ca="1" si="18"/>
        <v>130.90325743059577</v>
      </c>
      <c r="I206">
        <f t="shared" ca="1" si="19"/>
        <v>6725.8897072353529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1288</v>
      </c>
      <c r="B209" s="66">
        <v>1288</v>
      </c>
      <c r="D209">
        <f t="shared" si="15"/>
        <v>0.95658244582089336</v>
      </c>
      <c r="E209">
        <f t="shared" si="16"/>
        <v>0.95658244582089336</v>
      </c>
      <c r="G209">
        <f t="shared" ca="1" si="17"/>
        <v>207</v>
      </c>
      <c r="H209">
        <f t="shared" ca="1" si="18"/>
        <v>198.01256628492493</v>
      </c>
      <c r="I209">
        <f t="shared" ca="1" si="19"/>
        <v>10622.77597303081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943</v>
      </c>
      <c r="B211" s="66">
        <v>943</v>
      </c>
      <c r="D211">
        <f t="shared" si="15"/>
        <v>0.70035500497601122</v>
      </c>
      <c r="E211">
        <f t="shared" si="16"/>
        <v>0.70035500497601122</v>
      </c>
      <c r="G211">
        <f t="shared" ca="1" si="17"/>
        <v>209</v>
      </c>
      <c r="H211">
        <f t="shared" ca="1" si="18"/>
        <v>146.37419603998634</v>
      </c>
      <c r="I211">
        <f t="shared" ca="1" si="19"/>
        <v>8075.404350754181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346</v>
      </c>
      <c r="B214" s="66">
        <v>346</v>
      </c>
      <c r="D214">
        <f t="shared" si="15"/>
        <v>0.25697012907921513</v>
      </c>
      <c r="E214">
        <f t="shared" si="16"/>
        <v>0.25697012907921513</v>
      </c>
      <c r="G214">
        <f t="shared" ca="1" si="17"/>
        <v>212</v>
      </c>
      <c r="H214">
        <f t="shared" ca="1" si="18"/>
        <v>54.477667364793604</v>
      </c>
      <c r="I214">
        <f t="shared" ca="1" si="19"/>
        <v>3130.8530525499191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131.56528229355828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2.5401953980271679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0.61407894278173059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1297</v>
      </c>
      <c r="B8" s="66">
        <v>1297</v>
      </c>
      <c r="D8">
        <f t="shared" si="0"/>
        <v>0.86196584036685053</v>
      </c>
      <c r="E8">
        <f t="shared" si="1"/>
        <v>0.86196584036685053</v>
      </c>
      <c r="G8">
        <f t="shared" ca="1" si="2"/>
        <v>6</v>
      </c>
      <c r="H8">
        <f t="shared" ca="1" si="3"/>
        <v>5.1717950422011034</v>
      </c>
      <c r="I8">
        <f t="shared" ca="1" si="4"/>
        <v>13590.305198608954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1475</v>
      </c>
      <c r="B10" s="66">
        <v>1475</v>
      </c>
      <c r="D10">
        <f t="shared" si="0"/>
        <v>0.98026184621519241</v>
      </c>
      <c r="E10">
        <f t="shared" si="1"/>
        <v>0.98026184621519241</v>
      </c>
      <c r="G10">
        <f t="shared" ca="1" si="2"/>
        <v>8</v>
      </c>
      <c r="H10">
        <f t="shared" ca="1" si="3"/>
        <v>7.8420947697215393</v>
      </c>
      <c r="I10">
        <f t="shared" ca="1" si="4"/>
        <v>14967.009375771218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1828</v>
      </c>
      <c r="B13" s="66">
        <v>1828</v>
      </c>
      <c r="D13">
        <f t="shared" si="0"/>
        <v>1.2148601050043197</v>
      </c>
      <c r="E13">
        <f t="shared" si="1"/>
        <v>1.2148601050043197</v>
      </c>
      <c r="G13">
        <f t="shared" ca="1" si="2"/>
        <v>11</v>
      </c>
      <c r="H13">
        <f t="shared" ca="1" si="3"/>
        <v>13.363461155047517</v>
      </c>
      <c r="I13">
        <f t="shared" ca="1" si="4"/>
        <v>17659.191050968584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1697</v>
      </c>
      <c r="B15" s="66">
        <v>1697</v>
      </c>
      <c r="D15">
        <f t="shared" si="0"/>
        <v>1.1277995613743603</v>
      </c>
      <c r="E15">
        <f t="shared" si="1"/>
        <v>1.1277995613743603</v>
      </c>
      <c r="G15">
        <f t="shared" ca="1" si="2"/>
        <v>13</v>
      </c>
      <c r="H15">
        <f t="shared" ca="1" si="3"/>
        <v>14.661394297866684</v>
      </c>
      <c r="I15">
        <f t="shared" ca="1" si="4"/>
        <v>15854.297403203913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779</v>
      </c>
      <c r="B18" s="66">
        <v>779</v>
      </c>
      <c r="D18">
        <f t="shared" si="0"/>
        <v>0.51771117166212532</v>
      </c>
      <c r="E18">
        <f t="shared" si="1"/>
        <v>0.51771117166212532</v>
      </c>
      <c r="G18">
        <f t="shared" ca="1" si="2"/>
        <v>16</v>
      </c>
      <c r="H18">
        <f t="shared" ca="1" si="3"/>
        <v>8.2833787465940052</v>
      </c>
      <c r="I18">
        <f t="shared" ca="1" si="4"/>
        <v>6914.205857226335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1492</v>
      </c>
      <c r="B21" s="66">
        <v>1492</v>
      </c>
      <c r="D21">
        <f t="shared" si="0"/>
        <v>0.99155977935801154</v>
      </c>
      <c r="E21">
        <f t="shared" si="1"/>
        <v>0.99155977935801154</v>
      </c>
      <c r="G21">
        <f t="shared" ca="1" si="2"/>
        <v>19</v>
      </c>
      <c r="H21">
        <f t="shared" ca="1" si="3"/>
        <v>18.839635807802217</v>
      </c>
      <c r="I21">
        <f t="shared" ca="1" si="4"/>
        <v>12563.997225041583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1317</v>
      </c>
      <c r="B23" s="66">
        <v>1317</v>
      </c>
      <c r="D23">
        <f t="shared" si="0"/>
        <v>0.87525752641722598</v>
      </c>
      <c r="E23">
        <f t="shared" si="1"/>
        <v>0.87525752641722598</v>
      </c>
      <c r="G23">
        <f t="shared" ca="1" si="2"/>
        <v>21</v>
      </c>
      <c r="H23">
        <f t="shared" ca="1" si="3"/>
        <v>18.380408054761745</v>
      </c>
      <c r="I23">
        <f t="shared" ca="1" si="4"/>
        <v>10699.744621039159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1144</v>
      </c>
      <c r="B26" s="66">
        <v>1144</v>
      </c>
      <c r="D26">
        <f t="shared" si="0"/>
        <v>0.76028444208147805</v>
      </c>
      <c r="E26">
        <f t="shared" si="1"/>
        <v>0.76028444208147805</v>
      </c>
      <c r="G26">
        <f t="shared" ca="1" si="2"/>
        <v>24</v>
      </c>
      <c r="H26">
        <f t="shared" ca="1" si="3"/>
        <v>18.246826609955473</v>
      </c>
      <c r="I26">
        <f t="shared" ca="1" si="4"/>
        <v>8796.7114430766651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1526</v>
      </c>
      <c r="B28" s="66">
        <v>1526</v>
      </c>
      <c r="D28">
        <f t="shared" si="0"/>
        <v>1.0141556456436498</v>
      </c>
      <c r="E28">
        <f t="shared" si="1"/>
        <v>1.0141556456436498</v>
      </c>
      <c r="G28">
        <f t="shared" ca="1" si="2"/>
        <v>26</v>
      </c>
      <c r="H28">
        <f t="shared" ca="1" si="3"/>
        <v>26.368046786734894</v>
      </c>
      <c r="I28">
        <f t="shared" ca="1" si="4"/>
        <v>11301.77974881814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1841</v>
      </c>
      <c r="B31" s="66">
        <v>1841</v>
      </c>
      <c r="D31">
        <f t="shared" si="0"/>
        <v>1.2234997009370638</v>
      </c>
      <c r="E31">
        <f t="shared" si="1"/>
        <v>1.2234997009370638</v>
      </c>
      <c r="G31">
        <f t="shared" ca="1" si="2"/>
        <v>29</v>
      </c>
      <c r="H31">
        <f t="shared" ca="1" si="3"/>
        <v>35.481491327174851</v>
      </c>
      <c r="I31">
        <f t="shared" ca="1" si="4"/>
        <v>12870.77288491619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3559</v>
      </c>
      <c r="B33" s="66">
        <v>3559</v>
      </c>
      <c r="D33">
        <f t="shared" si="0"/>
        <v>2.3652555326643183</v>
      </c>
      <c r="E33">
        <f t="shared" si="1"/>
        <v>2.3652555326643183</v>
      </c>
      <c r="G33">
        <f t="shared" ca="1" si="2"/>
        <v>31</v>
      </c>
      <c r="H33">
        <f t="shared" ca="1" si="3"/>
        <v>73.322921512593865</v>
      </c>
      <c r="I33">
        <f t="shared" ca="1" si="4"/>
        <v>23920.718544497198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2764</v>
      </c>
      <c r="B36" s="66">
        <v>2764</v>
      </c>
      <c r="D36">
        <f t="shared" si="0"/>
        <v>1.8369110121618928</v>
      </c>
      <c r="E36">
        <f t="shared" si="1"/>
        <v>1.8369110121618928</v>
      </c>
      <c r="G36">
        <f t="shared" ca="1" si="2"/>
        <v>34</v>
      </c>
      <c r="H36">
        <f t="shared" ca="1" si="3"/>
        <v>62.454974413504353</v>
      </c>
      <c r="I36">
        <f t="shared" ca="1" si="4"/>
        <v>17485.527101838259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3317</v>
      </c>
      <c r="B39" s="66">
        <v>3317</v>
      </c>
      <c r="D39">
        <f t="shared" si="0"/>
        <v>2.2044261314547748</v>
      </c>
      <c r="E39">
        <f t="shared" si="1"/>
        <v>2.2044261314547748</v>
      </c>
      <c r="G39">
        <f t="shared" ca="1" si="2"/>
        <v>37</v>
      </c>
      <c r="H39">
        <f t="shared" ca="1" si="3"/>
        <v>81.563766863826672</v>
      </c>
      <c r="I39">
        <f t="shared" ca="1" si="4"/>
        <v>19713.28484403445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4853</v>
      </c>
      <c r="B41" s="66">
        <v>4853</v>
      </c>
      <c r="D41">
        <f t="shared" si="0"/>
        <v>3.2252276201236127</v>
      </c>
      <c r="E41">
        <f t="shared" si="1"/>
        <v>3.2252276201236127</v>
      </c>
      <c r="G41">
        <f t="shared" ca="1" si="2"/>
        <v>39</v>
      </c>
      <c r="H41">
        <f t="shared" ca="1" si="3"/>
        <v>125.78387718482089</v>
      </c>
      <c r="I41">
        <f t="shared" ca="1" si="4"/>
        <v>27634.819367299799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7701</v>
      </c>
      <c r="B44" s="66">
        <v>7701</v>
      </c>
      <c r="D44">
        <f t="shared" si="0"/>
        <v>5.1179637136970824</v>
      </c>
      <c r="E44">
        <f t="shared" si="1"/>
        <v>5.1179637136970824</v>
      </c>
      <c r="G44">
        <f t="shared" ca="1" si="2"/>
        <v>42</v>
      </c>
      <c r="H44">
        <f t="shared" ca="1" si="3"/>
        <v>214.95447597527746</v>
      </c>
      <c r="I44">
        <f t="shared" ca="1" si="4"/>
        <v>41055.996770580961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8905</v>
      </c>
      <c r="B46" s="66">
        <v>8905</v>
      </c>
      <c r="D46">
        <f t="shared" si="0"/>
        <v>5.9181232139296869</v>
      </c>
      <c r="E46">
        <f t="shared" si="1"/>
        <v>5.9181232139296869</v>
      </c>
      <c r="G46">
        <f t="shared" ca="1" si="2"/>
        <v>44</v>
      </c>
      <c r="H46">
        <f t="shared" ca="1" si="3"/>
        <v>260.39742141290623</v>
      </c>
      <c r="I46">
        <f t="shared" ca="1" si="4"/>
        <v>45378.267093344628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12269</v>
      </c>
      <c r="B49" s="66">
        <v>12269</v>
      </c>
      <c r="D49">
        <f t="shared" si="0"/>
        <v>8.153784807602845</v>
      </c>
      <c r="E49">
        <f t="shared" si="1"/>
        <v>8.153784807602845</v>
      </c>
      <c r="G49">
        <f t="shared" ca="1" si="2"/>
        <v>47</v>
      </c>
      <c r="H49">
        <f t="shared" ca="1" si="3"/>
        <v>383.22788595733374</v>
      </c>
      <c r="I49">
        <f t="shared" ca="1" si="4"/>
        <v>58310.05504581386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13424</v>
      </c>
      <c r="B51" s="66">
        <v>13424</v>
      </c>
      <c r="D51">
        <f t="shared" si="0"/>
        <v>8.9213796770120286</v>
      </c>
      <c r="E51">
        <f t="shared" si="1"/>
        <v>8.9213796770120286</v>
      </c>
      <c r="G51">
        <f t="shared" ca="1" si="2"/>
        <v>49</v>
      </c>
      <c r="H51">
        <f t="shared" ca="1" si="3"/>
        <v>437.1476041735894</v>
      </c>
      <c r="I51">
        <f t="shared" ca="1" si="4"/>
        <v>60817.275788559673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13708</v>
      </c>
      <c r="B54" s="66">
        <v>13708</v>
      </c>
      <c r="D54">
        <f t="shared" si="0"/>
        <v>9.1101216189273604</v>
      </c>
      <c r="E54">
        <f t="shared" si="1"/>
        <v>9.1101216189273604</v>
      </c>
      <c r="G54">
        <f t="shared" ca="1" si="2"/>
        <v>52</v>
      </c>
      <c r="H54">
        <f t="shared" ca="1" si="3"/>
        <v>473.72632418422273</v>
      </c>
      <c r="I54">
        <f t="shared" ca="1" si="4"/>
        <v>57672.846999126872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16998</v>
      </c>
      <c r="B57" s="66">
        <v>16998</v>
      </c>
      <c r="D57">
        <f t="shared" si="0"/>
        <v>11.296603974214129</v>
      </c>
      <c r="E57">
        <f t="shared" si="1"/>
        <v>11.296603974214129</v>
      </c>
      <c r="G57">
        <f t="shared" ca="1" si="2"/>
        <v>55</v>
      </c>
      <c r="H57">
        <f t="shared" ca="1" si="3"/>
        <v>621.31321858177705</v>
      </c>
      <c r="I57">
        <f t="shared" ca="1" si="4"/>
        <v>66223.431388890283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17235</v>
      </c>
      <c r="B59" s="66">
        <v>17235</v>
      </c>
      <c r="D59">
        <f t="shared" si="0"/>
        <v>11.454110453911079</v>
      </c>
      <c r="E59">
        <f t="shared" si="1"/>
        <v>11.454110453911079</v>
      </c>
      <c r="G59">
        <f t="shared" ca="1" si="2"/>
        <v>57</v>
      </c>
      <c r="H59">
        <f t="shared" ca="1" si="3"/>
        <v>652.88429587293149</v>
      </c>
      <c r="I59">
        <f t="shared" ca="1" si="4"/>
        <v>63684.640201258298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18467</v>
      </c>
      <c r="B62" s="66">
        <v>18467</v>
      </c>
      <c r="D62">
        <f t="shared" si="0"/>
        <v>12.272878314614209</v>
      </c>
      <c r="E62">
        <f t="shared" si="1"/>
        <v>12.272878314614209</v>
      </c>
      <c r="G62">
        <f t="shared" ca="1" si="2"/>
        <v>60</v>
      </c>
      <c r="H62">
        <f t="shared" ca="1" si="3"/>
        <v>736.3726988768525</v>
      </c>
      <c r="I62">
        <f t="shared" ca="1" si="4"/>
        <v>62856.646303393856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19415</v>
      </c>
      <c r="B64" s="66">
        <v>19415</v>
      </c>
      <c r="D64">
        <f t="shared" si="0"/>
        <v>12.902904233402007</v>
      </c>
      <c r="E64">
        <f t="shared" si="1"/>
        <v>12.902904233402007</v>
      </c>
      <c r="G64">
        <f t="shared" ca="1" si="2"/>
        <v>62</v>
      </c>
      <c r="H64">
        <f t="shared" ca="1" si="3"/>
        <v>799.98006247092439</v>
      </c>
      <c r="I64">
        <f t="shared" ca="1" si="4"/>
        <v>62441.392196988323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22022</v>
      </c>
      <c r="B67" s="66">
        <v>22022</v>
      </c>
      <c r="D67">
        <f t="shared" ref="D67:D130" si="5">IFERROR(100*A67/MAX(A$2:A$257), 0 )</f>
        <v>14.635475510068453</v>
      </c>
      <c r="E67">
        <f t="shared" ref="E67:E130" si="6">IFERROR(100*B67/MAX(B$2:B$257), 0 )</f>
        <v>14.635475510068453</v>
      </c>
      <c r="G67">
        <f t="shared" ref="G67:G130" ca="1" si="7">CELL("row",D67)-2</f>
        <v>65</v>
      </c>
      <c r="H67">
        <f t="shared" ref="H67:H130" ca="1" si="8">D67*G67</f>
        <v>951.30590815444941</v>
      </c>
      <c r="I67">
        <f t="shared" ref="I67:I130" ca="1" si="9">D67*((G67-$L$1)^2)</f>
        <v>64848.867122891184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23774</v>
      </c>
      <c r="B69" s="66">
        <v>23774</v>
      </c>
      <c r="D69">
        <f t="shared" si="5"/>
        <v>15.799827208081345</v>
      </c>
      <c r="E69">
        <f t="shared" si="6"/>
        <v>15.799827208081345</v>
      </c>
      <c r="G69">
        <f t="shared" ca="1" si="7"/>
        <v>67</v>
      </c>
      <c r="H69">
        <f t="shared" ca="1" si="8"/>
        <v>1058.5884229414501</v>
      </c>
      <c r="I69">
        <f t="shared" ca="1" si="9"/>
        <v>65864.355393351972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24226</v>
      </c>
      <c r="B72" s="66">
        <v>24226</v>
      </c>
      <c r="D72">
        <f t="shared" si="5"/>
        <v>16.100219312819831</v>
      </c>
      <c r="E72">
        <f t="shared" si="6"/>
        <v>16.100219312819831</v>
      </c>
      <c r="G72">
        <f t="shared" ca="1" si="7"/>
        <v>70</v>
      </c>
      <c r="H72">
        <f t="shared" ca="1" si="8"/>
        <v>1127.0153518973882</v>
      </c>
      <c r="I72">
        <f t="shared" ca="1" si="9"/>
        <v>61024.403398425355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24219</v>
      </c>
      <c r="B75" s="66">
        <v>24219</v>
      </c>
      <c r="D75">
        <f t="shared" si="5"/>
        <v>16.095567222702201</v>
      </c>
      <c r="E75">
        <f t="shared" si="6"/>
        <v>16.095567222702201</v>
      </c>
      <c r="G75">
        <f t="shared" ca="1" si="7"/>
        <v>73</v>
      </c>
      <c r="H75">
        <f t="shared" ca="1" si="8"/>
        <v>1174.9764072572607</v>
      </c>
      <c r="I75">
        <f t="shared" ca="1" si="9"/>
        <v>55206.061922321598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24699</v>
      </c>
      <c r="B77" s="66">
        <v>24699</v>
      </c>
      <c r="D77">
        <f t="shared" si="5"/>
        <v>16.414567687911212</v>
      </c>
      <c r="E77">
        <f t="shared" si="6"/>
        <v>16.414567687911212</v>
      </c>
      <c r="G77">
        <f t="shared" ca="1" si="7"/>
        <v>75</v>
      </c>
      <c r="H77">
        <f t="shared" ca="1" si="8"/>
        <v>1231.0925765933409</v>
      </c>
      <c r="I77">
        <f t="shared" ca="1" si="9"/>
        <v>52520.562267762689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26944</v>
      </c>
      <c r="B80" s="66">
        <v>26944</v>
      </c>
      <c r="D80">
        <f t="shared" si="5"/>
        <v>17.90655944706586</v>
      </c>
      <c r="E80">
        <f t="shared" si="6"/>
        <v>17.90655944706586</v>
      </c>
      <c r="G80">
        <f t="shared" ca="1" si="7"/>
        <v>78</v>
      </c>
      <c r="H80">
        <f t="shared" ca="1" si="8"/>
        <v>1396.711636871137</v>
      </c>
      <c r="I80">
        <f t="shared" ca="1" si="9"/>
        <v>51378.207087080038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30492</v>
      </c>
      <c r="B82" s="66">
        <v>30492</v>
      </c>
      <c r="D82">
        <f t="shared" si="5"/>
        <v>20.264504552402471</v>
      </c>
      <c r="E82">
        <f t="shared" si="6"/>
        <v>20.264504552402471</v>
      </c>
      <c r="G82">
        <f t="shared" ca="1" si="7"/>
        <v>80</v>
      </c>
      <c r="H82">
        <f t="shared" ca="1" si="8"/>
        <v>1621.1603641921977</v>
      </c>
      <c r="I82">
        <f t="shared" ca="1" si="9"/>
        <v>53882.878635431458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33044</v>
      </c>
      <c r="B85" s="66">
        <v>33044</v>
      </c>
      <c r="D85">
        <f t="shared" si="5"/>
        <v>21.960523692430385</v>
      </c>
      <c r="E85">
        <f t="shared" si="6"/>
        <v>21.960523692430385</v>
      </c>
      <c r="G85">
        <f t="shared" ca="1" si="7"/>
        <v>83</v>
      </c>
      <c r="H85">
        <f t="shared" ca="1" si="8"/>
        <v>1822.7234664717221</v>
      </c>
      <c r="I85">
        <f t="shared" ca="1" si="9"/>
        <v>51795.797881768005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36672</v>
      </c>
      <c r="B88" s="66">
        <v>36672</v>
      </c>
      <c r="D88">
        <f t="shared" si="5"/>
        <v>24.371635541968498</v>
      </c>
      <c r="E88">
        <f t="shared" si="6"/>
        <v>24.371635541968498</v>
      </c>
      <c r="G88">
        <f t="shared" ca="1" si="7"/>
        <v>86</v>
      </c>
      <c r="H88">
        <f t="shared" ca="1" si="8"/>
        <v>2095.9606566092907</v>
      </c>
      <c r="I88">
        <f t="shared" ca="1" si="9"/>
        <v>50600.266647457975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38126</v>
      </c>
      <c r="B90" s="66">
        <v>38126</v>
      </c>
      <c r="D90">
        <f t="shared" si="5"/>
        <v>25.337941117830798</v>
      </c>
      <c r="E90">
        <f t="shared" si="6"/>
        <v>25.337941117830798</v>
      </c>
      <c r="G90">
        <f t="shared" ca="1" si="7"/>
        <v>88</v>
      </c>
      <c r="H90">
        <f t="shared" ca="1" si="8"/>
        <v>2229.73881836911</v>
      </c>
      <c r="I90">
        <f t="shared" ca="1" si="9"/>
        <v>48089.735410080459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42703</v>
      </c>
      <c r="B93" s="66">
        <v>42703</v>
      </c>
      <c r="D93">
        <f t="shared" si="5"/>
        <v>28.379743470459228</v>
      </c>
      <c r="E93">
        <f t="shared" si="6"/>
        <v>28.379743470459228</v>
      </c>
      <c r="G93">
        <f t="shared" ca="1" si="7"/>
        <v>91</v>
      </c>
      <c r="H93">
        <f t="shared" ca="1" si="8"/>
        <v>2582.5566558117898</v>
      </c>
      <c r="I93">
        <f t="shared" ca="1" si="9"/>
        <v>46700.063449875051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47001</v>
      </c>
      <c r="B95" s="66">
        <v>47001</v>
      </c>
      <c r="D95">
        <f t="shared" si="5"/>
        <v>31.236126802684922</v>
      </c>
      <c r="E95">
        <f t="shared" si="6"/>
        <v>31.236126802684922</v>
      </c>
      <c r="G95">
        <f t="shared" ca="1" si="7"/>
        <v>93</v>
      </c>
      <c r="H95">
        <f t="shared" ca="1" si="8"/>
        <v>2904.9597926496976</v>
      </c>
      <c r="I95">
        <f t="shared" ca="1" si="9"/>
        <v>46456.897856678981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53101</v>
      </c>
      <c r="B98" s="66">
        <v>53101</v>
      </c>
      <c r="D98">
        <f t="shared" si="5"/>
        <v>35.290091048049447</v>
      </c>
      <c r="E98">
        <f t="shared" si="6"/>
        <v>35.290091048049447</v>
      </c>
      <c r="G98">
        <f t="shared" ca="1" si="7"/>
        <v>96</v>
      </c>
      <c r="H98">
        <f t="shared" ca="1" si="8"/>
        <v>3387.848740612747</v>
      </c>
      <c r="I98">
        <f t="shared" ca="1" si="9"/>
        <v>44638.058725761053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59983</v>
      </c>
      <c r="B100" s="66">
        <v>59983</v>
      </c>
      <c r="D100">
        <f t="shared" si="5"/>
        <v>39.863760217983653</v>
      </c>
      <c r="E100">
        <f t="shared" si="6"/>
        <v>39.863760217983653</v>
      </c>
      <c r="G100">
        <f t="shared" ca="1" si="7"/>
        <v>98</v>
      </c>
      <c r="H100">
        <f t="shared" ca="1" si="8"/>
        <v>3906.6485013623978</v>
      </c>
      <c r="I100">
        <f t="shared" ca="1" si="9"/>
        <v>44911.635440814018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67788</v>
      </c>
      <c r="B103" s="66">
        <v>67788</v>
      </c>
      <c r="D103">
        <f t="shared" si="5"/>
        <v>45.05084069914269</v>
      </c>
      <c r="E103">
        <f t="shared" si="6"/>
        <v>45.05084069914269</v>
      </c>
      <c r="G103">
        <f t="shared" ca="1" si="7"/>
        <v>101</v>
      </c>
      <c r="H103">
        <f t="shared" ca="1" si="8"/>
        <v>4550.1349106134112</v>
      </c>
      <c r="I103">
        <f t="shared" ca="1" si="9"/>
        <v>42088.138911714304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76060</v>
      </c>
      <c r="B106" s="66">
        <v>76060</v>
      </c>
      <c r="D106">
        <f t="shared" si="5"/>
        <v>50.548282049577992</v>
      </c>
      <c r="E106">
        <f t="shared" si="6"/>
        <v>50.548282049577992</v>
      </c>
      <c r="G106">
        <f t="shared" ca="1" si="7"/>
        <v>104</v>
      </c>
      <c r="H106">
        <f t="shared" ca="1" si="8"/>
        <v>5257.0213331561108</v>
      </c>
      <c r="I106">
        <f t="shared" ca="1" si="9"/>
        <v>38408.848653861773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83694</v>
      </c>
      <c r="B108" s="66">
        <v>83694</v>
      </c>
      <c r="D108">
        <f t="shared" si="5"/>
        <v>55.621718615006316</v>
      </c>
      <c r="E108">
        <f t="shared" si="6"/>
        <v>55.621718615006316</v>
      </c>
      <c r="G108">
        <f t="shared" ca="1" si="7"/>
        <v>106</v>
      </c>
      <c r="H108">
        <f t="shared" ca="1" si="8"/>
        <v>5895.9021731906696</v>
      </c>
      <c r="I108">
        <f t="shared" ca="1" si="9"/>
        <v>36353.446358321242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93651</v>
      </c>
      <c r="B111" s="66">
        <v>93651</v>
      </c>
      <c r="D111">
        <f t="shared" si="5"/>
        <v>62.238984515185749</v>
      </c>
      <c r="E111">
        <f t="shared" si="6"/>
        <v>62.238984515185749</v>
      </c>
      <c r="G111">
        <f t="shared" ca="1" si="7"/>
        <v>109</v>
      </c>
      <c r="H111">
        <f t="shared" ca="1" si="8"/>
        <v>6784.0493121552463</v>
      </c>
      <c r="I111">
        <f t="shared" ca="1" si="9"/>
        <v>31691.590824143579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96265</v>
      </c>
      <c r="B113" s="66">
        <v>96265</v>
      </c>
      <c r="D113">
        <f t="shared" si="5"/>
        <v>63.976207881969827</v>
      </c>
      <c r="E113">
        <f t="shared" si="6"/>
        <v>63.976207881969827</v>
      </c>
      <c r="G113">
        <f t="shared" ca="1" si="7"/>
        <v>111</v>
      </c>
      <c r="H113">
        <f t="shared" ca="1" si="8"/>
        <v>7101.3590748986508</v>
      </c>
      <c r="I113">
        <f t="shared" ca="1" si="9"/>
        <v>27057.511071715198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97297</v>
      </c>
      <c r="B116" s="66">
        <v>97297</v>
      </c>
      <c r="D116">
        <f t="shared" si="5"/>
        <v>64.662058882169205</v>
      </c>
      <c r="E116">
        <f t="shared" si="6"/>
        <v>64.662058882169205</v>
      </c>
      <c r="G116">
        <f t="shared" ca="1" si="7"/>
        <v>114</v>
      </c>
      <c r="H116">
        <f t="shared" ca="1" si="8"/>
        <v>7371.4747125672893</v>
      </c>
      <c r="I116">
        <f t="shared" ca="1" si="9"/>
        <v>19950.776170845751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104539</v>
      </c>
      <c r="B118" s="66">
        <v>104539</v>
      </c>
      <c r="D118">
        <f t="shared" si="5"/>
        <v>69.474978401010162</v>
      </c>
      <c r="E118">
        <f t="shared" si="6"/>
        <v>69.474978401010162</v>
      </c>
      <c r="G118">
        <f t="shared" ca="1" si="7"/>
        <v>116</v>
      </c>
      <c r="H118">
        <f t="shared" ca="1" si="8"/>
        <v>8059.0974945171783</v>
      </c>
      <c r="I118">
        <f t="shared" ca="1" si="9"/>
        <v>16832.259711749761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106156</v>
      </c>
      <c r="B121" s="66">
        <v>106156</v>
      </c>
      <c r="D121">
        <f t="shared" si="5"/>
        <v>70.549611218183031</v>
      </c>
      <c r="E121">
        <f t="shared" si="6"/>
        <v>70.549611218183031</v>
      </c>
      <c r="G121">
        <f t="shared" ca="1" si="7"/>
        <v>119</v>
      </c>
      <c r="H121">
        <f t="shared" ca="1" si="8"/>
        <v>8395.4037349637802</v>
      </c>
      <c r="I121">
        <f t="shared" ca="1" si="9"/>
        <v>11138.818430360876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110869</v>
      </c>
      <c r="B124" s="66">
        <v>110869</v>
      </c>
      <c r="D124">
        <f t="shared" si="5"/>
        <v>73.681797035954006</v>
      </c>
      <c r="E124">
        <f t="shared" si="6"/>
        <v>73.681797035954006</v>
      </c>
      <c r="G124">
        <f t="shared" ca="1" si="7"/>
        <v>122</v>
      </c>
      <c r="H124">
        <f t="shared" ca="1" si="8"/>
        <v>8989.1792383863885</v>
      </c>
      <c r="I124">
        <f t="shared" ca="1" si="9"/>
        <v>6741.4884153216271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124515</v>
      </c>
      <c r="B126" s="66">
        <v>124515</v>
      </c>
      <c r="D126">
        <f t="shared" si="5"/>
        <v>82.750714428125207</v>
      </c>
      <c r="E126">
        <f t="shared" si="6"/>
        <v>82.750714428125207</v>
      </c>
      <c r="G126">
        <f t="shared" ca="1" si="7"/>
        <v>124</v>
      </c>
      <c r="H126">
        <f t="shared" ca="1" si="8"/>
        <v>10261.088589087525</v>
      </c>
      <c r="I126">
        <f t="shared" ca="1" si="9"/>
        <v>4736.1126982158667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121777</v>
      </c>
      <c r="B129" s="66">
        <v>121777</v>
      </c>
      <c r="D129">
        <f t="shared" si="5"/>
        <v>80.931082607828799</v>
      </c>
      <c r="E129">
        <f t="shared" si="6"/>
        <v>80.931082607828799</v>
      </c>
      <c r="G129">
        <f t="shared" ca="1" si="7"/>
        <v>127</v>
      </c>
      <c r="H129">
        <f t="shared" ca="1" si="8"/>
        <v>10278.247491194257</v>
      </c>
      <c r="I129">
        <f t="shared" ca="1" si="9"/>
        <v>1686.7496333390936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128481</v>
      </c>
      <c r="B131" s="66">
        <v>128481</v>
      </c>
      <c r="D131">
        <f t="shared" ref="D131:D194" si="10">IFERROR(100*A131/MAX(A$2:A$257), 0 )</f>
        <v>85.386455771914669</v>
      </c>
      <c r="E131">
        <f t="shared" ref="E131:E194" si="11">IFERROR(100*B131/MAX(B$2:B$257), 0 )</f>
        <v>85.386455771914669</v>
      </c>
      <c r="G131">
        <f t="shared" ref="G131:G194" ca="1" si="12">CELL("row",D131)-2</f>
        <v>129</v>
      </c>
      <c r="H131">
        <f t="shared" ref="H131:H194" ca="1" si="13">D131*G131</f>
        <v>11014.852794576993</v>
      </c>
      <c r="I131">
        <f t="shared" ref="I131:I194" ca="1" si="14">D131*((G131-$L$1)^2)</f>
        <v>561.90036503857345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130535</v>
      </c>
      <c r="B134" s="66">
        <v>130535</v>
      </c>
      <c r="D134">
        <f t="shared" si="10"/>
        <v>86.751511929288228</v>
      </c>
      <c r="E134">
        <f t="shared" si="11"/>
        <v>86.751511929288228</v>
      </c>
      <c r="G134">
        <f t="shared" ca="1" si="12"/>
        <v>132</v>
      </c>
      <c r="H134">
        <f t="shared" ca="1" si="13"/>
        <v>11451.199574666047</v>
      </c>
      <c r="I134">
        <f t="shared" ca="1" si="14"/>
        <v>16.394255986117042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140847</v>
      </c>
      <c r="B136" s="66">
        <v>140847</v>
      </c>
      <c r="D136">
        <f t="shared" si="10"/>
        <v>93.604705256861834</v>
      </c>
      <c r="E136">
        <f t="shared" si="11"/>
        <v>93.604705256861834</v>
      </c>
      <c r="G136">
        <f t="shared" ca="1" si="12"/>
        <v>134</v>
      </c>
      <c r="H136">
        <f t="shared" ca="1" si="13"/>
        <v>12543.030504419487</v>
      </c>
      <c r="I136">
        <f t="shared" ca="1" si="14"/>
        <v>554.87468108003952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146605</v>
      </c>
      <c r="B139" s="66">
        <v>146605</v>
      </c>
      <c r="D139">
        <f t="shared" si="10"/>
        <v>97.431381670764935</v>
      </c>
      <c r="E139">
        <f t="shared" si="11"/>
        <v>97.431381670764935</v>
      </c>
      <c r="G139">
        <f t="shared" ca="1" si="12"/>
        <v>137</v>
      </c>
      <c r="H139">
        <f t="shared" ca="1" si="13"/>
        <v>13348.099288894797</v>
      </c>
      <c r="I139">
        <f t="shared" ca="1" si="14"/>
        <v>2877.7485417849357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150470</v>
      </c>
      <c r="B142" s="66">
        <v>150470</v>
      </c>
      <c r="D142">
        <f t="shared" si="10"/>
        <v>100</v>
      </c>
      <c r="E142">
        <f t="shared" si="11"/>
        <v>100</v>
      </c>
      <c r="G142">
        <f t="shared" ca="1" si="12"/>
        <v>140</v>
      </c>
      <c r="H142">
        <f t="shared" ca="1" si="13"/>
        <v>14000</v>
      </c>
      <c r="I142">
        <f t="shared" ca="1" si="14"/>
        <v>7114.4462787361417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146908</v>
      </c>
      <c r="B144" s="66">
        <v>146908</v>
      </c>
      <c r="D144">
        <f t="shared" si="10"/>
        <v>97.632750714428127</v>
      </c>
      <c r="E144">
        <f t="shared" si="11"/>
        <v>97.632750714428127</v>
      </c>
      <c r="G144">
        <f t="shared" ca="1" si="12"/>
        <v>142</v>
      </c>
      <c r="H144">
        <f t="shared" ca="1" si="13"/>
        <v>13863.850601448794</v>
      </c>
      <c r="I144">
        <f t="shared" ca="1" si="14"/>
        <v>10630.579367606466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144311</v>
      </c>
      <c r="B147" s="66">
        <v>144311</v>
      </c>
      <c r="D147">
        <f t="shared" si="10"/>
        <v>95.906825280786862</v>
      </c>
      <c r="E147">
        <f t="shared" si="11"/>
        <v>95.906825280786862</v>
      </c>
      <c r="G147">
        <f t="shared" ca="1" si="12"/>
        <v>145</v>
      </c>
      <c r="H147">
        <f t="shared" ca="1" si="13"/>
        <v>13906.489665714094</v>
      </c>
      <c r="I147">
        <f t="shared" ca="1" si="14"/>
        <v>17310.380167907235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146184</v>
      </c>
      <c r="B149" s="66">
        <v>146184</v>
      </c>
      <c r="D149">
        <f t="shared" si="10"/>
        <v>97.151591679404532</v>
      </c>
      <c r="E149">
        <f t="shared" si="11"/>
        <v>97.151591679404532</v>
      </c>
      <c r="G149">
        <f t="shared" ca="1" si="12"/>
        <v>147</v>
      </c>
      <c r="H149">
        <f t="shared" ca="1" si="13"/>
        <v>14281.283976872466</v>
      </c>
      <c r="I149">
        <f t="shared" ca="1" si="14"/>
        <v>23144.473298920919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136652</v>
      </c>
      <c r="B152" s="66">
        <v>136652</v>
      </c>
      <c r="D152">
        <f t="shared" si="10"/>
        <v>90.816774107795567</v>
      </c>
      <c r="E152">
        <f t="shared" si="11"/>
        <v>90.816774107795567</v>
      </c>
      <c r="G152">
        <f t="shared" ca="1" si="12"/>
        <v>150</v>
      </c>
      <c r="H152">
        <f t="shared" ca="1" si="13"/>
        <v>13622.516116169336</v>
      </c>
      <c r="I152">
        <f t="shared" ca="1" si="14"/>
        <v>30863.065068938646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140135</v>
      </c>
      <c r="B154" s="66">
        <v>140135</v>
      </c>
      <c r="D154">
        <f t="shared" si="10"/>
        <v>93.131521233468462</v>
      </c>
      <c r="E154">
        <f t="shared" si="11"/>
        <v>93.131521233468462</v>
      </c>
      <c r="G154">
        <f t="shared" ca="1" si="12"/>
        <v>152</v>
      </c>
      <c r="H154">
        <f t="shared" ca="1" si="13"/>
        <v>14155.991227487206</v>
      </c>
      <c r="I154">
        <f t="shared" ca="1" si="14"/>
        <v>38889.645292563255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136598</v>
      </c>
      <c r="B157" s="66">
        <v>136598</v>
      </c>
      <c r="D157">
        <f t="shared" si="10"/>
        <v>90.78088655545956</v>
      </c>
      <c r="E157">
        <f t="shared" si="11"/>
        <v>90.78088655545956</v>
      </c>
      <c r="G157">
        <f t="shared" ca="1" si="12"/>
        <v>155</v>
      </c>
      <c r="H157">
        <f t="shared" ca="1" si="13"/>
        <v>14071.037416096231</v>
      </c>
      <c r="I157">
        <f t="shared" ca="1" si="14"/>
        <v>49855.591417401316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124601</v>
      </c>
      <c r="B160" s="66">
        <v>124601</v>
      </c>
      <c r="D160">
        <f t="shared" si="10"/>
        <v>82.807868678141816</v>
      </c>
      <c r="E160">
        <f t="shared" si="11"/>
        <v>82.807868678141816</v>
      </c>
      <c r="G160">
        <f t="shared" ca="1" si="12"/>
        <v>158</v>
      </c>
      <c r="H160">
        <f t="shared" ca="1" si="13"/>
        <v>13083.643251146406</v>
      </c>
      <c r="I160">
        <f t="shared" ca="1" si="14"/>
        <v>57865.666645590747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124809</v>
      </c>
      <c r="B162" s="66">
        <v>124809</v>
      </c>
      <c r="D162">
        <f t="shared" si="10"/>
        <v>82.946102213065728</v>
      </c>
      <c r="E162">
        <f t="shared" si="11"/>
        <v>82.946102213065728</v>
      </c>
      <c r="G162">
        <f t="shared" ca="1" si="12"/>
        <v>160</v>
      </c>
      <c r="H162">
        <f t="shared" ca="1" si="13"/>
        <v>13271.376354090517</v>
      </c>
      <c r="I162">
        <f t="shared" ca="1" si="14"/>
        <v>67064.675048155215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112446</v>
      </c>
      <c r="B165" s="66">
        <v>112446</v>
      </c>
      <c r="D165">
        <f t="shared" si="10"/>
        <v>74.729846481026115</v>
      </c>
      <c r="E165">
        <f t="shared" si="11"/>
        <v>74.729846481026115</v>
      </c>
      <c r="G165">
        <f t="shared" ca="1" si="12"/>
        <v>163</v>
      </c>
      <c r="H165">
        <f t="shared" ca="1" si="13"/>
        <v>12180.964976407256</v>
      </c>
      <c r="I165">
        <f t="shared" ca="1" si="14"/>
        <v>73843.660898943795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102342</v>
      </c>
      <c r="B167" s="66">
        <v>102342</v>
      </c>
      <c r="D167">
        <f t="shared" si="10"/>
        <v>68.014886688376421</v>
      </c>
      <c r="E167">
        <f t="shared" si="11"/>
        <v>68.014886688376421</v>
      </c>
      <c r="G167">
        <f t="shared" ca="1" si="12"/>
        <v>165</v>
      </c>
      <c r="H167">
        <f t="shared" ca="1" si="13"/>
        <v>11222.45630358211</v>
      </c>
      <c r="I167">
        <f t="shared" ca="1" si="14"/>
        <v>76032.505207826835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93471</v>
      </c>
      <c r="B170" s="66">
        <v>93471</v>
      </c>
      <c r="D170">
        <f t="shared" si="10"/>
        <v>62.119359340732373</v>
      </c>
      <c r="E170">
        <f t="shared" si="11"/>
        <v>62.119359340732373</v>
      </c>
      <c r="G170">
        <f t="shared" ca="1" si="12"/>
        <v>168</v>
      </c>
      <c r="H170">
        <f t="shared" ca="1" si="13"/>
        <v>10436.052369243038</v>
      </c>
      <c r="I170">
        <f t="shared" ca="1" si="14"/>
        <v>82462.744740194743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89528</v>
      </c>
      <c r="B173" s="66">
        <v>89528</v>
      </c>
      <c r="D173">
        <f t="shared" si="10"/>
        <v>59.498903435900843</v>
      </c>
      <c r="E173">
        <f t="shared" si="11"/>
        <v>59.498903435900843</v>
      </c>
      <c r="G173">
        <f t="shared" ca="1" si="12"/>
        <v>171</v>
      </c>
      <c r="H173">
        <f t="shared" ca="1" si="13"/>
        <v>10174.312487539044</v>
      </c>
      <c r="I173">
        <f t="shared" ca="1" si="14"/>
        <v>92526.563891413811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79708</v>
      </c>
      <c r="B175" s="66">
        <v>79708</v>
      </c>
      <c r="D175">
        <f t="shared" si="10"/>
        <v>52.972685585166481</v>
      </c>
      <c r="E175">
        <f t="shared" si="11"/>
        <v>52.972685585166481</v>
      </c>
      <c r="G175">
        <f t="shared" ca="1" si="12"/>
        <v>173</v>
      </c>
      <c r="H175">
        <f t="shared" ca="1" si="13"/>
        <v>9164.274606233801</v>
      </c>
      <c r="I175">
        <f t="shared" ca="1" si="14"/>
        <v>90945.404698763028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62104</v>
      </c>
      <c r="B178" s="66">
        <v>62104</v>
      </c>
      <c r="D178">
        <f t="shared" si="10"/>
        <v>41.273343523625975</v>
      </c>
      <c r="E178">
        <f t="shared" si="11"/>
        <v>41.273343523625975</v>
      </c>
      <c r="G178">
        <f t="shared" ca="1" si="12"/>
        <v>176</v>
      </c>
      <c r="H178">
        <f t="shared" ca="1" si="13"/>
        <v>7264.1084601581715</v>
      </c>
      <c r="I178">
        <f t="shared" ca="1" si="14"/>
        <v>81491.911161485987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53997</v>
      </c>
      <c r="B180" s="66">
        <v>53997</v>
      </c>
      <c r="D180">
        <f t="shared" si="10"/>
        <v>35.885558583106267</v>
      </c>
      <c r="E180">
        <f t="shared" si="11"/>
        <v>35.885558583106267</v>
      </c>
      <c r="G180">
        <f t="shared" ca="1" si="12"/>
        <v>178</v>
      </c>
      <c r="H180">
        <f t="shared" ca="1" si="13"/>
        <v>6387.6294277929155</v>
      </c>
      <c r="I180">
        <f t="shared" ca="1" si="14"/>
        <v>77375.831666597252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44439</v>
      </c>
      <c r="B183" s="66">
        <v>44439</v>
      </c>
      <c r="D183">
        <f t="shared" si="10"/>
        <v>29.533461819631821</v>
      </c>
      <c r="E183">
        <f t="shared" si="11"/>
        <v>29.533461819631821</v>
      </c>
      <c r="G183">
        <f t="shared" ca="1" si="12"/>
        <v>181</v>
      </c>
      <c r="H183">
        <f t="shared" ca="1" si="13"/>
        <v>5345.5565893533594</v>
      </c>
      <c r="I183">
        <f t="shared" ca="1" si="14"/>
        <v>72173.617488300501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28785</v>
      </c>
      <c r="B185" s="66">
        <v>28785</v>
      </c>
      <c r="D185">
        <f t="shared" si="10"/>
        <v>19.130059148002925</v>
      </c>
      <c r="E185">
        <f t="shared" si="11"/>
        <v>19.130059148002925</v>
      </c>
      <c r="G185">
        <f t="shared" ca="1" si="12"/>
        <v>183</v>
      </c>
      <c r="H185">
        <f t="shared" ca="1" si="13"/>
        <v>3500.8008240845352</v>
      </c>
      <c r="I185">
        <f t="shared" ca="1" si="14"/>
        <v>50609.14892723316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24248</v>
      </c>
      <c r="B188" s="66">
        <v>24248</v>
      </c>
      <c r="D188">
        <f t="shared" si="10"/>
        <v>16.114840167475244</v>
      </c>
      <c r="E188">
        <f t="shared" si="11"/>
        <v>16.114840167475244</v>
      </c>
      <c r="G188">
        <f t="shared" ca="1" si="12"/>
        <v>186</v>
      </c>
      <c r="H188">
        <f t="shared" ca="1" si="13"/>
        <v>2997.3602711503954</v>
      </c>
      <c r="I188">
        <f t="shared" ca="1" si="14"/>
        <v>47750.503189128343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19580</v>
      </c>
      <c r="B191" s="66">
        <v>19580</v>
      </c>
      <c r="D191">
        <f t="shared" si="10"/>
        <v>13.012560643317604</v>
      </c>
      <c r="E191">
        <f t="shared" si="11"/>
        <v>13.012560643317604</v>
      </c>
      <c r="G191">
        <f t="shared" ca="1" si="12"/>
        <v>189</v>
      </c>
      <c r="H191">
        <f t="shared" ca="1" si="13"/>
        <v>2459.3739615870272</v>
      </c>
      <c r="I191">
        <f t="shared" ca="1" si="14"/>
        <v>42925.14275616745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12460</v>
      </c>
      <c r="B193" s="66">
        <v>12460</v>
      </c>
      <c r="D193">
        <f t="shared" si="10"/>
        <v>8.2807204093839299</v>
      </c>
      <c r="E193">
        <f t="shared" si="11"/>
        <v>8.2807204093839299</v>
      </c>
      <c r="G193">
        <f t="shared" ca="1" si="12"/>
        <v>191</v>
      </c>
      <c r="H193">
        <f t="shared" ca="1" si="13"/>
        <v>1581.6175981923307</v>
      </c>
      <c r="I193">
        <f t="shared" ca="1" si="14"/>
        <v>29251.526173856204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5041</v>
      </c>
      <c r="B196" s="66">
        <v>5041</v>
      </c>
      <c r="D196">
        <f t="shared" si="15"/>
        <v>3.3501694689971422</v>
      </c>
      <c r="E196">
        <f t="shared" si="16"/>
        <v>3.3501694689971422</v>
      </c>
      <c r="G196">
        <f t="shared" ca="1" si="17"/>
        <v>194</v>
      </c>
      <c r="H196">
        <f t="shared" ca="1" si="18"/>
        <v>649.93287698544555</v>
      </c>
      <c r="I196">
        <f t="shared" ca="1" si="19"/>
        <v>13059.275422604996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2703</v>
      </c>
      <c r="B198" s="66">
        <v>2703</v>
      </c>
      <c r="D198">
        <f t="shared" si="15"/>
        <v>1.7963713697082475</v>
      </c>
      <c r="E198">
        <f t="shared" si="16"/>
        <v>1.7963713697082475</v>
      </c>
      <c r="G198">
        <f t="shared" ca="1" si="17"/>
        <v>196</v>
      </c>
      <c r="H198">
        <f t="shared" ca="1" si="18"/>
        <v>352.08878846281652</v>
      </c>
      <c r="I198">
        <f t="shared" ca="1" si="19"/>
        <v>7458.2336562049422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1398</v>
      </c>
      <c r="B201" s="66">
        <v>1398</v>
      </c>
      <c r="D201">
        <f t="shared" si="15"/>
        <v>0.92908885492124671</v>
      </c>
      <c r="E201">
        <f t="shared" si="16"/>
        <v>0.92908885492124671</v>
      </c>
      <c r="G201">
        <f t="shared" ca="1" si="17"/>
        <v>199</v>
      </c>
      <c r="H201">
        <f t="shared" ca="1" si="18"/>
        <v>184.88868212932809</v>
      </c>
      <c r="I201">
        <f t="shared" ca="1" si="19"/>
        <v>4224.9768928704607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864</v>
      </c>
      <c r="B203" s="66">
        <v>864</v>
      </c>
      <c r="D203">
        <f t="shared" si="15"/>
        <v>0.57420083737622118</v>
      </c>
      <c r="E203">
        <f t="shared" si="16"/>
        <v>0.57420083737622118</v>
      </c>
      <c r="G203">
        <f t="shared" ca="1" si="17"/>
        <v>201</v>
      </c>
      <c r="H203">
        <f t="shared" ca="1" si="18"/>
        <v>115.41436831262045</v>
      </c>
      <c r="I203">
        <f t="shared" ca="1" si="19"/>
        <v>2768.3256063327499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434</v>
      </c>
      <c r="B206" s="66">
        <v>434</v>
      </c>
      <c r="D206">
        <f t="shared" si="15"/>
        <v>0.28842958729314816</v>
      </c>
      <c r="E206">
        <f t="shared" si="16"/>
        <v>0.28842958729314816</v>
      </c>
      <c r="G206">
        <f t="shared" ca="1" si="17"/>
        <v>204</v>
      </c>
      <c r="H206">
        <f t="shared" ca="1" si="18"/>
        <v>58.839635807802225</v>
      </c>
      <c r="I206">
        <f t="shared" ca="1" si="19"/>
        <v>1513.328992409095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341</v>
      </c>
      <c r="B209" s="66">
        <v>341</v>
      </c>
      <c r="D209">
        <f t="shared" si="15"/>
        <v>0.22662324715890211</v>
      </c>
      <c r="E209">
        <f t="shared" si="16"/>
        <v>0.22662324715890211</v>
      </c>
      <c r="G209">
        <f t="shared" ca="1" si="17"/>
        <v>207</v>
      </c>
      <c r="H209">
        <f t="shared" ca="1" si="18"/>
        <v>46.911012161892735</v>
      </c>
      <c r="I209">
        <f t="shared" ca="1" si="19"/>
        <v>1289.5761631478952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255</v>
      </c>
      <c r="B211" s="66">
        <v>255</v>
      </c>
      <c r="D211">
        <f t="shared" si="15"/>
        <v>0.1694689971422875</v>
      </c>
      <c r="E211">
        <f t="shared" si="16"/>
        <v>0.1694689971422875</v>
      </c>
      <c r="G211">
        <f t="shared" ca="1" si="17"/>
        <v>209</v>
      </c>
      <c r="H211">
        <f t="shared" ca="1" si="18"/>
        <v>35.419020402738084</v>
      </c>
      <c r="I211">
        <f t="shared" ca="1" si="19"/>
        <v>1016.15907097791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0.240374</v>
      </c>
      <c r="B2" s="68">
        <v>0.63869699999999996</v>
      </c>
      <c r="C2" s="68">
        <v>0</v>
      </c>
      <c r="D2" s="68">
        <v>1</v>
      </c>
      <c r="E2" s="68" t="s">
        <v>356</v>
      </c>
    </row>
    <row r="3" spans="1:5">
      <c r="A3" s="68">
        <v>0.24757100000000001</v>
      </c>
      <c r="B3" s="68">
        <v>0.63687199999999999</v>
      </c>
      <c r="C3" s="68">
        <v>0.40591500000000003</v>
      </c>
      <c r="D3" s="89">
        <v>1</v>
      </c>
      <c r="E3" s="68" t="s">
        <v>357</v>
      </c>
    </row>
    <row r="4" spans="1:5">
      <c r="A4" s="68">
        <v>0.25487300000000002</v>
      </c>
      <c r="B4" s="68">
        <v>0.63400100000000004</v>
      </c>
      <c r="C4" s="68">
        <v>0.80985399999999996</v>
      </c>
      <c r="D4" s="89">
        <v>1</v>
      </c>
      <c r="E4" s="68" t="s">
        <v>358</v>
      </c>
    </row>
    <row r="5" spans="1:5">
      <c r="A5" s="89">
        <v>0.26259300000000002</v>
      </c>
      <c r="B5" s="89">
        <v>0.62817900000000004</v>
      </c>
      <c r="C5" s="89">
        <v>1.21574</v>
      </c>
      <c r="D5" s="89">
        <v>1</v>
      </c>
      <c r="E5" s="68" t="s">
        <v>359</v>
      </c>
    </row>
    <row r="6" spans="1:5">
      <c r="A6" s="68">
        <v>0.270285</v>
      </c>
      <c r="B6" s="68">
        <v>0.61984700000000004</v>
      </c>
      <c r="C6" s="68">
        <v>1.62178</v>
      </c>
      <c r="D6" s="68">
        <v>1</v>
      </c>
      <c r="E6" s="68" t="s">
        <v>360</v>
      </c>
    </row>
    <row r="7" spans="1:5">
      <c r="A7" s="68">
        <v>0.27798200000000001</v>
      </c>
      <c r="B7" s="68">
        <v>0.61065800000000003</v>
      </c>
      <c r="C7" s="68">
        <v>2.0295000000000001</v>
      </c>
      <c r="D7" s="68">
        <v>1</v>
      </c>
      <c r="E7" s="68" t="s">
        <v>361</v>
      </c>
    </row>
    <row r="8" spans="1:5">
      <c r="A8" s="68">
        <v>0.28533900000000001</v>
      </c>
      <c r="B8" s="68">
        <v>0.60152000000000005</v>
      </c>
      <c r="C8" s="68">
        <v>2.4374199999999999</v>
      </c>
      <c r="D8" s="68">
        <v>1</v>
      </c>
      <c r="E8" s="68" t="s">
        <v>362</v>
      </c>
    </row>
    <row r="9" spans="1:5">
      <c r="A9" s="68">
        <v>0.29249399999999998</v>
      </c>
      <c r="B9" s="68">
        <v>0.59186399999999995</v>
      </c>
      <c r="C9" s="68">
        <v>2.84341</v>
      </c>
      <c r="D9" s="68">
        <v>1</v>
      </c>
      <c r="E9" s="68" t="s">
        <v>363</v>
      </c>
    </row>
    <row r="10" spans="1:5">
      <c r="A10" s="68">
        <v>0.29952200000000001</v>
      </c>
      <c r="B10" s="68">
        <v>0.58064499999999997</v>
      </c>
      <c r="C10" s="68">
        <v>3.2507100000000002</v>
      </c>
      <c r="D10" s="68">
        <v>1</v>
      </c>
      <c r="E10" s="68" t="s">
        <v>364</v>
      </c>
    </row>
    <row r="11" spans="1:5">
      <c r="A11" s="68">
        <v>0.30667699999999998</v>
      </c>
      <c r="B11" s="68">
        <v>0.56976400000000005</v>
      </c>
      <c r="C11" s="68">
        <v>3.6565400000000001</v>
      </c>
      <c r="D11" s="68">
        <v>1</v>
      </c>
      <c r="E11" s="68" t="s">
        <v>365</v>
      </c>
    </row>
    <row r="12" spans="1:5">
      <c r="A12" s="68">
        <v>0.31367600000000001</v>
      </c>
      <c r="B12" s="68">
        <v>0.55940900000000005</v>
      </c>
      <c r="C12" s="68">
        <v>4.0621799999999997</v>
      </c>
      <c r="D12" s="68">
        <v>1</v>
      </c>
      <c r="E12" s="68" t="s">
        <v>366</v>
      </c>
    </row>
    <row r="13" spans="1:5">
      <c r="A13" s="68">
        <v>0.32062800000000002</v>
      </c>
      <c r="B13" s="68">
        <v>0.54843299999999995</v>
      </c>
      <c r="C13" s="68">
        <v>4.4679799999999998</v>
      </c>
      <c r="D13" s="68">
        <v>1</v>
      </c>
      <c r="E13" s="68" t="s">
        <v>367</v>
      </c>
    </row>
    <row r="14" spans="1:5">
      <c r="A14" s="68">
        <v>0.32779799999999998</v>
      </c>
      <c r="B14" s="68">
        <v>0.53706299999999996</v>
      </c>
      <c r="C14" s="68">
        <v>4.8759600000000001</v>
      </c>
      <c r="D14" s="68">
        <v>1</v>
      </c>
      <c r="E14" s="68" t="s">
        <v>368</v>
      </c>
    </row>
    <row r="15" spans="1:5">
      <c r="A15" s="68">
        <v>0.33516299999999999</v>
      </c>
      <c r="B15" s="68">
        <v>0.52383500000000005</v>
      </c>
      <c r="C15" s="68">
        <v>5.2778200000000002</v>
      </c>
      <c r="D15" s="68">
        <v>1</v>
      </c>
      <c r="E15" s="68" t="s">
        <v>369</v>
      </c>
    </row>
    <row r="16" spans="1:5">
      <c r="A16" s="68">
        <v>0.34256999999999999</v>
      </c>
      <c r="B16" s="68">
        <v>0.51069500000000001</v>
      </c>
      <c r="C16" s="68">
        <v>5.6854399999999998</v>
      </c>
      <c r="D16" s="68">
        <v>1</v>
      </c>
      <c r="E16" s="68" t="s">
        <v>370</v>
      </c>
    </row>
    <row r="17" spans="1:5">
      <c r="A17" s="68">
        <v>0.34986499999999998</v>
      </c>
      <c r="B17" s="68">
        <v>0.49893300000000002</v>
      </c>
      <c r="C17" s="68">
        <v>6.0936399999999997</v>
      </c>
      <c r="D17" s="68">
        <v>1</v>
      </c>
      <c r="E17" s="68" t="s">
        <v>371</v>
      </c>
    </row>
    <row r="18" spans="1:5">
      <c r="A18" s="68">
        <v>0.35724600000000001</v>
      </c>
      <c r="B18" s="68">
        <v>0.48775099999999999</v>
      </c>
      <c r="C18" s="68">
        <v>6.4985600000000003</v>
      </c>
      <c r="D18" s="68">
        <v>1</v>
      </c>
      <c r="E18" s="68" t="s">
        <v>372</v>
      </c>
    </row>
    <row r="19" spans="1:5">
      <c r="A19" s="68">
        <v>0.36478699999999997</v>
      </c>
      <c r="B19" s="68">
        <v>0.47664000000000001</v>
      </c>
      <c r="C19" s="68">
        <v>6.90686</v>
      </c>
      <c r="D19" s="68">
        <v>1</v>
      </c>
      <c r="E19" s="68" t="s">
        <v>373</v>
      </c>
    </row>
    <row r="20" spans="1:5">
      <c r="A20" s="68">
        <v>0.37185699999999999</v>
      </c>
      <c r="B20" s="68">
        <v>0.46823999999999999</v>
      </c>
      <c r="C20" s="68">
        <v>7.3104699999999996</v>
      </c>
      <c r="D20" s="68">
        <v>1</v>
      </c>
      <c r="E20" s="68" t="s">
        <v>374</v>
      </c>
    </row>
    <row r="21" spans="1:5">
      <c r="A21" s="68">
        <v>0.37809399999999999</v>
      </c>
      <c r="B21" s="68">
        <v>0.46251300000000001</v>
      </c>
      <c r="C21" s="68">
        <v>7.7163899999999996</v>
      </c>
      <c r="D21" s="68">
        <v>1</v>
      </c>
      <c r="E21" s="68" t="s">
        <v>375</v>
      </c>
    </row>
    <row r="22" spans="1:5">
      <c r="A22" s="68">
        <v>0.38390000000000002</v>
      </c>
      <c r="B22" s="68">
        <v>0.45828200000000002</v>
      </c>
      <c r="C22" s="68">
        <v>8.1235999999999997</v>
      </c>
      <c r="D22" s="68">
        <v>1</v>
      </c>
      <c r="E22" s="68" t="s">
        <v>376</v>
      </c>
    </row>
    <row r="23" spans="1:5">
      <c r="A23" s="68">
        <v>0.38929799999999998</v>
      </c>
      <c r="B23" s="68">
        <v>0.45585999999999999</v>
      </c>
      <c r="C23" s="68">
        <v>8.5302500000000006</v>
      </c>
      <c r="D23" s="68">
        <v>1</v>
      </c>
      <c r="E23" s="68" t="s">
        <v>377</v>
      </c>
    </row>
    <row r="24" spans="1:5">
      <c r="A24" s="68">
        <v>0.39437800000000001</v>
      </c>
      <c r="B24" s="68">
        <v>0.45471699999999998</v>
      </c>
      <c r="C24" s="68">
        <v>8.9360999999999997</v>
      </c>
      <c r="D24" s="68">
        <v>1</v>
      </c>
      <c r="E24" s="68" t="s">
        <v>378</v>
      </c>
    </row>
    <row r="25" spans="1:5">
      <c r="A25" s="68">
        <v>0.39922999999999997</v>
      </c>
      <c r="B25" s="68">
        <v>0.45444200000000001</v>
      </c>
      <c r="C25" s="68">
        <v>9.3402200000000004</v>
      </c>
      <c r="D25" s="68">
        <v>1</v>
      </c>
      <c r="E25" s="68" t="s">
        <v>379</v>
      </c>
    </row>
    <row r="26" spans="1:5">
      <c r="A26" s="68">
        <v>0.403916</v>
      </c>
      <c r="B26" s="68">
        <v>0.45474199999999998</v>
      </c>
      <c r="C26" s="68">
        <v>9.7463099999999994</v>
      </c>
      <c r="D26" s="68">
        <v>1</v>
      </c>
      <c r="E26" s="68" t="s">
        <v>380</v>
      </c>
    </row>
    <row r="27" spans="1:5">
      <c r="A27" s="68">
        <v>0.40814800000000001</v>
      </c>
      <c r="B27" s="68">
        <v>0.45560499999999998</v>
      </c>
      <c r="C27" s="68">
        <v>10.1547</v>
      </c>
      <c r="D27" s="68">
        <v>1</v>
      </c>
      <c r="E27" s="68" t="s">
        <v>381</v>
      </c>
    </row>
    <row r="28" spans="1:5">
      <c r="A28" s="68">
        <v>0.411916</v>
      </c>
      <c r="B28" s="68">
        <v>0.45613300000000001</v>
      </c>
      <c r="C28" s="68">
        <v>10.5578</v>
      </c>
      <c r="D28" s="68">
        <v>1</v>
      </c>
      <c r="E28" s="68" t="s">
        <v>382</v>
      </c>
    </row>
    <row r="29" spans="1:5">
      <c r="A29" s="68">
        <v>0.41533599999999998</v>
      </c>
      <c r="B29" s="68">
        <v>0.45678999999999997</v>
      </c>
      <c r="C29" s="68">
        <v>10.966699999999999</v>
      </c>
      <c r="D29" s="68">
        <v>1</v>
      </c>
      <c r="E29" s="68" t="s">
        <v>383</v>
      </c>
    </row>
    <row r="30" spans="1:5">
      <c r="A30" s="68">
        <v>0.41857800000000001</v>
      </c>
      <c r="B30" s="68">
        <v>0.45625199999999999</v>
      </c>
      <c r="C30" s="68">
        <v>11.3705</v>
      </c>
      <c r="D30" s="68">
        <v>1</v>
      </c>
      <c r="E30" s="68" t="s">
        <v>384</v>
      </c>
    </row>
    <row r="31" spans="1:5">
      <c r="A31" s="68">
        <v>0.42135099999999998</v>
      </c>
      <c r="B31" s="68">
        <v>0.45552900000000002</v>
      </c>
      <c r="C31" s="68">
        <v>11.777699999999999</v>
      </c>
      <c r="D31" s="68">
        <v>1</v>
      </c>
      <c r="E31" s="68" t="s">
        <v>385</v>
      </c>
    </row>
    <row r="32" spans="1:5">
      <c r="A32" s="68">
        <v>0.42386299999999999</v>
      </c>
      <c r="B32" s="68">
        <v>0.45450000000000002</v>
      </c>
      <c r="C32" s="68">
        <v>12.1835</v>
      </c>
      <c r="D32" s="68">
        <v>1</v>
      </c>
      <c r="E32" s="68" t="s">
        <v>386</v>
      </c>
    </row>
    <row r="33" spans="1:5">
      <c r="A33" s="68">
        <v>0.426427</v>
      </c>
      <c r="B33" s="68">
        <v>0.45364700000000002</v>
      </c>
      <c r="C33" s="68">
        <v>12.593400000000001</v>
      </c>
      <c r="D33" s="68">
        <v>1</v>
      </c>
      <c r="E33" s="68" t="s">
        <v>387</v>
      </c>
    </row>
    <row r="34" spans="1:5">
      <c r="A34" s="68">
        <v>0.42891200000000002</v>
      </c>
      <c r="B34" s="68">
        <v>0.45313799999999999</v>
      </c>
      <c r="C34" s="68">
        <v>12.997199999999999</v>
      </c>
      <c r="D34" s="68">
        <v>1</v>
      </c>
      <c r="E34" s="68" t="s">
        <v>388</v>
      </c>
    </row>
    <row r="35" spans="1:5">
      <c r="A35" s="68">
        <v>0.431232</v>
      </c>
      <c r="B35" s="68">
        <v>0.45275300000000002</v>
      </c>
      <c r="C35" s="68">
        <v>13.402200000000001</v>
      </c>
      <c r="D35" s="68">
        <v>1</v>
      </c>
      <c r="E35" s="68" t="s">
        <v>389</v>
      </c>
    </row>
    <row r="36" spans="1:5">
      <c r="A36" s="68">
        <v>0.43335600000000002</v>
      </c>
      <c r="B36" s="68">
        <v>0.45221699999999998</v>
      </c>
      <c r="C36" s="68">
        <v>13.808999999999999</v>
      </c>
      <c r="D36" s="68">
        <v>1</v>
      </c>
      <c r="E36" s="68" t="s">
        <v>390</v>
      </c>
    </row>
    <row r="37" spans="1:5">
      <c r="A37" s="68">
        <v>0.43535400000000002</v>
      </c>
      <c r="B37" s="68">
        <v>0.451988</v>
      </c>
      <c r="C37" s="68">
        <v>14.217000000000001</v>
      </c>
      <c r="D37" s="68">
        <v>1</v>
      </c>
      <c r="E37" s="68" t="s">
        <v>391</v>
      </c>
    </row>
    <row r="38" spans="1:5">
      <c r="A38" s="68">
        <v>0.43736700000000001</v>
      </c>
      <c r="B38" s="68">
        <v>0.45153799999999999</v>
      </c>
      <c r="C38" s="68">
        <v>14.6249</v>
      </c>
      <c r="D38" s="68">
        <v>1</v>
      </c>
      <c r="E38" s="68" t="s">
        <v>392</v>
      </c>
    </row>
    <row r="39" spans="1:5">
      <c r="A39" s="68">
        <v>0.43950099999999998</v>
      </c>
      <c r="B39" s="68">
        <v>0.45042599999999999</v>
      </c>
      <c r="C39" s="68">
        <v>15.0288</v>
      </c>
      <c r="D39" s="68">
        <v>1</v>
      </c>
      <c r="E39" s="68" t="s">
        <v>393</v>
      </c>
    </row>
    <row r="40" spans="1:5">
      <c r="A40" s="68">
        <v>0.44134099999999998</v>
      </c>
      <c r="B40" s="68">
        <v>0.44927899999999998</v>
      </c>
      <c r="C40" s="68">
        <v>15.4337</v>
      </c>
      <c r="D40" s="68">
        <v>1</v>
      </c>
      <c r="E40" s="68" t="s">
        <v>394</v>
      </c>
    </row>
    <row r="41" spans="1:5">
      <c r="A41" s="68">
        <v>0.44315100000000002</v>
      </c>
      <c r="B41" s="68">
        <v>0.44790200000000002</v>
      </c>
      <c r="C41" s="68">
        <v>15.841799999999999</v>
      </c>
      <c r="D41" s="68">
        <v>1</v>
      </c>
      <c r="E41" s="68" t="s">
        <v>395</v>
      </c>
    </row>
    <row r="42" spans="1:5">
      <c r="A42" s="68">
        <v>0.44487100000000002</v>
      </c>
      <c r="B42" s="68">
        <v>0.44688499999999998</v>
      </c>
      <c r="C42" s="68">
        <v>16.2454</v>
      </c>
      <c r="D42" s="68">
        <v>1</v>
      </c>
      <c r="E42" s="68" t="s">
        <v>396</v>
      </c>
    </row>
    <row r="43" spans="1:5">
      <c r="A43" s="68">
        <v>0.44658300000000001</v>
      </c>
      <c r="B43" s="68">
        <v>0.44591199999999998</v>
      </c>
      <c r="C43" s="68">
        <v>16.653400000000001</v>
      </c>
      <c r="D43" s="68">
        <v>1</v>
      </c>
      <c r="E43" s="68" t="s">
        <v>397</v>
      </c>
    </row>
    <row r="44" spans="1:5">
      <c r="A44" s="68">
        <v>0.44805099999999998</v>
      </c>
      <c r="B44" s="68">
        <v>0.44569300000000001</v>
      </c>
      <c r="C44" s="68">
        <v>17.060500000000001</v>
      </c>
      <c r="D44" s="68">
        <v>1</v>
      </c>
      <c r="E44" s="68" t="s">
        <v>398</v>
      </c>
    </row>
    <row r="45" spans="1:5">
      <c r="A45" s="68">
        <v>0.44941999999999999</v>
      </c>
      <c r="B45" s="68">
        <v>0.44554199999999999</v>
      </c>
      <c r="C45" s="68">
        <v>17.468299999999999</v>
      </c>
      <c r="D45" s="68">
        <v>1</v>
      </c>
      <c r="E45" s="68" t="s">
        <v>399</v>
      </c>
    </row>
    <row r="46" spans="1:5">
      <c r="A46" s="68">
        <v>0.45133000000000001</v>
      </c>
      <c r="B46" s="68">
        <v>0.44552799999999998</v>
      </c>
      <c r="C46" s="68">
        <v>17.874400000000001</v>
      </c>
      <c r="D46" s="68">
        <v>1</v>
      </c>
      <c r="E46" s="68" t="s">
        <v>400</v>
      </c>
    </row>
    <row r="47" spans="1:5">
      <c r="A47" s="68">
        <v>0.45339600000000002</v>
      </c>
      <c r="B47" s="68">
        <v>0.44563700000000001</v>
      </c>
      <c r="C47" s="68">
        <v>18.2791</v>
      </c>
      <c r="D47" s="68">
        <v>1</v>
      </c>
      <c r="E47" s="68" t="s">
        <v>401</v>
      </c>
    </row>
    <row r="48" spans="1:5">
      <c r="A48" s="68">
        <v>0.455926</v>
      </c>
      <c r="B48" s="68">
        <v>0.44473600000000002</v>
      </c>
      <c r="C48" s="68">
        <v>18.684100000000001</v>
      </c>
      <c r="D48" s="68">
        <v>1</v>
      </c>
      <c r="E48" s="68" t="s">
        <v>402</v>
      </c>
    </row>
    <row r="49" spans="1:5">
      <c r="A49" s="68">
        <v>0.45867799999999997</v>
      </c>
      <c r="B49" s="68">
        <v>0.44361299999999998</v>
      </c>
      <c r="C49" s="68">
        <v>19.092199999999998</v>
      </c>
      <c r="D49" s="68">
        <v>1</v>
      </c>
      <c r="E49" s="68" t="s">
        <v>403</v>
      </c>
    </row>
    <row r="50" spans="1:5">
      <c r="A50" s="68">
        <v>0.46162599999999998</v>
      </c>
      <c r="B50" s="68">
        <v>0.44237500000000002</v>
      </c>
      <c r="C50" s="68">
        <v>19.4969</v>
      </c>
      <c r="D50" s="68">
        <v>1</v>
      </c>
      <c r="E50" s="68" t="s">
        <v>404</v>
      </c>
    </row>
    <row r="51" spans="1:5">
      <c r="A51" s="68">
        <v>0.46469899999999997</v>
      </c>
      <c r="B51" s="68">
        <v>0.44077100000000002</v>
      </c>
      <c r="C51" s="68">
        <v>19.906099999999999</v>
      </c>
      <c r="D51" s="68">
        <v>1</v>
      </c>
      <c r="E51" s="68" t="s">
        <v>405</v>
      </c>
    </row>
    <row r="52" spans="1:5">
      <c r="A52" s="68">
        <v>0.468057</v>
      </c>
      <c r="B52" s="68">
        <v>0.43888899999999997</v>
      </c>
      <c r="C52" s="68">
        <v>20.306999999999999</v>
      </c>
      <c r="D52" s="68">
        <v>1</v>
      </c>
      <c r="E52" s="68" t="s">
        <v>406</v>
      </c>
    </row>
    <row r="53" spans="1:5">
      <c r="A53" s="68">
        <v>0.47168399999999999</v>
      </c>
      <c r="B53" s="68">
        <v>0.43698700000000001</v>
      </c>
      <c r="C53" s="68">
        <v>20.7166</v>
      </c>
      <c r="D53" s="68">
        <v>1</v>
      </c>
      <c r="E53" s="68" t="s">
        <v>407</v>
      </c>
    </row>
    <row r="54" spans="1:5">
      <c r="A54" s="68">
        <v>0.47541499999999998</v>
      </c>
      <c r="B54" s="68">
        <v>0.43528800000000001</v>
      </c>
      <c r="C54" s="68">
        <v>21.122900000000001</v>
      </c>
      <c r="D54" s="68">
        <v>1</v>
      </c>
      <c r="E54" s="68" t="s">
        <v>408</v>
      </c>
    </row>
    <row r="55" spans="1:5">
      <c r="A55" s="68">
        <v>0.479099</v>
      </c>
      <c r="B55" s="68">
        <v>0.43341099999999999</v>
      </c>
      <c r="C55" s="68">
        <v>21.528400000000001</v>
      </c>
      <c r="D55" s="68">
        <v>1</v>
      </c>
      <c r="E55" s="68" t="s">
        <v>409</v>
      </c>
    </row>
    <row r="56" spans="1:5">
      <c r="A56" s="68">
        <v>0.48288900000000001</v>
      </c>
      <c r="B56" s="68">
        <v>0.432666</v>
      </c>
      <c r="C56" s="68">
        <v>21.9373</v>
      </c>
      <c r="D56" s="68">
        <v>1</v>
      </c>
      <c r="E56" s="68" t="s">
        <v>410</v>
      </c>
    </row>
    <row r="57" spans="1:5">
      <c r="A57" s="68">
        <v>0.48692099999999999</v>
      </c>
      <c r="B57" s="68">
        <v>0.43198700000000001</v>
      </c>
      <c r="C57" s="68">
        <v>22.341200000000001</v>
      </c>
      <c r="D57" s="68">
        <v>1</v>
      </c>
      <c r="E57" s="68" t="s">
        <v>411</v>
      </c>
    </row>
    <row r="58" spans="1:5">
      <c r="A58" s="68">
        <v>0.49110700000000002</v>
      </c>
      <c r="B58" s="68">
        <v>0.43043100000000001</v>
      </c>
      <c r="C58" s="68">
        <v>22.7453</v>
      </c>
      <c r="D58" s="68">
        <v>1</v>
      </c>
      <c r="E58" s="68" t="s">
        <v>412</v>
      </c>
    </row>
    <row r="59" spans="1:5">
      <c r="A59" s="68">
        <v>0.495396</v>
      </c>
      <c r="B59" s="68">
        <v>0.42850199999999999</v>
      </c>
      <c r="C59" s="68">
        <v>23.152999999999999</v>
      </c>
      <c r="D59" s="68">
        <v>1</v>
      </c>
      <c r="E59" s="68" t="s">
        <v>413</v>
      </c>
    </row>
    <row r="60" spans="1:5">
      <c r="A60" s="68">
        <v>0.49959199999999998</v>
      </c>
      <c r="B60" s="68">
        <v>0.42724600000000001</v>
      </c>
      <c r="C60" s="68">
        <v>23.559200000000001</v>
      </c>
      <c r="D60" s="68">
        <v>1</v>
      </c>
      <c r="E60" s="68" t="s">
        <v>414</v>
      </c>
    </row>
    <row r="61" spans="1:5">
      <c r="A61" s="68">
        <v>0.50387999999999999</v>
      </c>
      <c r="B61" s="68">
        <v>0.426288</v>
      </c>
      <c r="C61" s="68">
        <v>23.970099999999999</v>
      </c>
      <c r="D61" s="68">
        <v>1</v>
      </c>
      <c r="E61" s="68" t="s">
        <v>415</v>
      </c>
    </row>
    <row r="62" spans="1:5">
      <c r="A62" s="68">
        <v>0.50832999999999995</v>
      </c>
      <c r="B62" s="68">
        <v>0.42506500000000003</v>
      </c>
      <c r="C62" s="68">
        <v>24.375800000000002</v>
      </c>
      <c r="D62" s="68">
        <v>1</v>
      </c>
      <c r="E62" s="68" t="s">
        <v>416</v>
      </c>
    </row>
    <row r="63" spans="1:5">
      <c r="A63" s="68">
        <v>0.51277899999999998</v>
      </c>
      <c r="B63" s="68">
        <v>0.42344100000000001</v>
      </c>
      <c r="C63" s="68">
        <v>24.778700000000001</v>
      </c>
      <c r="D63" s="68">
        <v>1</v>
      </c>
      <c r="E63" s="68" t="s">
        <v>417</v>
      </c>
    </row>
    <row r="64" spans="1:5">
      <c r="A64" s="68">
        <v>0.51694399999999996</v>
      </c>
      <c r="B64" s="68">
        <v>0.42163499999999998</v>
      </c>
      <c r="C64" s="68">
        <v>25.1846</v>
      </c>
      <c r="D64" s="68">
        <v>1</v>
      </c>
      <c r="E64" s="68" t="s">
        <v>418</v>
      </c>
    </row>
    <row r="65" spans="1:5">
      <c r="A65" s="68">
        <v>0.52078199999999997</v>
      </c>
      <c r="B65" s="68">
        <v>0.42030299999999998</v>
      </c>
      <c r="C65" s="68">
        <v>25.5915</v>
      </c>
      <c r="D65" s="68">
        <v>1</v>
      </c>
      <c r="E65" s="68" t="s">
        <v>419</v>
      </c>
    </row>
    <row r="66" spans="1:5">
      <c r="A66" s="68">
        <v>0.524177</v>
      </c>
      <c r="B66" s="68">
        <v>0.41953099999999999</v>
      </c>
      <c r="C66" s="68">
        <v>25.999500000000001</v>
      </c>
      <c r="D66" s="68">
        <v>1</v>
      </c>
      <c r="E66" s="68" t="s">
        <v>420</v>
      </c>
    </row>
    <row r="67" spans="1:5">
      <c r="A67" s="68">
        <v>0.52741899999999997</v>
      </c>
      <c r="B67" s="68">
        <v>0.41938399999999998</v>
      </c>
      <c r="C67" s="68">
        <v>26.4071</v>
      </c>
      <c r="D67" s="68">
        <v>1</v>
      </c>
      <c r="E67" s="68" t="s">
        <v>421</v>
      </c>
    </row>
    <row r="68" spans="1:5">
      <c r="A68" s="68">
        <v>0.530636</v>
      </c>
      <c r="B68" s="68">
        <v>0.41844100000000001</v>
      </c>
      <c r="C68" s="68">
        <v>26.810300000000002</v>
      </c>
      <c r="D68" s="68">
        <v>1</v>
      </c>
      <c r="E68" s="68" t="s">
        <v>422</v>
      </c>
    </row>
    <row r="69" spans="1:5">
      <c r="A69" s="68">
        <v>0.53342000000000001</v>
      </c>
      <c r="B69" s="68">
        <v>0.416854</v>
      </c>
      <c r="C69" s="68">
        <v>27.215199999999999</v>
      </c>
      <c r="D69" s="68">
        <v>1</v>
      </c>
      <c r="E69" s="68" t="s">
        <v>423</v>
      </c>
    </row>
    <row r="70" spans="1:5">
      <c r="A70" s="68">
        <v>0.53608</v>
      </c>
      <c r="B70" s="68">
        <v>0.41598099999999999</v>
      </c>
      <c r="C70" s="68">
        <v>27.622299999999999</v>
      </c>
      <c r="D70" s="68">
        <v>1</v>
      </c>
      <c r="E70" s="68" t="s">
        <v>424</v>
      </c>
    </row>
    <row r="71" spans="1:5">
      <c r="A71" s="68">
        <v>0.53858300000000003</v>
      </c>
      <c r="B71" s="68">
        <v>0.41489999999999999</v>
      </c>
      <c r="C71" s="68">
        <v>28.030100000000001</v>
      </c>
      <c r="D71" s="68">
        <v>1</v>
      </c>
      <c r="E71" s="68" t="s">
        <v>425</v>
      </c>
    </row>
    <row r="72" spans="1:5">
      <c r="A72" s="68">
        <v>0.54090099999999997</v>
      </c>
      <c r="B72" s="68">
        <v>0.413715</v>
      </c>
      <c r="C72" s="68">
        <v>28.436900000000001</v>
      </c>
      <c r="D72" s="68">
        <v>1</v>
      </c>
      <c r="E72" s="68" t="s">
        <v>426</v>
      </c>
    </row>
    <row r="73" spans="1:5">
      <c r="A73" s="68">
        <v>0.54297399999999996</v>
      </c>
      <c r="B73" s="68">
        <v>0.41253600000000001</v>
      </c>
      <c r="C73" s="68">
        <v>28.841999999999999</v>
      </c>
      <c r="D73" s="68">
        <v>1</v>
      </c>
      <c r="E73" s="68" t="s">
        <v>427</v>
      </c>
    </row>
    <row r="74" spans="1:5">
      <c r="A74" s="68">
        <v>0.544879</v>
      </c>
      <c r="B74" s="68">
        <v>0.410972</v>
      </c>
      <c r="C74" s="68">
        <v>29.245799999999999</v>
      </c>
      <c r="D74" s="68">
        <v>1</v>
      </c>
      <c r="E74" s="68" t="s">
        <v>428</v>
      </c>
    </row>
    <row r="75" spans="1:5">
      <c r="A75" s="68">
        <v>0.54646600000000001</v>
      </c>
      <c r="B75" s="68">
        <v>0.40870099999999998</v>
      </c>
      <c r="C75" s="68">
        <v>29.651900000000001</v>
      </c>
      <c r="D75" s="68">
        <v>1</v>
      </c>
      <c r="E75" s="68" t="s">
        <v>429</v>
      </c>
    </row>
    <row r="76" spans="1:5">
      <c r="A76" s="68">
        <v>0.54762900000000003</v>
      </c>
      <c r="B76" s="68">
        <v>0.40644799999999998</v>
      </c>
      <c r="C76" s="68">
        <v>30.060500000000001</v>
      </c>
      <c r="D76" s="68">
        <v>2</v>
      </c>
      <c r="E76" s="68" t="s">
        <v>430</v>
      </c>
    </row>
    <row r="77" spans="1:5">
      <c r="A77" s="68">
        <v>0.54856099999999997</v>
      </c>
      <c r="B77" s="68">
        <v>0.40416800000000003</v>
      </c>
      <c r="C77" s="68">
        <v>30.4695</v>
      </c>
      <c r="D77" s="68">
        <v>2</v>
      </c>
      <c r="E77" s="68" t="s">
        <v>431</v>
      </c>
    </row>
    <row r="78" spans="1:5">
      <c r="A78" s="68">
        <v>0.54908599999999996</v>
      </c>
      <c r="B78" s="68">
        <v>0.402279</v>
      </c>
      <c r="C78" s="68">
        <v>30.874500000000001</v>
      </c>
      <c r="D78" s="68">
        <v>2</v>
      </c>
      <c r="E78" s="68" t="s">
        <v>432</v>
      </c>
    </row>
    <row r="79" spans="1:5">
      <c r="A79" s="68">
        <v>0.549678</v>
      </c>
      <c r="B79" s="68">
        <v>0.40065099999999998</v>
      </c>
      <c r="C79" s="68">
        <v>31.279399999999999</v>
      </c>
      <c r="D79" s="68">
        <v>2</v>
      </c>
      <c r="E79" s="68" t="s">
        <v>433</v>
      </c>
    </row>
    <row r="80" spans="1:5">
      <c r="A80" s="68">
        <v>0.55007200000000001</v>
      </c>
      <c r="B80" s="68">
        <v>0.39921899999999999</v>
      </c>
      <c r="C80" s="68">
        <v>31.688199999999998</v>
      </c>
      <c r="D80" s="68">
        <v>2</v>
      </c>
      <c r="E80" s="68" t="s">
        <v>434</v>
      </c>
    </row>
    <row r="81" spans="1:5">
      <c r="A81" s="68">
        <v>0.55073099999999997</v>
      </c>
      <c r="B81" s="68">
        <v>0.39760800000000002</v>
      </c>
      <c r="C81" s="68">
        <v>32.094499999999996</v>
      </c>
      <c r="D81" s="68">
        <v>2</v>
      </c>
      <c r="E81" s="68" t="s">
        <v>435</v>
      </c>
    </row>
    <row r="82" spans="1:5">
      <c r="A82" s="68">
        <v>0.55095000000000005</v>
      </c>
      <c r="B82" s="68">
        <v>0.39624399999999999</v>
      </c>
      <c r="C82" s="68">
        <v>32.5002</v>
      </c>
      <c r="D82" s="68">
        <v>2</v>
      </c>
      <c r="E82" s="68" t="s">
        <v>436</v>
      </c>
    </row>
    <row r="83" spans="1:5">
      <c r="A83" s="68">
        <v>0.55097399999999996</v>
      </c>
      <c r="B83" s="68">
        <v>0.39506799999999997</v>
      </c>
      <c r="C83" s="68">
        <v>32.907499999999999</v>
      </c>
      <c r="D83" s="68">
        <v>2</v>
      </c>
      <c r="E83" s="68" t="s">
        <v>437</v>
      </c>
    </row>
    <row r="84" spans="1:5">
      <c r="A84" s="68">
        <v>0.55058399999999996</v>
      </c>
      <c r="B84" s="68">
        <v>0.39387699999999998</v>
      </c>
      <c r="C84" s="68">
        <v>33.308999999999997</v>
      </c>
      <c r="D84" s="68">
        <v>2</v>
      </c>
      <c r="E84" s="68" t="s">
        <v>438</v>
      </c>
    </row>
    <row r="85" spans="1:5">
      <c r="A85" s="68">
        <v>0.54978099999999996</v>
      </c>
      <c r="B85" s="68">
        <v>0.39242300000000002</v>
      </c>
      <c r="C85" s="68">
        <v>33.712899999999998</v>
      </c>
      <c r="D85" s="68">
        <v>2</v>
      </c>
      <c r="E85" s="68" t="s">
        <v>439</v>
      </c>
    </row>
    <row r="86" spans="1:5">
      <c r="A86" s="68">
        <v>0.54851700000000003</v>
      </c>
      <c r="B86" s="68">
        <v>0.39109300000000002</v>
      </c>
      <c r="C86" s="68">
        <v>34.125700000000002</v>
      </c>
      <c r="D86" s="68">
        <v>2</v>
      </c>
      <c r="E86" s="68" t="s">
        <v>440</v>
      </c>
    </row>
    <row r="87" spans="1:5">
      <c r="A87" s="68">
        <v>0.54680300000000004</v>
      </c>
      <c r="B87" s="68">
        <v>0.39011200000000001</v>
      </c>
      <c r="C87" s="68">
        <v>34.530700000000003</v>
      </c>
      <c r="D87" s="68">
        <v>2</v>
      </c>
      <c r="E87" s="68" t="s">
        <v>441</v>
      </c>
    </row>
    <row r="88" spans="1:5">
      <c r="A88" s="68">
        <v>0.54474500000000003</v>
      </c>
      <c r="B88" s="68">
        <v>0.38950200000000001</v>
      </c>
      <c r="C88" s="68">
        <v>34.936599999999999</v>
      </c>
      <c r="D88" s="68">
        <v>2</v>
      </c>
      <c r="E88" s="68" t="s">
        <v>442</v>
      </c>
    </row>
    <row r="89" spans="1:5">
      <c r="A89" s="68">
        <v>0.54235699999999998</v>
      </c>
      <c r="B89" s="68">
        <v>0.38879900000000001</v>
      </c>
      <c r="C89" s="68">
        <v>35.343499999999999</v>
      </c>
      <c r="D89" s="68">
        <v>2</v>
      </c>
      <c r="E89" s="68" t="s">
        <v>443</v>
      </c>
    </row>
    <row r="90" spans="1:5">
      <c r="A90" s="68">
        <v>0.54008299999999998</v>
      </c>
      <c r="B90" s="68">
        <v>0.38789699999999999</v>
      </c>
      <c r="C90" s="68">
        <v>35.7455</v>
      </c>
      <c r="D90" s="68">
        <v>2</v>
      </c>
      <c r="E90" s="68" t="s">
        <v>444</v>
      </c>
    </row>
    <row r="91" spans="1:5">
      <c r="A91" s="68">
        <v>0.53775399999999995</v>
      </c>
      <c r="B91" s="68">
        <v>0.38638299999999998</v>
      </c>
      <c r="C91" s="68">
        <v>36.154400000000003</v>
      </c>
      <c r="D91" s="68">
        <v>2</v>
      </c>
      <c r="E91" s="68" t="s">
        <v>445</v>
      </c>
    </row>
    <row r="92" spans="1:5">
      <c r="A92" s="68">
        <v>0.53525699999999998</v>
      </c>
      <c r="B92" s="68">
        <v>0.38446000000000002</v>
      </c>
      <c r="C92" s="68">
        <v>36.562600000000003</v>
      </c>
      <c r="D92" s="68">
        <v>2</v>
      </c>
      <c r="E92" s="68" t="s">
        <v>446</v>
      </c>
    </row>
    <row r="93" spans="1:5">
      <c r="A93" s="68">
        <v>0.53225500000000003</v>
      </c>
      <c r="B93" s="68">
        <v>0.38291999999999998</v>
      </c>
      <c r="C93" s="68">
        <v>36.967700000000001</v>
      </c>
      <c r="D93" s="68">
        <v>2</v>
      </c>
      <c r="E93" s="68" t="s">
        <v>447</v>
      </c>
    </row>
    <row r="94" spans="1:5">
      <c r="A94" s="68">
        <v>0.529671</v>
      </c>
      <c r="B94" s="68">
        <v>0.38206699999999999</v>
      </c>
      <c r="C94" s="68">
        <v>37.371299999999998</v>
      </c>
      <c r="D94" s="68">
        <v>2</v>
      </c>
      <c r="E94" s="68" t="s">
        <v>448</v>
      </c>
    </row>
    <row r="95" spans="1:5">
      <c r="A95" s="68">
        <v>0.52712899999999996</v>
      </c>
      <c r="B95" s="68">
        <v>0.38111600000000001</v>
      </c>
      <c r="C95" s="68">
        <v>37.778700000000001</v>
      </c>
      <c r="D95" s="68">
        <v>2</v>
      </c>
      <c r="E95" s="68" t="s">
        <v>449</v>
      </c>
    </row>
    <row r="96" spans="1:5">
      <c r="A96" s="68">
        <v>0.52418799999999999</v>
      </c>
      <c r="B96" s="68">
        <v>0.37975300000000001</v>
      </c>
      <c r="C96" s="68">
        <v>38.186900000000001</v>
      </c>
      <c r="D96" s="68">
        <v>2</v>
      </c>
      <c r="E96" s="68" t="s">
        <v>450</v>
      </c>
    </row>
    <row r="97" spans="1:5">
      <c r="A97" s="68">
        <v>0.52127400000000002</v>
      </c>
      <c r="B97" s="68">
        <v>0.378749</v>
      </c>
      <c r="C97" s="68">
        <v>38.593899999999998</v>
      </c>
      <c r="D97" s="68">
        <v>2</v>
      </c>
      <c r="E97" s="68" t="s">
        <v>451</v>
      </c>
    </row>
    <row r="98" spans="1:5">
      <c r="A98" s="68">
        <v>0.51818600000000004</v>
      </c>
      <c r="B98" s="68">
        <v>0.37806800000000002</v>
      </c>
      <c r="C98" s="68">
        <v>38.997</v>
      </c>
      <c r="D98" s="68">
        <v>2</v>
      </c>
      <c r="E98" s="68" t="s">
        <v>452</v>
      </c>
    </row>
    <row r="99" spans="1:5">
      <c r="A99" s="68">
        <v>0.51529700000000001</v>
      </c>
      <c r="B99" s="68">
        <v>0.378494</v>
      </c>
      <c r="C99" s="68">
        <v>39.403599999999997</v>
      </c>
      <c r="D99" s="68">
        <v>2</v>
      </c>
      <c r="E99" s="68" t="s">
        <v>453</v>
      </c>
    </row>
    <row r="100" spans="1:5">
      <c r="A100" s="68">
        <v>0.51245700000000005</v>
      </c>
      <c r="B100" s="68">
        <v>0.37955699999999998</v>
      </c>
      <c r="C100" s="68">
        <v>39.808</v>
      </c>
      <c r="D100" s="68">
        <v>2</v>
      </c>
      <c r="E100" s="68" t="s">
        <v>454</v>
      </c>
    </row>
    <row r="101" spans="1:5">
      <c r="A101" s="68">
        <v>0.509517</v>
      </c>
      <c r="B101" s="68">
        <v>0.37980599999999998</v>
      </c>
      <c r="C101" s="68">
        <v>40.216799999999999</v>
      </c>
      <c r="D101" s="68">
        <v>2</v>
      </c>
      <c r="E101" s="68" t="s">
        <v>455</v>
      </c>
    </row>
    <row r="102" spans="1:5">
      <c r="A102" s="68">
        <v>0.50636400000000004</v>
      </c>
      <c r="B102" s="68">
        <v>0.38032500000000002</v>
      </c>
      <c r="C102" s="68">
        <v>40.627099999999999</v>
      </c>
      <c r="D102" s="68">
        <v>2</v>
      </c>
      <c r="E102" s="68" t="s">
        <v>456</v>
      </c>
    </row>
    <row r="103" spans="1:5">
      <c r="A103" s="68">
        <v>0.50340600000000002</v>
      </c>
      <c r="B103" s="68">
        <v>0.38063399999999997</v>
      </c>
      <c r="C103" s="68">
        <v>41.030299999999997</v>
      </c>
      <c r="D103" s="68">
        <v>2</v>
      </c>
      <c r="E103" s="68" t="s">
        <v>457</v>
      </c>
    </row>
    <row r="104" spans="1:5">
      <c r="A104" s="68">
        <v>0.50036400000000003</v>
      </c>
      <c r="B104" s="68">
        <v>0.38155</v>
      </c>
      <c r="C104" s="68">
        <v>41.437199999999997</v>
      </c>
      <c r="D104" s="68">
        <v>2</v>
      </c>
      <c r="E104" s="68" t="s">
        <v>458</v>
      </c>
    </row>
    <row r="105" spans="1:5">
      <c r="A105" s="68">
        <v>0.49747200000000003</v>
      </c>
      <c r="B105" s="68">
        <v>0.38278800000000002</v>
      </c>
      <c r="C105" s="68">
        <v>41.841200000000001</v>
      </c>
      <c r="D105" s="68">
        <v>2</v>
      </c>
      <c r="E105" s="68" t="s">
        <v>459</v>
      </c>
    </row>
    <row r="106" spans="1:5">
      <c r="A106" s="68">
        <v>0.49428</v>
      </c>
      <c r="B106" s="68">
        <v>0.38490600000000003</v>
      </c>
      <c r="C106" s="68">
        <v>42.247900000000001</v>
      </c>
      <c r="D106" s="68">
        <v>2</v>
      </c>
      <c r="E106" s="68" t="s">
        <v>460</v>
      </c>
    </row>
    <row r="107" spans="1:5">
      <c r="A107" s="68">
        <v>0.49127300000000002</v>
      </c>
      <c r="B107" s="68">
        <v>0.38674399999999998</v>
      </c>
      <c r="C107" s="68">
        <v>42.652099999999997</v>
      </c>
      <c r="D107" s="68">
        <v>2</v>
      </c>
      <c r="E107" s="68" t="s">
        <v>461</v>
      </c>
    </row>
    <row r="108" spans="1:5">
      <c r="A108" s="68">
        <v>0.487842</v>
      </c>
      <c r="B108" s="68">
        <v>0.38943499999999998</v>
      </c>
      <c r="C108" s="68">
        <v>43.058300000000003</v>
      </c>
      <c r="D108" s="68">
        <v>2</v>
      </c>
      <c r="E108" s="68" t="s">
        <v>462</v>
      </c>
    </row>
    <row r="109" spans="1:5">
      <c r="A109" s="68">
        <v>0.48474200000000001</v>
      </c>
      <c r="B109" s="68">
        <v>0.39217000000000002</v>
      </c>
      <c r="C109" s="68">
        <v>43.465800000000002</v>
      </c>
      <c r="D109" s="68">
        <v>2</v>
      </c>
      <c r="E109" s="68" t="s">
        <v>463</v>
      </c>
    </row>
    <row r="110" spans="1:5">
      <c r="A110" s="68">
        <v>0.48230600000000001</v>
      </c>
      <c r="B110" s="68">
        <v>0.39410499999999998</v>
      </c>
      <c r="C110" s="68">
        <v>43.877699999999997</v>
      </c>
      <c r="D110" s="68">
        <v>2</v>
      </c>
      <c r="E110" s="68" t="s">
        <v>464</v>
      </c>
    </row>
    <row r="111" spans="1:5">
      <c r="A111" s="68">
        <v>0.48054200000000002</v>
      </c>
      <c r="B111" s="68">
        <v>0.39529999999999998</v>
      </c>
      <c r="C111" s="68">
        <v>44.2806</v>
      </c>
      <c r="D111" s="68">
        <v>2</v>
      </c>
      <c r="E111" s="68" t="s">
        <v>465</v>
      </c>
    </row>
    <row r="112" spans="1:5">
      <c r="A112" s="68">
        <v>0.47935499999999998</v>
      </c>
      <c r="B112" s="68">
        <v>0.39591599999999999</v>
      </c>
      <c r="C112" s="68">
        <v>44.6845</v>
      </c>
      <c r="D112" s="68">
        <v>2</v>
      </c>
      <c r="E112" s="68" t="s">
        <v>466</v>
      </c>
    </row>
    <row r="113" spans="1:5">
      <c r="A113" s="68">
        <v>0.478242</v>
      </c>
      <c r="B113" s="68">
        <v>0.39656400000000003</v>
      </c>
      <c r="C113" s="68">
        <v>45.089599999999997</v>
      </c>
      <c r="D113" s="68">
        <v>2</v>
      </c>
      <c r="E113" s="68" t="s">
        <v>467</v>
      </c>
    </row>
    <row r="114" spans="1:5">
      <c r="A114" s="68">
        <v>0.47753000000000001</v>
      </c>
      <c r="B114" s="68">
        <v>0.39691900000000002</v>
      </c>
      <c r="C114" s="68">
        <v>45.498399999999997</v>
      </c>
      <c r="D114" s="68">
        <v>2</v>
      </c>
      <c r="E114" s="68" t="s">
        <v>468</v>
      </c>
    </row>
    <row r="115" spans="1:5">
      <c r="A115" s="68">
        <v>0.47741499999999998</v>
      </c>
      <c r="B115" s="68">
        <v>0.39651999999999998</v>
      </c>
      <c r="C115" s="68">
        <v>45.903199999999998</v>
      </c>
      <c r="D115" s="68">
        <v>2</v>
      </c>
      <c r="E115" s="68" t="s">
        <v>469</v>
      </c>
    </row>
    <row r="116" spans="1:5">
      <c r="A116" s="68">
        <v>0.47790300000000002</v>
      </c>
      <c r="B116" s="68">
        <v>0.394953</v>
      </c>
      <c r="C116" s="68">
        <v>46.312199999999997</v>
      </c>
      <c r="D116" s="68">
        <v>2</v>
      </c>
      <c r="E116" s="68" t="s">
        <v>470</v>
      </c>
    </row>
    <row r="117" spans="1:5">
      <c r="A117" s="68">
        <v>0.47878799999999999</v>
      </c>
      <c r="B117" s="68">
        <v>0.39334999999999998</v>
      </c>
      <c r="C117" s="68">
        <v>46.714100000000002</v>
      </c>
      <c r="D117" s="68">
        <v>2</v>
      </c>
      <c r="E117" s="68" t="s">
        <v>471</v>
      </c>
    </row>
    <row r="118" spans="1:5">
      <c r="A118" s="68">
        <v>0.47982999999999998</v>
      </c>
      <c r="B118" s="68">
        <v>0.392009</v>
      </c>
      <c r="C118" s="68">
        <v>47.123600000000003</v>
      </c>
      <c r="D118" s="68">
        <v>2</v>
      </c>
      <c r="E118" s="68" t="s">
        <v>472</v>
      </c>
    </row>
    <row r="119" spans="1:5">
      <c r="A119" s="68">
        <v>0.48062500000000002</v>
      </c>
      <c r="B119" s="68">
        <v>0.39051900000000001</v>
      </c>
      <c r="C119" s="68">
        <v>47.53</v>
      </c>
      <c r="D119" s="68">
        <v>2</v>
      </c>
      <c r="E119" s="68" t="s">
        <v>473</v>
      </c>
    </row>
    <row r="120" spans="1:5">
      <c r="A120" s="68">
        <v>0.481516</v>
      </c>
      <c r="B120" s="68">
        <v>0.38849299999999998</v>
      </c>
      <c r="C120" s="68">
        <v>47.936799999999998</v>
      </c>
      <c r="D120" s="68">
        <v>2</v>
      </c>
      <c r="E120" s="68" t="s">
        <v>474</v>
      </c>
    </row>
    <row r="121" spans="1:5">
      <c r="A121" s="68">
        <v>0.48253099999999999</v>
      </c>
      <c r="B121" s="68">
        <v>0.38666600000000001</v>
      </c>
      <c r="C121" s="68">
        <v>48.342799999999997</v>
      </c>
      <c r="D121" s="68">
        <v>2</v>
      </c>
      <c r="E121" s="68" t="s">
        <v>475</v>
      </c>
    </row>
    <row r="122" spans="1:5">
      <c r="A122" s="68">
        <v>0.48346800000000001</v>
      </c>
      <c r="B122" s="68">
        <v>0.384961</v>
      </c>
      <c r="C122" s="68">
        <v>48.745600000000003</v>
      </c>
      <c r="D122" s="68">
        <v>2</v>
      </c>
      <c r="E122" s="68" t="s">
        <v>476</v>
      </c>
    </row>
    <row r="123" spans="1:5">
      <c r="A123" s="68">
        <v>0.48412300000000003</v>
      </c>
      <c r="B123" s="68">
        <v>0.383218</v>
      </c>
      <c r="C123" s="68">
        <v>49.150500000000001</v>
      </c>
      <c r="D123" s="68">
        <v>2</v>
      </c>
      <c r="E123" s="68" t="s">
        <v>477</v>
      </c>
    </row>
    <row r="124" spans="1:5">
      <c r="A124" s="68">
        <v>0.48402600000000001</v>
      </c>
      <c r="B124" s="68">
        <v>0.38117400000000001</v>
      </c>
      <c r="C124" s="68">
        <v>49.558500000000002</v>
      </c>
      <c r="D124" s="68">
        <v>2</v>
      </c>
      <c r="E124" s="68" t="s">
        <v>478</v>
      </c>
    </row>
    <row r="125" spans="1:5">
      <c r="A125" s="68">
        <v>0.48372199999999999</v>
      </c>
      <c r="B125" s="68">
        <v>0.37934000000000001</v>
      </c>
      <c r="C125" s="68">
        <v>49.970399999999998</v>
      </c>
      <c r="D125" s="68">
        <v>2</v>
      </c>
      <c r="E125" s="68" t="s">
        <v>479</v>
      </c>
    </row>
    <row r="126" spans="1:5">
      <c r="A126" s="68">
        <v>0.48431000000000002</v>
      </c>
      <c r="B126" s="68">
        <v>0.37881399999999998</v>
      </c>
      <c r="C126" s="68">
        <v>50.372399999999999</v>
      </c>
      <c r="D126" s="68">
        <v>2</v>
      </c>
      <c r="E126" s="68" t="s">
        <v>480</v>
      </c>
    </row>
    <row r="127" spans="1:5">
      <c r="A127" s="68">
        <v>0.48514000000000002</v>
      </c>
      <c r="B127" s="68">
        <v>0.378247</v>
      </c>
      <c r="C127" s="68">
        <v>50.778100000000002</v>
      </c>
      <c r="D127" s="68">
        <v>2</v>
      </c>
      <c r="E127" s="68" t="s">
        <v>481</v>
      </c>
    </row>
    <row r="128" spans="1:5">
      <c r="A128" s="68">
        <v>0.48607800000000001</v>
      </c>
      <c r="B128" s="68">
        <v>0.37752999999999998</v>
      </c>
      <c r="C128" s="68">
        <v>51.185099999999998</v>
      </c>
      <c r="D128" s="68">
        <v>2</v>
      </c>
      <c r="E128" s="68" t="s">
        <v>482</v>
      </c>
    </row>
    <row r="129" spans="1:5">
      <c r="A129" s="68">
        <v>0.48696400000000001</v>
      </c>
      <c r="B129" s="68">
        <v>0.37669999999999998</v>
      </c>
      <c r="C129" s="68">
        <v>51.589500000000001</v>
      </c>
      <c r="D129" s="68">
        <v>2</v>
      </c>
      <c r="E129" s="68" t="s">
        <v>483</v>
      </c>
    </row>
    <row r="130" spans="1:5">
      <c r="A130" s="68">
        <v>0.48779600000000001</v>
      </c>
      <c r="B130" s="68">
        <v>0.37582599999999999</v>
      </c>
      <c r="C130" s="68">
        <v>51.997199999999999</v>
      </c>
      <c r="D130" s="68">
        <v>2</v>
      </c>
      <c r="E130" s="68" t="s">
        <v>484</v>
      </c>
    </row>
    <row r="131" spans="1:5">
      <c r="A131" s="68">
        <v>0.48867100000000002</v>
      </c>
      <c r="B131" s="68">
        <v>0.37526500000000002</v>
      </c>
      <c r="C131" s="68">
        <v>52.408000000000001</v>
      </c>
      <c r="D131" s="68">
        <v>2</v>
      </c>
      <c r="E131" s="68" t="s">
        <v>485</v>
      </c>
    </row>
    <row r="132" spans="1:5">
      <c r="A132" s="68">
        <v>0.48970799999999998</v>
      </c>
      <c r="B132" s="68">
        <v>0.37470599999999998</v>
      </c>
      <c r="C132" s="68">
        <v>52.809800000000003</v>
      </c>
      <c r="D132" s="68">
        <v>2</v>
      </c>
      <c r="E132" s="68" t="s">
        <v>486</v>
      </c>
    </row>
    <row r="133" spans="1:5">
      <c r="A133" s="68">
        <v>0.49124099999999998</v>
      </c>
      <c r="B133" s="68">
        <v>0.37424600000000002</v>
      </c>
      <c r="C133" s="68">
        <v>53.215800000000002</v>
      </c>
      <c r="D133" s="68">
        <v>2</v>
      </c>
      <c r="E133" s="68" t="s">
        <v>487</v>
      </c>
    </row>
    <row r="134" spans="1:5">
      <c r="A134" s="68">
        <v>0.49266599999999999</v>
      </c>
      <c r="B134" s="68">
        <v>0.37352400000000002</v>
      </c>
      <c r="C134" s="68">
        <v>53.622999999999998</v>
      </c>
      <c r="D134" s="68">
        <v>2</v>
      </c>
      <c r="E134" s="68" t="s">
        <v>488</v>
      </c>
    </row>
    <row r="135" spans="1:5">
      <c r="A135" s="68">
        <v>0.49392900000000001</v>
      </c>
      <c r="B135" s="68">
        <v>0.37244899999999997</v>
      </c>
      <c r="C135" s="68">
        <v>54.028399999999998</v>
      </c>
      <c r="D135" s="68">
        <v>2</v>
      </c>
      <c r="E135" s="68" t="s">
        <v>489</v>
      </c>
    </row>
    <row r="136" spans="1:5">
      <c r="A136" s="68">
        <v>0.494836</v>
      </c>
      <c r="B136" s="68">
        <v>0.37084099999999998</v>
      </c>
      <c r="C136" s="68">
        <v>54.435499999999998</v>
      </c>
      <c r="D136" s="68">
        <v>2</v>
      </c>
      <c r="E136" s="68" t="s">
        <v>490</v>
      </c>
    </row>
    <row r="137" spans="1:5">
      <c r="A137" s="68">
        <v>0.49524299999999999</v>
      </c>
      <c r="B137" s="68">
        <v>0.36890099999999998</v>
      </c>
      <c r="C137" s="68">
        <v>54.843400000000003</v>
      </c>
      <c r="D137" s="68">
        <v>2</v>
      </c>
      <c r="E137" s="68" t="s">
        <v>491</v>
      </c>
    </row>
    <row r="138" spans="1:5">
      <c r="A138" s="68">
        <v>0.495842</v>
      </c>
      <c r="B138" s="68">
        <v>0.366537</v>
      </c>
      <c r="C138" s="68">
        <v>55.2483</v>
      </c>
      <c r="D138" s="68">
        <v>2</v>
      </c>
      <c r="E138" s="68" t="s">
        <v>492</v>
      </c>
    </row>
    <row r="139" spans="1:5">
      <c r="A139" s="68">
        <v>0.496506</v>
      </c>
      <c r="B139" s="68">
        <v>0.363533</v>
      </c>
      <c r="C139" s="68">
        <v>55.653500000000001</v>
      </c>
      <c r="D139" s="68">
        <v>2</v>
      </c>
      <c r="E139" s="68" t="s">
        <v>493</v>
      </c>
    </row>
    <row r="140" spans="1:5">
      <c r="A140" s="68">
        <v>0.49626799999999999</v>
      </c>
      <c r="B140" s="68">
        <v>0.36072799999999999</v>
      </c>
      <c r="C140" s="68">
        <v>56.061</v>
      </c>
      <c r="D140" s="68">
        <v>2</v>
      </c>
      <c r="E140" s="68" t="s">
        <v>494</v>
      </c>
    </row>
    <row r="141" spans="1:5">
      <c r="A141" s="68">
        <v>0.49509700000000001</v>
      </c>
      <c r="B141" s="68">
        <v>0.35913200000000001</v>
      </c>
      <c r="C141" s="68">
        <v>56.4711</v>
      </c>
      <c r="D141" s="68">
        <v>2</v>
      </c>
      <c r="E141" s="68" t="s">
        <v>495</v>
      </c>
    </row>
    <row r="142" spans="1:5">
      <c r="A142" s="68">
        <v>0.49304300000000001</v>
      </c>
      <c r="B142" s="68">
        <v>0.35677599999999998</v>
      </c>
      <c r="C142" s="68">
        <v>56.875900000000001</v>
      </c>
      <c r="D142" s="68">
        <v>2</v>
      </c>
      <c r="E142" s="68" t="s">
        <v>496</v>
      </c>
    </row>
    <row r="143" spans="1:5">
      <c r="A143" s="68">
        <v>0.49067100000000002</v>
      </c>
      <c r="B143" s="68">
        <v>0.35336000000000001</v>
      </c>
      <c r="C143" s="68">
        <v>57.279800000000002</v>
      </c>
      <c r="D143" s="68">
        <v>2</v>
      </c>
      <c r="E143" s="68" t="s">
        <v>497</v>
      </c>
    </row>
    <row r="144" spans="1:5">
      <c r="A144" s="68">
        <v>0.48807</v>
      </c>
      <c r="B144" s="68">
        <v>0.35089399999999998</v>
      </c>
      <c r="C144" s="68">
        <v>57.685499999999998</v>
      </c>
      <c r="D144" s="68">
        <v>2</v>
      </c>
      <c r="E144" s="68" t="s">
        <v>498</v>
      </c>
    </row>
    <row r="145" spans="1:5">
      <c r="A145" s="68">
        <v>0.48494799999999999</v>
      </c>
      <c r="B145" s="68">
        <v>0.35029199999999999</v>
      </c>
      <c r="C145" s="68">
        <v>58.095500000000001</v>
      </c>
      <c r="D145" s="68">
        <v>2</v>
      </c>
      <c r="E145" s="68" t="s">
        <v>499</v>
      </c>
    </row>
    <row r="146" spans="1:5">
      <c r="A146" s="68">
        <v>0.48140500000000003</v>
      </c>
      <c r="B146" s="68">
        <v>0.35020299999999999</v>
      </c>
      <c r="C146" s="68">
        <v>58.501600000000003</v>
      </c>
      <c r="D146" s="68">
        <v>2</v>
      </c>
      <c r="E146" s="68" t="s">
        <v>500</v>
      </c>
    </row>
    <row r="147" spans="1:5">
      <c r="A147" s="68">
        <v>0.47666999999999998</v>
      </c>
      <c r="B147" s="68">
        <v>0.35021200000000002</v>
      </c>
      <c r="C147" s="68">
        <v>58.903500000000001</v>
      </c>
      <c r="D147" s="68">
        <v>2</v>
      </c>
      <c r="E147" s="68" t="s">
        <v>501</v>
      </c>
    </row>
    <row r="148" spans="1:5">
      <c r="A148" s="68">
        <v>0.47150599999999998</v>
      </c>
      <c r="B148" s="68">
        <v>0.352329</v>
      </c>
      <c r="C148" s="68">
        <v>59.309399999999997</v>
      </c>
      <c r="D148" s="68">
        <v>2</v>
      </c>
      <c r="E148" s="68" t="s">
        <v>502</v>
      </c>
    </row>
    <row r="149" spans="1:5">
      <c r="A149" s="68">
        <v>0.46856599999999998</v>
      </c>
      <c r="B149" s="68">
        <v>0.35793199999999997</v>
      </c>
      <c r="C149" s="68">
        <v>59.714500000000001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353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293</v>
      </c>
      <c r="G1" s="66" t="s">
        <v>294</v>
      </c>
      <c r="H1" s="66" t="s">
        <v>509</v>
      </c>
      <c r="I1" s="66" t="s">
        <v>510</v>
      </c>
      <c r="J1" s="66" t="s">
        <v>511</v>
      </c>
      <c r="K1" s="66" t="s">
        <v>512</v>
      </c>
      <c r="L1" s="66" t="s">
        <v>513</v>
      </c>
      <c r="M1" s="66" t="s">
        <v>514</v>
      </c>
      <c r="N1" s="66"/>
    </row>
    <row r="2" spans="1:14">
      <c r="A2" s="75">
        <v>43608.413784722223</v>
      </c>
      <c r="B2" s="66" t="s">
        <v>505</v>
      </c>
      <c r="C2" s="66"/>
      <c r="D2" s="66"/>
      <c r="E2" s="66">
        <v>4.9234099999999996</v>
      </c>
      <c r="F2" s="66">
        <v>2.53965</v>
      </c>
      <c r="G2" s="66">
        <v>0.61511700000000002</v>
      </c>
      <c r="H2" s="66">
        <v>0</v>
      </c>
      <c r="I2" s="66">
        <v>150470</v>
      </c>
      <c r="J2" s="66">
        <v>140</v>
      </c>
      <c r="K2" s="66">
        <v>140</v>
      </c>
      <c r="L2" s="66">
        <v>6.7524100000000002</v>
      </c>
      <c r="M2" s="66" t="s">
        <v>515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2019-05-23T01:57:16Z</cp:lastPrinted>
  <dcterms:created xsi:type="dcterms:W3CDTF">2010-10-29T12:53:05Z</dcterms:created>
  <dcterms:modified xsi:type="dcterms:W3CDTF">2019-05-23T01:57:33Z</dcterms:modified>
</cp:coreProperties>
</file>