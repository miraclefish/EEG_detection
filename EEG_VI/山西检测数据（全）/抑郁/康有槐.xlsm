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H19" i="23"/>
  <c r="AH18" i="23"/>
  <c r="AF19" i="23"/>
  <c r="N7" i="23"/>
  <c r="AG18" i="23" l="1"/>
  <c r="X19" i="23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<sst xmlns="http://schemas.openxmlformats.org/spreadsheetml/2006/main" count="701" uniqueCount="573">
  <si>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</si>
  <si>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</si>
  <si>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</si>
  <si>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</si>
  <si>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</si>
  <si>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</si>
  <si>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</si>
  <si>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</si>
  <si>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</si>
  <si>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</si>
  <si>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</si>
  <si>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</si>
  <si>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</si>
  <si>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</si>
  <si>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</si>
  <si>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</si>
  <si>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</si>
  <si>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</si>
  <si>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</si>
  <si>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</si>
  <si>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</si>
  <si>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</si>
  <si>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</si>
  <si>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</si>
  <si>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</si>
  <si>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</si>
  <si>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</si>
  <si>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</si>
  <si>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</si>
  <si>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</si>
  <si>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</si>
  <si>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</si>
  <si>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</si>
  <si>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</si>
  <si>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</si>
  <si>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</si>
  <si>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</si>
  <si>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</si>
  <si>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</si>
  <si>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</si>
  <si>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</si>
  <si>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</si>
  <si>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</si>
  <si>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</si>
  <si>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</si>
  <si>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</si>
  <si>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</si>
  <si>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</si>
  <si>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</si>
  <si>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</si>
  <si>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</si>
  <si>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</si>
  <si>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</si>
  <si>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</si>
  <si>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</si>
  <si>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</si>
  <si>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</si>
  <si>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</si>
  <si>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</si>
  <si>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</si>
  <si>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</si>
  <si>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</si>
  <si>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</si>
  <si>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</si>
  <si>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</si>
  <si>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</si>
  <si>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</si>
  <si>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</si>
  <si>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</si>
  <si>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</si>
  <si>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</si>
  <si>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</si>
  <si>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</si>
  <si>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</si>
  <si>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</si>
  <si>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</si>
  <si>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</si>
  <si>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</si>
  <si>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</si>
  <si>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</si>
  <si>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</si>
  <si>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</si>
  <si>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</si>
  <si>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</si>
  <si>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</si>
  <si>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</si>
  <si>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</si>
  <si>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</si>
  <si>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</si>
  <si>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</si>
  <si>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</si>
  <si>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</si>
  <si>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</si>
  <si>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</si>
  <si>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</si>
  <si>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</si>
  <si>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</si>
  <si>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</si>
  <si>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</si>
  <si>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</si>
  <si>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</si>
  <si>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</si>
  <si>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</si>
  <si>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</si>
  <si>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</si>
  <si>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</si>
  <si>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</si>
  <si>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</si>
  <si>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</si>
  <si>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</si>
  <si>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</si>
  <si>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</si>
  <si>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</si>
  <si>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</si>
  <si>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</si>
  <si>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</si>
  <si>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</si>
  <si>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</si>
  <si>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</si>
  <si>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</si>
  <si>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</si>
  <si>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</si>
  <si>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</si>
  <si>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</si>
  <si>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</si>
  <si>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</si>
  <si>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</si>
  <si>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</si>
  <si>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</si>
  <si>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</si>
  <si>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</si>
  <si>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</si>
  <si>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</si>
  <si>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</si>
  <si>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</si>
  <si>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</si>
  <si>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</si>
  <si>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</si>
  <si>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</si>
  <si>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</si>
  <si>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</si>
  <si>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</si>
  <si>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</si>
  <si>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</si>
  <si>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</si>
  <si>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</si>
  <si>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</si>
  <si>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</si>
  <si>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</si>
  <si>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</si>
  <si>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</si>
  <si>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</si>
  <si>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</si>
  <si>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</si>
  <si>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</si>
  <si>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</si>
  <si>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</si>
  <si>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</si>
  <si>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</si>
  <si>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</si>
  <si>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</si>
  <si>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</si>
  <si>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</si>
  <si>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</si>
  <si>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</si>
  <si>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</si>
  <si>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</si>
  <si>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</si>
  <si>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</si>
  <si>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</si>
  <si>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</si>
  <si>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</si>
  <si>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</si>
  <si>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</si>
  <si>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</si>
  <si>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</si>
  <si>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</si>
  <si>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</si>
  <si>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</si>
  <si>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</si>
  <si>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</si>
  <si>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</si>
  <si>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</si>
  <si>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</si>
  <si>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</si>
  <si>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</si>
  <si>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</si>
  <si>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</si>
  <si>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</si>
  <si>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</si>
  <si>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</si>
  <si>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</si>
  <si>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</si>
  <si>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</si>
  <si>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</si>
  <si>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</si>
  <si>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</si>
  <si>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</si>
  <si>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</si>
  <si>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</si>
  <si>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</si>
  <si>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</si>
  <si>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</si>
  <si>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</si>
  <si>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</si>
  <si>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</si>
  <si>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</si>
  <si>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</si>
  <si>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</si>
  <si>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</si>
  <si>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</si>
  <si>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</si>
  <si>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</si>
  <si>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</si>
  <si>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</si>
  <si>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</si>
  <si>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</si>
  <si>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</si>
  <si>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</si>
  <si>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</si>
  <si>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</si>
  <si>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</si>
  <si>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</si>
  <si>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</si>
  <si>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</si>
  <si>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</si>
  <si>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</si>
  <si>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</si>
  <si>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</si>
  <si>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</si>
  <si>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</si>
  <si>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</si>
  <si>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</si>
  <si>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</si>
  <si>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</si>
  <si>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</si>
  <si>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</si>
  <si>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</si>
  <si>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</si>
  <si>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</si>
  <si>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</si>
  <si>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</si>
  <si>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</si>
  <si>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</si>
  <si>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</si>
  <si>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</si>
  <si>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</si>
  <si>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</si>
  <si>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</si>
  <si>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</si>
  <si>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</si>
  <si>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</si>
  <si>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</si>
  <si>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</si>
  <si>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</si>
  <si>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</si>
  <si>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</si>
  <si>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</si>
  <si>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</si>
  <si>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</si>
  <si>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</si>
  <si>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</si>
  <si>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</si>
  <si>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</si>
  <si>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</si>
  <si>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</si>
  <si>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</si>
  <si>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</si>
  <si>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</si>
  <si>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</si>
  <si>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</si>
  <si>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</si>
  <si>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</si>
  <si>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</si>
  <si>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</si>
  <si>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</si>
  <si>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</si>
  <si>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</si>
  <si>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</si>
  <si>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</si>
  <si>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</si>
  <si>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</si>
  <si>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</si>
  <si>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</si>
  <si>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</si>
  <si>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</si>
  <si>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</si>
  <si>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</si>
  <si>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</si>
  <si>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</si>
  <si>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</si>
  <si>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</si>
  <si>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</si>
  <si>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</si>
  <si>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</si>
  <si>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</si>
  <si>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</si>
  <si>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</si>
  <si>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</si>
  <si>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</si>
  <si>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</si>
  <si>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</si>
  <si>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</si>
  <si>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</si>
  <si>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</si>
  <si>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</si>
  <si>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</si>
  <si>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</si>
  <si>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</si>
  <si>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</si>
  <si>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</si>
  <si>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</si>
  <si>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</si>
  <si>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</si>
  <si>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</si>
  <si>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</si>
  <si>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</si>
  <si>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</si>
  <si>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</si>
  <si>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</si>
  <si>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</si>
  <si>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</si>
  <si>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</si>
  <si>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</si>
  <si>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</si>
  <si>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</si>
  <si>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</si>
  <si>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</si>
  <si>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</si>
  <si>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</si>
  <si>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</si>
  <si>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</si>
  <si>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</si>
  <si>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</si>
  <si>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</si>
  <si>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</si>
  <si>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</si>
  <si>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</si>
  <si>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</si>
  <si>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</si>
  <si>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</si>
  <si>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</si>
  <si>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</si>
  <si>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</si>
  <si>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</si>
  <si>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</si>
  <si>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</si>
  <si>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</si>
  <si>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</si>
  <si>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</si>
  <si>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</si>
  <si>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</si>
  <si>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</si>
  <si>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</si>
  <si>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</si>
  <si>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</si>
  <si>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</si>
  <si>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</si>
  <si>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</si>
  <si>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</si>
  <si>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</si>
  <si>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</si>
  <si>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</si>
  <si>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</si>
  <si>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</si>
  <si>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</si>
  <si>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</si>
  <si>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</si>
  <si>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</si>
  <si>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</si>
  <si>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</si>
  <si>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</si>
  <si>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</si>
  <si>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</si>
  <si>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</si>
  <si>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</si>
  <si>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</si>
  <si>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</si>
  <si>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</si>
  <si>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</si>
  <si>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</si>
  <si>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</si>
  <si>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</si>
  <si>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</si>
  <si>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</si>
  <si>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</si>
  <si>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</si>
  <si>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</si>
  <si>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</si>
  <si>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</si>
  <si>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</si>
  <si>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</si>
  <si>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</si>
  <si>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</si>
  <si>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</si>
  <si>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</si>
  <si>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</si>
  <si>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</si>
  <si>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</si>
  <si>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</si>
  <si>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</si>
  <si>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S</t>
    <phoneticPr fontId="29" type="noConversion"/>
  </si>
  <si>
    <t>Vi</t>
    <phoneticPr fontId="29" type="noConversion"/>
  </si>
  <si>
    <t>A1 (fast)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</si>
  <si>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</si>
  <si>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</si>
  <si>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</si>
  <si>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</si>
  <si>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</si>
  <si>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</si>
  <si>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</si>
  <si>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</si>
  <si>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[0.366887]</t>
  </si>
  <si>
    <t>1 [0.773915]</t>
  </si>
  <si>
    <t>1 [1.178790]</t>
  </si>
  <si>
    <t>1 [1.587581]</t>
  </si>
  <si>
    <t>1 [1.990387]</t>
  </si>
  <si>
    <t>1 [2.398464]</t>
  </si>
  <si>
    <t>1 [2.803158]</t>
  </si>
  <si>
    <t>1 [3.211279]</t>
  </si>
  <si>
    <t>1 [3.618484]</t>
  </si>
  <si>
    <t>1 [4.021034]</t>
  </si>
  <si>
    <t>1 [4.429045]</t>
  </si>
  <si>
    <t>1 [4.832703]</t>
  </si>
  <si>
    <t>1 [5.241137]</t>
  </si>
  <si>
    <t>1 [5.646502]</t>
  </si>
  <si>
    <t>1 [6.057594]</t>
  </si>
  <si>
    <t>1 [6.459587]</t>
  </si>
  <si>
    <t>1 [6.864380]</t>
  </si>
  <si>
    <t>1 [7.269406]</t>
  </si>
  <si>
    <t>1 [7.680336]</t>
  </si>
  <si>
    <t>1 [8.085679]</t>
  </si>
  <si>
    <t>1 [8.493615]</t>
  </si>
  <si>
    <t>1 [8.895998]</t>
  </si>
  <si>
    <t>1 [9.303398]</t>
  </si>
  <si>
    <t>1 [9.708353]</t>
  </si>
  <si>
    <t>1 [10.114377]</t>
  </si>
  <si>
    <t>1 [10.523161]</t>
  </si>
  <si>
    <t>1 [10.928748]</t>
  </si>
  <si>
    <t>1 [11.333530]</t>
  </si>
  <si>
    <t>1 [11.743409]</t>
  </si>
  <si>
    <t>1 [12.150258]</t>
  </si>
  <si>
    <t>1 [12.557245]</t>
  </si>
  <si>
    <t>1 [12.960121]</t>
  </si>
  <si>
    <t>1 [13.365058]</t>
  </si>
  <si>
    <t>1 [13.772142]</t>
  </si>
  <si>
    <t>1 [14.179939]</t>
  </si>
  <si>
    <t>1 [14.583408]</t>
  </si>
  <si>
    <t>1 [14.990333]</t>
  </si>
  <si>
    <t>1 [15.400707]</t>
  </si>
  <si>
    <t>1 [15.805533]</t>
  </si>
  <si>
    <t>1 [16.209563]</t>
  </si>
  <si>
    <t>1 [16.617345]</t>
  </si>
  <si>
    <t>1 [17.021146]</t>
  </si>
  <si>
    <t>1 [17.426246]</t>
  </si>
  <si>
    <t>1 [17.834486]</t>
  </si>
  <si>
    <t>1 [18.243043]</t>
  </si>
  <si>
    <t>1 [18.649919]</t>
  </si>
  <si>
    <t>1 [19.052459]</t>
  </si>
  <si>
    <t>1 [19.459775]</t>
  </si>
  <si>
    <t>1 [19.865853]</t>
  </si>
  <si>
    <t>1 [20.273636]</t>
  </si>
  <si>
    <t>1 [20.681647]</t>
  </si>
  <si>
    <t>1 [21.083341]</t>
  </si>
  <si>
    <t>1 [21.491402]</t>
  </si>
  <si>
    <t>1 [21.897549]</t>
  </si>
  <si>
    <t>1 [22.305154]</t>
  </si>
  <si>
    <t>1 [22.713107]</t>
  </si>
  <si>
    <t>1 [23.114898]</t>
  </si>
  <si>
    <t>1 [23.521842]</t>
  </si>
  <si>
    <t>1 [23.930484]</t>
  </si>
  <si>
    <t>1 [24.335924]</t>
  </si>
  <si>
    <t>1 [24.741314]</t>
  </si>
  <si>
    <t>1 [25.148578]</t>
  </si>
  <si>
    <t>1 [25.554712]</t>
  </si>
  <si>
    <t>1 [25.960510]</t>
  </si>
  <si>
    <t>1 [26.369556]</t>
  </si>
  <si>
    <t>1 [26.772213]</t>
  </si>
  <si>
    <t>1 [27.180136]</t>
  </si>
  <si>
    <t>1 [27.585425]</t>
  </si>
  <si>
    <t>1 [27.993168]</t>
  </si>
  <si>
    <t>1 [28.395980]</t>
  </si>
  <si>
    <t>1 [28.805803]</t>
  </si>
  <si>
    <t>1 [29.209669]</t>
  </si>
  <si>
    <t>1 [29.617567]</t>
  </si>
  <si>
    <t>2 [30.019567]</t>
  </si>
  <si>
    <t>2 [30.621996]</t>
  </si>
  <si>
    <t>2 [30.989370]</t>
  </si>
  <si>
    <t>2 [31.366000]</t>
  </si>
  <si>
    <t>2 [31.741034]</t>
  </si>
  <si>
    <t>2 [32.119368]</t>
  </si>
  <si>
    <t>2 [32.522979]</t>
  </si>
  <si>
    <t>2 [32.928913]</t>
  </si>
  <si>
    <t>2 [33.333777]</t>
  </si>
  <si>
    <t>2 [33.740838]</t>
  </si>
  <si>
    <t>2 [34.146937]</t>
  </si>
  <si>
    <t>2 [34.559528]</t>
  </si>
  <si>
    <t>2 [34.958688]</t>
  </si>
  <si>
    <t>2 [35.368734]</t>
  </si>
  <si>
    <t>2 [35.773400]</t>
  </si>
  <si>
    <t>2 [36.176707]</t>
  </si>
  <si>
    <t>2 [36.584242]</t>
  </si>
  <si>
    <t>2 [36.991996]</t>
  </si>
  <si>
    <t>2 [37.399313]</t>
  </si>
  <si>
    <t>2 [37.804826]</t>
  </si>
  <si>
    <t>2 [38.212682]</t>
  </si>
  <si>
    <t>2 [38.615680]</t>
  </si>
  <si>
    <t>2 [39.022531]</t>
  </si>
  <si>
    <t>2 [39.426345]</t>
  </si>
  <si>
    <t>2 [39.833842]</t>
  </si>
  <si>
    <t>2 [40.238422]</t>
  </si>
  <si>
    <t>2 [40.648451]</t>
  </si>
  <si>
    <t>2 [41.054079]</t>
  </si>
  <si>
    <t>2 [41.457875]</t>
  </si>
  <si>
    <t>2 [41.865051]</t>
  </si>
  <si>
    <t>2 [42.271934]</t>
  </si>
  <si>
    <t>2 [42.679794]</t>
  </si>
  <si>
    <t>2 [43.088762]</t>
  </si>
  <si>
    <t>2 [43.490648]</t>
  </si>
  <si>
    <t>2 [43.900555]</t>
  </si>
  <si>
    <t>2 [44.307420]</t>
  </si>
  <si>
    <t>2 [44.712347]</t>
  </si>
  <si>
    <t>2 [45.115206]</t>
  </si>
  <si>
    <t>2 [45.519691]</t>
  </si>
  <si>
    <t>2 [45.928482]</t>
  </si>
  <si>
    <t>2 [46.337000]</t>
  </si>
  <si>
    <t>2 [46.741825]</t>
  </si>
  <si>
    <t>2 [47.148810]</t>
  </si>
  <si>
    <t>2 [47.552900]</t>
  </si>
  <si>
    <t>2 [47.959858]</t>
  </si>
  <si>
    <t>2 [48.367656]</t>
  </si>
  <si>
    <t>2 [48.774740]</t>
  </si>
  <si>
    <t>2 [49.179384]</t>
  </si>
  <si>
    <t>2 [49.583419]</t>
  </si>
  <si>
    <t>2 [49.989157]</t>
  </si>
  <si>
    <t>2 [50.396233]</t>
  </si>
  <si>
    <t>2 [50.803648]</t>
  </si>
  <si>
    <t>2 [51.213935]</t>
  </si>
  <si>
    <t>2 [51.616770]</t>
  </si>
  <si>
    <t>2 [52.022872]</t>
  </si>
  <si>
    <t>2 [52.429689]</t>
  </si>
  <si>
    <t>2 [52.834707]</t>
  </si>
  <si>
    <t>2 [53.240600]</t>
  </si>
  <si>
    <t>2 [53.649440]</t>
  </si>
  <si>
    <t>2 [54.051445]</t>
  </si>
  <si>
    <t>2 [54.461297]</t>
  </si>
  <si>
    <t>2 [54.866063]</t>
  </si>
  <si>
    <t>2 [55.271442]</t>
  </si>
  <si>
    <t>2 [55.679993]</t>
  </si>
  <si>
    <t>2 [56.087991]</t>
  </si>
  <si>
    <t>2 [56.492749]</t>
  </si>
  <si>
    <t>2 [56.898820]</t>
  </si>
  <si>
    <t>2 [57.304679]</t>
  </si>
  <si>
    <t>2 [57.712524]</t>
  </si>
  <si>
    <t>2 [58.120544]</t>
  </si>
  <si>
    <t>2 [58.521416]</t>
  </si>
  <si>
    <t>2 [58.929261]</t>
  </si>
  <si>
    <t>2 [59.333786]</t>
  </si>
  <si>
    <t>2 [59.739295]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</si>
  <si>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</si>
  <si>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</si>
  <si>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</si>
  <si>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</si>
  <si>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</si>
  <si>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</si>
  <si>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</si>
  <si>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</si>
  <si>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</si>
  <si>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</si>
  <si>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</si>
  <si>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</si>
  <si>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男</t>
    <phoneticPr fontId="1" type="noConversion"/>
  </si>
  <si>
    <t>康有槐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</si>
</sst>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38.214100000000002</c:v>
                </c:pt>
                <c:pt idx="1">
                  <c:v>22.5806</c:v>
                </c:pt>
                <c:pt idx="2">
                  <c:v>26.249700000000001</c:v>
                </c:pt>
                <c:pt idx="3">
                  <c:v>27.899699999999999</c:v>
                </c:pt>
                <c:pt idx="4">
                  <c:v>75.536799999999999</c:v>
                </c:pt>
                <c:pt idx="5">
                  <c:v>79.205799999999996</c:v>
                </c:pt>
                <c:pt idx="6">
                  <c:v>28.276800000000001</c:v>
                </c:pt>
                <c:pt idx="7">
                  <c:v>77.445800000000006</c:v>
                </c:pt>
                <c:pt idx="8">
                  <c:v>18.646999999999998</c:v>
                </c:pt>
                <c:pt idx="9">
                  <c:v>32.176499999999997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0.54598419515683994</c:v>
                </c:pt>
                <c:pt idx="1">
                  <c:v>0.24094451745003684</c:v>
                </c:pt>
                <c:pt idx="2">
                  <c:v>0.2130712873931232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149</c:v>
                </c:pt>
                <c:pt idx="7">
                  <c:v>0</c:v>
                </c:pt>
                <c:pt idx="8">
                  <c:v>286</c:v>
                </c:pt>
                <c:pt idx="9">
                  <c:v>0</c:v>
                </c:pt>
                <c:pt idx="10">
                  <c:v>0</c:v>
                </c:pt>
                <c:pt idx="11">
                  <c:v>393</c:v>
                </c:pt>
                <c:pt idx="12">
                  <c:v>0</c:v>
                </c:pt>
                <c:pt idx="13">
                  <c:v>1263</c:v>
                </c:pt>
                <c:pt idx="14">
                  <c:v>0</c:v>
                </c:pt>
                <c:pt idx="15">
                  <c:v>0</c:v>
                </c:pt>
                <c:pt idx="16">
                  <c:v>5488</c:v>
                </c:pt>
                <c:pt idx="17">
                  <c:v>0</c:v>
                </c:pt>
                <c:pt idx="18">
                  <c:v>0</c:v>
                </c:pt>
                <c:pt idx="19">
                  <c:v>5964</c:v>
                </c:pt>
                <c:pt idx="20">
                  <c:v>0</c:v>
                </c:pt>
                <c:pt idx="21">
                  <c:v>7676</c:v>
                </c:pt>
                <c:pt idx="22">
                  <c:v>0</c:v>
                </c:pt>
                <c:pt idx="23">
                  <c:v>0</c:v>
                </c:pt>
                <c:pt idx="24">
                  <c:v>11286</c:v>
                </c:pt>
                <c:pt idx="25">
                  <c:v>0</c:v>
                </c:pt>
                <c:pt idx="26">
                  <c:v>16475</c:v>
                </c:pt>
                <c:pt idx="27">
                  <c:v>0</c:v>
                </c:pt>
                <c:pt idx="28">
                  <c:v>0</c:v>
                </c:pt>
                <c:pt idx="29">
                  <c:v>18996</c:v>
                </c:pt>
                <c:pt idx="30">
                  <c:v>0</c:v>
                </c:pt>
                <c:pt idx="31">
                  <c:v>23989</c:v>
                </c:pt>
                <c:pt idx="32">
                  <c:v>0</c:v>
                </c:pt>
                <c:pt idx="33">
                  <c:v>0</c:v>
                </c:pt>
                <c:pt idx="34">
                  <c:v>32648</c:v>
                </c:pt>
                <c:pt idx="35">
                  <c:v>0</c:v>
                </c:pt>
                <c:pt idx="36">
                  <c:v>0</c:v>
                </c:pt>
                <c:pt idx="37">
                  <c:v>43662</c:v>
                </c:pt>
                <c:pt idx="38">
                  <c:v>0</c:v>
                </c:pt>
                <c:pt idx="39">
                  <c:v>51780</c:v>
                </c:pt>
                <c:pt idx="40">
                  <c:v>0</c:v>
                </c:pt>
                <c:pt idx="41">
                  <c:v>0</c:v>
                </c:pt>
                <c:pt idx="42">
                  <c:v>69714</c:v>
                </c:pt>
                <c:pt idx="43">
                  <c:v>0</c:v>
                </c:pt>
                <c:pt idx="44">
                  <c:v>73403</c:v>
                </c:pt>
                <c:pt idx="45">
                  <c:v>0</c:v>
                </c:pt>
                <c:pt idx="46">
                  <c:v>0</c:v>
                </c:pt>
                <c:pt idx="47">
                  <c:v>74469</c:v>
                </c:pt>
                <c:pt idx="48">
                  <c:v>0</c:v>
                </c:pt>
                <c:pt idx="49">
                  <c:v>81802</c:v>
                </c:pt>
                <c:pt idx="50">
                  <c:v>0</c:v>
                </c:pt>
                <c:pt idx="51">
                  <c:v>0</c:v>
                </c:pt>
                <c:pt idx="52">
                  <c:v>86750</c:v>
                </c:pt>
                <c:pt idx="53">
                  <c:v>0</c:v>
                </c:pt>
                <c:pt idx="54">
                  <c:v>0</c:v>
                </c:pt>
                <c:pt idx="55">
                  <c:v>95359</c:v>
                </c:pt>
                <c:pt idx="56">
                  <c:v>0</c:v>
                </c:pt>
                <c:pt idx="57">
                  <c:v>103427</c:v>
                </c:pt>
                <c:pt idx="58">
                  <c:v>0</c:v>
                </c:pt>
                <c:pt idx="59">
                  <c:v>0</c:v>
                </c:pt>
                <c:pt idx="60">
                  <c:v>115979</c:v>
                </c:pt>
                <c:pt idx="61">
                  <c:v>0</c:v>
                </c:pt>
                <c:pt idx="62">
                  <c:v>124941</c:v>
                </c:pt>
                <c:pt idx="63">
                  <c:v>0</c:v>
                </c:pt>
                <c:pt idx="64">
                  <c:v>0</c:v>
                </c:pt>
                <c:pt idx="65">
                  <c:v>128101</c:v>
                </c:pt>
                <c:pt idx="66">
                  <c:v>0</c:v>
                </c:pt>
                <c:pt idx="67">
                  <c:v>137565</c:v>
                </c:pt>
                <c:pt idx="68">
                  <c:v>0</c:v>
                </c:pt>
                <c:pt idx="69">
                  <c:v>0</c:v>
                </c:pt>
                <c:pt idx="70">
                  <c:v>140599</c:v>
                </c:pt>
                <c:pt idx="71">
                  <c:v>0</c:v>
                </c:pt>
                <c:pt idx="72">
                  <c:v>0</c:v>
                </c:pt>
                <c:pt idx="73">
                  <c:v>155086</c:v>
                </c:pt>
                <c:pt idx="74">
                  <c:v>0</c:v>
                </c:pt>
                <c:pt idx="75">
                  <c:v>171257</c:v>
                </c:pt>
                <c:pt idx="76">
                  <c:v>0</c:v>
                </c:pt>
                <c:pt idx="77">
                  <c:v>0</c:v>
                </c:pt>
                <c:pt idx="78">
                  <c:v>180033</c:v>
                </c:pt>
                <c:pt idx="79">
                  <c:v>0</c:v>
                </c:pt>
                <c:pt idx="80">
                  <c:v>186907</c:v>
                </c:pt>
                <c:pt idx="81">
                  <c:v>0</c:v>
                </c:pt>
                <c:pt idx="82">
                  <c:v>0</c:v>
                </c:pt>
                <c:pt idx="83">
                  <c:v>201139</c:v>
                </c:pt>
                <c:pt idx="84">
                  <c:v>0</c:v>
                </c:pt>
                <c:pt idx="85">
                  <c:v>0</c:v>
                </c:pt>
                <c:pt idx="86">
                  <c:v>215234</c:v>
                </c:pt>
                <c:pt idx="87">
                  <c:v>0</c:v>
                </c:pt>
                <c:pt idx="88">
                  <c:v>231432</c:v>
                </c:pt>
                <c:pt idx="89">
                  <c:v>0</c:v>
                </c:pt>
                <c:pt idx="90">
                  <c:v>0</c:v>
                </c:pt>
                <c:pt idx="91">
                  <c:v>227765</c:v>
                </c:pt>
                <c:pt idx="92">
                  <c:v>0</c:v>
                </c:pt>
                <c:pt idx="93">
                  <c:v>253232</c:v>
                </c:pt>
                <c:pt idx="94">
                  <c:v>0</c:v>
                </c:pt>
                <c:pt idx="95">
                  <c:v>0</c:v>
                </c:pt>
                <c:pt idx="96">
                  <c:v>242790</c:v>
                </c:pt>
                <c:pt idx="97">
                  <c:v>0</c:v>
                </c:pt>
                <c:pt idx="98">
                  <c:v>260520</c:v>
                </c:pt>
                <c:pt idx="99">
                  <c:v>0</c:v>
                </c:pt>
                <c:pt idx="100">
                  <c:v>0</c:v>
                </c:pt>
                <c:pt idx="101">
                  <c:v>240306</c:v>
                </c:pt>
                <c:pt idx="102">
                  <c:v>0</c:v>
                </c:pt>
                <c:pt idx="103">
                  <c:v>0</c:v>
                </c:pt>
                <c:pt idx="104">
                  <c:v>255642</c:v>
                </c:pt>
                <c:pt idx="105">
                  <c:v>0</c:v>
                </c:pt>
                <c:pt idx="106">
                  <c:v>260886</c:v>
                </c:pt>
                <c:pt idx="107">
                  <c:v>0</c:v>
                </c:pt>
                <c:pt idx="108">
                  <c:v>0</c:v>
                </c:pt>
                <c:pt idx="109">
                  <c:v>274278</c:v>
                </c:pt>
                <c:pt idx="110">
                  <c:v>0</c:v>
                </c:pt>
                <c:pt idx="111">
                  <c:v>262726</c:v>
                </c:pt>
                <c:pt idx="112">
                  <c:v>0</c:v>
                </c:pt>
                <c:pt idx="113">
                  <c:v>0</c:v>
                </c:pt>
                <c:pt idx="114">
                  <c:v>269146</c:v>
                </c:pt>
                <c:pt idx="115">
                  <c:v>0</c:v>
                </c:pt>
                <c:pt idx="116">
                  <c:v>260089</c:v>
                </c:pt>
                <c:pt idx="117">
                  <c:v>0</c:v>
                </c:pt>
                <c:pt idx="118">
                  <c:v>0</c:v>
                </c:pt>
                <c:pt idx="119">
                  <c:v>249304</c:v>
                </c:pt>
                <c:pt idx="120">
                  <c:v>0</c:v>
                </c:pt>
                <c:pt idx="121">
                  <c:v>0</c:v>
                </c:pt>
                <c:pt idx="122">
                  <c:v>262287</c:v>
                </c:pt>
                <c:pt idx="123">
                  <c:v>0</c:v>
                </c:pt>
                <c:pt idx="124">
                  <c:v>250111</c:v>
                </c:pt>
                <c:pt idx="125">
                  <c:v>0</c:v>
                </c:pt>
                <c:pt idx="126">
                  <c:v>0</c:v>
                </c:pt>
                <c:pt idx="127">
                  <c:v>237941</c:v>
                </c:pt>
                <c:pt idx="128">
                  <c:v>0</c:v>
                </c:pt>
                <c:pt idx="129">
                  <c:v>235744</c:v>
                </c:pt>
                <c:pt idx="130">
                  <c:v>0</c:v>
                </c:pt>
                <c:pt idx="131">
                  <c:v>0</c:v>
                </c:pt>
                <c:pt idx="132">
                  <c:v>232230</c:v>
                </c:pt>
                <c:pt idx="133">
                  <c:v>0</c:v>
                </c:pt>
                <c:pt idx="134">
                  <c:v>216514</c:v>
                </c:pt>
                <c:pt idx="135">
                  <c:v>0</c:v>
                </c:pt>
                <c:pt idx="136">
                  <c:v>0</c:v>
                </c:pt>
                <c:pt idx="137">
                  <c:v>201460</c:v>
                </c:pt>
                <c:pt idx="138">
                  <c:v>0</c:v>
                </c:pt>
                <c:pt idx="139">
                  <c:v>0</c:v>
                </c:pt>
                <c:pt idx="140">
                  <c:v>207243</c:v>
                </c:pt>
                <c:pt idx="141">
                  <c:v>0</c:v>
                </c:pt>
                <c:pt idx="142">
                  <c:v>183145</c:v>
                </c:pt>
                <c:pt idx="143">
                  <c:v>0</c:v>
                </c:pt>
                <c:pt idx="144">
                  <c:v>0</c:v>
                </c:pt>
                <c:pt idx="145">
                  <c:v>159992</c:v>
                </c:pt>
                <c:pt idx="146">
                  <c:v>0</c:v>
                </c:pt>
                <c:pt idx="147">
                  <c:v>140820</c:v>
                </c:pt>
                <c:pt idx="148">
                  <c:v>0</c:v>
                </c:pt>
                <c:pt idx="149">
                  <c:v>0</c:v>
                </c:pt>
                <c:pt idx="150">
                  <c:v>123905</c:v>
                </c:pt>
                <c:pt idx="151">
                  <c:v>0</c:v>
                </c:pt>
                <c:pt idx="152">
                  <c:v>95297</c:v>
                </c:pt>
                <c:pt idx="153">
                  <c:v>0</c:v>
                </c:pt>
                <c:pt idx="154">
                  <c:v>0</c:v>
                </c:pt>
                <c:pt idx="155">
                  <c:v>83652</c:v>
                </c:pt>
                <c:pt idx="156">
                  <c:v>0</c:v>
                </c:pt>
                <c:pt idx="157">
                  <c:v>0</c:v>
                </c:pt>
                <c:pt idx="158">
                  <c:v>69341</c:v>
                </c:pt>
                <c:pt idx="159">
                  <c:v>0</c:v>
                </c:pt>
                <c:pt idx="160">
                  <c:v>62153</c:v>
                </c:pt>
                <c:pt idx="161">
                  <c:v>0</c:v>
                </c:pt>
                <c:pt idx="162">
                  <c:v>0</c:v>
                </c:pt>
                <c:pt idx="163">
                  <c:v>48805</c:v>
                </c:pt>
                <c:pt idx="164">
                  <c:v>0</c:v>
                </c:pt>
                <c:pt idx="165">
                  <c:v>45006</c:v>
                </c:pt>
                <c:pt idx="166">
                  <c:v>0</c:v>
                </c:pt>
                <c:pt idx="167">
                  <c:v>0</c:v>
                </c:pt>
                <c:pt idx="168">
                  <c:v>42037</c:v>
                </c:pt>
                <c:pt idx="169">
                  <c:v>0</c:v>
                </c:pt>
                <c:pt idx="170">
                  <c:v>0</c:v>
                </c:pt>
                <c:pt idx="171">
                  <c:v>38044</c:v>
                </c:pt>
                <c:pt idx="172">
                  <c:v>0</c:v>
                </c:pt>
                <c:pt idx="173">
                  <c:v>28842</c:v>
                </c:pt>
                <c:pt idx="174">
                  <c:v>0</c:v>
                </c:pt>
                <c:pt idx="175">
                  <c:v>0</c:v>
                </c:pt>
                <c:pt idx="176">
                  <c:v>22466</c:v>
                </c:pt>
                <c:pt idx="177">
                  <c:v>0</c:v>
                </c:pt>
                <c:pt idx="178">
                  <c:v>17333</c:v>
                </c:pt>
                <c:pt idx="179">
                  <c:v>0</c:v>
                </c:pt>
                <c:pt idx="180">
                  <c:v>0</c:v>
                </c:pt>
                <c:pt idx="181">
                  <c:v>15467</c:v>
                </c:pt>
                <c:pt idx="182">
                  <c:v>0</c:v>
                </c:pt>
                <c:pt idx="183">
                  <c:v>13833</c:v>
                </c:pt>
                <c:pt idx="184">
                  <c:v>0</c:v>
                </c:pt>
                <c:pt idx="185">
                  <c:v>0</c:v>
                </c:pt>
                <c:pt idx="186">
                  <c:v>12609</c:v>
                </c:pt>
                <c:pt idx="187">
                  <c:v>0</c:v>
                </c:pt>
                <c:pt idx="188">
                  <c:v>0</c:v>
                </c:pt>
                <c:pt idx="189">
                  <c:v>6335</c:v>
                </c:pt>
                <c:pt idx="190">
                  <c:v>0</c:v>
                </c:pt>
                <c:pt idx="191">
                  <c:v>5057</c:v>
                </c:pt>
                <c:pt idx="192">
                  <c:v>0</c:v>
                </c:pt>
                <c:pt idx="193">
                  <c:v>0</c:v>
                </c:pt>
                <c:pt idx="194">
                  <c:v>3817</c:v>
                </c:pt>
                <c:pt idx="195">
                  <c:v>0</c:v>
                </c:pt>
                <c:pt idx="196">
                  <c:v>2284</c:v>
                </c:pt>
                <c:pt idx="197">
                  <c:v>0</c:v>
                </c:pt>
                <c:pt idx="198">
                  <c:v>0</c:v>
                </c:pt>
                <c:pt idx="199">
                  <c:v>1094</c:v>
                </c:pt>
                <c:pt idx="200">
                  <c:v>0</c:v>
                </c:pt>
                <c:pt idx="201">
                  <c:v>374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2.1557599999999999</c:v>
                </c:pt>
                <c:pt idx="1">
                  <c:v>2.1887599999999998</c:v>
                </c:pt>
                <c:pt idx="2">
                  <c:v>2.22078</c:v>
                </c:pt>
                <c:pt idx="3">
                  <c:v>2.25135</c:v>
                </c:pt>
                <c:pt idx="4">
                  <c:v>2.2803800000000001</c:v>
                </c:pt>
                <c:pt idx="5">
                  <c:v>2.3091699999999999</c:v>
                </c:pt>
                <c:pt idx="6">
                  <c:v>2.3403900000000002</c:v>
                </c:pt>
                <c:pt idx="7">
                  <c:v>2.3717800000000002</c:v>
                </c:pt>
                <c:pt idx="8">
                  <c:v>2.4035699999999998</c:v>
                </c:pt>
                <c:pt idx="9">
                  <c:v>2.4356100000000001</c:v>
                </c:pt>
                <c:pt idx="10">
                  <c:v>2.4662800000000002</c:v>
                </c:pt>
                <c:pt idx="11">
                  <c:v>2.4974599999999998</c:v>
                </c:pt>
                <c:pt idx="12">
                  <c:v>2.5293100000000002</c:v>
                </c:pt>
                <c:pt idx="13">
                  <c:v>2.5637700000000003</c:v>
                </c:pt>
                <c:pt idx="14">
                  <c:v>2.60141</c:v>
                </c:pt>
                <c:pt idx="15">
                  <c:v>2.6413500000000001</c:v>
                </c:pt>
                <c:pt idx="16">
                  <c:v>2.6798100000000002</c:v>
                </c:pt>
                <c:pt idx="17">
                  <c:v>2.7165600000000003</c:v>
                </c:pt>
                <c:pt idx="18">
                  <c:v>2.7542400000000002</c:v>
                </c:pt>
                <c:pt idx="19">
                  <c:v>2.7929700000000004</c:v>
                </c:pt>
                <c:pt idx="20">
                  <c:v>2.8348499999999999</c:v>
                </c:pt>
                <c:pt idx="21">
                  <c:v>2.8803700000000001</c:v>
                </c:pt>
                <c:pt idx="22">
                  <c:v>2.9292499999999997</c:v>
                </c:pt>
                <c:pt idx="23">
                  <c:v>2.9813099999999997</c:v>
                </c:pt>
                <c:pt idx="24">
                  <c:v>3.0337999999999998</c:v>
                </c:pt>
                <c:pt idx="25">
                  <c:v>3.0863499999999999</c:v>
                </c:pt>
                <c:pt idx="26">
                  <c:v>3.1375999999999999</c:v>
                </c:pt>
                <c:pt idx="27">
                  <c:v>3.1898200000000001</c:v>
                </c:pt>
                <c:pt idx="28">
                  <c:v>3.2440000000000002</c:v>
                </c:pt>
                <c:pt idx="29">
                  <c:v>3.3022400000000003</c:v>
                </c:pt>
                <c:pt idx="30">
                  <c:v>3.3585700000000003</c:v>
                </c:pt>
                <c:pt idx="31">
                  <c:v>3.4110800000000001</c:v>
                </c:pt>
                <c:pt idx="32">
                  <c:v>3.4641199999999999</c:v>
                </c:pt>
                <c:pt idx="33">
                  <c:v>3.5170000000000003</c:v>
                </c:pt>
                <c:pt idx="34">
                  <c:v>3.5724400000000003</c:v>
                </c:pt>
                <c:pt idx="35">
                  <c:v>3.62202</c:v>
                </c:pt>
                <c:pt idx="36">
                  <c:v>3.6722700000000001</c:v>
                </c:pt>
                <c:pt idx="37">
                  <c:v>3.7192699999999999</c:v>
                </c:pt>
                <c:pt idx="38">
                  <c:v>3.7637900000000002</c:v>
                </c:pt>
                <c:pt idx="39">
                  <c:v>3.80342</c:v>
                </c:pt>
                <c:pt idx="40">
                  <c:v>3.8403300000000002</c:v>
                </c:pt>
                <c:pt idx="41">
                  <c:v>3.8768799999999999</c:v>
                </c:pt>
                <c:pt idx="42">
                  <c:v>3.9129000000000005</c:v>
                </c:pt>
                <c:pt idx="43">
                  <c:v>3.9447700000000001</c:v>
                </c:pt>
                <c:pt idx="44">
                  <c:v>3.9693800000000001</c:v>
                </c:pt>
                <c:pt idx="45">
                  <c:v>3.9883800000000003</c:v>
                </c:pt>
                <c:pt idx="46">
                  <c:v>4.0010899999999996</c:v>
                </c:pt>
                <c:pt idx="47">
                  <c:v>4.0091099999999997</c:v>
                </c:pt>
                <c:pt idx="48">
                  <c:v>4.0145799999999996</c:v>
                </c:pt>
                <c:pt idx="49">
                  <c:v>4.0198200000000002</c:v>
                </c:pt>
                <c:pt idx="50">
                  <c:v>4.0260099999999994</c:v>
                </c:pt>
                <c:pt idx="51">
                  <c:v>4.0295699999999997</c:v>
                </c:pt>
                <c:pt idx="52">
                  <c:v>4.0307700000000004</c:v>
                </c:pt>
                <c:pt idx="53">
                  <c:v>4.0266900000000003</c:v>
                </c:pt>
                <c:pt idx="54">
                  <c:v>4.0163900000000003</c:v>
                </c:pt>
                <c:pt idx="55">
                  <c:v>4.0028799999999993</c:v>
                </c:pt>
                <c:pt idx="56">
                  <c:v>3.9893099999999997</c:v>
                </c:pt>
                <c:pt idx="57">
                  <c:v>3.9755699999999998</c:v>
                </c:pt>
                <c:pt idx="58">
                  <c:v>3.9654299999999996</c:v>
                </c:pt>
                <c:pt idx="59">
                  <c:v>3.9551500000000002</c:v>
                </c:pt>
                <c:pt idx="60">
                  <c:v>3.9528099999999999</c:v>
                </c:pt>
                <c:pt idx="61">
                  <c:v>3.9508999999999999</c:v>
                </c:pt>
                <c:pt idx="62">
                  <c:v>3.9522300000000001</c:v>
                </c:pt>
                <c:pt idx="63">
                  <c:v>3.9573399999999999</c:v>
                </c:pt>
                <c:pt idx="64">
                  <c:v>3.9673999999999996</c:v>
                </c:pt>
                <c:pt idx="65">
                  <c:v>3.9818799999999999</c:v>
                </c:pt>
                <c:pt idx="66">
                  <c:v>4.0032699999999997</c:v>
                </c:pt>
                <c:pt idx="67">
                  <c:v>4.0292499999999993</c:v>
                </c:pt>
                <c:pt idx="68">
                  <c:v>4.0619300000000003</c:v>
                </c:pt>
                <c:pt idx="69">
                  <c:v>4.1027300000000002</c:v>
                </c:pt>
                <c:pt idx="70">
                  <c:v>4.1479600000000003</c:v>
                </c:pt>
                <c:pt idx="71">
                  <c:v>4.1962599999999997</c:v>
                </c:pt>
                <c:pt idx="72">
                  <c:v>4.2465999999999999</c:v>
                </c:pt>
                <c:pt idx="73">
                  <c:v>4.2968500000000001</c:v>
                </c:pt>
                <c:pt idx="74">
                  <c:v>4.3520199999999996</c:v>
                </c:pt>
                <c:pt idx="75">
                  <c:v>4.4350800000000001</c:v>
                </c:pt>
                <c:pt idx="76">
                  <c:v>4.5024199999999999</c:v>
                </c:pt>
                <c:pt idx="77">
                  <c:v>4.57294</c:v>
                </c:pt>
                <c:pt idx="78">
                  <c:v>4.6486599999999996</c:v>
                </c:pt>
                <c:pt idx="79">
                  <c:v>4.7190799999999999</c:v>
                </c:pt>
                <c:pt idx="80">
                  <c:v>4.7812200000000002</c:v>
                </c:pt>
                <c:pt idx="81">
                  <c:v>4.8365900000000002</c:v>
                </c:pt>
                <c:pt idx="82">
                  <c:v>4.8848200000000004</c:v>
                </c:pt>
                <c:pt idx="83">
                  <c:v>4.9268099999999997</c:v>
                </c:pt>
                <c:pt idx="84">
                  <c:v>4.9629500000000002</c:v>
                </c:pt>
                <c:pt idx="85">
                  <c:v>4.9972499999999993</c:v>
                </c:pt>
                <c:pt idx="86">
                  <c:v>5.0287000000000006</c:v>
                </c:pt>
                <c:pt idx="87">
                  <c:v>5.0583599999999995</c:v>
                </c:pt>
                <c:pt idx="88">
                  <c:v>5.0835399999999993</c:v>
                </c:pt>
                <c:pt idx="89">
                  <c:v>5.1037699999999999</c:v>
                </c:pt>
                <c:pt idx="90">
                  <c:v>5.1177200000000003</c:v>
                </c:pt>
                <c:pt idx="91">
                  <c:v>5.1266100000000003</c:v>
                </c:pt>
                <c:pt idx="92">
                  <c:v>5.1319300000000005</c:v>
                </c:pt>
                <c:pt idx="93">
                  <c:v>5.1331300000000004</c:v>
                </c:pt>
                <c:pt idx="94">
                  <c:v>5.1311999999999998</c:v>
                </c:pt>
                <c:pt idx="95">
                  <c:v>5.1270899999999999</c:v>
                </c:pt>
                <c:pt idx="96">
                  <c:v>5.1209699999999998</c:v>
                </c:pt>
                <c:pt idx="97">
                  <c:v>5.1128900000000002</c:v>
                </c:pt>
                <c:pt idx="98">
                  <c:v>5.0995800000000004</c:v>
                </c:pt>
                <c:pt idx="99">
                  <c:v>5.0790900000000008</c:v>
                </c:pt>
                <c:pt idx="100">
                  <c:v>5.0532500000000002</c:v>
                </c:pt>
                <c:pt idx="101">
                  <c:v>5.0194700000000001</c:v>
                </c:pt>
                <c:pt idx="102">
                  <c:v>4.9797900000000004</c:v>
                </c:pt>
                <c:pt idx="103">
                  <c:v>4.9351000000000003</c:v>
                </c:pt>
                <c:pt idx="104">
                  <c:v>4.8902200000000002</c:v>
                </c:pt>
                <c:pt idx="105">
                  <c:v>4.8472100000000005</c:v>
                </c:pt>
                <c:pt idx="106">
                  <c:v>4.80572</c:v>
                </c:pt>
                <c:pt idx="107">
                  <c:v>4.7643699999999995</c:v>
                </c:pt>
                <c:pt idx="108">
                  <c:v>4.7217900000000004</c:v>
                </c:pt>
                <c:pt idx="109">
                  <c:v>4.6781299999999995</c:v>
                </c:pt>
                <c:pt idx="110">
                  <c:v>4.6316600000000001</c:v>
                </c:pt>
                <c:pt idx="111">
                  <c:v>4.5840300000000003</c:v>
                </c:pt>
                <c:pt idx="112">
                  <c:v>4.5338899999999995</c:v>
                </c:pt>
                <c:pt idx="113">
                  <c:v>4.4839700000000002</c:v>
                </c:pt>
                <c:pt idx="114">
                  <c:v>4.4340799999999998</c:v>
                </c:pt>
                <c:pt idx="115">
                  <c:v>4.3857600000000003</c:v>
                </c:pt>
                <c:pt idx="116">
                  <c:v>4.3402400000000005</c:v>
                </c:pt>
                <c:pt idx="117">
                  <c:v>4.2954799999999995</c:v>
                </c:pt>
                <c:pt idx="118">
                  <c:v>4.2519900000000002</c:v>
                </c:pt>
                <c:pt idx="119">
                  <c:v>4.2090800000000002</c:v>
                </c:pt>
                <c:pt idx="120">
                  <c:v>4.1661799999999998</c:v>
                </c:pt>
                <c:pt idx="121">
                  <c:v>4.1227399999999994</c:v>
                </c:pt>
                <c:pt idx="122">
                  <c:v>4.0788600000000006</c:v>
                </c:pt>
                <c:pt idx="123">
                  <c:v>4.0364000000000004</c:v>
                </c:pt>
                <c:pt idx="124">
                  <c:v>4.0085899999999999</c:v>
                </c:pt>
                <c:pt idx="125">
                  <c:v>3.9815899999999997</c:v>
                </c:pt>
                <c:pt idx="126">
                  <c:v>3.95505</c:v>
                </c:pt>
                <c:pt idx="127">
                  <c:v>3.9284400000000002</c:v>
                </c:pt>
                <c:pt idx="128">
                  <c:v>3.8977200000000001</c:v>
                </c:pt>
                <c:pt idx="129">
                  <c:v>3.8645700000000001</c:v>
                </c:pt>
                <c:pt idx="130">
                  <c:v>3.8308499999999999</c:v>
                </c:pt>
                <c:pt idx="131">
                  <c:v>3.7939299999999996</c:v>
                </c:pt>
                <c:pt idx="132">
                  <c:v>3.75563</c:v>
                </c:pt>
                <c:pt idx="133">
                  <c:v>3.7201200000000001</c:v>
                </c:pt>
                <c:pt idx="134">
                  <c:v>3.6859399999999996</c:v>
                </c:pt>
                <c:pt idx="135">
                  <c:v>3.6501000000000001</c:v>
                </c:pt>
                <c:pt idx="136">
                  <c:v>3.6133799999999998</c:v>
                </c:pt>
                <c:pt idx="137">
                  <c:v>3.5823300000000002</c:v>
                </c:pt>
                <c:pt idx="138">
                  <c:v>3.5543499999999999</c:v>
                </c:pt>
                <c:pt idx="139">
                  <c:v>3.5364</c:v>
                </c:pt>
                <c:pt idx="140">
                  <c:v>3.5296599999999998</c:v>
                </c:pt>
                <c:pt idx="141">
                  <c:v>3.5206999999999997</c:v>
                </c:pt>
                <c:pt idx="142">
                  <c:v>3.5146300000000004</c:v>
                </c:pt>
                <c:pt idx="143">
                  <c:v>3.5103299999999997</c:v>
                </c:pt>
                <c:pt idx="144">
                  <c:v>3.4990100000000002</c:v>
                </c:pt>
                <c:pt idx="145">
                  <c:v>3.4840599999999999</c:v>
                </c:pt>
                <c:pt idx="146">
                  <c:v>3.4597899999999999</c:v>
                </c:pt>
                <c:pt idx="147">
                  <c:v>3.4246700000000003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67.322199999999995</c:v>
                </c:pt>
                <c:pt idx="1">
                  <c:v>67.273300000000006</c:v>
                </c:pt>
                <c:pt idx="2">
                  <c:v>67.152900000000002</c:v>
                </c:pt>
                <c:pt idx="3">
                  <c:v>66.899000000000001</c:v>
                </c:pt>
                <c:pt idx="4">
                  <c:v>66.479699999999994</c:v>
                </c:pt>
                <c:pt idx="5">
                  <c:v>65.97</c:v>
                </c:pt>
                <c:pt idx="6">
                  <c:v>65.317099999999996</c:v>
                </c:pt>
                <c:pt idx="7">
                  <c:v>64.644599999999997</c:v>
                </c:pt>
                <c:pt idx="8">
                  <c:v>63.986699999999999</c:v>
                </c:pt>
                <c:pt idx="9">
                  <c:v>63.302</c:v>
                </c:pt>
                <c:pt idx="10">
                  <c:v>62.621899999999997</c:v>
                </c:pt>
                <c:pt idx="11">
                  <c:v>61.935099999999998</c:v>
                </c:pt>
                <c:pt idx="12">
                  <c:v>61.216400000000007</c:v>
                </c:pt>
                <c:pt idx="13">
                  <c:v>60.487299999999998</c:v>
                </c:pt>
                <c:pt idx="14">
                  <c:v>59.685600000000008</c:v>
                </c:pt>
                <c:pt idx="15">
                  <c:v>58.871899999999997</c:v>
                </c:pt>
                <c:pt idx="16">
                  <c:v>58.199400000000004</c:v>
                </c:pt>
                <c:pt idx="17">
                  <c:v>57.677700000000002</c:v>
                </c:pt>
                <c:pt idx="18">
                  <c:v>57.196899999999992</c:v>
                </c:pt>
                <c:pt idx="19">
                  <c:v>56.664800000000007</c:v>
                </c:pt>
                <c:pt idx="20">
                  <c:v>56.069199999999995</c:v>
                </c:pt>
                <c:pt idx="21">
                  <c:v>55.391500000000008</c:v>
                </c:pt>
                <c:pt idx="22">
                  <c:v>54.597799999999999</c:v>
                </c:pt>
                <c:pt idx="23">
                  <c:v>53.752400000000002</c:v>
                </c:pt>
                <c:pt idx="24">
                  <c:v>52.997199999999999</c:v>
                </c:pt>
                <c:pt idx="25">
                  <c:v>52.274799999999999</c:v>
                </c:pt>
                <c:pt idx="26">
                  <c:v>51.664900000000003</c:v>
                </c:pt>
                <c:pt idx="27">
                  <c:v>51.100999999999999</c:v>
                </c:pt>
                <c:pt idx="28">
                  <c:v>50.585800000000006</c:v>
                </c:pt>
                <c:pt idx="29">
                  <c:v>49.977800000000002</c:v>
                </c:pt>
                <c:pt idx="30">
                  <c:v>49.380299999999998</c:v>
                </c:pt>
                <c:pt idx="31">
                  <c:v>48.8187</c:v>
                </c:pt>
                <c:pt idx="32">
                  <c:v>48.2898</c:v>
                </c:pt>
                <c:pt idx="33">
                  <c:v>47.838900000000002</c:v>
                </c:pt>
                <c:pt idx="34">
                  <c:v>47.552799999999998</c:v>
                </c:pt>
                <c:pt idx="35">
                  <c:v>47.433100000000003</c:v>
                </c:pt>
                <c:pt idx="36">
                  <c:v>47.3874</c:v>
                </c:pt>
                <c:pt idx="37">
                  <c:v>47.438699999999997</c:v>
                </c:pt>
                <c:pt idx="38">
                  <c:v>47.4465</c:v>
                </c:pt>
                <c:pt idx="39">
                  <c:v>47.436799999999998</c:v>
                </c:pt>
                <c:pt idx="40">
                  <c:v>47.402000000000001</c:v>
                </c:pt>
                <c:pt idx="41">
                  <c:v>47.420499999999997</c:v>
                </c:pt>
                <c:pt idx="42">
                  <c:v>47.514299999999999</c:v>
                </c:pt>
                <c:pt idx="43">
                  <c:v>47.622100000000003</c:v>
                </c:pt>
                <c:pt idx="44">
                  <c:v>47.678199999999997</c:v>
                </c:pt>
                <c:pt idx="45">
                  <c:v>47.629199999999997</c:v>
                </c:pt>
                <c:pt idx="46">
                  <c:v>47.521999999999998</c:v>
                </c:pt>
                <c:pt idx="47">
                  <c:v>47.360700000000001</c:v>
                </c:pt>
                <c:pt idx="48">
                  <c:v>47.125699999999995</c:v>
                </c:pt>
                <c:pt idx="49">
                  <c:v>46.857500000000002</c:v>
                </c:pt>
                <c:pt idx="50">
                  <c:v>46.688000000000002</c:v>
                </c:pt>
                <c:pt idx="51">
                  <c:v>46.440799999999996</c:v>
                </c:pt>
                <c:pt idx="52">
                  <c:v>46.104199999999999</c:v>
                </c:pt>
                <c:pt idx="53">
                  <c:v>45.715400000000002</c:v>
                </c:pt>
                <c:pt idx="54">
                  <c:v>45.359100000000005</c:v>
                </c:pt>
                <c:pt idx="55">
                  <c:v>45.134900000000002</c:v>
                </c:pt>
                <c:pt idx="56">
                  <c:v>45.052700000000002</c:v>
                </c:pt>
                <c:pt idx="57">
                  <c:v>45.054899999999996</c:v>
                </c:pt>
                <c:pt idx="58">
                  <c:v>45.104499999999994</c:v>
                </c:pt>
                <c:pt idx="59">
                  <c:v>45.091500000000003</c:v>
                </c:pt>
                <c:pt idx="60">
                  <c:v>45.055900000000001</c:v>
                </c:pt>
                <c:pt idx="61">
                  <c:v>44.994599999999998</c:v>
                </c:pt>
                <c:pt idx="62">
                  <c:v>44.999699999999997</c:v>
                </c:pt>
                <c:pt idx="63">
                  <c:v>45.034700000000001</c:v>
                </c:pt>
                <c:pt idx="64">
                  <c:v>45.076999999999998</c:v>
                </c:pt>
                <c:pt idx="65">
                  <c:v>45.137300000000003</c:v>
                </c:pt>
                <c:pt idx="66">
                  <c:v>45.106299999999997</c:v>
                </c:pt>
                <c:pt idx="67">
                  <c:v>44.981700000000004</c:v>
                </c:pt>
                <c:pt idx="68">
                  <c:v>44.768900000000002</c:v>
                </c:pt>
                <c:pt idx="69">
                  <c:v>44.573599999999999</c:v>
                </c:pt>
                <c:pt idx="70">
                  <c:v>44.426400000000001</c:v>
                </c:pt>
                <c:pt idx="71">
                  <c:v>44.372199999999999</c:v>
                </c:pt>
                <c:pt idx="72">
                  <c:v>44.432200000000002</c:v>
                </c:pt>
                <c:pt idx="73">
                  <c:v>44.580599999999997</c:v>
                </c:pt>
                <c:pt idx="74">
                  <c:v>44.635100000000001</c:v>
                </c:pt>
                <c:pt idx="75">
                  <c:v>44.556100000000001</c:v>
                </c:pt>
                <c:pt idx="76">
                  <c:v>44.484299999999998</c:v>
                </c:pt>
                <c:pt idx="77">
                  <c:v>44.439700000000002</c:v>
                </c:pt>
                <c:pt idx="78">
                  <c:v>44.424999999999997</c:v>
                </c:pt>
                <c:pt idx="79">
                  <c:v>44.726500000000001</c:v>
                </c:pt>
                <c:pt idx="80">
                  <c:v>45.356499999999997</c:v>
                </c:pt>
                <c:pt idx="81">
                  <c:v>46.165399999999998</c:v>
                </c:pt>
                <c:pt idx="82">
                  <c:v>47.062599999999996</c:v>
                </c:pt>
                <c:pt idx="83">
                  <c:v>48.005499999999998</c:v>
                </c:pt>
                <c:pt idx="84">
                  <c:v>48.881300000000003</c:v>
                </c:pt>
                <c:pt idx="85">
                  <c:v>49.695799999999998</c:v>
                </c:pt>
                <c:pt idx="86">
                  <c:v>50.474499999999999</c:v>
                </c:pt>
                <c:pt idx="87">
                  <c:v>51.2682</c:v>
                </c:pt>
                <c:pt idx="88">
                  <c:v>52.069299999999998</c:v>
                </c:pt>
                <c:pt idx="89">
                  <c:v>52.853000000000009</c:v>
                </c:pt>
                <c:pt idx="90">
                  <c:v>53.532500000000006</c:v>
                </c:pt>
                <c:pt idx="91">
                  <c:v>54.086100000000002</c:v>
                </c:pt>
                <c:pt idx="92">
                  <c:v>54.543699999999994</c:v>
                </c:pt>
                <c:pt idx="93">
                  <c:v>54.869299999999996</c:v>
                </c:pt>
                <c:pt idx="94">
                  <c:v>55.115499999999997</c:v>
                </c:pt>
                <c:pt idx="95">
                  <c:v>55.289200000000008</c:v>
                </c:pt>
                <c:pt idx="96">
                  <c:v>55.3979</c:v>
                </c:pt>
                <c:pt idx="97">
                  <c:v>55.482799999999997</c:v>
                </c:pt>
                <c:pt idx="98">
                  <c:v>55.443299999999994</c:v>
                </c:pt>
                <c:pt idx="99">
                  <c:v>55.298499999999997</c:v>
                </c:pt>
                <c:pt idx="100">
                  <c:v>55.0809</c:v>
                </c:pt>
                <c:pt idx="101">
                  <c:v>54.926499999999997</c:v>
                </c:pt>
                <c:pt idx="102">
                  <c:v>54.863300000000002</c:v>
                </c:pt>
                <c:pt idx="103">
                  <c:v>55.028299999999994</c:v>
                </c:pt>
                <c:pt idx="104">
                  <c:v>55.212899999999998</c:v>
                </c:pt>
                <c:pt idx="105">
                  <c:v>55.358600000000003</c:v>
                </c:pt>
                <c:pt idx="106">
                  <c:v>55.512399999999992</c:v>
                </c:pt>
                <c:pt idx="107">
                  <c:v>55.622300000000003</c:v>
                </c:pt>
                <c:pt idx="108">
                  <c:v>55.6526</c:v>
                </c:pt>
                <c:pt idx="109">
                  <c:v>55.695700000000002</c:v>
                </c:pt>
                <c:pt idx="110">
                  <c:v>55.832800000000006</c:v>
                </c:pt>
                <c:pt idx="111">
                  <c:v>56.025100000000009</c:v>
                </c:pt>
                <c:pt idx="112">
                  <c:v>56.165100000000002</c:v>
                </c:pt>
                <c:pt idx="113">
                  <c:v>56.195799999999998</c:v>
                </c:pt>
                <c:pt idx="114">
                  <c:v>56.052</c:v>
                </c:pt>
                <c:pt idx="115">
                  <c:v>55.772399999999998</c:v>
                </c:pt>
                <c:pt idx="116">
                  <c:v>55.517200000000003</c:v>
                </c:pt>
                <c:pt idx="117">
                  <c:v>55.276499999999999</c:v>
                </c:pt>
                <c:pt idx="118">
                  <c:v>55.063099999999999</c:v>
                </c:pt>
                <c:pt idx="119">
                  <c:v>54.949800000000003</c:v>
                </c:pt>
                <c:pt idx="120">
                  <c:v>54.895400000000002</c:v>
                </c:pt>
                <c:pt idx="121">
                  <c:v>54.917700000000004</c:v>
                </c:pt>
                <c:pt idx="122">
                  <c:v>54.930299999999995</c:v>
                </c:pt>
                <c:pt idx="123">
                  <c:v>54.889400000000002</c:v>
                </c:pt>
                <c:pt idx="124">
                  <c:v>55.071099999999994</c:v>
                </c:pt>
                <c:pt idx="125">
                  <c:v>55.208900000000007</c:v>
                </c:pt>
                <c:pt idx="126">
                  <c:v>55.282699999999998</c:v>
                </c:pt>
                <c:pt idx="127">
                  <c:v>55.338200000000001</c:v>
                </c:pt>
                <c:pt idx="128">
                  <c:v>55.497900000000001</c:v>
                </c:pt>
                <c:pt idx="129">
                  <c:v>55.700799999999994</c:v>
                </c:pt>
                <c:pt idx="130">
                  <c:v>55.842499999999994</c:v>
                </c:pt>
                <c:pt idx="131">
                  <c:v>55.985799999999998</c:v>
                </c:pt>
                <c:pt idx="132">
                  <c:v>56.0944</c:v>
                </c:pt>
                <c:pt idx="133">
                  <c:v>56.034199999999998</c:v>
                </c:pt>
                <c:pt idx="134">
                  <c:v>55.915899999999993</c:v>
                </c:pt>
                <c:pt idx="135">
                  <c:v>55.884799999999998</c:v>
                </c:pt>
                <c:pt idx="136">
                  <c:v>55.851600000000005</c:v>
                </c:pt>
                <c:pt idx="137">
                  <c:v>55.729500000000002</c:v>
                </c:pt>
                <c:pt idx="138">
                  <c:v>55.630100000000006</c:v>
                </c:pt>
                <c:pt idx="139">
                  <c:v>55.465499999999999</c:v>
                </c:pt>
                <c:pt idx="140">
                  <c:v>55.200499999999998</c:v>
                </c:pt>
                <c:pt idx="141">
                  <c:v>54.984200000000008</c:v>
                </c:pt>
                <c:pt idx="142">
                  <c:v>55.055399999999999</c:v>
                </c:pt>
                <c:pt idx="143">
                  <c:v>55.271800000000006</c:v>
                </c:pt>
                <c:pt idx="144">
                  <c:v>55.543600000000005</c:v>
                </c:pt>
                <c:pt idx="145">
                  <c:v>55.644300000000001</c:v>
                </c:pt>
                <c:pt idx="146">
                  <c:v>55.725800000000007</c:v>
                </c:pt>
                <c:pt idx="147">
                  <c:v>55.343699999999998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2.1557599999999999</c:v>
                </c:pt>
                <c:pt idx="1">
                  <c:v>2.1887599999999998</c:v>
                </c:pt>
                <c:pt idx="2">
                  <c:v>2.22078</c:v>
                </c:pt>
                <c:pt idx="3">
                  <c:v>2.25135</c:v>
                </c:pt>
                <c:pt idx="4">
                  <c:v>2.2803800000000001</c:v>
                </c:pt>
                <c:pt idx="5">
                  <c:v>2.3091699999999999</c:v>
                </c:pt>
                <c:pt idx="6">
                  <c:v>2.3403900000000002</c:v>
                </c:pt>
                <c:pt idx="7">
                  <c:v>2.3717800000000002</c:v>
                </c:pt>
                <c:pt idx="8">
                  <c:v>2.4035699999999998</c:v>
                </c:pt>
                <c:pt idx="9">
                  <c:v>2.4356100000000001</c:v>
                </c:pt>
                <c:pt idx="10">
                  <c:v>2.4662800000000002</c:v>
                </c:pt>
                <c:pt idx="11">
                  <c:v>2.4974599999999998</c:v>
                </c:pt>
                <c:pt idx="12">
                  <c:v>2.5293100000000002</c:v>
                </c:pt>
                <c:pt idx="13">
                  <c:v>2.5637700000000003</c:v>
                </c:pt>
                <c:pt idx="14">
                  <c:v>2.60141</c:v>
                </c:pt>
                <c:pt idx="15">
                  <c:v>2.6413500000000001</c:v>
                </c:pt>
                <c:pt idx="16">
                  <c:v>2.6798100000000002</c:v>
                </c:pt>
                <c:pt idx="17">
                  <c:v>2.7165600000000003</c:v>
                </c:pt>
                <c:pt idx="18">
                  <c:v>2.7542400000000002</c:v>
                </c:pt>
                <c:pt idx="19">
                  <c:v>2.7929700000000004</c:v>
                </c:pt>
                <c:pt idx="20">
                  <c:v>2.8348499999999999</c:v>
                </c:pt>
                <c:pt idx="21">
                  <c:v>2.8803700000000001</c:v>
                </c:pt>
                <c:pt idx="22">
                  <c:v>2.9292499999999997</c:v>
                </c:pt>
                <c:pt idx="23">
                  <c:v>2.9813099999999997</c:v>
                </c:pt>
                <c:pt idx="24">
                  <c:v>3.0337999999999998</c:v>
                </c:pt>
                <c:pt idx="25">
                  <c:v>3.0863499999999999</c:v>
                </c:pt>
                <c:pt idx="26">
                  <c:v>3.1375999999999999</c:v>
                </c:pt>
                <c:pt idx="27">
                  <c:v>3.1898200000000001</c:v>
                </c:pt>
                <c:pt idx="28">
                  <c:v>3.2440000000000002</c:v>
                </c:pt>
                <c:pt idx="29">
                  <c:v>3.3022400000000003</c:v>
                </c:pt>
                <c:pt idx="30">
                  <c:v>3.3585700000000003</c:v>
                </c:pt>
                <c:pt idx="31">
                  <c:v>3.4110800000000001</c:v>
                </c:pt>
                <c:pt idx="32">
                  <c:v>3.4641199999999999</c:v>
                </c:pt>
                <c:pt idx="33">
                  <c:v>3.5170000000000003</c:v>
                </c:pt>
                <c:pt idx="34">
                  <c:v>3.5724400000000003</c:v>
                </c:pt>
                <c:pt idx="35">
                  <c:v>3.62202</c:v>
                </c:pt>
                <c:pt idx="36">
                  <c:v>3.6722700000000001</c:v>
                </c:pt>
                <c:pt idx="37">
                  <c:v>3.7192699999999999</c:v>
                </c:pt>
                <c:pt idx="38">
                  <c:v>3.7637900000000002</c:v>
                </c:pt>
                <c:pt idx="39">
                  <c:v>3.80342</c:v>
                </c:pt>
                <c:pt idx="40">
                  <c:v>3.8403300000000002</c:v>
                </c:pt>
                <c:pt idx="41">
                  <c:v>3.8768799999999999</c:v>
                </c:pt>
                <c:pt idx="42">
                  <c:v>3.9129000000000005</c:v>
                </c:pt>
                <c:pt idx="43">
                  <c:v>3.9447700000000001</c:v>
                </c:pt>
                <c:pt idx="44">
                  <c:v>3.9693800000000001</c:v>
                </c:pt>
                <c:pt idx="45">
                  <c:v>3.9883800000000003</c:v>
                </c:pt>
                <c:pt idx="46">
                  <c:v>4.0010899999999996</c:v>
                </c:pt>
                <c:pt idx="47">
                  <c:v>4.0091099999999997</c:v>
                </c:pt>
                <c:pt idx="48">
                  <c:v>4.0145799999999996</c:v>
                </c:pt>
                <c:pt idx="49">
                  <c:v>4.0198200000000002</c:v>
                </c:pt>
                <c:pt idx="50">
                  <c:v>4.0260099999999994</c:v>
                </c:pt>
                <c:pt idx="51">
                  <c:v>4.0295699999999997</c:v>
                </c:pt>
                <c:pt idx="52">
                  <c:v>4.0307700000000004</c:v>
                </c:pt>
                <c:pt idx="53">
                  <c:v>4.0266900000000003</c:v>
                </c:pt>
                <c:pt idx="54">
                  <c:v>4.0163900000000003</c:v>
                </c:pt>
                <c:pt idx="55">
                  <c:v>4.0028799999999993</c:v>
                </c:pt>
                <c:pt idx="56">
                  <c:v>3.9893099999999997</c:v>
                </c:pt>
                <c:pt idx="57">
                  <c:v>3.9755699999999998</c:v>
                </c:pt>
                <c:pt idx="58">
                  <c:v>3.9654299999999996</c:v>
                </c:pt>
                <c:pt idx="59">
                  <c:v>3.9551500000000002</c:v>
                </c:pt>
                <c:pt idx="60">
                  <c:v>3.9528099999999999</c:v>
                </c:pt>
                <c:pt idx="61">
                  <c:v>3.9508999999999999</c:v>
                </c:pt>
                <c:pt idx="62">
                  <c:v>3.9522300000000001</c:v>
                </c:pt>
                <c:pt idx="63">
                  <c:v>3.9573399999999999</c:v>
                </c:pt>
                <c:pt idx="64">
                  <c:v>3.9673999999999996</c:v>
                </c:pt>
                <c:pt idx="65">
                  <c:v>3.9818799999999999</c:v>
                </c:pt>
                <c:pt idx="66">
                  <c:v>4.0032699999999997</c:v>
                </c:pt>
                <c:pt idx="67">
                  <c:v>4.0292499999999993</c:v>
                </c:pt>
                <c:pt idx="68">
                  <c:v>4.0619300000000003</c:v>
                </c:pt>
                <c:pt idx="69">
                  <c:v>4.1027300000000002</c:v>
                </c:pt>
                <c:pt idx="70">
                  <c:v>4.1479600000000003</c:v>
                </c:pt>
                <c:pt idx="71">
                  <c:v>4.1962599999999997</c:v>
                </c:pt>
                <c:pt idx="72">
                  <c:v>4.2465999999999999</c:v>
                </c:pt>
                <c:pt idx="73">
                  <c:v>4.2968500000000001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67.322199999999995</c:v>
                </c:pt>
                <c:pt idx="1">
                  <c:v>67.273300000000006</c:v>
                </c:pt>
                <c:pt idx="2">
                  <c:v>67.152900000000002</c:v>
                </c:pt>
                <c:pt idx="3">
                  <c:v>66.899000000000001</c:v>
                </c:pt>
                <c:pt idx="4">
                  <c:v>66.479699999999994</c:v>
                </c:pt>
                <c:pt idx="5">
                  <c:v>65.97</c:v>
                </c:pt>
                <c:pt idx="6">
                  <c:v>65.317099999999996</c:v>
                </c:pt>
                <c:pt idx="7">
                  <c:v>64.644599999999997</c:v>
                </c:pt>
                <c:pt idx="8">
                  <c:v>63.986699999999999</c:v>
                </c:pt>
                <c:pt idx="9">
                  <c:v>63.302</c:v>
                </c:pt>
                <c:pt idx="10">
                  <c:v>62.621899999999997</c:v>
                </c:pt>
                <c:pt idx="11">
                  <c:v>61.935099999999998</c:v>
                </c:pt>
                <c:pt idx="12">
                  <c:v>61.216400000000007</c:v>
                </c:pt>
                <c:pt idx="13">
                  <c:v>60.487299999999998</c:v>
                </c:pt>
                <c:pt idx="14">
                  <c:v>59.685600000000008</c:v>
                </c:pt>
                <c:pt idx="15">
                  <c:v>58.871899999999997</c:v>
                </c:pt>
                <c:pt idx="16">
                  <c:v>58.199400000000004</c:v>
                </c:pt>
                <c:pt idx="17">
                  <c:v>57.677700000000002</c:v>
                </c:pt>
                <c:pt idx="18">
                  <c:v>57.196899999999992</c:v>
                </c:pt>
                <c:pt idx="19">
                  <c:v>56.664800000000007</c:v>
                </c:pt>
                <c:pt idx="20">
                  <c:v>56.069199999999995</c:v>
                </c:pt>
                <c:pt idx="21">
                  <c:v>55.391500000000008</c:v>
                </c:pt>
                <c:pt idx="22">
                  <c:v>54.597799999999999</c:v>
                </c:pt>
                <c:pt idx="23">
                  <c:v>53.752400000000002</c:v>
                </c:pt>
                <c:pt idx="24">
                  <c:v>52.997199999999999</c:v>
                </c:pt>
                <c:pt idx="25">
                  <c:v>52.274799999999999</c:v>
                </c:pt>
                <c:pt idx="26">
                  <c:v>51.664900000000003</c:v>
                </c:pt>
                <c:pt idx="27">
                  <c:v>51.100999999999999</c:v>
                </c:pt>
                <c:pt idx="28">
                  <c:v>50.585800000000006</c:v>
                </c:pt>
                <c:pt idx="29">
                  <c:v>49.977800000000002</c:v>
                </c:pt>
                <c:pt idx="30">
                  <c:v>49.380299999999998</c:v>
                </c:pt>
                <c:pt idx="31">
                  <c:v>48.8187</c:v>
                </c:pt>
                <c:pt idx="32">
                  <c:v>48.2898</c:v>
                </c:pt>
                <c:pt idx="33">
                  <c:v>47.838900000000002</c:v>
                </c:pt>
                <c:pt idx="34">
                  <c:v>47.552799999999998</c:v>
                </c:pt>
                <c:pt idx="35">
                  <c:v>47.433100000000003</c:v>
                </c:pt>
                <c:pt idx="36">
                  <c:v>47.3874</c:v>
                </c:pt>
                <c:pt idx="37">
                  <c:v>47.438699999999997</c:v>
                </c:pt>
                <c:pt idx="38">
                  <c:v>47.4465</c:v>
                </c:pt>
                <c:pt idx="39">
                  <c:v>47.436799999999998</c:v>
                </c:pt>
                <c:pt idx="40">
                  <c:v>47.402000000000001</c:v>
                </c:pt>
                <c:pt idx="41">
                  <c:v>47.420499999999997</c:v>
                </c:pt>
                <c:pt idx="42">
                  <c:v>47.514299999999999</c:v>
                </c:pt>
                <c:pt idx="43">
                  <c:v>47.622100000000003</c:v>
                </c:pt>
                <c:pt idx="44">
                  <c:v>47.678199999999997</c:v>
                </c:pt>
                <c:pt idx="45">
                  <c:v>47.629199999999997</c:v>
                </c:pt>
                <c:pt idx="46">
                  <c:v>47.521999999999998</c:v>
                </c:pt>
                <c:pt idx="47">
                  <c:v>47.360700000000001</c:v>
                </c:pt>
                <c:pt idx="48">
                  <c:v>47.125699999999995</c:v>
                </c:pt>
                <c:pt idx="49">
                  <c:v>46.857500000000002</c:v>
                </c:pt>
                <c:pt idx="50">
                  <c:v>46.688000000000002</c:v>
                </c:pt>
                <c:pt idx="51">
                  <c:v>46.440799999999996</c:v>
                </c:pt>
                <c:pt idx="52">
                  <c:v>46.104199999999999</c:v>
                </c:pt>
                <c:pt idx="53">
                  <c:v>45.715400000000002</c:v>
                </c:pt>
                <c:pt idx="54">
                  <c:v>45.359100000000005</c:v>
                </c:pt>
                <c:pt idx="55">
                  <c:v>45.134900000000002</c:v>
                </c:pt>
                <c:pt idx="56">
                  <c:v>45.052700000000002</c:v>
                </c:pt>
                <c:pt idx="57">
                  <c:v>45.054899999999996</c:v>
                </c:pt>
                <c:pt idx="58">
                  <c:v>45.104499999999994</c:v>
                </c:pt>
                <c:pt idx="59">
                  <c:v>45.091500000000003</c:v>
                </c:pt>
                <c:pt idx="60">
                  <c:v>45.055900000000001</c:v>
                </c:pt>
                <c:pt idx="61">
                  <c:v>44.994599999999998</c:v>
                </c:pt>
                <c:pt idx="62">
                  <c:v>44.999699999999997</c:v>
                </c:pt>
                <c:pt idx="63">
                  <c:v>45.034700000000001</c:v>
                </c:pt>
                <c:pt idx="64">
                  <c:v>45.076999999999998</c:v>
                </c:pt>
                <c:pt idx="65">
                  <c:v>45.137300000000003</c:v>
                </c:pt>
                <c:pt idx="66">
                  <c:v>45.106299999999997</c:v>
                </c:pt>
                <c:pt idx="67">
                  <c:v>44.981700000000004</c:v>
                </c:pt>
                <c:pt idx="68">
                  <c:v>44.768900000000002</c:v>
                </c:pt>
                <c:pt idx="69">
                  <c:v>44.573599999999999</c:v>
                </c:pt>
                <c:pt idx="70">
                  <c:v>44.426400000000001</c:v>
                </c:pt>
                <c:pt idx="71">
                  <c:v>44.372199999999999</c:v>
                </c:pt>
                <c:pt idx="72">
                  <c:v>44.432200000000002</c:v>
                </c:pt>
                <c:pt idx="73">
                  <c:v>44.580599999999997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4.2968500000000001</c:v>
                </c:pt>
                <c:pt idx="1">
                  <c:v>4.3520199999999996</c:v>
                </c:pt>
                <c:pt idx="2">
                  <c:v>4.4350800000000001</c:v>
                </c:pt>
                <c:pt idx="3">
                  <c:v>4.5024199999999999</c:v>
                </c:pt>
                <c:pt idx="4">
                  <c:v>4.57294</c:v>
                </c:pt>
                <c:pt idx="5">
                  <c:v>4.6486599999999996</c:v>
                </c:pt>
                <c:pt idx="6">
                  <c:v>4.7190799999999999</c:v>
                </c:pt>
                <c:pt idx="7">
                  <c:v>4.7812200000000002</c:v>
                </c:pt>
                <c:pt idx="8">
                  <c:v>4.8365900000000002</c:v>
                </c:pt>
                <c:pt idx="9">
                  <c:v>4.8848200000000004</c:v>
                </c:pt>
                <c:pt idx="10">
                  <c:v>4.9268099999999997</c:v>
                </c:pt>
                <c:pt idx="11">
                  <c:v>4.9629500000000002</c:v>
                </c:pt>
                <c:pt idx="12">
                  <c:v>4.9972499999999993</c:v>
                </c:pt>
                <c:pt idx="13">
                  <c:v>5.0287000000000006</c:v>
                </c:pt>
                <c:pt idx="14">
                  <c:v>5.0583599999999995</c:v>
                </c:pt>
                <c:pt idx="15">
                  <c:v>5.0835399999999993</c:v>
                </c:pt>
                <c:pt idx="16">
                  <c:v>5.1037699999999999</c:v>
                </c:pt>
                <c:pt idx="17">
                  <c:v>5.1177200000000003</c:v>
                </c:pt>
                <c:pt idx="18">
                  <c:v>5.1266100000000003</c:v>
                </c:pt>
                <c:pt idx="19">
                  <c:v>5.1319300000000005</c:v>
                </c:pt>
                <c:pt idx="20">
                  <c:v>5.1331300000000004</c:v>
                </c:pt>
                <c:pt idx="21">
                  <c:v>5.1311999999999998</c:v>
                </c:pt>
                <c:pt idx="22">
                  <c:v>5.1270899999999999</c:v>
                </c:pt>
                <c:pt idx="23">
                  <c:v>5.1209699999999998</c:v>
                </c:pt>
                <c:pt idx="24">
                  <c:v>5.1128900000000002</c:v>
                </c:pt>
                <c:pt idx="25">
                  <c:v>5.0995800000000004</c:v>
                </c:pt>
                <c:pt idx="26">
                  <c:v>5.0790900000000008</c:v>
                </c:pt>
                <c:pt idx="27">
                  <c:v>5.0532500000000002</c:v>
                </c:pt>
                <c:pt idx="28">
                  <c:v>5.0194700000000001</c:v>
                </c:pt>
                <c:pt idx="29">
                  <c:v>4.9797900000000004</c:v>
                </c:pt>
                <c:pt idx="30">
                  <c:v>4.9351000000000003</c:v>
                </c:pt>
                <c:pt idx="31">
                  <c:v>4.8902200000000002</c:v>
                </c:pt>
                <c:pt idx="32">
                  <c:v>4.8472100000000005</c:v>
                </c:pt>
                <c:pt idx="33">
                  <c:v>4.80572</c:v>
                </c:pt>
                <c:pt idx="34">
                  <c:v>4.7643699999999995</c:v>
                </c:pt>
                <c:pt idx="35">
                  <c:v>4.7217900000000004</c:v>
                </c:pt>
                <c:pt idx="36">
                  <c:v>4.6781299999999995</c:v>
                </c:pt>
                <c:pt idx="37">
                  <c:v>4.6316600000000001</c:v>
                </c:pt>
                <c:pt idx="38">
                  <c:v>4.5840300000000003</c:v>
                </c:pt>
                <c:pt idx="39">
                  <c:v>4.5338899999999995</c:v>
                </c:pt>
                <c:pt idx="40">
                  <c:v>4.4839700000000002</c:v>
                </c:pt>
                <c:pt idx="41">
                  <c:v>4.4340799999999998</c:v>
                </c:pt>
                <c:pt idx="42">
                  <c:v>4.3857600000000003</c:v>
                </c:pt>
                <c:pt idx="43">
                  <c:v>4.3402400000000005</c:v>
                </c:pt>
                <c:pt idx="44">
                  <c:v>4.2954799999999995</c:v>
                </c:pt>
                <c:pt idx="45">
                  <c:v>4.2519900000000002</c:v>
                </c:pt>
                <c:pt idx="46">
                  <c:v>4.2090800000000002</c:v>
                </c:pt>
                <c:pt idx="47">
                  <c:v>4.1661799999999998</c:v>
                </c:pt>
                <c:pt idx="48">
                  <c:v>4.1227399999999994</c:v>
                </c:pt>
                <c:pt idx="49">
                  <c:v>4.0788600000000006</c:v>
                </c:pt>
                <c:pt idx="50">
                  <c:v>4.0364000000000004</c:v>
                </c:pt>
                <c:pt idx="51">
                  <c:v>4.0085899999999999</c:v>
                </c:pt>
                <c:pt idx="52">
                  <c:v>3.9815899999999997</c:v>
                </c:pt>
                <c:pt idx="53">
                  <c:v>3.95505</c:v>
                </c:pt>
                <c:pt idx="54">
                  <c:v>3.9284400000000002</c:v>
                </c:pt>
                <c:pt idx="55">
                  <c:v>3.8977200000000001</c:v>
                </c:pt>
                <c:pt idx="56">
                  <c:v>3.8645700000000001</c:v>
                </c:pt>
                <c:pt idx="57">
                  <c:v>3.8308499999999999</c:v>
                </c:pt>
                <c:pt idx="58">
                  <c:v>3.7939299999999996</c:v>
                </c:pt>
                <c:pt idx="59">
                  <c:v>3.75563</c:v>
                </c:pt>
                <c:pt idx="60">
                  <c:v>3.7201200000000001</c:v>
                </c:pt>
                <c:pt idx="61">
                  <c:v>3.6859399999999996</c:v>
                </c:pt>
                <c:pt idx="62">
                  <c:v>3.6501000000000001</c:v>
                </c:pt>
                <c:pt idx="63">
                  <c:v>3.6133799999999998</c:v>
                </c:pt>
                <c:pt idx="64">
                  <c:v>3.5823300000000002</c:v>
                </c:pt>
                <c:pt idx="65">
                  <c:v>3.5543499999999999</c:v>
                </c:pt>
                <c:pt idx="66">
                  <c:v>3.5364</c:v>
                </c:pt>
                <c:pt idx="67">
                  <c:v>3.5296599999999998</c:v>
                </c:pt>
                <c:pt idx="68">
                  <c:v>3.5206999999999997</c:v>
                </c:pt>
                <c:pt idx="69">
                  <c:v>3.5146300000000004</c:v>
                </c:pt>
                <c:pt idx="70">
                  <c:v>3.5103299999999997</c:v>
                </c:pt>
                <c:pt idx="71">
                  <c:v>3.4990100000000002</c:v>
                </c:pt>
                <c:pt idx="72">
                  <c:v>3.4840599999999999</c:v>
                </c:pt>
                <c:pt idx="73">
                  <c:v>3.4597899999999999</c:v>
                </c:pt>
                <c:pt idx="74">
                  <c:v>3.4246700000000003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44.580599999999997</c:v>
                </c:pt>
                <c:pt idx="1">
                  <c:v>44.635100000000001</c:v>
                </c:pt>
                <c:pt idx="2">
                  <c:v>44.556100000000001</c:v>
                </c:pt>
                <c:pt idx="3">
                  <c:v>44.484299999999998</c:v>
                </c:pt>
                <c:pt idx="4">
                  <c:v>44.439700000000002</c:v>
                </c:pt>
                <c:pt idx="5">
                  <c:v>44.424999999999997</c:v>
                </c:pt>
                <c:pt idx="6">
                  <c:v>44.726500000000001</c:v>
                </c:pt>
                <c:pt idx="7">
                  <c:v>45.356499999999997</c:v>
                </c:pt>
                <c:pt idx="8">
                  <c:v>46.165399999999998</c:v>
                </c:pt>
                <c:pt idx="9">
                  <c:v>47.062599999999996</c:v>
                </c:pt>
                <c:pt idx="10">
                  <c:v>48.005499999999998</c:v>
                </c:pt>
                <c:pt idx="11">
                  <c:v>48.881300000000003</c:v>
                </c:pt>
                <c:pt idx="12">
                  <c:v>49.695799999999998</c:v>
                </c:pt>
                <c:pt idx="13">
                  <c:v>50.474499999999999</c:v>
                </c:pt>
                <c:pt idx="14">
                  <c:v>51.2682</c:v>
                </c:pt>
                <c:pt idx="15">
                  <c:v>52.069299999999998</c:v>
                </c:pt>
                <c:pt idx="16">
                  <c:v>52.853000000000009</c:v>
                </c:pt>
                <c:pt idx="17">
                  <c:v>53.532500000000006</c:v>
                </c:pt>
                <c:pt idx="18">
                  <c:v>54.086100000000002</c:v>
                </c:pt>
                <c:pt idx="19">
                  <c:v>54.543699999999994</c:v>
                </c:pt>
                <c:pt idx="20">
                  <c:v>54.869299999999996</c:v>
                </c:pt>
                <c:pt idx="21">
                  <c:v>55.115499999999997</c:v>
                </c:pt>
                <c:pt idx="22">
                  <c:v>55.289200000000008</c:v>
                </c:pt>
                <c:pt idx="23">
                  <c:v>55.3979</c:v>
                </c:pt>
                <c:pt idx="24">
                  <c:v>55.482799999999997</c:v>
                </c:pt>
                <c:pt idx="25">
                  <c:v>55.443299999999994</c:v>
                </c:pt>
                <c:pt idx="26">
                  <c:v>55.298499999999997</c:v>
                </c:pt>
                <c:pt idx="27">
                  <c:v>55.0809</c:v>
                </c:pt>
                <c:pt idx="28">
                  <c:v>54.926499999999997</c:v>
                </c:pt>
                <c:pt idx="29">
                  <c:v>54.863300000000002</c:v>
                </c:pt>
                <c:pt idx="30">
                  <c:v>55.028299999999994</c:v>
                </c:pt>
                <c:pt idx="31">
                  <c:v>55.212899999999998</c:v>
                </c:pt>
                <c:pt idx="32">
                  <c:v>55.358600000000003</c:v>
                </c:pt>
                <c:pt idx="33">
                  <c:v>55.512399999999992</c:v>
                </c:pt>
                <c:pt idx="34">
                  <c:v>55.622300000000003</c:v>
                </c:pt>
                <c:pt idx="35">
                  <c:v>55.6526</c:v>
                </c:pt>
                <c:pt idx="36">
                  <c:v>55.695700000000002</c:v>
                </c:pt>
                <c:pt idx="37">
                  <c:v>55.832800000000006</c:v>
                </c:pt>
                <c:pt idx="38">
                  <c:v>56.025100000000009</c:v>
                </c:pt>
                <c:pt idx="39">
                  <c:v>56.165100000000002</c:v>
                </c:pt>
                <c:pt idx="40">
                  <c:v>56.195799999999998</c:v>
                </c:pt>
                <c:pt idx="41">
                  <c:v>56.052</c:v>
                </c:pt>
                <c:pt idx="42">
                  <c:v>55.772399999999998</c:v>
                </c:pt>
                <c:pt idx="43">
                  <c:v>55.517200000000003</c:v>
                </c:pt>
                <c:pt idx="44">
                  <c:v>55.276499999999999</c:v>
                </c:pt>
                <c:pt idx="45">
                  <c:v>55.063099999999999</c:v>
                </c:pt>
                <c:pt idx="46">
                  <c:v>54.949800000000003</c:v>
                </c:pt>
                <c:pt idx="47">
                  <c:v>54.895400000000002</c:v>
                </c:pt>
                <c:pt idx="48">
                  <c:v>54.917700000000004</c:v>
                </c:pt>
                <c:pt idx="49">
                  <c:v>54.930299999999995</c:v>
                </c:pt>
                <c:pt idx="50">
                  <c:v>54.889400000000002</c:v>
                </c:pt>
                <c:pt idx="51">
                  <c:v>55.071099999999994</c:v>
                </c:pt>
                <c:pt idx="52">
                  <c:v>55.208900000000007</c:v>
                </c:pt>
                <c:pt idx="53">
                  <c:v>55.282699999999998</c:v>
                </c:pt>
                <c:pt idx="54">
                  <c:v>55.338200000000001</c:v>
                </c:pt>
                <c:pt idx="55">
                  <c:v>55.497900000000001</c:v>
                </c:pt>
                <c:pt idx="56">
                  <c:v>55.700799999999994</c:v>
                </c:pt>
                <c:pt idx="57">
                  <c:v>55.842499999999994</c:v>
                </c:pt>
                <c:pt idx="58">
                  <c:v>55.985799999999998</c:v>
                </c:pt>
                <c:pt idx="59">
                  <c:v>56.0944</c:v>
                </c:pt>
                <c:pt idx="60">
                  <c:v>56.034199999999998</c:v>
                </c:pt>
                <c:pt idx="61">
                  <c:v>55.915899999999993</c:v>
                </c:pt>
                <c:pt idx="62">
                  <c:v>55.884799999999998</c:v>
                </c:pt>
                <c:pt idx="63">
                  <c:v>55.851600000000005</c:v>
                </c:pt>
                <c:pt idx="64">
                  <c:v>55.729500000000002</c:v>
                </c:pt>
                <c:pt idx="65">
                  <c:v>55.630100000000006</c:v>
                </c:pt>
                <c:pt idx="66">
                  <c:v>55.465499999999999</c:v>
                </c:pt>
                <c:pt idx="67">
                  <c:v>55.200499999999998</c:v>
                </c:pt>
                <c:pt idx="68">
                  <c:v>54.984200000000008</c:v>
                </c:pt>
                <c:pt idx="69">
                  <c:v>55.055399999999999</c:v>
                </c:pt>
                <c:pt idx="70">
                  <c:v>55.271800000000006</c:v>
                </c:pt>
                <c:pt idx="71">
                  <c:v>55.543600000000005</c:v>
                </c:pt>
                <c:pt idx="72">
                  <c:v>55.644300000000001</c:v>
                </c:pt>
                <c:pt idx="73">
                  <c:v>55.725800000000007</c:v>
                </c:pt>
                <c:pt idx="74">
                  <c:v>55.343699999999998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3.4076581081081088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51.591340540540507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4.4003468918918927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53.660768918918897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4.4003468918918927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53.660768918918897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0.21317800912077445</c:v>
                </c:pt>
                <c:pt idx="1">
                  <c:v>0.30181359067163083</c:v>
                </c:pt>
                <c:pt idx="2">
                  <c:v>0.48500840020759473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0.36688700000000002</c:v>
                </c:pt>
                <c:pt idx="2">
                  <c:v>0.77391500000000002</c:v>
                </c:pt>
                <c:pt idx="3">
                  <c:v>1.17879</c:v>
                </c:pt>
                <c:pt idx="4">
                  <c:v>1.58758</c:v>
                </c:pt>
                <c:pt idx="5">
                  <c:v>1.9903900000000001</c:v>
                </c:pt>
                <c:pt idx="6">
                  <c:v>2.39846</c:v>
                </c:pt>
                <c:pt idx="7">
                  <c:v>2.8031600000000001</c:v>
                </c:pt>
                <c:pt idx="8">
                  <c:v>3.2112799999999999</c:v>
                </c:pt>
                <c:pt idx="9">
                  <c:v>3.6184799999999999</c:v>
                </c:pt>
                <c:pt idx="10">
                  <c:v>4.0210299999999997</c:v>
                </c:pt>
                <c:pt idx="11">
                  <c:v>4.4290500000000002</c:v>
                </c:pt>
                <c:pt idx="12">
                  <c:v>4.8327</c:v>
                </c:pt>
                <c:pt idx="13">
                  <c:v>5.2411399999999997</c:v>
                </c:pt>
                <c:pt idx="14">
                  <c:v>5.6464999999999996</c:v>
                </c:pt>
                <c:pt idx="15">
                  <c:v>6.0575900000000003</c:v>
                </c:pt>
                <c:pt idx="16">
                  <c:v>6.4595900000000004</c:v>
                </c:pt>
                <c:pt idx="17">
                  <c:v>6.8643799999999997</c:v>
                </c:pt>
                <c:pt idx="18">
                  <c:v>7.2694099999999997</c:v>
                </c:pt>
                <c:pt idx="19">
                  <c:v>7.6803400000000002</c:v>
                </c:pt>
                <c:pt idx="20">
                  <c:v>8.08568</c:v>
                </c:pt>
                <c:pt idx="21">
                  <c:v>8.4936199999999999</c:v>
                </c:pt>
                <c:pt idx="22">
                  <c:v>8.8960000000000008</c:v>
                </c:pt>
                <c:pt idx="23">
                  <c:v>9.3033999999999999</c:v>
                </c:pt>
                <c:pt idx="24">
                  <c:v>9.7083499999999994</c:v>
                </c:pt>
                <c:pt idx="25">
                  <c:v>10.1144</c:v>
                </c:pt>
                <c:pt idx="26">
                  <c:v>10.523199999999999</c:v>
                </c:pt>
                <c:pt idx="27">
                  <c:v>10.928699999999999</c:v>
                </c:pt>
                <c:pt idx="28">
                  <c:v>11.333500000000001</c:v>
                </c:pt>
                <c:pt idx="29">
                  <c:v>11.743399999999999</c:v>
                </c:pt>
                <c:pt idx="30">
                  <c:v>12.1503</c:v>
                </c:pt>
                <c:pt idx="31">
                  <c:v>12.5572</c:v>
                </c:pt>
                <c:pt idx="32">
                  <c:v>12.960100000000001</c:v>
                </c:pt>
                <c:pt idx="33">
                  <c:v>13.3651</c:v>
                </c:pt>
                <c:pt idx="34">
                  <c:v>13.7721</c:v>
                </c:pt>
                <c:pt idx="35">
                  <c:v>14.1799</c:v>
                </c:pt>
                <c:pt idx="36">
                  <c:v>14.583399999999999</c:v>
                </c:pt>
                <c:pt idx="37">
                  <c:v>14.9903</c:v>
                </c:pt>
                <c:pt idx="38">
                  <c:v>15.400700000000001</c:v>
                </c:pt>
                <c:pt idx="39">
                  <c:v>15.8055</c:v>
                </c:pt>
                <c:pt idx="40">
                  <c:v>16.209599999999998</c:v>
                </c:pt>
                <c:pt idx="41">
                  <c:v>16.6173</c:v>
                </c:pt>
                <c:pt idx="42">
                  <c:v>17.021100000000001</c:v>
                </c:pt>
                <c:pt idx="43">
                  <c:v>17.426200000000001</c:v>
                </c:pt>
                <c:pt idx="44">
                  <c:v>17.834499999999998</c:v>
                </c:pt>
                <c:pt idx="45">
                  <c:v>18.242999999999999</c:v>
                </c:pt>
                <c:pt idx="46">
                  <c:v>18.649899999999999</c:v>
                </c:pt>
                <c:pt idx="47">
                  <c:v>19.052499999999998</c:v>
                </c:pt>
                <c:pt idx="48">
                  <c:v>19.459800000000001</c:v>
                </c:pt>
                <c:pt idx="49">
                  <c:v>19.8659</c:v>
                </c:pt>
                <c:pt idx="50">
                  <c:v>20.273599999999998</c:v>
                </c:pt>
                <c:pt idx="51">
                  <c:v>20.6816</c:v>
                </c:pt>
                <c:pt idx="52">
                  <c:v>21.083300000000001</c:v>
                </c:pt>
                <c:pt idx="53">
                  <c:v>21.491399999999999</c:v>
                </c:pt>
                <c:pt idx="54">
                  <c:v>21.897500000000001</c:v>
                </c:pt>
                <c:pt idx="55">
                  <c:v>22.305199999999999</c:v>
                </c:pt>
                <c:pt idx="56">
                  <c:v>22.713100000000001</c:v>
                </c:pt>
                <c:pt idx="57">
                  <c:v>23.114899999999999</c:v>
                </c:pt>
                <c:pt idx="58">
                  <c:v>23.521799999999999</c:v>
                </c:pt>
                <c:pt idx="59">
                  <c:v>23.930499999999999</c:v>
                </c:pt>
                <c:pt idx="60">
                  <c:v>24.335899999999999</c:v>
                </c:pt>
                <c:pt idx="61">
                  <c:v>24.741299999999999</c:v>
                </c:pt>
                <c:pt idx="62">
                  <c:v>25.148599999999998</c:v>
                </c:pt>
                <c:pt idx="63">
                  <c:v>25.5547</c:v>
                </c:pt>
                <c:pt idx="64">
                  <c:v>25.9605</c:v>
                </c:pt>
                <c:pt idx="65">
                  <c:v>26.369599999999998</c:v>
                </c:pt>
                <c:pt idx="66">
                  <c:v>26.772200000000002</c:v>
                </c:pt>
                <c:pt idx="67">
                  <c:v>27.180099999999999</c:v>
                </c:pt>
                <c:pt idx="68">
                  <c:v>27.5854</c:v>
                </c:pt>
                <c:pt idx="69">
                  <c:v>27.993200000000002</c:v>
                </c:pt>
                <c:pt idx="70">
                  <c:v>28.396000000000001</c:v>
                </c:pt>
                <c:pt idx="71">
                  <c:v>28.805800000000001</c:v>
                </c:pt>
                <c:pt idx="72">
                  <c:v>29.209700000000002</c:v>
                </c:pt>
                <c:pt idx="73">
                  <c:v>29.617599999999999</c:v>
                </c:pt>
                <c:pt idx="74">
                  <c:v>30.019600000000001</c:v>
                </c:pt>
                <c:pt idx="75">
                  <c:v>30.622</c:v>
                </c:pt>
                <c:pt idx="76">
                  <c:v>30.9894</c:v>
                </c:pt>
                <c:pt idx="77">
                  <c:v>31.366</c:v>
                </c:pt>
                <c:pt idx="78">
                  <c:v>31.741</c:v>
                </c:pt>
                <c:pt idx="79">
                  <c:v>32.119399999999999</c:v>
                </c:pt>
                <c:pt idx="80">
                  <c:v>32.523000000000003</c:v>
                </c:pt>
                <c:pt idx="81">
                  <c:v>32.928899999999999</c:v>
                </c:pt>
                <c:pt idx="82">
                  <c:v>33.333799999999997</c:v>
                </c:pt>
                <c:pt idx="83">
                  <c:v>33.7408</c:v>
                </c:pt>
                <c:pt idx="84">
                  <c:v>34.146900000000002</c:v>
                </c:pt>
                <c:pt idx="85">
                  <c:v>34.5595</c:v>
                </c:pt>
                <c:pt idx="86">
                  <c:v>34.9587</c:v>
                </c:pt>
                <c:pt idx="87">
                  <c:v>35.368699999999997</c:v>
                </c:pt>
                <c:pt idx="88">
                  <c:v>35.773400000000002</c:v>
                </c:pt>
                <c:pt idx="89">
                  <c:v>36.176699999999997</c:v>
                </c:pt>
                <c:pt idx="90">
                  <c:v>36.584200000000003</c:v>
                </c:pt>
                <c:pt idx="91">
                  <c:v>36.991999999999997</c:v>
                </c:pt>
                <c:pt idx="92">
                  <c:v>37.399299999999997</c:v>
                </c:pt>
                <c:pt idx="93">
                  <c:v>37.8048</c:v>
                </c:pt>
                <c:pt idx="94">
                  <c:v>38.212699999999998</c:v>
                </c:pt>
                <c:pt idx="95">
                  <c:v>38.615699999999997</c:v>
                </c:pt>
                <c:pt idx="96">
                  <c:v>39.022500000000001</c:v>
                </c:pt>
                <c:pt idx="97">
                  <c:v>39.426299999999998</c:v>
                </c:pt>
                <c:pt idx="98">
                  <c:v>39.833799999999997</c:v>
                </c:pt>
                <c:pt idx="99">
                  <c:v>40.238399999999999</c:v>
                </c:pt>
                <c:pt idx="100">
                  <c:v>40.648499999999999</c:v>
                </c:pt>
                <c:pt idx="101">
                  <c:v>41.054099999999998</c:v>
                </c:pt>
                <c:pt idx="102">
                  <c:v>41.457900000000002</c:v>
                </c:pt>
                <c:pt idx="103">
                  <c:v>41.865099999999998</c:v>
                </c:pt>
                <c:pt idx="104">
                  <c:v>42.271900000000002</c:v>
                </c:pt>
                <c:pt idx="105">
                  <c:v>42.6798</c:v>
                </c:pt>
                <c:pt idx="106">
                  <c:v>43.088799999999999</c:v>
                </c:pt>
                <c:pt idx="107">
                  <c:v>43.490600000000001</c:v>
                </c:pt>
                <c:pt idx="108">
                  <c:v>43.900599999999997</c:v>
                </c:pt>
                <c:pt idx="109">
                  <c:v>44.307400000000001</c:v>
                </c:pt>
                <c:pt idx="110">
                  <c:v>44.712299999999999</c:v>
                </c:pt>
                <c:pt idx="111">
                  <c:v>45.115200000000002</c:v>
                </c:pt>
                <c:pt idx="112">
                  <c:v>45.5197</c:v>
                </c:pt>
                <c:pt idx="113">
                  <c:v>45.9285</c:v>
                </c:pt>
                <c:pt idx="114">
                  <c:v>46.337000000000003</c:v>
                </c:pt>
                <c:pt idx="115">
                  <c:v>46.741799999999998</c:v>
                </c:pt>
                <c:pt idx="116">
                  <c:v>47.148800000000001</c:v>
                </c:pt>
                <c:pt idx="117">
                  <c:v>47.552900000000001</c:v>
                </c:pt>
                <c:pt idx="118">
                  <c:v>47.959899999999998</c:v>
                </c:pt>
                <c:pt idx="119">
                  <c:v>48.367699999999999</c:v>
                </c:pt>
                <c:pt idx="120">
                  <c:v>48.774700000000003</c:v>
                </c:pt>
                <c:pt idx="121">
                  <c:v>49.179400000000001</c:v>
                </c:pt>
                <c:pt idx="122">
                  <c:v>49.583399999999997</c:v>
                </c:pt>
                <c:pt idx="123">
                  <c:v>49.989199999999997</c:v>
                </c:pt>
                <c:pt idx="124">
                  <c:v>50.3962</c:v>
                </c:pt>
                <c:pt idx="125">
                  <c:v>50.803600000000003</c:v>
                </c:pt>
                <c:pt idx="126">
                  <c:v>51.213900000000002</c:v>
                </c:pt>
                <c:pt idx="127">
                  <c:v>51.616799999999998</c:v>
                </c:pt>
                <c:pt idx="128">
                  <c:v>52.0229</c:v>
                </c:pt>
                <c:pt idx="129">
                  <c:v>52.429699999999997</c:v>
                </c:pt>
                <c:pt idx="130">
                  <c:v>52.834699999999998</c:v>
                </c:pt>
                <c:pt idx="131">
                  <c:v>53.240600000000001</c:v>
                </c:pt>
                <c:pt idx="132">
                  <c:v>53.6494</c:v>
                </c:pt>
                <c:pt idx="133">
                  <c:v>54.051400000000001</c:v>
                </c:pt>
                <c:pt idx="134">
                  <c:v>54.461300000000001</c:v>
                </c:pt>
                <c:pt idx="135">
                  <c:v>54.866100000000003</c:v>
                </c:pt>
                <c:pt idx="136">
                  <c:v>55.2714</c:v>
                </c:pt>
                <c:pt idx="137">
                  <c:v>55.68</c:v>
                </c:pt>
                <c:pt idx="138">
                  <c:v>56.088000000000001</c:v>
                </c:pt>
                <c:pt idx="139">
                  <c:v>56.492699999999999</c:v>
                </c:pt>
                <c:pt idx="140">
                  <c:v>56.898800000000001</c:v>
                </c:pt>
                <c:pt idx="141">
                  <c:v>57.304699999999997</c:v>
                </c:pt>
                <c:pt idx="142">
                  <c:v>57.712499999999999</c:v>
                </c:pt>
                <c:pt idx="143">
                  <c:v>58.1205</c:v>
                </c:pt>
                <c:pt idx="144">
                  <c:v>58.5214</c:v>
                </c:pt>
                <c:pt idx="145">
                  <c:v>58.929299999999998</c:v>
                </c:pt>
                <c:pt idx="146">
                  <c:v>59.333799999999997</c:v>
                </c:pt>
                <c:pt idx="147">
                  <c:v>59.7393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2.1557599999999999</c:v>
                </c:pt>
                <c:pt idx="1">
                  <c:v>2.1887599999999998</c:v>
                </c:pt>
                <c:pt idx="2">
                  <c:v>2.22078</c:v>
                </c:pt>
                <c:pt idx="3">
                  <c:v>2.25135</c:v>
                </c:pt>
                <c:pt idx="4">
                  <c:v>2.2803800000000001</c:v>
                </c:pt>
                <c:pt idx="5">
                  <c:v>2.3091699999999999</c:v>
                </c:pt>
                <c:pt idx="6">
                  <c:v>2.3403900000000002</c:v>
                </c:pt>
                <c:pt idx="7">
                  <c:v>2.3717800000000002</c:v>
                </c:pt>
                <c:pt idx="8">
                  <c:v>2.4035699999999998</c:v>
                </c:pt>
                <c:pt idx="9">
                  <c:v>2.4356100000000001</c:v>
                </c:pt>
                <c:pt idx="10">
                  <c:v>2.4662800000000002</c:v>
                </c:pt>
                <c:pt idx="11">
                  <c:v>2.4974599999999998</c:v>
                </c:pt>
                <c:pt idx="12">
                  <c:v>2.5293100000000002</c:v>
                </c:pt>
                <c:pt idx="13">
                  <c:v>2.5637700000000003</c:v>
                </c:pt>
                <c:pt idx="14">
                  <c:v>2.60141</c:v>
                </c:pt>
                <c:pt idx="15">
                  <c:v>2.6413500000000001</c:v>
                </c:pt>
                <c:pt idx="16">
                  <c:v>2.6798100000000002</c:v>
                </c:pt>
                <c:pt idx="17">
                  <c:v>2.7165600000000003</c:v>
                </c:pt>
                <c:pt idx="18">
                  <c:v>2.7542400000000002</c:v>
                </c:pt>
                <c:pt idx="19">
                  <c:v>2.7929700000000004</c:v>
                </c:pt>
                <c:pt idx="20">
                  <c:v>2.8348499999999999</c:v>
                </c:pt>
                <c:pt idx="21">
                  <c:v>2.8803700000000001</c:v>
                </c:pt>
                <c:pt idx="22">
                  <c:v>2.9292499999999997</c:v>
                </c:pt>
                <c:pt idx="23">
                  <c:v>2.9813099999999997</c:v>
                </c:pt>
                <c:pt idx="24">
                  <c:v>3.0337999999999998</c:v>
                </c:pt>
                <c:pt idx="25">
                  <c:v>3.0863499999999999</c:v>
                </c:pt>
                <c:pt idx="26">
                  <c:v>3.1375999999999999</c:v>
                </c:pt>
                <c:pt idx="27">
                  <c:v>3.1898200000000001</c:v>
                </c:pt>
                <c:pt idx="28">
                  <c:v>3.2440000000000002</c:v>
                </c:pt>
                <c:pt idx="29">
                  <c:v>3.3022400000000003</c:v>
                </c:pt>
                <c:pt idx="30">
                  <c:v>3.3585700000000003</c:v>
                </c:pt>
                <c:pt idx="31">
                  <c:v>3.4110800000000001</c:v>
                </c:pt>
                <c:pt idx="32">
                  <c:v>3.4641199999999999</c:v>
                </c:pt>
                <c:pt idx="33">
                  <c:v>3.5170000000000003</c:v>
                </c:pt>
                <c:pt idx="34">
                  <c:v>3.5724400000000003</c:v>
                </c:pt>
                <c:pt idx="35">
                  <c:v>3.62202</c:v>
                </c:pt>
                <c:pt idx="36">
                  <c:v>3.6722700000000001</c:v>
                </c:pt>
                <c:pt idx="37">
                  <c:v>3.7192699999999999</c:v>
                </c:pt>
                <c:pt idx="38">
                  <c:v>3.7637900000000002</c:v>
                </c:pt>
                <c:pt idx="39">
                  <c:v>3.80342</c:v>
                </c:pt>
                <c:pt idx="40">
                  <c:v>3.8403300000000002</c:v>
                </c:pt>
                <c:pt idx="41">
                  <c:v>3.8768799999999999</c:v>
                </c:pt>
                <c:pt idx="42">
                  <c:v>3.9129000000000005</c:v>
                </c:pt>
                <c:pt idx="43">
                  <c:v>3.9447700000000001</c:v>
                </c:pt>
                <c:pt idx="44">
                  <c:v>3.9693800000000001</c:v>
                </c:pt>
                <c:pt idx="45">
                  <c:v>3.9883800000000003</c:v>
                </c:pt>
                <c:pt idx="46">
                  <c:v>4.0010899999999996</c:v>
                </c:pt>
                <c:pt idx="47">
                  <c:v>4.0091099999999997</c:v>
                </c:pt>
                <c:pt idx="48">
                  <c:v>4.0145799999999996</c:v>
                </c:pt>
                <c:pt idx="49">
                  <c:v>4.0198200000000002</c:v>
                </c:pt>
                <c:pt idx="50">
                  <c:v>4.0260099999999994</c:v>
                </c:pt>
                <c:pt idx="51">
                  <c:v>4.0295699999999997</c:v>
                </c:pt>
                <c:pt idx="52">
                  <c:v>4.0307700000000004</c:v>
                </c:pt>
                <c:pt idx="53">
                  <c:v>4.0266900000000003</c:v>
                </c:pt>
                <c:pt idx="54">
                  <c:v>4.0163900000000003</c:v>
                </c:pt>
                <c:pt idx="55">
                  <c:v>4.0028799999999993</c:v>
                </c:pt>
                <c:pt idx="56">
                  <c:v>3.9893099999999997</c:v>
                </c:pt>
                <c:pt idx="57">
                  <c:v>3.9755699999999998</c:v>
                </c:pt>
                <c:pt idx="58">
                  <c:v>3.9654299999999996</c:v>
                </c:pt>
                <c:pt idx="59">
                  <c:v>3.9551500000000002</c:v>
                </c:pt>
                <c:pt idx="60">
                  <c:v>3.9528099999999999</c:v>
                </c:pt>
                <c:pt idx="61">
                  <c:v>3.9508999999999999</c:v>
                </c:pt>
                <c:pt idx="62">
                  <c:v>3.9522300000000001</c:v>
                </c:pt>
                <c:pt idx="63">
                  <c:v>3.9573399999999999</c:v>
                </c:pt>
                <c:pt idx="64">
                  <c:v>3.9673999999999996</c:v>
                </c:pt>
                <c:pt idx="65">
                  <c:v>3.9818799999999999</c:v>
                </c:pt>
                <c:pt idx="66">
                  <c:v>4.0032699999999997</c:v>
                </c:pt>
                <c:pt idx="67">
                  <c:v>4.0292499999999993</c:v>
                </c:pt>
                <c:pt idx="68">
                  <c:v>4.0619300000000003</c:v>
                </c:pt>
                <c:pt idx="69">
                  <c:v>4.1027300000000002</c:v>
                </c:pt>
                <c:pt idx="70">
                  <c:v>4.1479600000000003</c:v>
                </c:pt>
                <c:pt idx="71">
                  <c:v>4.1962599999999997</c:v>
                </c:pt>
                <c:pt idx="72">
                  <c:v>4.2465999999999999</c:v>
                </c:pt>
                <c:pt idx="73">
                  <c:v>4.2968500000000001</c:v>
                </c:pt>
                <c:pt idx="74">
                  <c:v>4.3520199999999996</c:v>
                </c:pt>
                <c:pt idx="75">
                  <c:v>4.4350800000000001</c:v>
                </c:pt>
                <c:pt idx="76">
                  <c:v>4.5024199999999999</c:v>
                </c:pt>
                <c:pt idx="77">
                  <c:v>4.57294</c:v>
                </c:pt>
                <c:pt idx="78">
                  <c:v>4.6486599999999996</c:v>
                </c:pt>
                <c:pt idx="79">
                  <c:v>4.7190799999999999</c:v>
                </c:pt>
                <c:pt idx="80">
                  <c:v>4.7812200000000002</c:v>
                </c:pt>
                <c:pt idx="81">
                  <c:v>4.8365900000000002</c:v>
                </c:pt>
                <c:pt idx="82">
                  <c:v>4.8848200000000004</c:v>
                </c:pt>
                <c:pt idx="83">
                  <c:v>4.9268099999999997</c:v>
                </c:pt>
                <c:pt idx="84">
                  <c:v>4.9629500000000002</c:v>
                </c:pt>
                <c:pt idx="85">
                  <c:v>4.9972499999999993</c:v>
                </c:pt>
                <c:pt idx="86">
                  <c:v>5.0287000000000006</c:v>
                </c:pt>
                <c:pt idx="87">
                  <c:v>5.0583599999999995</c:v>
                </c:pt>
                <c:pt idx="88">
                  <c:v>5.0835399999999993</c:v>
                </c:pt>
                <c:pt idx="89">
                  <c:v>5.1037699999999999</c:v>
                </c:pt>
                <c:pt idx="90">
                  <c:v>5.1177200000000003</c:v>
                </c:pt>
                <c:pt idx="91">
                  <c:v>5.1266100000000003</c:v>
                </c:pt>
                <c:pt idx="92">
                  <c:v>5.1319300000000005</c:v>
                </c:pt>
                <c:pt idx="93">
                  <c:v>5.1331300000000004</c:v>
                </c:pt>
                <c:pt idx="94">
                  <c:v>5.1311999999999998</c:v>
                </c:pt>
                <c:pt idx="95">
                  <c:v>5.1270899999999999</c:v>
                </c:pt>
                <c:pt idx="96">
                  <c:v>5.1209699999999998</c:v>
                </c:pt>
                <c:pt idx="97">
                  <c:v>5.1128900000000002</c:v>
                </c:pt>
                <c:pt idx="98">
                  <c:v>5.0995800000000004</c:v>
                </c:pt>
                <c:pt idx="99">
                  <c:v>5.0790900000000008</c:v>
                </c:pt>
                <c:pt idx="100">
                  <c:v>5.0532500000000002</c:v>
                </c:pt>
                <c:pt idx="101">
                  <c:v>5.0194700000000001</c:v>
                </c:pt>
                <c:pt idx="102">
                  <c:v>4.9797900000000004</c:v>
                </c:pt>
                <c:pt idx="103">
                  <c:v>4.9351000000000003</c:v>
                </c:pt>
                <c:pt idx="104">
                  <c:v>4.8902200000000002</c:v>
                </c:pt>
                <c:pt idx="105">
                  <c:v>4.8472100000000005</c:v>
                </c:pt>
                <c:pt idx="106">
                  <c:v>4.80572</c:v>
                </c:pt>
                <c:pt idx="107">
                  <c:v>4.7643699999999995</c:v>
                </c:pt>
                <c:pt idx="108">
                  <c:v>4.7217900000000004</c:v>
                </c:pt>
                <c:pt idx="109">
                  <c:v>4.6781299999999995</c:v>
                </c:pt>
                <c:pt idx="110">
                  <c:v>4.6316600000000001</c:v>
                </c:pt>
                <c:pt idx="111">
                  <c:v>4.5840300000000003</c:v>
                </c:pt>
                <c:pt idx="112">
                  <c:v>4.5338899999999995</c:v>
                </c:pt>
                <c:pt idx="113">
                  <c:v>4.4839700000000002</c:v>
                </c:pt>
                <c:pt idx="114">
                  <c:v>4.4340799999999998</c:v>
                </c:pt>
                <c:pt idx="115">
                  <c:v>4.3857600000000003</c:v>
                </c:pt>
                <c:pt idx="116">
                  <c:v>4.3402400000000005</c:v>
                </c:pt>
                <c:pt idx="117">
                  <c:v>4.2954799999999995</c:v>
                </c:pt>
                <c:pt idx="118">
                  <c:v>4.2519900000000002</c:v>
                </c:pt>
                <c:pt idx="119">
                  <c:v>4.2090800000000002</c:v>
                </c:pt>
                <c:pt idx="120">
                  <c:v>4.1661799999999998</c:v>
                </c:pt>
                <c:pt idx="121">
                  <c:v>4.1227399999999994</c:v>
                </c:pt>
                <c:pt idx="122">
                  <c:v>4.0788600000000006</c:v>
                </c:pt>
                <c:pt idx="123">
                  <c:v>4.0364000000000004</c:v>
                </c:pt>
                <c:pt idx="124">
                  <c:v>4.0085899999999999</c:v>
                </c:pt>
                <c:pt idx="125">
                  <c:v>3.9815899999999997</c:v>
                </c:pt>
                <c:pt idx="126">
                  <c:v>3.95505</c:v>
                </c:pt>
                <c:pt idx="127">
                  <c:v>3.9284400000000002</c:v>
                </c:pt>
                <c:pt idx="128">
                  <c:v>3.8977200000000001</c:v>
                </c:pt>
                <c:pt idx="129">
                  <c:v>3.8645700000000001</c:v>
                </c:pt>
                <c:pt idx="130">
                  <c:v>3.8308499999999999</c:v>
                </c:pt>
                <c:pt idx="131">
                  <c:v>3.7939299999999996</c:v>
                </c:pt>
                <c:pt idx="132">
                  <c:v>3.75563</c:v>
                </c:pt>
                <c:pt idx="133">
                  <c:v>3.7201200000000001</c:v>
                </c:pt>
                <c:pt idx="134">
                  <c:v>3.6859399999999996</c:v>
                </c:pt>
                <c:pt idx="135">
                  <c:v>3.6501000000000001</c:v>
                </c:pt>
                <c:pt idx="136">
                  <c:v>3.6133799999999998</c:v>
                </c:pt>
                <c:pt idx="137">
                  <c:v>3.5823300000000002</c:v>
                </c:pt>
                <c:pt idx="138">
                  <c:v>3.5543499999999999</c:v>
                </c:pt>
                <c:pt idx="139">
                  <c:v>3.5364</c:v>
                </c:pt>
                <c:pt idx="140">
                  <c:v>3.5296599999999998</c:v>
                </c:pt>
                <c:pt idx="141">
                  <c:v>3.5206999999999997</c:v>
                </c:pt>
                <c:pt idx="142">
                  <c:v>3.5146300000000004</c:v>
                </c:pt>
                <c:pt idx="143">
                  <c:v>3.5103299999999997</c:v>
                </c:pt>
                <c:pt idx="144">
                  <c:v>3.4990100000000002</c:v>
                </c:pt>
                <c:pt idx="145">
                  <c:v>3.4840599999999999</c:v>
                </c:pt>
                <c:pt idx="146">
                  <c:v>3.4597899999999999</c:v>
                </c:pt>
                <c:pt idx="147">
                  <c:v>3.4246700000000003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0.36688700000000002</c:v>
                </c:pt>
                <c:pt idx="2">
                  <c:v>0.77391500000000002</c:v>
                </c:pt>
                <c:pt idx="3">
                  <c:v>1.17879</c:v>
                </c:pt>
                <c:pt idx="4">
                  <c:v>1.58758</c:v>
                </c:pt>
                <c:pt idx="5">
                  <c:v>1.9903900000000001</c:v>
                </c:pt>
                <c:pt idx="6">
                  <c:v>2.39846</c:v>
                </c:pt>
                <c:pt idx="7">
                  <c:v>2.8031600000000001</c:v>
                </c:pt>
                <c:pt idx="8">
                  <c:v>3.2112799999999999</c:v>
                </c:pt>
                <c:pt idx="9">
                  <c:v>3.6184799999999999</c:v>
                </c:pt>
                <c:pt idx="10">
                  <c:v>4.0210299999999997</c:v>
                </c:pt>
                <c:pt idx="11">
                  <c:v>4.4290500000000002</c:v>
                </c:pt>
                <c:pt idx="12">
                  <c:v>4.8327</c:v>
                </c:pt>
                <c:pt idx="13">
                  <c:v>5.2411399999999997</c:v>
                </c:pt>
                <c:pt idx="14">
                  <c:v>5.6464999999999996</c:v>
                </c:pt>
                <c:pt idx="15">
                  <c:v>6.0575900000000003</c:v>
                </c:pt>
                <c:pt idx="16">
                  <c:v>6.4595900000000004</c:v>
                </c:pt>
                <c:pt idx="17">
                  <c:v>6.8643799999999997</c:v>
                </c:pt>
                <c:pt idx="18">
                  <c:v>7.2694099999999997</c:v>
                </c:pt>
                <c:pt idx="19">
                  <c:v>7.6803400000000002</c:v>
                </c:pt>
                <c:pt idx="20">
                  <c:v>8.08568</c:v>
                </c:pt>
                <c:pt idx="21">
                  <c:v>8.4936199999999999</c:v>
                </c:pt>
                <c:pt idx="22">
                  <c:v>8.8960000000000008</c:v>
                </c:pt>
                <c:pt idx="23">
                  <c:v>9.3033999999999999</c:v>
                </c:pt>
                <c:pt idx="24">
                  <c:v>9.7083499999999994</c:v>
                </c:pt>
                <c:pt idx="25">
                  <c:v>10.1144</c:v>
                </c:pt>
                <c:pt idx="26">
                  <c:v>10.523199999999999</c:v>
                </c:pt>
                <c:pt idx="27">
                  <c:v>10.928699999999999</c:v>
                </c:pt>
                <c:pt idx="28">
                  <c:v>11.333500000000001</c:v>
                </c:pt>
                <c:pt idx="29">
                  <c:v>11.743399999999999</c:v>
                </c:pt>
                <c:pt idx="30">
                  <c:v>12.1503</c:v>
                </c:pt>
                <c:pt idx="31">
                  <c:v>12.5572</c:v>
                </c:pt>
                <c:pt idx="32">
                  <c:v>12.960100000000001</c:v>
                </c:pt>
                <c:pt idx="33">
                  <c:v>13.3651</c:v>
                </c:pt>
                <c:pt idx="34">
                  <c:v>13.7721</c:v>
                </c:pt>
                <c:pt idx="35">
                  <c:v>14.1799</c:v>
                </c:pt>
                <c:pt idx="36">
                  <c:v>14.583399999999999</c:v>
                </c:pt>
                <c:pt idx="37">
                  <c:v>14.9903</c:v>
                </c:pt>
                <c:pt idx="38">
                  <c:v>15.400700000000001</c:v>
                </c:pt>
                <c:pt idx="39">
                  <c:v>15.8055</c:v>
                </c:pt>
                <c:pt idx="40">
                  <c:v>16.209599999999998</c:v>
                </c:pt>
                <c:pt idx="41">
                  <c:v>16.6173</c:v>
                </c:pt>
                <c:pt idx="42">
                  <c:v>17.021100000000001</c:v>
                </c:pt>
                <c:pt idx="43">
                  <c:v>17.426200000000001</c:v>
                </c:pt>
                <c:pt idx="44">
                  <c:v>17.834499999999998</c:v>
                </c:pt>
                <c:pt idx="45">
                  <c:v>18.242999999999999</c:v>
                </c:pt>
                <c:pt idx="46">
                  <c:v>18.649899999999999</c:v>
                </c:pt>
                <c:pt idx="47">
                  <c:v>19.052499999999998</c:v>
                </c:pt>
                <c:pt idx="48">
                  <c:v>19.459800000000001</c:v>
                </c:pt>
                <c:pt idx="49">
                  <c:v>19.8659</c:v>
                </c:pt>
                <c:pt idx="50">
                  <c:v>20.273599999999998</c:v>
                </c:pt>
                <c:pt idx="51">
                  <c:v>20.6816</c:v>
                </c:pt>
                <c:pt idx="52">
                  <c:v>21.083300000000001</c:v>
                </c:pt>
                <c:pt idx="53">
                  <c:v>21.491399999999999</c:v>
                </c:pt>
                <c:pt idx="54">
                  <c:v>21.897500000000001</c:v>
                </c:pt>
                <c:pt idx="55">
                  <c:v>22.305199999999999</c:v>
                </c:pt>
                <c:pt idx="56">
                  <c:v>22.713100000000001</c:v>
                </c:pt>
                <c:pt idx="57">
                  <c:v>23.114899999999999</c:v>
                </c:pt>
                <c:pt idx="58">
                  <c:v>23.521799999999999</c:v>
                </c:pt>
                <c:pt idx="59">
                  <c:v>23.930499999999999</c:v>
                </c:pt>
                <c:pt idx="60">
                  <c:v>24.335899999999999</c:v>
                </c:pt>
                <c:pt idx="61">
                  <c:v>24.741299999999999</c:v>
                </c:pt>
                <c:pt idx="62">
                  <c:v>25.148599999999998</c:v>
                </c:pt>
                <c:pt idx="63">
                  <c:v>25.5547</c:v>
                </c:pt>
                <c:pt idx="64">
                  <c:v>25.9605</c:v>
                </c:pt>
                <c:pt idx="65">
                  <c:v>26.369599999999998</c:v>
                </c:pt>
                <c:pt idx="66">
                  <c:v>26.772200000000002</c:v>
                </c:pt>
                <c:pt idx="67">
                  <c:v>27.180099999999999</c:v>
                </c:pt>
                <c:pt idx="68">
                  <c:v>27.5854</c:v>
                </c:pt>
                <c:pt idx="69">
                  <c:v>27.993200000000002</c:v>
                </c:pt>
                <c:pt idx="70">
                  <c:v>28.396000000000001</c:v>
                </c:pt>
                <c:pt idx="71">
                  <c:v>28.805800000000001</c:v>
                </c:pt>
                <c:pt idx="72">
                  <c:v>29.209700000000002</c:v>
                </c:pt>
                <c:pt idx="73">
                  <c:v>29.617599999999999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2.1557599999999999</c:v>
                </c:pt>
                <c:pt idx="1">
                  <c:v>2.1887599999999998</c:v>
                </c:pt>
                <c:pt idx="2">
                  <c:v>2.22078</c:v>
                </c:pt>
                <c:pt idx="3">
                  <c:v>2.25135</c:v>
                </c:pt>
                <c:pt idx="4">
                  <c:v>2.2803800000000001</c:v>
                </c:pt>
                <c:pt idx="5">
                  <c:v>2.3091699999999999</c:v>
                </c:pt>
                <c:pt idx="6">
                  <c:v>2.3403900000000002</c:v>
                </c:pt>
                <c:pt idx="7">
                  <c:v>2.3717800000000002</c:v>
                </c:pt>
                <c:pt idx="8">
                  <c:v>2.4035699999999998</c:v>
                </c:pt>
                <c:pt idx="9">
                  <c:v>2.4356100000000001</c:v>
                </c:pt>
                <c:pt idx="10">
                  <c:v>2.4662800000000002</c:v>
                </c:pt>
                <c:pt idx="11">
                  <c:v>2.4974599999999998</c:v>
                </c:pt>
                <c:pt idx="12">
                  <c:v>2.5293100000000002</c:v>
                </c:pt>
                <c:pt idx="13">
                  <c:v>2.5637700000000003</c:v>
                </c:pt>
                <c:pt idx="14">
                  <c:v>2.60141</c:v>
                </c:pt>
                <c:pt idx="15">
                  <c:v>2.6413500000000001</c:v>
                </c:pt>
                <c:pt idx="16">
                  <c:v>2.6798100000000002</c:v>
                </c:pt>
                <c:pt idx="17">
                  <c:v>2.7165600000000003</c:v>
                </c:pt>
                <c:pt idx="18">
                  <c:v>2.7542400000000002</c:v>
                </c:pt>
                <c:pt idx="19">
                  <c:v>2.7929700000000004</c:v>
                </c:pt>
                <c:pt idx="20">
                  <c:v>2.8348499999999999</c:v>
                </c:pt>
                <c:pt idx="21">
                  <c:v>2.8803700000000001</c:v>
                </c:pt>
                <c:pt idx="22">
                  <c:v>2.9292499999999997</c:v>
                </c:pt>
                <c:pt idx="23">
                  <c:v>2.9813099999999997</c:v>
                </c:pt>
                <c:pt idx="24">
                  <c:v>3.0337999999999998</c:v>
                </c:pt>
                <c:pt idx="25">
                  <c:v>3.0863499999999999</c:v>
                </c:pt>
                <c:pt idx="26">
                  <c:v>3.1375999999999999</c:v>
                </c:pt>
                <c:pt idx="27">
                  <c:v>3.1898200000000001</c:v>
                </c:pt>
                <c:pt idx="28">
                  <c:v>3.2440000000000002</c:v>
                </c:pt>
                <c:pt idx="29">
                  <c:v>3.3022400000000003</c:v>
                </c:pt>
                <c:pt idx="30">
                  <c:v>3.3585700000000003</c:v>
                </c:pt>
                <c:pt idx="31">
                  <c:v>3.4110800000000001</c:v>
                </c:pt>
                <c:pt idx="32">
                  <c:v>3.4641199999999999</c:v>
                </c:pt>
                <c:pt idx="33">
                  <c:v>3.5170000000000003</c:v>
                </c:pt>
                <c:pt idx="34">
                  <c:v>3.5724400000000003</c:v>
                </c:pt>
                <c:pt idx="35">
                  <c:v>3.62202</c:v>
                </c:pt>
                <c:pt idx="36">
                  <c:v>3.6722700000000001</c:v>
                </c:pt>
                <c:pt idx="37">
                  <c:v>3.7192699999999999</c:v>
                </c:pt>
                <c:pt idx="38">
                  <c:v>3.7637900000000002</c:v>
                </c:pt>
                <c:pt idx="39">
                  <c:v>3.80342</c:v>
                </c:pt>
                <c:pt idx="40">
                  <c:v>3.8403300000000002</c:v>
                </c:pt>
                <c:pt idx="41">
                  <c:v>3.8768799999999999</c:v>
                </c:pt>
                <c:pt idx="42">
                  <c:v>3.9129000000000005</c:v>
                </c:pt>
                <c:pt idx="43">
                  <c:v>3.9447700000000001</c:v>
                </c:pt>
                <c:pt idx="44">
                  <c:v>3.9693800000000001</c:v>
                </c:pt>
                <c:pt idx="45">
                  <c:v>3.9883800000000003</c:v>
                </c:pt>
                <c:pt idx="46">
                  <c:v>4.0010899999999996</c:v>
                </c:pt>
                <c:pt idx="47">
                  <c:v>4.0091099999999997</c:v>
                </c:pt>
                <c:pt idx="48">
                  <c:v>4.0145799999999996</c:v>
                </c:pt>
                <c:pt idx="49">
                  <c:v>4.0198200000000002</c:v>
                </c:pt>
                <c:pt idx="50">
                  <c:v>4.0260099999999994</c:v>
                </c:pt>
                <c:pt idx="51">
                  <c:v>4.0295699999999997</c:v>
                </c:pt>
                <c:pt idx="52">
                  <c:v>4.0307700000000004</c:v>
                </c:pt>
                <c:pt idx="53">
                  <c:v>4.0266900000000003</c:v>
                </c:pt>
                <c:pt idx="54">
                  <c:v>4.0163900000000003</c:v>
                </c:pt>
                <c:pt idx="55">
                  <c:v>4.0028799999999993</c:v>
                </c:pt>
                <c:pt idx="56">
                  <c:v>3.9893099999999997</c:v>
                </c:pt>
                <c:pt idx="57">
                  <c:v>3.9755699999999998</c:v>
                </c:pt>
                <c:pt idx="58">
                  <c:v>3.9654299999999996</c:v>
                </c:pt>
                <c:pt idx="59">
                  <c:v>3.9551500000000002</c:v>
                </c:pt>
                <c:pt idx="60">
                  <c:v>3.9528099999999999</c:v>
                </c:pt>
                <c:pt idx="61">
                  <c:v>3.9508999999999999</c:v>
                </c:pt>
                <c:pt idx="62">
                  <c:v>3.9522300000000001</c:v>
                </c:pt>
                <c:pt idx="63">
                  <c:v>3.9573399999999999</c:v>
                </c:pt>
                <c:pt idx="64">
                  <c:v>3.9673999999999996</c:v>
                </c:pt>
                <c:pt idx="65">
                  <c:v>3.9818799999999999</c:v>
                </c:pt>
                <c:pt idx="66">
                  <c:v>4.0032699999999997</c:v>
                </c:pt>
                <c:pt idx="67">
                  <c:v>4.0292499999999993</c:v>
                </c:pt>
                <c:pt idx="68">
                  <c:v>4.0619300000000003</c:v>
                </c:pt>
                <c:pt idx="69">
                  <c:v>4.1027300000000002</c:v>
                </c:pt>
                <c:pt idx="70">
                  <c:v>4.1479600000000003</c:v>
                </c:pt>
                <c:pt idx="71">
                  <c:v>4.1962599999999997</c:v>
                </c:pt>
                <c:pt idx="72">
                  <c:v>4.2465999999999999</c:v>
                </c:pt>
                <c:pt idx="73">
                  <c:v>4.2968500000000001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29.617599999999999</c:v>
                </c:pt>
                <c:pt idx="1">
                  <c:v>30.019600000000001</c:v>
                </c:pt>
                <c:pt idx="2">
                  <c:v>30.622</c:v>
                </c:pt>
                <c:pt idx="3">
                  <c:v>30.9894</c:v>
                </c:pt>
                <c:pt idx="4">
                  <c:v>31.366</c:v>
                </c:pt>
                <c:pt idx="5">
                  <c:v>31.741</c:v>
                </c:pt>
                <c:pt idx="6">
                  <c:v>32.119399999999999</c:v>
                </c:pt>
                <c:pt idx="7">
                  <c:v>32.523000000000003</c:v>
                </c:pt>
                <c:pt idx="8">
                  <c:v>32.928899999999999</c:v>
                </c:pt>
                <c:pt idx="9">
                  <c:v>33.333799999999997</c:v>
                </c:pt>
                <c:pt idx="10">
                  <c:v>33.7408</c:v>
                </c:pt>
                <c:pt idx="11">
                  <c:v>34.146900000000002</c:v>
                </c:pt>
                <c:pt idx="12">
                  <c:v>34.5595</c:v>
                </c:pt>
                <c:pt idx="13">
                  <c:v>34.9587</c:v>
                </c:pt>
                <c:pt idx="14">
                  <c:v>35.368699999999997</c:v>
                </c:pt>
                <c:pt idx="15">
                  <c:v>35.773400000000002</c:v>
                </c:pt>
                <c:pt idx="16">
                  <c:v>36.176699999999997</c:v>
                </c:pt>
                <c:pt idx="17">
                  <c:v>36.584200000000003</c:v>
                </c:pt>
                <c:pt idx="18">
                  <c:v>36.991999999999997</c:v>
                </c:pt>
                <c:pt idx="19">
                  <c:v>37.399299999999997</c:v>
                </c:pt>
                <c:pt idx="20">
                  <c:v>37.8048</c:v>
                </c:pt>
                <c:pt idx="21">
                  <c:v>38.212699999999998</c:v>
                </c:pt>
                <c:pt idx="22">
                  <c:v>38.615699999999997</c:v>
                </c:pt>
                <c:pt idx="23">
                  <c:v>39.022500000000001</c:v>
                </c:pt>
                <c:pt idx="24">
                  <c:v>39.426299999999998</c:v>
                </c:pt>
                <c:pt idx="25">
                  <c:v>39.833799999999997</c:v>
                </c:pt>
                <c:pt idx="26">
                  <c:v>40.238399999999999</c:v>
                </c:pt>
                <c:pt idx="27">
                  <c:v>40.648499999999999</c:v>
                </c:pt>
                <c:pt idx="28">
                  <c:v>41.054099999999998</c:v>
                </c:pt>
                <c:pt idx="29">
                  <c:v>41.457900000000002</c:v>
                </c:pt>
                <c:pt idx="30">
                  <c:v>41.865099999999998</c:v>
                </c:pt>
                <c:pt idx="31">
                  <c:v>42.271900000000002</c:v>
                </c:pt>
                <c:pt idx="32">
                  <c:v>42.6798</c:v>
                </c:pt>
                <c:pt idx="33">
                  <c:v>43.088799999999999</c:v>
                </c:pt>
                <c:pt idx="34">
                  <c:v>43.490600000000001</c:v>
                </c:pt>
                <c:pt idx="35">
                  <c:v>43.900599999999997</c:v>
                </c:pt>
                <c:pt idx="36">
                  <c:v>44.307400000000001</c:v>
                </c:pt>
                <c:pt idx="37">
                  <c:v>44.712299999999999</c:v>
                </c:pt>
                <c:pt idx="38">
                  <c:v>45.115200000000002</c:v>
                </c:pt>
                <c:pt idx="39">
                  <c:v>45.5197</c:v>
                </c:pt>
                <c:pt idx="40">
                  <c:v>45.9285</c:v>
                </c:pt>
                <c:pt idx="41">
                  <c:v>46.337000000000003</c:v>
                </c:pt>
                <c:pt idx="42">
                  <c:v>46.741799999999998</c:v>
                </c:pt>
                <c:pt idx="43">
                  <c:v>47.148800000000001</c:v>
                </c:pt>
                <c:pt idx="44">
                  <c:v>47.552900000000001</c:v>
                </c:pt>
                <c:pt idx="45">
                  <c:v>47.959899999999998</c:v>
                </c:pt>
                <c:pt idx="46">
                  <c:v>48.367699999999999</c:v>
                </c:pt>
                <c:pt idx="47">
                  <c:v>48.774700000000003</c:v>
                </c:pt>
                <c:pt idx="48">
                  <c:v>49.179400000000001</c:v>
                </c:pt>
                <c:pt idx="49">
                  <c:v>49.583399999999997</c:v>
                </c:pt>
                <c:pt idx="50">
                  <c:v>49.989199999999997</c:v>
                </c:pt>
                <c:pt idx="51">
                  <c:v>50.3962</c:v>
                </c:pt>
                <c:pt idx="52">
                  <c:v>50.803600000000003</c:v>
                </c:pt>
                <c:pt idx="53">
                  <c:v>51.213900000000002</c:v>
                </c:pt>
                <c:pt idx="54">
                  <c:v>51.616799999999998</c:v>
                </c:pt>
                <c:pt idx="55">
                  <c:v>52.0229</c:v>
                </c:pt>
                <c:pt idx="56">
                  <c:v>52.429699999999997</c:v>
                </c:pt>
                <c:pt idx="57">
                  <c:v>52.834699999999998</c:v>
                </c:pt>
                <c:pt idx="58">
                  <c:v>53.240600000000001</c:v>
                </c:pt>
                <c:pt idx="59">
                  <c:v>53.6494</c:v>
                </c:pt>
                <c:pt idx="60">
                  <c:v>54.051400000000001</c:v>
                </c:pt>
                <c:pt idx="61">
                  <c:v>54.461300000000001</c:v>
                </c:pt>
                <c:pt idx="62">
                  <c:v>54.866100000000003</c:v>
                </c:pt>
                <c:pt idx="63">
                  <c:v>55.2714</c:v>
                </c:pt>
                <c:pt idx="64">
                  <c:v>55.68</c:v>
                </c:pt>
                <c:pt idx="65">
                  <c:v>56.088000000000001</c:v>
                </c:pt>
                <c:pt idx="66">
                  <c:v>56.492699999999999</c:v>
                </c:pt>
                <c:pt idx="67">
                  <c:v>56.898800000000001</c:v>
                </c:pt>
                <c:pt idx="68">
                  <c:v>57.304699999999997</c:v>
                </c:pt>
                <c:pt idx="69">
                  <c:v>57.712499999999999</c:v>
                </c:pt>
                <c:pt idx="70">
                  <c:v>58.1205</c:v>
                </c:pt>
                <c:pt idx="71">
                  <c:v>58.5214</c:v>
                </c:pt>
                <c:pt idx="72">
                  <c:v>58.929299999999998</c:v>
                </c:pt>
                <c:pt idx="73">
                  <c:v>59.333799999999997</c:v>
                </c:pt>
                <c:pt idx="74">
                  <c:v>59.7393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4.2968500000000001</c:v>
                </c:pt>
                <c:pt idx="1">
                  <c:v>4.3520199999999996</c:v>
                </c:pt>
                <c:pt idx="2">
                  <c:v>4.4350800000000001</c:v>
                </c:pt>
                <c:pt idx="3">
                  <c:v>4.5024199999999999</c:v>
                </c:pt>
                <c:pt idx="4">
                  <c:v>4.57294</c:v>
                </c:pt>
                <c:pt idx="5">
                  <c:v>4.6486599999999996</c:v>
                </c:pt>
                <c:pt idx="6">
                  <c:v>4.7190799999999999</c:v>
                </c:pt>
                <c:pt idx="7">
                  <c:v>4.7812200000000002</c:v>
                </c:pt>
                <c:pt idx="8">
                  <c:v>4.8365900000000002</c:v>
                </c:pt>
                <c:pt idx="9">
                  <c:v>4.8848200000000004</c:v>
                </c:pt>
                <c:pt idx="10">
                  <c:v>4.9268099999999997</c:v>
                </c:pt>
                <c:pt idx="11">
                  <c:v>4.9629500000000002</c:v>
                </c:pt>
                <c:pt idx="12">
                  <c:v>4.9972499999999993</c:v>
                </c:pt>
                <c:pt idx="13">
                  <c:v>5.0287000000000006</c:v>
                </c:pt>
                <c:pt idx="14">
                  <c:v>5.0583599999999995</c:v>
                </c:pt>
                <c:pt idx="15">
                  <c:v>5.0835399999999993</c:v>
                </c:pt>
                <c:pt idx="16">
                  <c:v>5.1037699999999999</c:v>
                </c:pt>
                <c:pt idx="17">
                  <c:v>5.1177200000000003</c:v>
                </c:pt>
                <c:pt idx="18">
                  <c:v>5.1266100000000003</c:v>
                </c:pt>
                <c:pt idx="19">
                  <c:v>5.1319300000000005</c:v>
                </c:pt>
                <c:pt idx="20">
                  <c:v>5.1331300000000004</c:v>
                </c:pt>
                <c:pt idx="21">
                  <c:v>5.1311999999999998</c:v>
                </c:pt>
                <c:pt idx="22">
                  <c:v>5.1270899999999999</c:v>
                </c:pt>
                <c:pt idx="23">
                  <c:v>5.1209699999999998</c:v>
                </c:pt>
                <c:pt idx="24">
                  <c:v>5.1128900000000002</c:v>
                </c:pt>
                <c:pt idx="25">
                  <c:v>5.0995800000000004</c:v>
                </c:pt>
                <c:pt idx="26">
                  <c:v>5.0790900000000008</c:v>
                </c:pt>
                <c:pt idx="27">
                  <c:v>5.0532500000000002</c:v>
                </c:pt>
                <c:pt idx="28">
                  <c:v>5.0194700000000001</c:v>
                </c:pt>
                <c:pt idx="29">
                  <c:v>4.9797900000000004</c:v>
                </c:pt>
                <c:pt idx="30">
                  <c:v>4.9351000000000003</c:v>
                </c:pt>
                <c:pt idx="31">
                  <c:v>4.8902200000000002</c:v>
                </c:pt>
                <c:pt idx="32">
                  <c:v>4.8472100000000005</c:v>
                </c:pt>
                <c:pt idx="33">
                  <c:v>4.80572</c:v>
                </c:pt>
                <c:pt idx="34">
                  <c:v>4.7643699999999995</c:v>
                </c:pt>
                <c:pt idx="35">
                  <c:v>4.7217900000000004</c:v>
                </c:pt>
                <c:pt idx="36">
                  <c:v>4.6781299999999995</c:v>
                </c:pt>
                <c:pt idx="37">
                  <c:v>4.6316600000000001</c:v>
                </c:pt>
                <c:pt idx="38">
                  <c:v>4.5840300000000003</c:v>
                </c:pt>
                <c:pt idx="39">
                  <c:v>4.5338899999999995</c:v>
                </c:pt>
                <c:pt idx="40">
                  <c:v>4.4839700000000002</c:v>
                </c:pt>
                <c:pt idx="41">
                  <c:v>4.4340799999999998</c:v>
                </c:pt>
                <c:pt idx="42">
                  <c:v>4.3857600000000003</c:v>
                </c:pt>
                <c:pt idx="43">
                  <c:v>4.3402400000000005</c:v>
                </c:pt>
                <c:pt idx="44">
                  <c:v>4.2954799999999995</c:v>
                </c:pt>
                <c:pt idx="45">
                  <c:v>4.2519900000000002</c:v>
                </c:pt>
                <c:pt idx="46">
                  <c:v>4.2090800000000002</c:v>
                </c:pt>
                <c:pt idx="47">
                  <c:v>4.1661799999999998</c:v>
                </c:pt>
                <c:pt idx="48">
                  <c:v>4.1227399999999994</c:v>
                </c:pt>
                <c:pt idx="49">
                  <c:v>4.0788600000000006</c:v>
                </c:pt>
                <c:pt idx="50">
                  <c:v>4.0364000000000004</c:v>
                </c:pt>
                <c:pt idx="51">
                  <c:v>4.0085899999999999</c:v>
                </c:pt>
                <c:pt idx="52">
                  <c:v>3.9815899999999997</c:v>
                </c:pt>
                <c:pt idx="53">
                  <c:v>3.95505</c:v>
                </c:pt>
                <c:pt idx="54">
                  <c:v>3.9284400000000002</c:v>
                </c:pt>
                <c:pt idx="55">
                  <c:v>3.8977200000000001</c:v>
                </c:pt>
                <c:pt idx="56">
                  <c:v>3.8645700000000001</c:v>
                </c:pt>
                <c:pt idx="57">
                  <c:v>3.8308499999999999</c:v>
                </c:pt>
                <c:pt idx="58">
                  <c:v>3.7939299999999996</c:v>
                </c:pt>
                <c:pt idx="59">
                  <c:v>3.75563</c:v>
                </c:pt>
                <c:pt idx="60">
                  <c:v>3.7201200000000001</c:v>
                </c:pt>
                <c:pt idx="61">
                  <c:v>3.6859399999999996</c:v>
                </c:pt>
                <c:pt idx="62">
                  <c:v>3.6501000000000001</c:v>
                </c:pt>
                <c:pt idx="63">
                  <c:v>3.6133799999999998</c:v>
                </c:pt>
                <c:pt idx="64">
                  <c:v>3.5823300000000002</c:v>
                </c:pt>
                <c:pt idx="65">
                  <c:v>3.5543499999999999</c:v>
                </c:pt>
                <c:pt idx="66">
                  <c:v>3.5364</c:v>
                </c:pt>
                <c:pt idx="67">
                  <c:v>3.5296599999999998</c:v>
                </c:pt>
                <c:pt idx="68">
                  <c:v>3.5206999999999997</c:v>
                </c:pt>
                <c:pt idx="69">
                  <c:v>3.5146300000000004</c:v>
                </c:pt>
                <c:pt idx="70">
                  <c:v>3.5103299999999997</c:v>
                </c:pt>
                <c:pt idx="71">
                  <c:v>3.4990100000000002</c:v>
                </c:pt>
                <c:pt idx="72">
                  <c:v>3.4840599999999999</c:v>
                </c:pt>
                <c:pt idx="73">
                  <c:v>3.4597899999999999</c:v>
                </c:pt>
                <c:pt idx="74">
                  <c:v>3.4246700000000003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14.934825</c:v>
                </c:pt>
                <c:pt idx="1">
                  <c:v>44.804474999999996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3.4076581081081088</c:v>
                </c:pt>
                <c:pt idx="1">
                  <c:v>4.4003468918918927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0.36688700000000002</c:v>
                </c:pt>
                <c:pt idx="2">
                  <c:v>0.77391500000000002</c:v>
                </c:pt>
                <c:pt idx="3">
                  <c:v>1.17879</c:v>
                </c:pt>
                <c:pt idx="4">
                  <c:v>1.58758</c:v>
                </c:pt>
                <c:pt idx="5">
                  <c:v>1.9903900000000001</c:v>
                </c:pt>
                <c:pt idx="6">
                  <c:v>2.39846</c:v>
                </c:pt>
                <c:pt idx="7">
                  <c:v>2.8031600000000001</c:v>
                </c:pt>
                <c:pt idx="8">
                  <c:v>3.2112799999999999</c:v>
                </c:pt>
                <c:pt idx="9">
                  <c:v>3.6184799999999999</c:v>
                </c:pt>
                <c:pt idx="10">
                  <c:v>4.0210299999999997</c:v>
                </c:pt>
                <c:pt idx="11">
                  <c:v>4.4290500000000002</c:v>
                </c:pt>
                <c:pt idx="12">
                  <c:v>4.8327</c:v>
                </c:pt>
                <c:pt idx="13">
                  <c:v>5.2411399999999997</c:v>
                </c:pt>
                <c:pt idx="14">
                  <c:v>5.6464999999999996</c:v>
                </c:pt>
                <c:pt idx="15">
                  <c:v>6.0575900000000003</c:v>
                </c:pt>
                <c:pt idx="16">
                  <c:v>6.4595900000000004</c:v>
                </c:pt>
                <c:pt idx="17">
                  <c:v>6.8643799999999997</c:v>
                </c:pt>
                <c:pt idx="18">
                  <c:v>7.2694099999999997</c:v>
                </c:pt>
                <c:pt idx="19">
                  <c:v>7.6803400000000002</c:v>
                </c:pt>
                <c:pt idx="20">
                  <c:v>8.08568</c:v>
                </c:pt>
                <c:pt idx="21">
                  <c:v>8.4936199999999999</c:v>
                </c:pt>
                <c:pt idx="22">
                  <c:v>8.8960000000000008</c:v>
                </c:pt>
                <c:pt idx="23">
                  <c:v>9.3033999999999999</c:v>
                </c:pt>
                <c:pt idx="24">
                  <c:v>9.7083499999999994</c:v>
                </c:pt>
                <c:pt idx="25">
                  <c:v>10.1144</c:v>
                </c:pt>
                <c:pt idx="26">
                  <c:v>10.523199999999999</c:v>
                </c:pt>
                <c:pt idx="27">
                  <c:v>10.928699999999999</c:v>
                </c:pt>
                <c:pt idx="28">
                  <c:v>11.333500000000001</c:v>
                </c:pt>
                <c:pt idx="29">
                  <c:v>11.743399999999999</c:v>
                </c:pt>
                <c:pt idx="30">
                  <c:v>12.1503</c:v>
                </c:pt>
                <c:pt idx="31">
                  <c:v>12.5572</c:v>
                </c:pt>
                <c:pt idx="32">
                  <c:v>12.960100000000001</c:v>
                </c:pt>
                <c:pt idx="33">
                  <c:v>13.3651</c:v>
                </c:pt>
                <c:pt idx="34">
                  <c:v>13.7721</c:v>
                </c:pt>
                <c:pt idx="35">
                  <c:v>14.1799</c:v>
                </c:pt>
                <c:pt idx="36">
                  <c:v>14.583399999999999</c:v>
                </c:pt>
                <c:pt idx="37">
                  <c:v>14.9903</c:v>
                </c:pt>
                <c:pt idx="38">
                  <c:v>15.400700000000001</c:v>
                </c:pt>
                <c:pt idx="39">
                  <c:v>15.8055</c:v>
                </c:pt>
                <c:pt idx="40">
                  <c:v>16.209599999999998</c:v>
                </c:pt>
                <c:pt idx="41">
                  <c:v>16.6173</c:v>
                </c:pt>
                <c:pt idx="42">
                  <c:v>17.021100000000001</c:v>
                </c:pt>
                <c:pt idx="43">
                  <c:v>17.426200000000001</c:v>
                </c:pt>
                <c:pt idx="44">
                  <c:v>17.834499999999998</c:v>
                </c:pt>
                <c:pt idx="45">
                  <c:v>18.242999999999999</c:v>
                </c:pt>
                <c:pt idx="46">
                  <c:v>18.649899999999999</c:v>
                </c:pt>
                <c:pt idx="47">
                  <c:v>19.052499999999998</c:v>
                </c:pt>
                <c:pt idx="48">
                  <c:v>19.459800000000001</c:v>
                </c:pt>
                <c:pt idx="49">
                  <c:v>19.8659</c:v>
                </c:pt>
                <c:pt idx="50">
                  <c:v>20.273599999999998</c:v>
                </c:pt>
                <c:pt idx="51">
                  <c:v>20.6816</c:v>
                </c:pt>
                <c:pt idx="52">
                  <c:v>21.083300000000001</c:v>
                </c:pt>
                <c:pt idx="53">
                  <c:v>21.491399999999999</c:v>
                </c:pt>
                <c:pt idx="54">
                  <c:v>21.897500000000001</c:v>
                </c:pt>
                <c:pt idx="55">
                  <c:v>22.305199999999999</c:v>
                </c:pt>
                <c:pt idx="56">
                  <c:v>22.713100000000001</c:v>
                </c:pt>
                <c:pt idx="57">
                  <c:v>23.114899999999999</c:v>
                </c:pt>
                <c:pt idx="58">
                  <c:v>23.521799999999999</c:v>
                </c:pt>
                <c:pt idx="59">
                  <c:v>23.930499999999999</c:v>
                </c:pt>
                <c:pt idx="60">
                  <c:v>24.335899999999999</c:v>
                </c:pt>
                <c:pt idx="61">
                  <c:v>24.741299999999999</c:v>
                </c:pt>
                <c:pt idx="62">
                  <c:v>25.148599999999998</c:v>
                </c:pt>
                <c:pt idx="63">
                  <c:v>25.5547</c:v>
                </c:pt>
                <c:pt idx="64">
                  <c:v>25.9605</c:v>
                </c:pt>
                <c:pt idx="65">
                  <c:v>26.369599999999998</c:v>
                </c:pt>
                <c:pt idx="66">
                  <c:v>26.772200000000002</c:v>
                </c:pt>
                <c:pt idx="67">
                  <c:v>27.180099999999999</c:v>
                </c:pt>
                <c:pt idx="68">
                  <c:v>27.5854</c:v>
                </c:pt>
                <c:pt idx="69">
                  <c:v>27.993200000000002</c:v>
                </c:pt>
                <c:pt idx="70">
                  <c:v>28.396000000000001</c:v>
                </c:pt>
                <c:pt idx="71">
                  <c:v>28.805800000000001</c:v>
                </c:pt>
                <c:pt idx="72">
                  <c:v>29.209700000000002</c:v>
                </c:pt>
                <c:pt idx="73">
                  <c:v>29.617599999999999</c:v>
                </c:pt>
                <c:pt idx="74">
                  <c:v>30.019600000000001</c:v>
                </c:pt>
                <c:pt idx="75">
                  <c:v>30.622</c:v>
                </c:pt>
                <c:pt idx="76">
                  <c:v>30.9894</c:v>
                </c:pt>
                <c:pt idx="77">
                  <c:v>31.366</c:v>
                </c:pt>
                <c:pt idx="78">
                  <c:v>31.741</c:v>
                </c:pt>
                <c:pt idx="79">
                  <c:v>32.119399999999999</c:v>
                </c:pt>
                <c:pt idx="80">
                  <c:v>32.523000000000003</c:v>
                </c:pt>
                <c:pt idx="81">
                  <c:v>32.928899999999999</c:v>
                </c:pt>
                <c:pt idx="82">
                  <c:v>33.333799999999997</c:v>
                </c:pt>
                <c:pt idx="83">
                  <c:v>33.7408</c:v>
                </c:pt>
                <c:pt idx="84">
                  <c:v>34.146900000000002</c:v>
                </c:pt>
                <c:pt idx="85">
                  <c:v>34.5595</c:v>
                </c:pt>
                <c:pt idx="86">
                  <c:v>34.9587</c:v>
                </c:pt>
                <c:pt idx="87">
                  <c:v>35.368699999999997</c:v>
                </c:pt>
                <c:pt idx="88">
                  <c:v>35.773400000000002</c:v>
                </c:pt>
                <c:pt idx="89">
                  <c:v>36.176699999999997</c:v>
                </c:pt>
                <c:pt idx="90">
                  <c:v>36.584200000000003</c:v>
                </c:pt>
                <c:pt idx="91">
                  <c:v>36.991999999999997</c:v>
                </c:pt>
                <c:pt idx="92">
                  <c:v>37.399299999999997</c:v>
                </c:pt>
                <c:pt idx="93">
                  <c:v>37.8048</c:v>
                </c:pt>
                <c:pt idx="94">
                  <c:v>38.212699999999998</c:v>
                </c:pt>
                <c:pt idx="95">
                  <c:v>38.615699999999997</c:v>
                </c:pt>
                <c:pt idx="96">
                  <c:v>39.022500000000001</c:v>
                </c:pt>
                <c:pt idx="97">
                  <c:v>39.426299999999998</c:v>
                </c:pt>
                <c:pt idx="98">
                  <c:v>39.833799999999997</c:v>
                </c:pt>
                <c:pt idx="99">
                  <c:v>40.238399999999999</c:v>
                </c:pt>
                <c:pt idx="100">
                  <c:v>40.648499999999999</c:v>
                </c:pt>
                <c:pt idx="101">
                  <c:v>41.054099999999998</c:v>
                </c:pt>
                <c:pt idx="102">
                  <c:v>41.457900000000002</c:v>
                </c:pt>
                <c:pt idx="103">
                  <c:v>41.865099999999998</c:v>
                </c:pt>
                <c:pt idx="104">
                  <c:v>42.271900000000002</c:v>
                </c:pt>
                <c:pt idx="105">
                  <c:v>42.6798</c:v>
                </c:pt>
                <c:pt idx="106">
                  <c:v>43.088799999999999</c:v>
                </c:pt>
                <c:pt idx="107">
                  <c:v>43.490600000000001</c:v>
                </c:pt>
                <c:pt idx="108">
                  <c:v>43.900599999999997</c:v>
                </c:pt>
                <c:pt idx="109">
                  <c:v>44.307400000000001</c:v>
                </c:pt>
                <c:pt idx="110">
                  <c:v>44.712299999999999</c:v>
                </c:pt>
                <c:pt idx="111">
                  <c:v>45.115200000000002</c:v>
                </c:pt>
                <c:pt idx="112">
                  <c:v>45.5197</c:v>
                </c:pt>
                <c:pt idx="113">
                  <c:v>45.9285</c:v>
                </c:pt>
                <c:pt idx="114">
                  <c:v>46.337000000000003</c:v>
                </c:pt>
                <c:pt idx="115">
                  <c:v>46.741799999999998</c:v>
                </c:pt>
                <c:pt idx="116">
                  <c:v>47.148800000000001</c:v>
                </c:pt>
                <c:pt idx="117">
                  <c:v>47.552900000000001</c:v>
                </c:pt>
                <c:pt idx="118">
                  <c:v>47.959899999999998</c:v>
                </c:pt>
                <c:pt idx="119">
                  <c:v>48.367699999999999</c:v>
                </c:pt>
                <c:pt idx="120">
                  <c:v>48.774700000000003</c:v>
                </c:pt>
                <c:pt idx="121">
                  <c:v>49.179400000000001</c:v>
                </c:pt>
                <c:pt idx="122">
                  <c:v>49.583399999999997</c:v>
                </c:pt>
                <c:pt idx="123">
                  <c:v>49.989199999999997</c:v>
                </c:pt>
                <c:pt idx="124">
                  <c:v>50.3962</c:v>
                </c:pt>
                <c:pt idx="125">
                  <c:v>50.803600000000003</c:v>
                </c:pt>
                <c:pt idx="126">
                  <c:v>51.213900000000002</c:v>
                </c:pt>
                <c:pt idx="127">
                  <c:v>51.616799999999998</c:v>
                </c:pt>
                <c:pt idx="128">
                  <c:v>52.0229</c:v>
                </c:pt>
                <c:pt idx="129">
                  <c:v>52.429699999999997</c:v>
                </c:pt>
                <c:pt idx="130">
                  <c:v>52.834699999999998</c:v>
                </c:pt>
                <c:pt idx="131">
                  <c:v>53.240600000000001</c:v>
                </c:pt>
                <c:pt idx="132">
                  <c:v>53.6494</c:v>
                </c:pt>
                <c:pt idx="133">
                  <c:v>54.051400000000001</c:v>
                </c:pt>
                <c:pt idx="134">
                  <c:v>54.461300000000001</c:v>
                </c:pt>
                <c:pt idx="135">
                  <c:v>54.866100000000003</c:v>
                </c:pt>
                <c:pt idx="136">
                  <c:v>55.2714</c:v>
                </c:pt>
                <c:pt idx="137">
                  <c:v>55.68</c:v>
                </c:pt>
                <c:pt idx="138">
                  <c:v>56.088000000000001</c:v>
                </c:pt>
                <c:pt idx="139">
                  <c:v>56.492699999999999</c:v>
                </c:pt>
                <c:pt idx="140">
                  <c:v>56.898800000000001</c:v>
                </c:pt>
                <c:pt idx="141">
                  <c:v>57.304699999999997</c:v>
                </c:pt>
                <c:pt idx="142">
                  <c:v>57.712499999999999</c:v>
                </c:pt>
                <c:pt idx="143">
                  <c:v>58.1205</c:v>
                </c:pt>
                <c:pt idx="144">
                  <c:v>58.5214</c:v>
                </c:pt>
                <c:pt idx="145">
                  <c:v>58.929299999999998</c:v>
                </c:pt>
                <c:pt idx="146">
                  <c:v>59.333799999999997</c:v>
                </c:pt>
                <c:pt idx="147">
                  <c:v>59.7393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67.322199999999995</c:v>
                </c:pt>
                <c:pt idx="1">
                  <c:v>67.273300000000006</c:v>
                </c:pt>
                <c:pt idx="2">
                  <c:v>67.152900000000002</c:v>
                </c:pt>
                <c:pt idx="3">
                  <c:v>66.899000000000001</c:v>
                </c:pt>
                <c:pt idx="4">
                  <c:v>66.479699999999994</c:v>
                </c:pt>
                <c:pt idx="5">
                  <c:v>65.97</c:v>
                </c:pt>
                <c:pt idx="6">
                  <c:v>65.317099999999996</c:v>
                </c:pt>
                <c:pt idx="7">
                  <c:v>64.644599999999997</c:v>
                </c:pt>
                <c:pt idx="8">
                  <c:v>63.986699999999999</c:v>
                </c:pt>
                <c:pt idx="9">
                  <c:v>63.302</c:v>
                </c:pt>
                <c:pt idx="10">
                  <c:v>62.621899999999997</c:v>
                </c:pt>
                <c:pt idx="11">
                  <c:v>61.935099999999998</c:v>
                </c:pt>
                <c:pt idx="12">
                  <c:v>61.216400000000007</c:v>
                </c:pt>
                <c:pt idx="13">
                  <c:v>60.487299999999998</c:v>
                </c:pt>
                <c:pt idx="14">
                  <c:v>59.685600000000008</c:v>
                </c:pt>
                <c:pt idx="15">
                  <c:v>58.871899999999997</c:v>
                </c:pt>
                <c:pt idx="16">
                  <c:v>58.199400000000004</c:v>
                </c:pt>
                <c:pt idx="17">
                  <c:v>57.677700000000002</c:v>
                </c:pt>
                <c:pt idx="18">
                  <c:v>57.196899999999992</c:v>
                </c:pt>
                <c:pt idx="19">
                  <c:v>56.664800000000007</c:v>
                </c:pt>
                <c:pt idx="20">
                  <c:v>56.069199999999995</c:v>
                </c:pt>
                <c:pt idx="21">
                  <c:v>55.391500000000008</c:v>
                </c:pt>
                <c:pt idx="22">
                  <c:v>54.597799999999999</c:v>
                </c:pt>
                <c:pt idx="23">
                  <c:v>53.752400000000002</c:v>
                </c:pt>
                <c:pt idx="24">
                  <c:v>52.997199999999999</c:v>
                </c:pt>
                <c:pt idx="25">
                  <c:v>52.274799999999999</c:v>
                </c:pt>
                <c:pt idx="26">
                  <c:v>51.664900000000003</c:v>
                </c:pt>
                <c:pt idx="27">
                  <c:v>51.100999999999999</c:v>
                </c:pt>
                <c:pt idx="28">
                  <c:v>50.585800000000006</c:v>
                </c:pt>
                <c:pt idx="29">
                  <c:v>49.977800000000002</c:v>
                </c:pt>
                <c:pt idx="30">
                  <c:v>49.380299999999998</c:v>
                </c:pt>
                <c:pt idx="31">
                  <c:v>48.8187</c:v>
                </c:pt>
                <c:pt idx="32">
                  <c:v>48.2898</c:v>
                </c:pt>
                <c:pt idx="33">
                  <c:v>47.838900000000002</c:v>
                </c:pt>
                <c:pt idx="34">
                  <c:v>47.552799999999998</c:v>
                </c:pt>
                <c:pt idx="35">
                  <c:v>47.433100000000003</c:v>
                </c:pt>
                <c:pt idx="36">
                  <c:v>47.3874</c:v>
                </c:pt>
                <c:pt idx="37">
                  <c:v>47.438699999999997</c:v>
                </c:pt>
                <c:pt idx="38">
                  <c:v>47.4465</c:v>
                </c:pt>
                <c:pt idx="39">
                  <c:v>47.436799999999998</c:v>
                </c:pt>
                <c:pt idx="40">
                  <c:v>47.402000000000001</c:v>
                </c:pt>
                <c:pt idx="41">
                  <c:v>47.420499999999997</c:v>
                </c:pt>
                <c:pt idx="42">
                  <c:v>47.514299999999999</c:v>
                </c:pt>
                <c:pt idx="43">
                  <c:v>47.622100000000003</c:v>
                </c:pt>
                <c:pt idx="44">
                  <c:v>47.678199999999997</c:v>
                </c:pt>
                <c:pt idx="45">
                  <c:v>47.629199999999997</c:v>
                </c:pt>
                <c:pt idx="46">
                  <c:v>47.521999999999998</c:v>
                </c:pt>
                <c:pt idx="47">
                  <c:v>47.360700000000001</c:v>
                </c:pt>
                <c:pt idx="48">
                  <c:v>47.125699999999995</c:v>
                </c:pt>
                <c:pt idx="49">
                  <c:v>46.857500000000002</c:v>
                </c:pt>
                <c:pt idx="50">
                  <c:v>46.688000000000002</c:v>
                </c:pt>
                <c:pt idx="51">
                  <c:v>46.440799999999996</c:v>
                </c:pt>
                <c:pt idx="52">
                  <c:v>46.104199999999999</c:v>
                </c:pt>
                <c:pt idx="53">
                  <c:v>45.715400000000002</c:v>
                </c:pt>
                <c:pt idx="54">
                  <c:v>45.359100000000005</c:v>
                </c:pt>
                <c:pt idx="55">
                  <c:v>45.134900000000002</c:v>
                </c:pt>
                <c:pt idx="56">
                  <c:v>45.052700000000002</c:v>
                </c:pt>
                <c:pt idx="57">
                  <c:v>45.054899999999996</c:v>
                </c:pt>
                <c:pt idx="58">
                  <c:v>45.104499999999994</c:v>
                </c:pt>
                <c:pt idx="59">
                  <c:v>45.091500000000003</c:v>
                </c:pt>
                <c:pt idx="60">
                  <c:v>45.055900000000001</c:v>
                </c:pt>
                <c:pt idx="61">
                  <c:v>44.994599999999998</c:v>
                </c:pt>
                <c:pt idx="62">
                  <c:v>44.999699999999997</c:v>
                </c:pt>
                <c:pt idx="63">
                  <c:v>45.034700000000001</c:v>
                </c:pt>
                <c:pt idx="64">
                  <c:v>45.076999999999998</c:v>
                </c:pt>
                <c:pt idx="65">
                  <c:v>45.137300000000003</c:v>
                </c:pt>
                <c:pt idx="66">
                  <c:v>45.106299999999997</c:v>
                </c:pt>
                <c:pt idx="67">
                  <c:v>44.981700000000004</c:v>
                </c:pt>
                <c:pt idx="68">
                  <c:v>44.768900000000002</c:v>
                </c:pt>
                <c:pt idx="69">
                  <c:v>44.573599999999999</c:v>
                </c:pt>
                <c:pt idx="70">
                  <c:v>44.426400000000001</c:v>
                </c:pt>
                <c:pt idx="71">
                  <c:v>44.372199999999999</c:v>
                </c:pt>
                <c:pt idx="72">
                  <c:v>44.432200000000002</c:v>
                </c:pt>
                <c:pt idx="73">
                  <c:v>44.580599999999997</c:v>
                </c:pt>
                <c:pt idx="74">
                  <c:v>44.635100000000001</c:v>
                </c:pt>
                <c:pt idx="75">
                  <c:v>44.556100000000001</c:v>
                </c:pt>
                <c:pt idx="76">
                  <c:v>44.484299999999998</c:v>
                </c:pt>
                <c:pt idx="77">
                  <c:v>44.439700000000002</c:v>
                </c:pt>
                <c:pt idx="78">
                  <c:v>44.424999999999997</c:v>
                </c:pt>
                <c:pt idx="79">
                  <c:v>44.726500000000001</c:v>
                </c:pt>
                <c:pt idx="80">
                  <c:v>45.356499999999997</c:v>
                </c:pt>
                <c:pt idx="81">
                  <c:v>46.165399999999998</c:v>
                </c:pt>
                <c:pt idx="82">
                  <c:v>47.062599999999996</c:v>
                </c:pt>
                <c:pt idx="83">
                  <c:v>48.005499999999998</c:v>
                </c:pt>
                <c:pt idx="84">
                  <c:v>48.881300000000003</c:v>
                </c:pt>
                <c:pt idx="85">
                  <c:v>49.695799999999998</c:v>
                </c:pt>
                <c:pt idx="86">
                  <c:v>50.474499999999999</c:v>
                </c:pt>
                <c:pt idx="87">
                  <c:v>51.2682</c:v>
                </c:pt>
                <c:pt idx="88">
                  <c:v>52.069299999999998</c:v>
                </c:pt>
                <c:pt idx="89">
                  <c:v>52.853000000000009</c:v>
                </c:pt>
                <c:pt idx="90">
                  <c:v>53.532500000000006</c:v>
                </c:pt>
                <c:pt idx="91">
                  <c:v>54.086100000000002</c:v>
                </c:pt>
                <c:pt idx="92">
                  <c:v>54.543699999999994</c:v>
                </c:pt>
                <c:pt idx="93">
                  <c:v>54.869299999999996</c:v>
                </c:pt>
                <c:pt idx="94">
                  <c:v>55.115499999999997</c:v>
                </c:pt>
                <c:pt idx="95">
                  <c:v>55.289200000000008</c:v>
                </c:pt>
                <c:pt idx="96">
                  <c:v>55.3979</c:v>
                </c:pt>
                <c:pt idx="97">
                  <c:v>55.482799999999997</c:v>
                </c:pt>
                <c:pt idx="98">
                  <c:v>55.443299999999994</c:v>
                </c:pt>
                <c:pt idx="99">
                  <c:v>55.298499999999997</c:v>
                </c:pt>
                <c:pt idx="100">
                  <c:v>55.0809</c:v>
                </c:pt>
                <c:pt idx="101">
                  <c:v>54.926499999999997</c:v>
                </c:pt>
                <c:pt idx="102">
                  <c:v>54.863300000000002</c:v>
                </c:pt>
                <c:pt idx="103">
                  <c:v>55.028299999999994</c:v>
                </c:pt>
                <c:pt idx="104">
                  <c:v>55.212899999999998</c:v>
                </c:pt>
                <c:pt idx="105">
                  <c:v>55.358600000000003</c:v>
                </c:pt>
                <c:pt idx="106">
                  <c:v>55.512399999999992</c:v>
                </c:pt>
                <c:pt idx="107">
                  <c:v>55.622300000000003</c:v>
                </c:pt>
                <c:pt idx="108">
                  <c:v>55.6526</c:v>
                </c:pt>
                <c:pt idx="109">
                  <c:v>55.695700000000002</c:v>
                </c:pt>
                <c:pt idx="110">
                  <c:v>55.832800000000006</c:v>
                </c:pt>
                <c:pt idx="111">
                  <c:v>56.025100000000009</c:v>
                </c:pt>
                <c:pt idx="112">
                  <c:v>56.165100000000002</c:v>
                </c:pt>
                <c:pt idx="113">
                  <c:v>56.195799999999998</c:v>
                </c:pt>
                <c:pt idx="114">
                  <c:v>56.052</c:v>
                </c:pt>
                <c:pt idx="115">
                  <c:v>55.772399999999998</c:v>
                </c:pt>
                <c:pt idx="116">
                  <c:v>55.517200000000003</c:v>
                </c:pt>
                <c:pt idx="117">
                  <c:v>55.276499999999999</c:v>
                </c:pt>
                <c:pt idx="118">
                  <c:v>55.063099999999999</c:v>
                </c:pt>
                <c:pt idx="119">
                  <c:v>54.949800000000003</c:v>
                </c:pt>
                <c:pt idx="120">
                  <c:v>54.895400000000002</c:v>
                </c:pt>
                <c:pt idx="121">
                  <c:v>54.917700000000004</c:v>
                </c:pt>
                <c:pt idx="122">
                  <c:v>54.930299999999995</c:v>
                </c:pt>
                <c:pt idx="123">
                  <c:v>54.889400000000002</c:v>
                </c:pt>
                <c:pt idx="124">
                  <c:v>55.071099999999994</c:v>
                </c:pt>
                <c:pt idx="125">
                  <c:v>55.208900000000007</c:v>
                </c:pt>
                <c:pt idx="126">
                  <c:v>55.282699999999998</c:v>
                </c:pt>
                <c:pt idx="127">
                  <c:v>55.338200000000001</c:v>
                </c:pt>
                <c:pt idx="128">
                  <c:v>55.497900000000001</c:v>
                </c:pt>
                <c:pt idx="129">
                  <c:v>55.700799999999994</c:v>
                </c:pt>
                <c:pt idx="130">
                  <c:v>55.842499999999994</c:v>
                </c:pt>
                <c:pt idx="131">
                  <c:v>55.985799999999998</c:v>
                </c:pt>
                <c:pt idx="132">
                  <c:v>56.0944</c:v>
                </c:pt>
                <c:pt idx="133">
                  <c:v>56.034199999999998</c:v>
                </c:pt>
                <c:pt idx="134">
                  <c:v>55.915899999999993</c:v>
                </c:pt>
                <c:pt idx="135">
                  <c:v>55.884799999999998</c:v>
                </c:pt>
                <c:pt idx="136">
                  <c:v>55.851600000000005</c:v>
                </c:pt>
                <c:pt idx="137">
                  <c:v>55.729500000000002</c:v>
                </c:pt>
                <c:pt idx="138">
                  <c:v>55.630100000000006</c:v>
                </c:pt>
                <c:pt idx="139">
                  <c:v>55.465499999999999</c:v>
                </c:pt>
                <c:pt idx="140">
                  <c:v>55.200499999999998</c:v>
                </c:pt>
                <c:pt idx="141">
                  <c:v>54.984200000000008</c:v>
                </c:pt>
                <c:pt idx="142">
                  <c:v>55.055399999999999</c:v>
                </c:pt>
                <c:pt idx="143">
                  <c:v>55.271800000000006</c:v>
                </c:pt>
                <c:pt idx="144">
                  <c:v>55.543600000000005</c:v>
                </c:pt>
                <c:pt idx="145">
                  <c:v>55.644300000000001</c:v>
                </c:pt>
                <c:pt idx="146">
                  <c:v>55.725800000000007</c:v>
                </c:pt>
                <c:pt idx="147">
                  <c:v>55.343699999999998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0.36688700000000002</c:v>
                </c:pt>
                <c:pt idx="2">
                  <c:v>0.77391500000000002</c:v>
                </c:pt>
                <c:pt idx="3">
                  <c:v>1.17879</c:v>
                </c:pt>
                <c:pt idx="4">
                  <c:v>1.58758</c:v>
                </c:pt>
                <c:pt idx="5">
                  <c:v>1.9903900000000001</c:v>
                </c:pt>
                <c:pt idx="6">
                  <c:v>2.39846</c:v>
                </c:pt>
                <c:pt idx="7">
                  <c:v>2.8031600000000001</c:v>
                </c:pt>
                <c:pt idx="8">
                  <c:v>3.2112799999999999</c:v>
                </c:pt>
                <c:pt idx="9">
                  <c:v>3.6184799999999999</c:v>
                </c:pt>
                <c:pt idx="10">
                  <c:v>4.0210299999999997</c:v>
                </c:pt>
                <c:pt idx="11">
                  <c:v>4.4290500000000002</c:v>
                </c:pt>
                <c:pt idx="12">
                  <c:v>4.8327</c:v>
                </c:pt>
                <c:pt idx="13">
                  <c:v>5.2411399999999997</c:v>
                </c:pt>
                <c:pt idx="14">
                  <c:v>5.6464999999999996</c:v>
                </c:pt>
                <c:pt idx="15">
                  <c:v>6.0575900000000003</c:v>
                </c:pt>
                <c:pt idx="16">
                  <c:v>6.4595900000000004</c:v>
                </c:pt>
                <c:pt idx="17">
                  <c:v>6.8643799999999997</c:v>
                </c:pt>
                <c:pt idx="18">
                  <c:v>7.2694099999999997</c:v>
                </c:pt>
                <c:pt idx="19">
                  <c:v>7.6803400000000002</c:v>
                </c:pt>
                <c:pt idx="20">
                  <c:v>8.08568</c:v>
                </c:pt>
                <c:pt idx="21">
                  <c:v>8.4936199999999999</c:v>
                </c:pt>
                <c:pt idx="22">
                  <c:v>8.8960000000000008</c:v>
                </c:pt>
                <c:pt idx="23">
                  <c:v>9.3033999999999999</c:v>
                </c:pt>
                <c:pt idx="24">
                  <c:v>9.7083499999999994</c:v>
                </c:pt>
                <c:pt idx="25">
                  <c:v>10.1144</c:v>
                </c:pt>
                <c:pt idx="26">
                  <c:v>10.523199999999999</c:v>
                </c:pt>
                <c:pt idx="27">
                  <c:v>10.928699999999999</c:v>
                </c:pt>
                <c:pt idx="28">
                  <c:v>11.333500000000001</c:v>
                </c:pt>
                <c:pt idx="29">
                  <c:v>11.743399999999999</c:v>
                </c:pt>
                <c:pt idx="30">
                  <c:v>12.1503</c:v>
                </c:pt>
                <c:pt idx="31">
                  <c:v>12.5572</c:v>
                </c:pt>
                <c:pt idx="32">
                  <c:v>12.960100000000001</c:v>
                </c:pt>
                <c:pt idx="33">
                  <c:v>13.3651</c:v>
                </c:pt>
                <c:pt idx="34">
                  <c:v>13.7721</c:v>
                </c:pt>
                <c:pt idx="35">
                  <c:v>14.1799</c:v>
                </c:pt>
                <c:pt idx="36">
                  <c:v>14.583399999999999</c:v>
                </c:pt>
                <c:pt idx="37">
                  <c:v>14.9903</c:v>
                </c:pt>
                <c:pt idx="38">
                  <c:v>15.400700000000001</c:v>
                </c:pt>
                <c:pt idx="39">
                  <c:v>15.8055</c:v>
                </c:pt>
                <c:pt idx="40">
                  <c:v>16.209599999999998</c:v>
                </c:pt>
                <c:pt idx="41">
                  <c:v>16.6173</c:v>
                </c:pt>
                <c:pt idx="42">
                  <c:v>17.021100000000001</c:v>
                </c:pt>
                <c:pt idx="43">
                  <c:v>17.426200000000001</c:v>
                </c:pt>
                <c:pt idx="44">
                  <c:v>17.834499999999998</c:v>
                </c:pt>
                <c:pt idx="45">
                  <c:v>18.242999999999999</c:v>
                </c:pt>
                <c:pt idx="46">
                  <c:v>18.649899999999999</c:v>
                </c:pt>
                <c:pt idx="47">
                  <c:v>19.052499999999998</c:v>
                </c:pt>
                <c:pt idx="48">
                  <c:v>19.459800000000001</c:v>
                </c:pt>
                <c:pt idx="49">
                  <c:v>19.8659</c:v>
                </c:pt>
                <c:pt idx="50">
                  <c:v>20.273599999999998</c:v>
                </c:pt>
                <c:pt idx="51">
                  <c:v>20.6816</c:v>
                </c:pt>
                <c:pt idx="52">
                  <c:v>21.083300000000001</c:v>
                </c:pt>
                <c:pt idx="53">
                  <c:v>21.491399999999999</c:v>
                </c:pt>
                <c:pt idx="54">
                  <c:v>21.897500000000001</c:v>
                </c:pt>
                <c:pt idx="55">
                  <c:v>22.305199999999999</c:v>
                </c:pt>
                <c:pt idx="56">
                  <c:v>22.713100000000001</c:v>
                </c:pt>
                <c:pt idx="57">
                  <c:v>23.114899999999999</c:v>
                </c:pt>
                <c:pt idx="58">
                  <c:v>23.521799999999999</c:v>
                </c:pt>
                <c:pt idx="59">
                  <c:v>23.930499999999999</c:v>
                </c:pt>
                <c:pt idx="60">
                  <c:v>24.335899999999999</c:v>
                </c:pt>
                <c:pt idx="61">
                  <c:v>24.741299999999999</c:v>
                </c:pt>
                <c:pt idx="62">
                  <c:v>25.148599999999998</c:v>
                </c:pt>
                <c:pt idx="63">
                  <c:v>25.5547</c:v>
                </c:pt>
                <c:pt idx="64">
                  <c:v>25.9605</c:v>
                </c:pt>
                <c:pt idx="65">
                  <c:v>26.369599999999998</c:v>
                </c:pt>
                <c:pt idx="66">
                  <c:v>26.772200000000002</c:v>
                </c:pt>
                <c:pt idx="67">
                  <c:v>27.180099999999999</c:v>
                </c:pt>
                <c:pt idx="68">
                  <c:v>27.5854</c:v>
                </c:pt>
                <c:pt idx="69">
                  <c:v>27.993200000000002</c:v>
                </c:pt>
                <c:pt idx="70">
                  <c:v>28.396000000000001</c:v>
                </c:pt>
                <c:pt idx="71">
                  <c:v>28.805800000000001</c:v>
                </c:pt>
                <c:pt idx="72">
                  <c:v>29.209700000000002</c:v>
                </c:pt>
                <c:pt idx="73">
                  <c:v>29.617599999999999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67.322199999999995</c:v>
                </c:pt>
                <c:pt idx="1">
                  <c:v>67.273300000000006</c:v>
                </c:pt>
                <c:pt idx="2">
                  <c:v>67.152900000000002</c:v>
                </c:pt>
                <c:pt idx="3">
                  <c:v>66.899000000000001</c:v>
                </c:pt>
                <c:pt idx="4">
                  <c:v>66.479699999999994</c:v>
                </c:pt>
                <c:pt idx="5">
                  <c:v>65.97</c:v>
                </c:pt>
                <c:pt idx="6">
                  <c:v>65.317099999999996</c:v>
                </c:pt>
                <c:pt idx="7">
                  <c:v>64.644599999999997</c:v>
                </c:pt>
                <c:pt idx="8">
                  <c:v>63.986699999999999</c:v>
                </c:pt>
                <c:pt idx="9">
                  <c:v>63.302</c:v>
                </c:pt>
                <c:pt idx="10">
                  <c:v>62.621899999999997</c:v>
                </c:pt>
                <c:pt idx="11">
                  <c:v>61.935099999999998</c:v>
                </c:pt>
                <c:pt idx="12">
                  <c:v>61.216400000000007</c:v>
                </c:pt>
                <c:pt idx="13">
                  <c:v>60.487299999999998</c:v>
                </c:pt>
                <c:pt idx="14">
                  <c:v>59.685600000000008</c:v>
                </c:pt>
                <c:pt idx="15">
                  <c:v>58.871899999999997</c:v>
                </c:pt>
                <c:pt idx="16">
                  <c:v>58.199400000000004</c:v>
                </c:pt>
                <c:pt idx="17">
                  <c:v>57.677700000000002</c:v>
                </c:pt>
                <c:pt idx="18">
                  <c:v>57.196899999999992</c:v>
                </c:pt>
                <c:pt idx="19">
                  <c:v>56.664800000000007</c:v>
                </c:pt>
                <c:pt idx="20">
                  <c:v>56.069199999999995</c:v>
                </c:pt>
                <c:pt idx="21">
                  <c:v>55.391500000000008</c:v>
                </c:pt>
                <c:pt idx="22">
                  <c:v>54.597799999999999</c:v>
                </c:pt>
                <c:pt idx="23">
                  <c:v>53.752400000000002</c:v>
                </c:pt>
                <c:pt idx="24">
                  <c:v>52.997199999999999</c:v>
                </c:pt>
                <c:pt idx="25">
                  <c:v>52.274799999999999</c:v>
                </c:pt>
                <c:pt idx="26">
                  <c:v>51.664900000000003</c:v>
                </c:pt>
                <c:pt idx="27">
                  <c:v>51.100999999999999</c:v>
                </c:pt>
                <c:pt idx="28">
                  <c:v>50.585800000000006</c:v>
                </c:pt>
                <c:pt idx="29">
                  <c:v>49.977800000000002</c:v>
                </c:pt>
                <c:pt idx="30">
                  <c:v>49.380299999999998</c:v>
                </c:pt>
                <c:pt idx="31">
                  <c:v>48.8187</c:v>
                </c:pt>
                <c:pt idx="32">
                  <c:v>48.2898</c:v>
                </c:pt>
                <c:pt idx="33">
                  <c:v>47.838900000000002</c:v>
                </c:pt>
                <c:pt idx="34">
                  <c:v>47.552799999999998</c:v>
                </c:pt>
                <c:pt idx="35">
                  <c:v>47.433100000000003</c:v>
                </c:pt>
                <c:pt idx="36">
                  <c:v>47.3874</c:v>
                </c:pt>
                <c:pt idx="37">
                  <c:v>47.438699999999997</c:v>
                </c:pt>
                <c:pt idx="38">
                  <c:v>47.4465</c:v>
                </c:pt>
                <c:pt idx="39">
                  <c:v>47.436799999999998</c:v>
                </c:pt>
                <c:pt idx="40">
                  <c:v>47.402000000000001</c:v>
                </c:pt>
                <c:pt idx="41">
                  <c:v>47.420499999999997</c:v>
                </c:pt>
                <c:pt idx="42">
                  <c:v>47.514299999999999</c:v>
                </c:pt>
                <c:pt idx="43">
                  <c:v>47.622100000000003</c:v>
                </c:pt>
                <c:pt idx="44">
                  <c:v>47.678199999999997</c:v>
                </c:pt>
                <c:pt idx="45">
                  <c:v>47.629199999999997</c:v>
                </c:pt>
                <c:pt idx="46">
                  <c:v>47.521999999999998</c:v>
                </c:pt>
                <c:pt idx="47">
                  <c:v>47.360700000000001</c:v>
                </c:pt>
                <c:pt idx="48">
                  <c:v>47.125699999999995</c:v>
                </c:pt>
                <c:pt idx="49">
                  <c:v>46.857500000000002</c:v>
                </c:pt>
                <c:pt idx="50">
                  <c:v>46.688000000000002</c:v>
                </c:pt>
                <c:pt idx="51">
                  <c:v>46.440799999999996</c:v>
                </c:pt>
                <c:pt idx="52">
                  <c:v>46.104199999999999</c:v>
                </c:pt>
                <c:pt idx="53">
                  <c:v>45.715400000000002</c:v>
                </c:pt>
                <c:pt idx="54">
                  <c:v>45.359100000000005</c:v>
                </c:pt>
                <c:pt idx="55">
                  <c:v>45.134900000000002</c:v>
                </c:pt>
                <c:pt idx="56">
                  <c:v>45.052700000000002</c:v>
                </c:pt>
                <c:pt idx="57">
                  <c:v>45.054899999999996</c:v>
                </c:pt>
                <c:pt idx="58">
                  <c:v>45.104499999999994</c:v>
                </c:pt>
                <c:pt idx="59">
                  <c:v>45.091500000000003</c:v>
                </c:pt>
                <c:pt idx="60">
                  <c:v>45.055900000000001</c:v>
                </c:pt>
                <c:pt idx="61">
                  <c:v>44.994599999999998</c:v>
                </c:pt>
                <c:pt idx="62">
                  <c:v>44.999699999999997</c:v>
                </c:pt>
                <c:pt idx="63">
                  <c:v>45.034700000000001</c:v>
                </c:pt>
                <c:pt idx="64">
                  <c:v>45.076999999999998</c:v>
                </c:pt>
                <c:pt idx="65">
                  <c:v>45.137300000000003</c:v>
                </c:pt>
                <c:pt idx="66">
                  <c:v>45.106299999999997</c:v>
                </c:pt>
                <c:pt idx="67">
                  <c:v>44.981700000000004</c:v>
                </c:pt>
                <c:pt idx="68">
                  <c:v>44.768900000000002</c:v>
                </c:pt>
                <c:pt idx="69">
                  <c:v>44.573599999999999</c:v>
                </c:pt>
                <c:pt idx="70">
                  <c:v>44.426400000000001</c:v>
                </c:pt>
                <c:pt idx="71">
                  <c:v>44.372199999999999</c:v>
                </c:pt>
                <c:pt idx="72">
                  <c:v>44.432200000000002</c:v>
                </c:pt>
                <c:pt idx="73">
                  <c:v>44.580599999999997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29.617599999999999</c:v>
                </c:pt>
                <c:pt idx="1">
                  <c:v>30.019600000000001</c:v>
                </c:pt>
                <c:pt idx="2">
                  <c:v>30.622</c:v>
                </c:pt>
                <c:pt idx="3">
                  <c:v>30.9894</c:v>
                </c:pt>
                <c:pt idx="4">
                  <c:v>31.366</c:v>
                </c:pt>
                <c:pt idx="5">
                  <c:v>31.741</c:v>
                </c:pt>
                <c:pt idx="6">
                  <c:v>32.119399999999999</c:v>
                </c:pt>
                <c:pt idx="7">
                  <c:v>32.523000000000003</c:v>
                </c:pt>
                <c:pt idx="8">
                  <c:v>32.928899999999999</c:v>
                </c:pt>
                <c:pt idx="9">
                  <c:v>33.333799999999997</c:v>
                </c:pt>
                <c:pt idx="10">
                  <c:v>33.7408</c:v>
                </c:pt>
                <c:pt idx="11">
                  <c:v>34.146900000000002</c:v>
                </c:pt>
                <c:pt idx="12">
                  <c:v>34.5595</c:v>
                </c:pt>
                <c:pt idx="13">
                  <c:v>34.9587</c:v>
                </c:pt>
                <c:pt idx="14">
                  <c:v>35.368699999999997</c:v>
                </c:pt>
                <c:pt idx="15">
                  <c:v>35.773400000000002</c:v>
                </c:pt>
                <c:pt idx="16">
                  <c:v>36.176699999999997</c:v>
                </c:pt>
                <c:pt idx="17">
                  <c:v>36.584200000000003</c:v>
                </c:pt>
                <c:pt idx="18">
                  <c:v>36.991999999999997</c:v>
                </c:pt>
                <c:pt idx="19">
                  <c:v>37.399299999999997</c:v>
                </c:pt>
                <c:pt idx="20">
                  <c:v>37.8048</c:v>
                </c:pt>
                <c:pt idx="21">
                  <c:v>38.212699999999998</c:v>
                </c:pt>
                <c:pt idx="22">
                  <c:v>38.615699999999997</c:v>
                </c:pt>
                <c:pt idx="23">
                  <c:v>39.022500000000001</c:v>
                </c:pt>
                <c:pt idx="24">
                  <c:v>39.426299999999998</c:v>
                </c:pt>
                <c:pt idx="25">
                  <c:v>39.833799999999997</c:v>
                </c:pt>
                <c:pt idx="26">
                  <c:v>40.238399999999999</c:v>
                </c:pt>
                <c:pt idx="27">
                  <c:v>40.648499999999999</c:v>
                </c:pt>
                <c:pt idx="28">
                  <c:v>41.054099999999998</c:v>
                </c:pt>
                <c:pt idx="29">
                  <c:v>41.457900000000002</c:v>
                </c:pt>
                <c:pt idx="30">
                  <c:v>41.865099999999998</c:v>
                </c:pt>
                <c:pt idx="31">
                  <c:v>42.271900000000002</c:v>
                </c:pt>
                <c:pt idx="32">
                  <c:v>42.6798</c:v>
                </c:pt>
                <c:pt idx="33">
                  <c:v>43.088799999999999</c:v>
                </c:pt>
                <c:pt idx="34">
                  <c:v>43.490600000000001</c:v>
                </c:pt>
                <c:pt idx="35">
                  <c:v>43.900599999999997</c:v>
                </c:pt>
                <c:pt idx="36">
                  <c:v>44.307400000000001</c:v>
                </c:pt>
                <c:pt idx="37">
                  <c:v>44.712299999999999</c:v>
                </c:pt>
                <c:pt idx="38">
                  <c:v>45.115200000000002</c:v>
                </c:pt>
                <c:pt idx="39">
                  <c:v>45.5197</c:v>
                </c:pt>
                <c:pt idx="40">
                  <c:v>45.9285</c:v>
                </c:pt>
                <c:pt idx="41">
                  <c:v>46.337000000000003</c:v>
                </c:pt>
                <c:pt idx="42">
                  <c:v>46.741799999999998</c:v>
                </c:pt>
                <c:pt idx="43">
                  <c:v>47.148800000000001</c:v>
                </c:pt>
                <c:pt idx="44">
                  <c:v>47.552900000000001</c:v>
                </c:pt>
                <c:pt idx="45">
                  <c:v>47.959899999999998</c:v>
                </c:pt>
                <c:pt idx="46">
                  <c:v>48.367699999999999</c:v>
                </c:pt>
                <c:pt idx="47">
                  <c:v>48.774700000000003</c:v>
                </c:pt>
                <c:pt idx="48">
                  <c:v>49.179400000000001</c:v>
                </c:pt>
                <c:pt idx="49">
                  <c:v>49.583399999999997</c:v>
                </c:pt>
                <c:pt idx="50">
                  <c:v>49.989199999999997</c:v>
                </c:pt>
                <c:pt idx="51">
                  <c:v>50.3962</c:v>
                </c:pt>
                <c:pt idx="52">
                  <c:v>50.803600000000003</c:v>
                </c:pt>
                <c:pt idx="53">
                  <c:v>51.213900000000002</c:v>
                </c:pt>
                <c:pt idx="54">
                  <c:v>51.616799999999998</c:v>
                </c:pt>
                <c:pt idx="55">
                  <c:v>52.0229</c:v>
                </c:pt>
                <c:pt idx="56">
                  <c:v>52.429699999999997</c:v>
                </c:pt>
                <c:pt idx="57">
                  <c:v>52.834699999999998</c:v>
                </c:pt>
                <c:pt idx="58">
                  <c:v>53.240600000000001</c:v>
                </c:pt>
                <c:pt idx="59">
                  <c:v>53.6494</c:v>
                </c:pt>
                <c:pt idx="60">
                  <c:v>54.051400000000001</c:v>
                </c:pt>
                <c:pt idx="61">
                  <c:v>54.461300000000001</c:v>
                </c:pt>
                <c:pt idx="62">
                  <c:v>54.866100000000003</c:v>
                </c:pt>
                <c:pt idx="63">
                  <c:v>55.2714</c:v>
                </c:pt>
                <c:pt idx="64">
                  <c:v>55.68</c:v>
                </c:pt>
                <c:pt idx="65">
                  <c:v>56.088000000000001</c:v>
                </c:pt>
                <c:pt idx="66">
                  <c:v>56.492699999999999</c:v>
                </c:pt>
                <c:pt idx="67">
                  <c:v>56.898800000000001</c:v>
                </c:pt>
                <c:pt idx="68">
                  <c:v>57.304699999999997</c:v>
                </c:pt>
                <c:pt idx="69">
                  <c:v>57.712499999999999</c:v>
                </c:pt>
                <c:pt idx="70">
                  <c:v>58.1205</c:v>
                </c:pt>
                <c:pt idx="71">
                  <c:v>58.5214</c:v>
                </c:pt>
                <c:pt idx="72">
                  <c:v>58.929299999999998</c:v>
                </c:pt>
                <c:pt idx="73">
                  <c:v>59.333799999999997</c:v>
                </c:pt>
                <c:pt idx="74">
                  <c:v>59.7393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44.580599999999997</c:v>
                </c:pt>
                <c:pt idx="1">
                  <c:v>44.635100000000001</c:v>
                </c:pt>
                <c:pt idx="2">
                  <c:v>44.556100000000001</c:v>
                </c:pt>
                <c:pt idx="3">
                  <c:v>44.484299999999998</c:v>
                </c:pt>
                <c:pt idx="4">
                  <c:v>44.439700000000002</c:v>
                </c:pt>
                <c:pt idx="5">
                  <c:v>44.424999999999997</c:v>
                </c:pt>
                <c:pt idx="6">
                  <c:v>44.726500000000001</c:v>
                </c:pt>
                <c:pt idx="7">
                  <c:v>45.356499999999997</c:v>
                </c:pt>
                <c:pt idx="8">
                  <c:v>46.165399999999998</c:v>
                </c:pt>
                <c:pt idx="9">
                  <c:v>47.062599999999996</c:v>
                </c:pt>
                <c:pt idx="10">
                  <c:v>48.005499999999998</c:v>
                </c:pt>
                <c:pt idx="11">
                  <c:v>48.881300000000003</c:v>
                </c:pt>
                <c:pt idx="12">
                  <c:v>49.695799999999998</c:v>
                </c:pt>
                <c:pt idx="13">
                  <c:v>50.474499999999999</c:v>
                </c:pt>
                <c:pt idx="14">
                  <c:v>51.2682</c:v>
                </c:pt>
                <c:pt idx="15">
                  <c:v>52.069299999999998</c:v>
                </c:pt>
                <c:pt idx="16">
                  <c:v>52.853000000000009</c:v>
                </c:pt>
                <c:pt idx="17">
                  <c:v>53.532500000000006</c:v>
                </c:pt>
                <c:pt idx="18">
                  <c:v>54.086100000000002</c:v>
                </c:pt>
                <c:pt idx="19">
                  <c:v>54.543699999999994</c:v>
                </c:pt>
                <c:pt idx="20">
                  <c:v>54.869299999999996</c:v>
                </c:pt>
                <c:pt idx="21">
                  <c:v>55.115499999999997</c:v>
                </c:pt>
                <c:pt idx="22">
                  <c:v>55.289200000000008</c:v>
                </c:pt>
                <c:pt idx="23">
                  <c:v>55.3979</c:v>
                </c:pt>
                <c:pt idx="24">
                  <c:v>55.482799999999997</c:v>
                </c:pt>
                <c:pt idx="25">
                  <c:v>55.443299999999994</c:v>
                </c:pt>
                <c:pt idx="26">
                  <c:v>55.298499999999997</c:v>
                </c:pt>
                <c:pt idx="27">
                  <c:v>55.0809</c:v>
                </c:pt>
                <c:pt idx="28">
                  <c:v>54.926499999999997</c:v>
                </c:pt>
                <c:pt idx="29">
                  <c:v>54.863300000000002</c:v>
                </c:pt>
                <c:pt idx="30">
                  <c:v>55.028299999999994</c:v>
                </c:pt>
                <c:pt idx="31">
                  <c:v>55.212899999999998</c:v>
                </c:pt>
                <c:pt idx="32">
                  <c:v>55.358600000000003</c:v>
                </c:pt>
                <c:pt idx="33">
                  <c:v>55.512399999999992</c:v>
                </c:pt>
                <c:pt idx="34">
                  <c:v>55.622300000000003</c:v>
                </c:pt>
                <c:pt idx="35">
                  <c:v>55.6526</c:v>
                </c:pt>
                <c:pt idx="36">
                  <c:v>55.695700000000002</c:v>
                </c:pt>
                <c:pt idx="37">
                  <c:v>55.832800000000006</c:v>
                </c:pt>
                <c:pt idx="38">
                  <c:v>56.025100000000009</c:v>
                </c:pt>
                <c:pt idx="39">
                  <c:v>56.165100000000002</c:v>
                </c:pt>
                <c:pt idx="40">
                  <c:v>56.195799999999998</c:v>
                </c:pt>
                <c:pt idx="41">
                  <c:v>56.052</c:v>
                </c:pt>
                <c:pt idx="42">
                  <c:v>55.772399999999998</c:v>
                </c:pt>
                <c:pt idx="43">
                  <c:v>55.517200000000003</c:v>
                </c:pt>
                <c:pt idx="44">
                  <c:v>55.276499999999999</c:v>
                </c:pt>
                <c:pt idx="45">
                  <c:v>55.063099999999999</c:v>
                </c:pt>
                <c:pt idx="46">
                  <c:v>54.949800000000003</c:v>
                </c:pt>
                <c:pt idx="47">
                  <c:v>54.895400000000002</c:v>
                </c:pt>
                <c:pt idx="48">
                  <c:v>54.917700000000004</c:v>
                </c:pt>
                <c:pt idx="49">
                  <c:v>54.930299999999995</c:v>
                </c:pt>
                <c:pt idx="50">
                  <c:v>54.889400000000002</c:v>
                </c:pt>
                <c:pt idx="51">
                  <c:v>55.071099999999994</c:v>
                </c:pt>
                <c:pt idx="52">
                  <c:v>55.208900000000007</c:v>
                </c:pt>
                <c:pt idx="53">
                  <c:v>55.282699999999998</c:v>
                </c:pt>
                <c:pt idx="54">
                  <c:v>55.338200000000001</c:v>
                </c:pt>
                <c:pt idx="55">
                  <c:v>55.497900000000001</c:v>
                </c:pt>
                <c:pt idx="56">
                  <c:v>55.700799999999994</c:v>
                </c:pt>
                <c:pt idx="57">
                  <c:v>55.842499999999994</c:v>
                </c:pt>
                <c:pt idx="58">
                  <c:v>55.985799999999998</c:v>
                </c:pt>
                <c:pt idx="59">
                  <c:v>56.0944</c:v>
                </c:pt>
                <c:pt idx="60">
                  <c:v>56.034199999999998</c:v>
                </c:pt>
                <c:pt idx="61">
                  <c:v>55.915899999999993</c:v>
                </c:pt>
                <c:pt idx="62">
                  <c:v>55.884799999999998</c:v>
                </c:pt>
                <c:pt idx="63">
                  <c:v>55.851600000000005</c:v>
                </c:pt>
                <c:pt idx="64">
                  <c:v>55.729500000000002</c:v>
                </c:pt>
                <c:pt idx="65">
                  <c:v>55.630100000000006</c:v>
                </c:pt>
                <c:pt idx="66">
                  <c:v>55.465499999999999</c:v>
                </c:pt>
                <c:pt idx="67">
                  <c:v>55.200499999999998</c:v>
                </c:pt>
                <c:pt idx="68">
                  <c:v>54.984200000000008</c:v>
                </c:pt>
                <c:pt idx="69">
                  <c:v>55.055399999999999</c:v>
                </c:pt>
                <c:pt idx="70">
                  <c:v>55.271800000000006</c:v>
                </c:pt>
                <c:pt idx="71">
                  <c:v>55.543600000000005</c:v>
                </c:pt>
                <c:pt idx="72">
                  <c:v>55.644300000000001</c:v>
                </c:pt>
                <c:pt idx="73">
                  <c:v>55.725800000000007</c:v>
                </c:pt>
                <c:pt idx="74">
                  <c:v>55.343699999999998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14.934825</c:v>
                </c:pt>
                <c:pt idx="1">
                  <c:v>44.804474999999996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51.591340540540507</c:v>
                </c:pt>
                <c:pt idx="1">
                  <c:v>53.660768918918897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31.737300000000001</c:v>
                </c:pt>
                <c:pt idx="1">
                  <c:v>23.1797</c:v>
                </c:pt>
                <c:pt idx="2">
                  <c:v>28.194900000000001</c:v>
                </c:pt>
                <c:pt idx="3">
                  <c:v>28.058499999999999</c:v>
                </c:pt>
                <c:pt idx="4">
                  <c:v>77.512699999999995</c:v>
                </c:pt>
                <c:pt idx="5">
                  <c:v>80</c:v>
                </c:pt>
                <c:pt idx="6">
                  <c:v>20.754300000000001</c:v>
                </c:pt>
                <c:pt idx="7">
                  <c:v>78.333299999999994</c:v>
                </c:pt>
                <c:pt idx="8">
                  <c:v>17.761900000000001</c:v>
                </c:pt>
                <c:pt idx="9">
                  <c:v>27.292999999999999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40.345100000000002</c:v>
                </c:pt>
                <c:pt idx="1">
                  <c:v>19.6084</c:v>
                </c:pt>
                <c:pt idx="2">
                  <c:v>23.335899999999999</c:v>
                </c:pt>
                <c:pt idx="3">
                  <c:v>27.841899999999999</c:v>
                </c:pt>
                <c:pt idx="4">
                  <c:v>72.561899999999994</c:v>
                </c:pt>
                <c:pt idx="5">
                  <c:v>78.496099999999998</c:v>
                </c:pt>
                <c:pt idx="6">
                  <c:v>35.502899999999997</c:v>
                </c:pt>
                <c:pt idx="7">
                  <c:v>75.766900000000007</c:v>
                </c:pt>
                <c:pt idx="8">
                  <c:v>19.604500000000002</c:v>
                </c:pt>
                <c:pt idx="9">
                  <c:v>33.068600000000004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0.56040888397736965</c:v>
                </c:pt>
                <c:pt idx="1">
                  <c:v>0.24279347995819869</c:v>
                </c:pt>
                <c:pt idx="2">
                  <c:v>0.19679763606443165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60</c:v>
                </c:pt>
                <c:pt idx="7">
                  <c:v>0</c:v>
                </c:pt>
                <c:pt idx="8">
                  <c:v>202</c:v>
                </c:pt>
                <c:pt idx="9">
                  <c:v>0</c:v>
                </c:pt>
                <c:pt idx="10">
                  <c:v>0</c:v>
                </c:pt>
                <c:pt idx="11">
                  <c:v>341</c:v>
                </c:pt>
                <c:pt idx="12">
                  <c:v>0</c:v>
                </c:pt>
                <c:pt idx="13">
                  <c:v>1201</c:v>
                </c:pt>
                <c:pt idx="14">
                  <c:v>0</c:v>
                </c:pt>
                <c:pt idx="15">
                  <c:v>0</c:v>
                </c:pt>
                <c:pt idx="16">
                  <c:v>5380</c:v>
                </c:pt>
                <c:pt idx="17">
                  <c:v>0</c:v>
                </c:pt>
                <c:pt idx="18">
                  <c:v>0</c:v>
                </c:pt>
                <c:pt idx="19">
                  <c:v>5707</c:v>
                </c:pt>
                <c:pt idx="20">
                  <c:v>0</c:v>
                </c:pt>
                <c:pt idx="21">
                  <c:v>7582</c:v>
                </c:pt>
                <c:pt idx="22">
                  <c:v>0</c:v>
                </c:pt>
                <c:pt idx="23">
                  <c:v>0</c:v>
                </c:pt>
                <c:pt idx="24">
                  <c:v>10131</c:v>
                </c:pt>
                <c:pt idx="25">
                  <c:v>0</c:v>
                </c:pt>
                <c:pt idx="26">
                  <c:v>15783</c:v>
                </c:pt>
                <c:pt idx="27">
                  <c:v>0</c:v>
                </c:pt>
                <c:pt idx="28">
                  <c:v>0</c:v>
                </c:pt>
                <c:pt idx="29">
                  <c:v>17746</c:v>
                </c:pt>
                <c:pt idx="30">
                  <c:v>0</c:v>
                </c:pt>
                <c:pt idx="31">
                  <c:v>22682</c:v>
                </c:pt>
                <c:pt idx="32">
                  <c:v>0</c:v>
                </c:pt>
                <c:pt idx="33">
                  <c:v>0</c:v>
                </c:pt>
                <c:pt idx="34">
                  <c:v>30350</c:v>
                </c:pt>
                <c:pt idx="35">
                  <c:v>0</c:v>
                </c:pt>
                <c:pt idx="36">
                  <c:v>0</c:v>
                </c:pt>
                <c:pt idx="37">
                  <c:v>40926</c:v>
                </c:pt>
                <c:pt idx="38">
                  <c:v>0</c:v>
                </c:pt>
                <c:pt idx="39">
                  <c:v>47857</c:v>
                </c:pt>
                <c:pt idx="40">
                  <c:v>0</c:v>
                </c:pt>
                <c:pt idx="41">
                  <c:v>0</c:v>
                </c:pt>
                <c:pt idx="42">
                  <c:v>65707</c:v>
                </c:pt>
                <c:pt idx="43">
                  <c:v>0</c:v>
                </c:pt>
                <c:pt idx="44">
                  <c:v>68807</c:v>
                </c:pt>
                <c:pt idx="45">
                  <c:v>0</c:v>
                </c:pt>
                <c:pt idx="46">
                  <c:v>0</c:v>
                </c:pt>
                <c:pt idx="47">
                  <c:v>68813</c:v>
                </c:pt>
                <c:pt idx="48">
                  <c:v>0</c:v>
                </c:pt>
                <c:pt idx="49">
                  <c:v>73351</c:v>
                </c:pt>
                <c:pt idx="50">
                  <c:v>0</c:v>
                </c:pt>
                <c:pt idx="51">
                  <c:v>0</c:v>
                </c:pt>
                <c:pt idx="52">
                  <c:v>75292</c:v>
                </c:pt>
                <c:pt idx="53">
                  <c:v>0</c:v>
                </c:pt>
                <c:pt idx="54">
                  <c:v>0</c:v>
                </c:pt>
                <c:pt idx="55">
                  <c:v>80464</c:v>
                </c:pt>
                <c:pt idx="56">
                  <c:v>0</c:v>
                </c:pt>
                <c:pt idx="57">
                  <c:v>85723</c:v>
                </c:pt>
                <c:pt idx="58">
                  <c:v>0</c:v>
                </c:pt>
                <c:pt idx="59">
                  <c:v>0</c:v>
                </c:pt>
                <c:pt idx="60">
                  <c:v>90393</c:v>
                </c:pt>
                <c:pt idx="61">
                  <c:v>0</c:v>
                </c:pt>
                <c:pt idx="62">
                  <c:v>93736</c:v>
                </c:pt>
                <c:pt idx="63">
                  <c:v>0</c:v>
                </c:pt>
                <c:pt idx="64">
                  <c:v>0</c:v>
                </c:pt>
                <c:pt idx="65">
                  <c:v>91326</c:v>
                </c:pt>
                <c:pt idx="66">
                  <c:v>0</c:v>
                </c:pt>
                <c:pt idx="67">
                  <c:v>88808</c:v>
                </c:pt>
                <c:pt idx="68">
                  <c:v>0</c:v>
                </c:pt>
                <c:pt idx="69">
                  <c:v>0</c:v>
                </c:pt>
                <c:pt idx="70">
                  <c:v>83050</c:v>
                </c:pt>
                <c:pt idx="71">
                  <c:v>0</c:v>
                </c:pt>
                <c:pt idx="72">
                  <c:v>0</c:v>
                </c:pt>
                <c:pt idx="73">
                  <c:v>85252</c:v>
                </c:pt>
                <c:pt idx="74">
                  <c:v>0</c:v>
                </c:pt>
                <c:pt idx="75">
                  <c:v>92681</c:v>
                </c:pt>
                <c:pt idx="76">
                  <c:v>0</c:v>
                </c:pt>
                <c:pt idx="77">
                  <c:v>0</c:v>
                </c:pt>
                <c:pt idx="78">
                  <c:v>94638</c:v>
                </c:pt>
                <c:pt idx="79">
                  <c:v>0</c:v>
                </c:pt>
                <c:pt idx="80">
                  <c:v>87469</c:v>
                </c:pt>
                <c:pt idx="81">
                  <c:v>0</c:v>
                </c:pt>
                <c:pt idx="82">
                  <c:v>0</c:v>
                </c:pt>
                <c:pt idx="83">
                  <c:v>89505</c:v>
                </c:pt>
                <c:pt idx="84">
                  <c:v>0</c:v>
                </c:pt>
                <c:pt idx="85">
                  <c:v>0</c:v>
                </c:pt>
                <c:pt idx="86">
                  <c:v>86421</c:v>
                </c:pt>
                <c:pt idx="87">
                  <c:v>0</c:v>
                </c:pt>
                <c:pt idx="88">
                  <c:v>85143</c:v>
                </c:pt>
                <c:pt idx="89">
                  <c:v>0</c:v>
                </c:pt>
                <c:pt idx="90">
                  <c:v>0</c:v>
                </c:pt>
                <c:pt idx="91">
                  <c:v>77274</c:v>
                </c:pt>
                <c:pt idx="92">
                  <c:v>0</c:v>
                </c:pt>
                <c:pt idx="93">
                  <c:v>83777</c:v>
                </c:pt>
                <c:pt idx="94">
                  <c:v>0</c:v>
                </c:pt>
                <c:pt idx="95">
                  <c:v>0</c:v>
                </c:pt>
                <c:pt idx="96">
                  <c:v>74142</c:v>
                </c:pt>
                <c:pt idx="97">
                  <c:v>0</c:v>
                </c:pt>
                <c:pt idx="98">
                  <c:v>72345</c:v>
                </c:pt>
                <c:pt idx="99">
                  <c:v>0</c:v>
                </c:pt>
                <c:pt idx="100">
                  <c:v>0</c:v>
                </c:pt>
                <c:pt idx="101">
                  <c:v>67171</c:v>
                </c:pt>
                <c:pt idx="102">
                  <c:v>0</c:v>
                </c:pt>
                <c:pt idx="103">
                  <c:v>0</c:v>
                </c:pt>
                <c:pt idx="104">
                  <c:v>67217</c:v>
                </c:pt>
                <c:pt idx="105">
                  <c:v>0</c:v>
                </c:pt>
                <c:pt idx="106">
                  <c:v>67530</c:v>
                </c:pt>
                <c:pt idx="107">
                  <c:v>0</c:v>
                </c:pt>
                <c:pt idx="108">
                  <c:v>0</c:v>
                </c:pt>
                <c:pt idx="109">
                  <c:v>67696</c:v>
                </c:pt>
                <c:pt idx="110">
                  <c:v>0</c:v>
                </c:pt>
                <c:pt idx="111">
                  <c:v>65839</c:v>
                </c:pt>
                <c:pt idx="112">
                  <c:v>0</c:v>
                </c:pt>
                <c:pt idx="113">
                  <c:v>0</c:v>
                </c:pt>
                <c:pt idx="114">
                  <c:v>55394</c:v>
                </c:pt>
                <c:pt idx="115">
                  <c:v>0</c:v>
                </c:pt>
                <c:pt idx="116">
                  <c:v>49225</c:v>
                </c:pt>
                <c:pt idx="117">
                  <c:v>0</c:v>
                </c:pt>
                <c:pt idx="118">
                  <c:v>0</c:v>
                </c:pt>
                <c:pt idx="119">
                  <c:v>44160</c:v>
                </c:pt>
                <c:pt idx="120">
                  <c:v>0</c:v>
                </c:pt>
                <c:pt idx="121">
                  <c:v>0</c:v>
                </c:pt>
                <c:pt idx="122">
                  <c:v>42668</c:v>
                </c:pt>
                <c:pt idx="123">
                  <c:v>0</c:v>
                </c:pt>
                <c:pt idx="124">
                  <c:v>39235</c:v>
                </c:pt>
                <c:pt idx="125">
                  <c:v>0</c:v>
                </c:pt>
                <c:pt idx="126">
                  <c:v>0</c:v>
                </c:pt>
                <c:pt idx="127">
                  <c:v>34188</c:v>
                </c:pt>
                <c:pt idx="128">
                  <c:v>0</c:v>
                </c:pt>
                <c:pt idx="129">
                  <c:v>29153</c:v>
                </c:pt>
                <c:pt idx="130">
                  <c:v>0</c:v>
                </c:pt>
                <c:pt idx="131">
                  <c:v>0</c:v>
                </c:pt>
                <c:pt idx="132">
                  <c:v>27478</c:v>
                </c:pt>
                <c:pt idx="133">
                  <c:v>0</c:v>
                </c:pt>
                <c:pt idx="134">
                  <c:v>28774</c:v>
                </c:pt>
                <c:pt idx="135">
                  <c:v>0</c:v>
                </c:pt>
                <c:pt idx="136">
                  <c:v>0</c:v>
                </c:pt>
                <c:pt idx="137">
                  <c:v>22542</c:v>
                </c:pt>
                <c:pt idx="138">
                  <c:v>0</c:v>
                </c:pt>
                <c:pt idx="139">
                  <c:v>0</c:v>
                </c:pt>
                <c:pt idx="140">
                  <c:v>23293</c:v>
                </c:pt>
                <c:pt idx="141">
                  <c:v>0</c:v>
                </c:pt>
                <c:pt idx="142">
                  <c:v>17915</c:v>
                </c:pt>
                <c:pt idx="143">
                  <c:v>0</c:v>
                </c:pt>
                <c:pt idx="144">
                  <c:v>0</c:v>
                </c:pt>
                <c:pt idx="145">
                  <c:v>15899</c:v>
                </c:pt>
                <c:pt idx="146">
                  <c:v>0</c:v>
                </c:pt>
                <c:pt idx="147">
                  <c:v>13672</c:v>
                </c:pt>
                <c:pt idx="148">
                  <c:v>0</c:v>
                </c:pt>
                <c:pt idx="149">
                  <c:v>0</c:v>
                </c:pt>
                <c:pt idx="150">
                  <c:v>12130</c:v>
                </c:pt>
                <c:pt idx="151">
                  <c:v>0</c:v>
                </c:pt>
                <c:pt idx="152">
                  <c:v>8382</c:v>
                </c:pt>
                <c:pt idx="153">
                  <c:v>0</c:v>
                </c:pt>
                <c:pt idx="154">
                  <c:v>0</c:v>
                </c:pt>
                <c:pt idx="155">
                  <c:v>7448</c:v>
                </c:pt>
                <c:pt idx="156">
                  <c:v>0</c:v>
                </c:pt>
                <c:pt idx="157">
                  <c:v>0</c:v>
                </c:pt>
                <c:pt idx="158">
                  <c:v>5820</c:v>
                </c:pt>
                <c:pt idx="159">
                  <c:v>0</c:v>
                </c:pt>
                <c:pt idx="160">
                  <c:v>3854</c:v>
                </c:pt>
                <c:pt idx="161">
                  <c:v>0</c:v>
                </c:pt>
                <c:pt idx="162">
                  <c:v>0</c:v>
                </c:pt>
                <c:pt idx="163">
                  <c:v>2879</c:v>
                </c:pt>
                <c:pt idx="164">
                  <c:v>0</c:v>
                </c:pt>
                <c:pt idx="165">
                  <c:v>1515</c:v>
                </c:pt>
                <c:pt idx="166">
                  <c:v>0</c:v>
                </c:pt>
                <c:pt idx="167">
                  <c:v>0</c:v>
                </c:pt>
                <c:pt idx="168">
                  <c:v>1933</c:v>
                </c:pt>
                <c:pt idx="169">
                  <c:v>0</c:v>
                </c:pt>
                <c:pt idx="170">
                  <c:v>0</c:v>
                </c:pt>
                <c:pt idx="171">
                  <c:v>2565</c:v>
                </c:pt>
                <c:pt idx="172">
                  <c:v>0</c:v>
                </c:pt>
                <c:pt idx="173">
                  <c:v>1740</c:v>
                </c:pt>
                <c:pt idx="174">
                  <c:v>0</c:v>
                </c:pt>
                <c:pt idx="175">
                  <c:v>0</c:v>
                </c:pt>
                <c:pt idx="176">
                  <c:v>1540</c:v>
                </c:pt>
                <c:pt idx="177">
                  <c:v>0</c:v>
                </c:pt>
                <c:pt idx="178">
                  <c:v>1237</c:v>
                </c:pt>
                <c:pt idx="179">
                  <c:v>0</c:v>
                </c:pt>
                <c:pt idx="180">
                  <c:v>0</c:v>
                </c:pt>
                <c:pt idx="181">
                  <c:v>1125</c:v>
                </c:pt>
                <c:pt idx="182">
                  <c:v>0</c:v>
                </c:pt>
                <c:pt idx="183">
                  <c:v>1139</c:v>
                </c:pt>
                <c:pt idx="184">
                  <c:v>0</c:v>
                </c:pt>
                <c:pt idx="185">
                  <c:v>0</c:v>
                </c:pt>
                <c:pt idx="186">
                  <c:v>804</c:v>
                </c:pt>
                <c:pt idx="187">
                  <c:v>0</c:v>
                </c:pt>
                <c:pt idx="188">
                  <c:v>0</c:v>
                </c:pt>
                <c:pt idx="189">
                  <c:v>119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89</c:v>
                </c:pt>
                <c:pt idx="7">
                  <c:v>0</c:v>
                </c:pt>
                <c:pt idx="8">
                  <c:v>84</c:v>
                </c:pt>
                <c:pt idx="9">
                  <c:v>0</c:v>
                </c:pt>
                <c:pt idx="10">
                  <c:v>0</c:v>
                </c:pt>
                <c:pt idx="11">
                  <c:v>52</c:v>
                </c:pt>
                <c:pt idx="12">
                  <c:v>0</c:v>
                </c:pt>
                <c:pt idx="13">
                  <c:v>62</c:v>
                </c:pt>
                <c:pt idx="14">
                  <c:v>0</c:v>
                </c:pt>
                <c:pt idx="15">
                  <c:v>0</c:v>
                </c:pt>
                <c:pt idx="16">
                  <c:v>108</c:v>
                </c:pt>
                <c:pt idx="17">
                  <c:v>0</c:v>
                </c:pt>
                <c:pt idx="18">
                  <c:v>0</c:v>
                </c:pt>
                <c:pt idx="19">
                  <c:v>257</c:v>
                </c:pt>
                <c:pt idx="20">
                  <c:v>0</c:v>
                </c:pt>
                <c:pt idx="21">
                  <c:v>94</c:v>
                </c:pt>
                <c:pt idx="22">
                  <c:v>0</c:v>
                </c:pt>
                <c:pt idx="23">
                  <c:v>0</c:v>
                </c:pt>
                <c:pt idx="24">
                  <c:v>1193</c:v>
                </c:pt>
                <c:pt idx="25">
                  <c:v>0</c:v>
                </c:pt>
                <c:pt idx="26">
                  <c:v>771</c:v>
                </c:pt>
                <c:pt idx="27">
                  <c:v>0</c:v>
                </c:pt>
                <c:pt idx="28">
                  <c:v>0</c:v>
                </c:pt>
                <c:pt idx="29">
                  <c:v>1393</c:v>
                </c:pt>
                <c:pt idx="30">
                  <c:v>0</c:v>
                </c:pt>
                <c:pt idx="31">
                  <c:v>1670</c:v>
                </c:pt>
                <c:pt idx="32">
                  <c:v>0</c:v>
                </c:pt>
                <c:pt idx="33">
                  <c:v>0</c:v>
                </c:pt>
                <c:pt idx="34">
                  <c:v>2426</c:v>
                </c:pt>
                <c:pt idx="35">
                  <c:v>0</c:v>
                </c:pt>
                <c:pt idx="36">
                  <c:v>0</c:v>
                </c:pt>
                <c:pt idx="37">
                  <c:v>3069</c:v>
                </c:pt>
                <c:pt idx="38">
                  <c:v>0</c:v>
                </c:pt>
                <c:pt idx="39">
                  <c:v>4187</c:v>
                </c:pt>
                <c:pt idx="40">
                  <c:v>0</c:v>
                </c:pt>
                <c:pt idx="41">
                  <c:v>0</c:v>
                </c:pt>
                <c:pt idx="42">
                  <c:v>4366</c:v>
                </c:pt>
                <c:pt idx="43">
                  <c:v>0</c:v>
                </c:pt>
                <c:pt idx="44">
                  <c:v>5023</c:v>
                </c:pt>
                <c:pt idx="45">
                  <c:v>0</c:v>
                </c:pt>
                <c:pt idx="46">
                  <c:v>0</c:v>
                </c:pt>
                <c:pt idx="47">
                  <c:v>6021</c:v>
                </c:pt>
                <c:pt idx="48">
                  <c:v>0</c:v>
                </c:pt>
                <c:pt idx="49">
                  <c:v>9098</c:v>
                </c:pt>
                <c:pt idx="50">
                  <c:v>0</c:v>
                </c:pt>
                <c:pt idx="51">
                  <c:v>0</c:v>
                </c:pt>
                <c:pt idx="52">
                  <c:v>12013</c:v>
                </c:pt>
                <c:pt idx="53">
                  <c:v>0</c:v>
                </c:pt>
                <c:pt idx="54">
                  <c:v>0</c:v>
                </c:pt>
                <c:pt idx="55">
                  <c:v>15981</c:v>
                </c:pt>
                <c:pt idx="56">
                  <c:v>0</c:v>
                </c:pt>
                <c:pt idx="57">
                  <c:v>18580</c:v>
                </c:pt>
                <c:pt idx="58">
                  <c:v>0</c:v>
                </c:pt>
                <c:pt idx="59">
                  <c:v>0</c:v>
                </c:pt>
                <c:pt idx="60">
                  <c:v>27062</c:v>
                </c:pt>
                <c:pt idx="61">
                  <c:v>0</c:v>
                </c:pt>
                <c:pt idx="62">
                  <c:v>32624</c:v>
                </c:pt>
                <c:pt idx="63">
                  <c:v>0</c:v>
                </c:pt>
                <c:pt idx="64">
                  <c:v>0</c:v>
                </c:pt>
                <c:pt idx="65">
                  <c:v>38292</c:v>
                </c:pt>
                <c:pt idx="66">
                  <c:v>0</c:v>
                </c:pt>
                <c:pt idx="67">
                  <c:v>50480</c:v>
                </c:pt>
                <c:pt idx="68">
                  <c:v>0</c:v>
                </c:pt>
                <c:pt idx="69">
                  <c:v>0</c:v>
                </c:pt>
                <c:pt idx="70">
                  <c:v>59467</c:v>
                </c:pt>
                <c:pt idx="71">
                  <c:v>0</c:v>
                </c:pt>
                <c:pt idx="72">
                  <c:v>0</c:v>
                </c:pt>
                <c:pt idx="73">
                  <c:v>71953</c:v>
                </c:pt>
                <c:pt idx="74">
                  <c:v>0</c:v>
                </c:pt>
                <c:pt idx="75">
                  <c:v>82055</c:v>
                </c:pt>
                <c:pt idx="76">
                  <c:v>0</c:v>
                </c:pt>
                <c:pt idx="77">
                  <c:v>0</c:v>
                </c:pt>
                <c:pt idx="78">
                  <c:v>88972</c:v>
                </c:pt>
                <c:pt idx="79">
                  <c:v>0</c:v>
                </c:pt>
                <c:pt idx="80">
                  <c:v>103652</c:v>
                </c:pt>
                <c:pt idx="81">
                  <c:v>0</c:v>
                </c:pt>
                <c:pt idx="82">
                  <c:v>0</c:v>
                </c:pt>
                <c:pt idx="83">
                  <c:v>116731</c:v>
                </c:pt>
                <c:pt idx="84">
                  <c:v>0</c:v>
                </c:pt>
                <c:pt idx="85">
                  <c:v>0</c:v>
                </c:pt>
                <c:pt idx="86">
                  <c:v>133400</c:v>
                </c:pt>
                <c:pt idx="87">
                  <c:v>0</c:v>
                </c:pt>
                <c:pt idx="88">
                  <c:v>150232</c:v>
                </c:pt>
                <c:pt idx="89">
                  <c:v>0</c:v>
                </c:pt>
                <c:pt idx="90">
                  <c:v>0</c:v>
                </c:pt>
                <c:pt idx="91">
                  <c:v>154488</c:v>
                </c:pt>
                <c:pt idx="92">
                  <c:v>0</c:v>
                </c:pt>
                <c:pt idx="93">
                  <c:v>174574</c:v>
                </c:pt>
                <c:pt idx="94">
                  <c:v>0</c:v>
                </c:pt>
                <c:pt idx="95">
                  <c:v>0</c:v>
                </c:pt>
                <c:pt idx="96">
                  <c:v>172908</c:v>
                </c:pt>
                <c:pt idx="97">
                  <c:v>0</c:v>
                </c:pt>
                <c:pt idx="98">
                  <c:v>191698</c:v>
                </c:pt>
                <c:pt idx="99">
                  <c:v>0</c:v>
                </c:pt>
                <c:pt idx="100">
                  <c:v>0</c:v>
                </c:pt>
                <c:pt idx="101">
                  <c:v>175818</c:v>
                </c:pt>
                <c:pt idx="102">
                  <c:v>0</c:v>
                </c:pt>
                <c:pt idx="103">
                  <c:v>0</c:v>
                </c:pt>
                <c:pt idx="104">
                  <c:v>191587</c:v>
                </c:pt>
                <c:pt idx="105">
                  <c:v>0</c:v>
                </c:pt>
                <c:pt idx="106">
                  <c:v>196594</c:v>
                </c:pt>
                <c:pt idx="107">
                  <c:v>0</c:v>
                </c:pt>
                <c:pt idx="108">
                  <c:v>0</c:v>
                </c:pt>
                <c:pt idx="109">
                  <c:v>209591</c:v>
                </c:pt>
                <c:pt idx="110">
                  <c:v>0</c:v>
                </c:pt>
                <c:pt idx="111">
                  <c:v>200175</c:v>
                </c:pt>
                <c:pt idx="112">
                  <c:v>0</c:v>
                </c:pt>
                <c:pt idx="113">
                  <c:v>0</c:v>
                </c:pt>
                <c:pt idx="114">
                  <c:v>216503</c:v>
                </c:pt>
                <c:pt idx="115">
                  <c:v>0</c:v>
                </c:pt>
                <c:pt idx="116">
                  <c:v>213435</c:v>
                </c:pt>
                <c:pt idx="117">
                  <c:v>0</c:v>
                </c:pt>
                <c:pt idx="118">
                  <c:v>0</c:v>
                </c:pt>
                <c:pt idx="119">
                  <c:v>207022</c:v>
                </c:pt>
                <c:pt idx="120">
                  <c:v>0</c:v>
                </c:pt>
                <c:pt idx="121">
                  <c:v>0</c:v>
                </c:pt>
                <c:pt idx="122">
                  <c:v>221853</c:v>
                </c:pt>
                <c:pt idx="123">
                  <c:v>0</c:v>
                </c:pt>
                <c:pt idx="124">
                  <c:v>213214</c:v>
                </c:pt>
                <c:pt idx="125">
                  <c:v>0</c:v>
                </c:pt>
                <c:pt idx="126">
                  <c:v>0</c:v>
                </c:pt>
                <c:pt idx="127">
                  <c:v>206191</c:v>
                </c:pt>
                <c:pt idx="128">
                  <c:v>0</c:v>
                </c:pt>
                <c:pt idx="129">
                  <c:v>208061</c:v>
                </c:pt>
                <c:pt idx="130">
                  <c:v>0</c:v>
                </c:pt>
                <c:pt idx="131">
                  <c:v>0</c:v>
                </c:pt>
                <c:pt idx="132">
                  <c:v>206057</c:v>
                </c:pt>
                <c:pt idx="133">
                  <c:v>0</c:v>
                </c:pt>
                <c:pt idx="134">
                  <c:v>188827</c:v>
                </c:pt>
                <c:pt idx="135">
                  <c:v>0</c:v>
                </c:pt>
                <c:pt idx="136">
                  <c:v>0</c:v>
                </c:pt>
                <c:pt idx="137">
                  <c:v>179611</c:v>
                </c:pt>
                <c:pt idx="138">
                  <c:v>0</c:v>
                </c:pt>
                <c:pt idx="139">
                  <c:v>0</c:v>
                </c:pt>
                <c:pt idx="140">
                  <c:v>184613</c:v>
                </c:pt>
                <c:pt idx="141">
                  <c:v>0</c:v>
                </c:pt>
                <c:pt idx="142">
                  <c:v>165716</c:v>
                </c:pt>
                <c:pt idx="143">
                  <c:v>0</c:v>
                </c:pt>
                <c:pt idx="144">
                  <c:v>0</c:v>
                </c:pt>
                <c:pt idx="145">
                  <c:v>144725</c:v>
                </c:pt>
                <c:pt idx="146">
                  <c:v>0</c:v>
                </c:pt>
                <c:pt idx="147">
                  <c:v>128065</c:v>
                </c:pt>
                <c:pt idx="148">
                  <c:v>0</c:v>
                </c:pt>
                <c:pt idx="149">
                  <c:v>0</c:v>
                </c:pt>
                <c:pt idx="150">
                  <c:v>112219</c:v>
                </c:pt>
                <c:pt idx="151">
                  <c:v>0</c:v>
                </c:pt>
                <c:pt idx="152">
                  <c:v>87684</c:v>
                </c:pt>
                <c:pt idx="153">
                  <c:v>0</c:v>
                </c:pt>
                <c:pt idx="154">
                  <c:v>0</c:v>
                </c:pt>
                <c:pt idx="155">
                  <c:v>76823</c:v>
                </c:pt>
                <c:pt idx="156">
                  <c:v>0</c:v>
                </c:pt>
                <c:pt idx="157">
                  <c:v>0</c:v>
                </c:pt>
                <c:pt idx="158">
                  <c:v>64513</c:v>
                </c:pt>
                <c:pt idx="159">
                  <c:v>0</c:v>
                </c:pt>
                <c:pt idx="160">
                  <c:v>59142</c:v>
                </c:pt>
                <c:pt idx="161">
                  <c:v>0</c:v>
                </c:pt>
                <c:pt idx="162">
                  <c:v>0</c:v>
                </c:pt>
                <c:pt idx="163">
                  <c:v>46254</c:v>
                </c:pt>
                <c:pt idx="164">
                  <c:v>0</c:v>
                </c:pt>
                <c:pt idx="165">
                  <c:v>43620</c:v>
                </c:pt>
                <c:pt idx="166">
                  <c:v>0</c:v>
                </c:pt>
                <c:pt idx="167">
                  <c:v>0</c:v>
                </c:pt>
                <c:pt idx="168">
                  <c:v>40229</c:v>
                </c:pt>
                <c:pt idx="169">
                  <c:v>0</c:v>
                </c:pt>
                <c:pt idx="170">
                  <c:v>0</c:v>
                </c:pt>
                <c:pt idx="171">
                  <c:v>35603</c:v>
                </c:pt>
                <c:pt idx="172">
                  <c:v>0</c:v>
                </c:pt>
                <c:pt idx="173">
                  <c:v>27576</c:v>
                </c:pt>
                <c:pt idx="174">
                  <c:v>0</c:v>
                </c:pt>
                <c:pt idx="175">
                  <c:v>0</c:v>
                </c:pt>
                <c:pt idx="176">
                  <c:v>21333</c:v>
                </c:pt>
                <c:pt idx="177">
                  <c:v>0</c:v>
                </c:pt>
                <c:pt idx="178">
                  <c:v>16390</c:v>
                </c:pt>
                <c:pt idx="179">
                  <c:v>0</c:v>
                </c:pt>
                <c:pt idx="180">
                  <c:v>0</c:v>
                </c:pt>
                <c:pt idx="181">
                  <c:v>14342</c:v>
                </c:pt>
                <c:pt idx="182">
                  <c:v>0</c:v>
                </c:pt>
                <c:pt idx="183">
                  <c:v>13110</c:v>
                </c:pt>
                <c:pt idx="184">
                  <c:v>0</c:v>
                </c:pt>
                <c:pt idx="185">
                  <c:v>0</c:v>
                </c:pt>
                <c:pt idx="186">
                  <c:v>12213</c:v>
                </c:pt>
                <c:pt idx="187">
                  <c:v>0</c:v>
                </c:pt>
                <c:pt idx="188">
                  <c:v>0</c:v>
                </c:pt>
                <c:pt idx="189">
                  <c:v>6335</c:v>
                </c:pt>
                <c:pt idx="190">
                  <c:v>0</c:v>
                </c:pt>
                <c:pt idx="191">
                  <c:v>5057</c:v>
                </c:pt>
                <c:pt idx="192">
                  <c:v>0</c:v>
                </c:pt>
                <c:pt idx="193">
                  <c:v>0</c:v>
                </c:pt>
                <c:pt idx="194">
                  <c:v>3817</c:v>
                </c:pt>
                <c:pt idx="195">
                  <c:v>0</c:v>
                </c:pt>
                <c:pt idx="196">
                  <c:v>2284</c:v>
                </c:pt>
                <c:pt idx="197">
                  <c:v>0</c:v>
                </c:pt>
                <c:pt idx="198">
                  <c:v>0</c:v>
                </c:pt>
                <c:pt idx="199">
                  <c:v>1094</c:v>
                </c:pt>
                <c:pt idx="200">
                  <c:v>0</c:v>
                </c:pt>
                <c:pt idx="201">
                  <c:v>374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0.20767239161578566</c:v>
                </c:pt>
                <c:pt idx="1">
                  <c:v>0.29294924696634861</c:v>
                </c:pt>
                <c:pt idx="2">
                  <c:v>0.49937836141786568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0.54787990024337663</c:v>
                </c:pt>
                <c:pt idx="1">
                  <c:v>0.23210123196213572</c:v>
                </c:pt>
                <c:pt idx="2">
                  <c:v>0.22001886779448765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7.5837450000000004</c:v>
                </c:pt>
                <c:pt idx="1">
                  <c:v>14.625182500000001</c:v>
                </c:pt>
                <c:pt idx="2">
                  <c:v>26.045749999999998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0.36688700000000002</c:v>
                </c:pt>
                <c:pt idx="2">
                  <c:v>0.77391500000000002</c:v>
                </c:pt>
                <c:pt idx="3">
                  <c:v>1.17879</c:v>
                </c:pt>
                <c:pt idx="4">
                  <c:v>1.58758</c:v>
                </c:pt>
                <c:pt idx="5">
                  <c:v>1.9903900000000001</c:v>
                </c:pt>
                <c:pt idx="6">
                  <c:v>2.39846</c:v>
                </c:pt>
                <c:pt idx="7">
                  <c:v>2.8031600000000001</c:v>
                </c:pt>
                <c:pt idx="8">
                  <c:v>3.2112799999999999</c:v>
                </c:pt>
                <c:pt idx="9">
                  <c:v>3.6184799999999999</c:v>
                </c:pt>
                <c:pt idx="10">
                  <c:v>4.0210299999999997</c:v>
                </c:pt>
                <c:pt idx="11">
                  <c:v>4.4290500000000002</c:v>
                </c:pt>
                <c:pt idx="12">
                  <c:v>4.8327</c:v>
                </c:pt>
                <c:pt idx="13">
                  <c:v>5.2411399999999997</c:v>
                </c:pt>
                <c:pt idx="14">
                  <c:v>5.6464999999999996</c:v>
                </c:pt>
                <c:pt idx="15">
                  <c:v>6.0575900000000003</c:v>
                </c:pt>
                <c:pt idx="16">
                  <c:v>6.4595900000000004</c:v>
                </c:pt>
                <c:pt idx="17">
                  <c:v>6.8643799999999997</c:v>
                </c:pt>
                <c:pt idx="18">
                  <c:v>7.2694099999999997</c:v>
                </c:pt>
                <c:pt idx="19">
                  <c:v>7.6803400000000002</c:v>
                </c:pt>
                <c:pt idx="20">
                  <c:v>8.08568</c:v>
                </c:pt>
                <c:pt idx="21">
                  <c:v>8.4936199999999999</c:v>
                </c:pt>
                <c:pt idx="22">
                  <c:v>8.8960000000000008</c:v>
                </c:pt>
                <c:pt idx="23">
                  <c:v>9.3033999999999999</c:v>
                </c:pt>
                <c:pt idx="24">
                  <c:v>9.7083499999999994</c:v>
                </c:pt>
                <c:pt idx="25">
                  <c:v>10.1144</c:v>
                </c:pt>
                <c:pt idx="26">
                  <c:v>10.523199999999999</c:v>
                </c:pt>
                <c:pt idx="27">
                  <c:v>10.928699999999999</c:v>
                </c:pt>
                <c:pt idx="28">
                  <c:v>11.333500000000001</c:v>
                </c:pt>
                <c:pt idx="29">
                  <c:v>11.743399999999999</c:v>
                </c:pt>
                <c:pt idx="30">
                  <c:v>12.1503</c:v>
                </c:pt>
                <c:pt idx="31">
                  <c:v>12.5572</c:v>
                </c:pt>
                <c:pt idx="32">
                  <c:v>12.960100000000001</c:v>
                </c:pt>
                <c:pt idx="33">
                  <c:v>13.3651</c:v>
                </c:pt>
                <c:pt idx="34">
                  <c:v>13.7721</c:v>
                </c:pt>
                <c:pt idx="35">
                  <c:v>14.1799</c:v>
                </c:pt>
                <c:pt idx="36">
                  <c:v>14.583399999999999</c:v>
                </c:pt>
                <c:pt idx="37">
                  <c:v>14.9903</c:v>
                </c:pt>
                <c:pt idx="38">
                  <c:v>15.400700000000001</c:v>
                </c:pt>
                <c:pt idx="39">
                  <c:v>15.8055</c:v>
                </c:pt>
                <c:pt idx="40">
                  <c:v>16.209599999999998</c:v>
                </c:pt>
                <c:pt idx="41">
                  <c:v>16.6173</c:v>
                </c:pt>
                <c:pt idx="42">
                  <c:v>17.021100000000001</c:v>
                </c:pt>
                <c:pt idx="43">
                  <c:v>17.426200000000001</c:v>
                </c:pt>
                <c:pt idx="44">
                  <c:v>17.834499999999998</c:v>
                </c:pt>
                <c:pt idx="45">
                  <c:v>18.242999999999999</c:v>
                </c:pt>
                <c:pt idx="46">
                  <c:v>18.649899999999999</c:v>
                </c:pt>
                <c:pt idx="47">
                  <c:v>19.052499999999998</c:v>
                </c:pt>
                <c:pt idx="48">
                  <c:v>19.459800000000001</c:v>
                </c:pt>
                <c:pt idx="49">
                  <c:v>19.8659</c:v>
                </c:pt>
                <c:pt idx="50">
                  <c:v>20.273599999999998</c:v>
                </c:pt>
                <c:pt idx="51">
                  <c:v>20.6816</c:v>
                </c:pt>
                <c:pt idx="52">
                  <c:v>21.083300000000001</c:v>
                </c:pt>
                <c:pt idx="53">
                  <c:v>21.491399999999999</c:v>
                </c:pt>
                <c:pt idx="54">
                  <c:v>21.897500000000001</c:v>
                </c:pt>
                <c:pt idx="55">
                  <c:v>22.305199999999999</c:v>
                </c:pt>
                <c:pt idx="56">
                  <c:v>22.713100000000001</c:v>
                </c:pt>
                <c:pt idx="57">
                  <c:v>23.114899999999999</c:v>
                </c:pt>
                <c:pt idx="58">
                  <c:v>23.521799999999999</c:v>
                </c:pt>
                <c:pt idx="59">
                  <c:v>23.930499999999999</c:v>
                </c:pt>
                <c:pt idx="60">
                  <c:v>24.335899999999999</c:v>
                </c:pt>
                <c:pt idx="61">
                  <c:v>24.741299999999999</c:v>
                </c:pt>
                <c:pt idx="62">
                  <c:v>25.148599999999998</c:v>
                </c:pt>
                <c:pt idx="63">
                  <c:v>25.5547</c:v>
                </c:pt>
                <c:pt idx="64">
                  <c:v>25.9605</c:v>
                </c:pt>
                <c:pt idx="65">
                  <c:v>26.369599999999998</c:v>
                </c:pt>
                <c:pt idx="66">
                  <c:v>26.772200000000002</c:v>
                </c:pt>
                <c:pt idx="67">
                  <c:v>27.180099999999999</c:v>
                </c:pt>
                <c:pt idx="68">
                  <c:v>27.5854</c:v>
                </c:pt>
                <c:pt idx="69">
                  <c:v>27.993200000000002</c:v>
                </c:pt>
                <c:pt idx="70">
                  <c:v>28.396000000000001</c:v>
                </c:pt>
                <c:pt idx="71">
                  <c:v>28.805800000000001</c:v>
                </c:pt>
                <c:pt idx="72">
                  <c:v>29.209700000000002</c:v>
                </c:pt>
                <c:pt idx="73">
                  <c:v>29.617599999999999</c:v>
                </c:pt>
                <c:pt idx="74">
                  <c:v>30.019600000000001</c:v>
                </c:pt>
                <c:pt idx="75">
                  <c:v>30.622</c:v>
                </c:pt>
                <c:pt idx="76">
                  <c:v>30.9894</c:v>
                </c:pt>
                <c:pt idx="77">
                  <c:v>31.366</c:v>
                </c:pt>
                <c:pt idx="78">
                  <c:v>31.741</c:v>
                </c:pt>
                <c:pt idx="79">
                  <c:v>32.119399999999999</c:v>
                </c:pt>
                <c:pt idx="80">
                  <c:v>32.523000000000003</c:v>
                </c:pt>
                <c:pt idx="81">
                  <c:v>32.928899999999999</c:v>
                </c:pt>
                <c:pt idx="82">
                  <c:v>33.333799999999997</c:v>
                </c:pt>
                <c:pt idx="83">
                  <c:v>33.7408</c:v>
                </c:pt>
                <c:pt idx="84">
                  <c:v>34.146900000000002</c:v>
                </c:pt>
                <c:pt idx="85">
                  <c:v>34.5595</c:v>
                </c:pt>
                <c:pt idx="86">
                  <c:v>34.9587</c:v>
                </c:pt>
                <c:pt idx="87">
                  <c:v>35.368699999999997</c:v>
                </c:pt>
                <c:pt idx="88">
                  <c:v>35.773400000000002</c:v>
                </c:pt>
                <c:pt idx="89">
                  <c:v>36.176699999999997</c:v>
                </c:pt>
                <c:pt idx="90">
                  <c:v>36.584200000000003</c:v>
                </c:pt>
                <c:pt idx="91">
                  <c:v>36.991999999999997</c:v>
                </c:pt>
                <c:pt idx="92">
                  <c:v>37.399299999999997</c:v>
                </c:pt>
                <c:pt idx="93">
                  <c:v>37.8048</c:v>
                </c:pt>
                <c:pt idx="94">
                  <c:v>38.212699999999998</c:v>
                </c:pt>
                <c:pt idx="95">
                  <c:v>38.615699999999997</c:v>
                </c:pt>
                <c:pt idx="96">
                  <c:v>39.022500000000001</c:v>
                </c:pt>
                <c:pt idx="97">
                  <c:v>39.426299999999998</c:v>
                </c:pt>
                <c:pt idx="98">
                  <c:v>39.833799999999997</c:v>
                </c:pt>
                <c:pt idx="99">
                  <c:v>40.238399999999999</c:v>
                </c:pt>
                <c:pt idx="100">
                  <c:v>40.648499999999999</c:v>
                </c:pt>
                <c:pt idx="101">
                  <c:v>41.054099999999998</c:v>
                </c:pt>
                <c:pt idx="102">
                  <c:v>41.457900000000002</c:v>
                </c:pt>
                <c:pt idx="103">
                  <c:v>41.865099999999998</c:v>
                </c:pt>
                <c:pt idx="104">
                  <c:v>42.271900000000002</c:v>
                </c:pt>
                <c:pt idx="105">
                  <c:v>42.6798</c:v>
                </c:pt>
                <c:pt idx="106">
                  <c:v>43.088799999999999</c:v>
                </c:pt>
                <c:pt idx="107">
                  <c:v>43.490600000000001</c:v>
                </c:pt>
                <c:pt idx="108">
                  <c:v>43.900599999999997</c:v>
                </c:pt>
                <c:pt idx="109">
                  <c:v>44.307400000000001</c:v>
                </c:pt>
                <c:pt idx="110">
                  <c:v>44.712299999999999</c:v>
                </c:pt>
                <c:pt idx="111">
                  <c:v>45.115200000000002</c:v>
                </c:pt>
                <c:pt idx="112">
                  <c:v>45.5197</c:v>
                </c:pt>
                <c:pt idx="113">
                  <c:v>45.9285</c:v>
                </c:pt>
                <c:pt idx="114">
                  <c:v>46.337000000000003</c:v>
                </c:pt>
                <c:pt idx="115">
                  <c:v>46.741799999999998</c:v>
                </c:pt>
                <c:pt idx="116">
                  <c:v>47.148800000000001</c:v>
                </c:pt>
                <c:pt idx="117">
                  <c:v>47.552900000000001</c:v>
                </c:pt>
                <c:pt idx="118">
                  <c:v>47.959899999999998</c:v>
                </c:pt>
                <c:pt idx="119">
                  <c:v>48.367699999999999</c:v>
                </c:pt>
                <c:pt idx="120">
                  <c:v>48.774700000000003</c:v>
                </c:pt>
                <c:pt idx="121">
                  <c:v>49.179400000000001</c:v>
                </c:pt>
                <c:pt idx="122">
                  <c:v>49.583399999999997</c:v>
                </c:pt>
                <c:pt idx="123">
                  <c:v>49.989199999999997</c:v>
                </c:pt>
                <c:pt idx="124">
                  <c:v>50.3962</c:v>
                </c:pt>
                <c:pt idx="125">
                  <c:v>50.803600000000003</c:v>
                </c:pt>
                <c:pt idx="126">
                  <c:v>51.213900000000002</c:v>
                </c:pt>
                <c:pt idx="127">
                  <c:v>51.616799999999998</c:v>
                </c:pt>
                <c:pt idx="128">
                  <c:v>52.0229</c:v>
                </c:pt>
                <c:pt idx="129">
                  <c:v>52.429699999999997</c:v>
                </c:pt>
                <c:pt idx="130">
                  <c:v>52.834699999999998</c:v>
                </c:pt>
                <c:pt idx="131">
                  <c:v>53.240600000000001</c:v>
                </c:pt>
                <c:pt idx="132">
                  <c:v>53.6494</c:v>
                </c:pt>
                <c:pt idx="133">
                  <c:v>54.051400000000001</c:v>
                </c:pt>
                <c:pt idx="134">
                  <c:v>54.461300000000001</c:v>
                </c:pt>
                <c:pt idx="135">
                  <c:v>54.866100000000003</c:v>
                </c:pt>
                <c:pt idx="136">
                  <c:v>55.2714</c:v>
                </c:pt>
                <c:pt idx="137">
                  <c:v>55.68</c:v>
                </c:pt>
                <c:pt idx="138">
                  <c:v>56.088000000000001</c:v>
                </c:pt>
                <c:pt idx="139">
                  <c:v>56.492699999999999</c:v>
                </c:pt>
                <c:pt idx="140">
                  <c:v>56.898800000000001</c:v>
                </c:pt>
                <c:pt idx="141">
                  <c:v>57.304699999999997</c:v>
                </c:pt>
                <c:pt idx="142">
                  <c:v>57.712499999999999</c:v>
                </c:pt>
                <c:pt idx="143">
                  <c:v>58.1205</c:v>
                </c:pt>
                <c:pt idx="144">
                  <c:v>58.5214</c:v>
                </c:pt>
                <c:pt idx="145">
                  <c:v>58.929299999999998</c:v>
                </c:pt>
                <c:pt idx="146">
                  <c:v>59.333799999999997</c:v>
                </c:pt>
                <c:pt idx="147">
                  <c:v>59.7393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2.1557599999999999</c:v>
                </c:pt>
                <c:pt idx="1">
                  <c:v>2.1887599999999998</c:v>
                </c:pt>
                <c:pt idx="2">
                  <c:v>2.22078</c:v>
                </c:pt>
                <c:pt idx="3">
                  <c:v>2.25135</c:v>
                </c:pt>
                <c:pt idx="4">
                  <c:v>2.2803800000000001</c:v>
                </c:pt>
                <c:pt idx="5">
                  <c:v>2.3091699999999999</c:v>
                </c:pt>
                <c:pt idx="6">
                  <c:v>2.3403900000000002</c:v>
                </c:pt>
                <c:pt idx="7">
                  <c:v>2.3717800000000002</c:v>
                </c:pt>
                <c:pt idx="8">
                  <c:v>2.4035699999999998</c:v>
                </c:pt>
                <c:pt idx="9">
                  <c:v>2.4356100000000001</c:v>
                </c:pt>
                <c:pt idx="10">
                  <c:v>2.4662800000000002</c:v>
                </c:pt>
                <c:pt idx="11">
                  <c:v>2.4974599999999998</c:v>
                </c:pt>
                <c:pt idx="12">
                  <c:v>2.5293100000000002</c:v>
                </c:pt>
                <c:pt idx="13">
                  <c:v>2.5637700000000003</c:v>
                </c:pt>
                <c:pt idx="14">
                  <c:v>2.60141</c:v>
                </c:pt>
                <c:pt idx="15">
                  <c:v>2.6413500000000001</c:v>
                </c:pt>
                <c:pt idx="16">
                  <c:v>2.6798100000000002</c:v>
                </c:pt>
                <c:pt idx="17">
                  <c:v>2.7165600000000003</c:v>
                </c:pt>
                <c:pt idx="18">
                  <c:v>2.7542400000000002</c:v>
                </c:pt>
                <c:pt idx="19">
                  <c:v>2.7929700000000004</c:v>
                </c:pt>
                <c:pt idx="20">
                  <c:v>2.8348499999999999</c:v>
                </c:pt>
                <c:pt idx="21">
                  <c:v>2.8803700000000001</c:v>
                </c:pt>
                <c:pt idx="22">
                  <c:v>2.9292499999999997</c:v>
                </c:pt>
                <c:pt idx="23">
                  <c:v>2.9813099999999997</c:v>
                </c:pt>
                <c:pt idx="24">
                  <c:v>3.0337999999999998</c:v>
                </c:pt>
                <c:pt idx="25">
                  <c:v>3.0863499999999999</c:v>
                </c:pt>
                <c:pt idx="26">
                  <c:v>3.1375999999999999</c:v>
                </c:pt>
                <c:pt idx="27">
                  <c:v>3.1898200000000001</c:v>
                </c:pt>
                <c:pt idx="28">
                  <c:v>3.2440000000000002</c:v>
                </c:pt>
                <c:pt idx="29">
                  <c:v>3.3022400000000003</c:v>
                </c:pt>
                <c:pt idx="30">
                  <c:v>3.3585700000000003</c:v>
                </c:pt>
                <c:pt idx="31">
                  <c:v>3.4110800000000001</c:v>
                </c:pt>
                <c:pt idx="32">
                  <c:v>3.4641199999999999</c:v>
                </c:pt>
                <c:pt idx="33">
                  <c:v>3.5170000000000003</c:v>
                </c:pt>
                <c:pt idx="34">
                  <c:v>3.5724400000000003</c:v>
                </c:pt>
                <c:pt idx="35">
                  <c:v>3.62202</c:v>
                </c:pt>
                <c:pt idx="36">
                  <c:v>3.6722700000000001</c:v>
                </c:pt>
                <c:pt idx="37">
                  <c:v>3.7192699999999999</c:v>
                </c:pt>
                <c:pt idx="38">
                  <c:v>3.7637900000000002</c:v>
                </c:pt>
                <c:pt idx="39">
                  <c:v>3.80342</c:v>
                </c:pt>
                <c:pt idx="40">
                  <c:v>3.8403300000000002</c:v>
                </c:pt>
                <c:pt idx="41">
                  <c:v>3.8768799999999999</c:v>
                </c:pt>
                <c:pt idx="42">
                  <c:v>3.9129000000000005</c:v>
                </c:pt>
                <c:pt idx="43">
                  <c:v>3.9447700000000001</c:v>
                </c:pt>
                <c:pt idx="44">
                  <c:v>3.9693800000000001</c:v>
                </c:pt>
                <c:pt idx="45">
                  <c:v>3.9883800000000003</c:v>
                </c:pt>
                <c:pt idx="46">
                  <c:v>4.0010899999999996</c:v>
                </c:pt>
                <c:pt idx="47">
                  <c:v>4.0091099999999997</c:v>
                </c:pt>
                <c:pt idx="48">
                  <c:v>4.0145799999999996</c:v>
                </c:pt>
                <c:pt idx="49">
                  <c:v>4.0198200000000002</c:v>
                </c:pt>
                <c:pt idx="50">
                  <c:v>4.0260099999999994</c:v>
                </c:pt>
                <c:pt idx="51">
                  <c:v>4.0295699999999997</c:v>
                </c:pt>
                <c:pt idx="52">
                  <c:v>4.0307700000000004</c:v>
                </c:pt>
                <c:pt idx="53">
                  <c:v>4.0266900000000003</c:v>
                </c:pt>
                <c:pt idx="54">
                  <c:v>4.0163900000000003</c:v>
                </c:pt>
                <c:pt idx="55">
                  <c:v>4.0028799999999993</c:v>
                </c:pt>
                <c:pt idx="56">
                  <c:v>3.9893099999999997</c:v>
                </c:pt>
                <c:pt idx="57">
                  <c:v>3.9755699999999998</c:v>
                </c:pt>
                <c:pt idx="58">
                  <c:v>3.9654299999999996</c:v>
                </c:pt>
                <c:pt idx="59">
                  <c:v>3.9551500000000002</c:v>
                </c:pt>
                <c:pt idx="60">
                  <c:v>3.9528099999999999</c:v>
                </c:pt>
                <c:pt idx="61">
                  <c:v>3.9508999999999999</c:v>
                </c:pt>
                <c:pt idx="62">
                  <c:v>3.9522300000000001</c:v>
                </c:pt>
                <c:pt idx="63">
                  <c:v>3.9573399999999999</c:v>
                </c:pt>
                <c:pt idx="64">
                  <c:v>3.9673999999999996</c:v>
                </c:pt>
                <c:pt idx="65">
                  <c:v>3.9818799999999999</c:v>
                </c:pt>
                <c:pt idx="66">
                  <c:v>4.0032699999999997</c:v>
                </c:pt>
                <c:pt idx="67">
                  <c:v>4.0292499999999993</c:v>
                </c:pt>
                <c:pt idx="68">
                  <c:v>4.0619300000000003</c:v>
                </c:pt>
                <c:pt idx="69">
                  <c:v>4.1027300000000002</c:v>
                </c:pt>
                <c:pt idx="70">
                  <c:v>4.1479600000000003</c:v>
                </c:pt>
                <c:pt idx="71">
                  <c:v>4.1962599999999997</c:v>
                </c:pt>
                <c:pt idx="72">
                  <c:v>4.2465999999999999</c:v>
                </c:pt>
                <c:pt idx="73">
                  <c:v>4.2968500000000001</c:v>
                </c:pt>
                <c:pt idx="74">
                  <c:v>4.3520199999999996</c:v>
                </c:pt>
                <c:pt idx="75">
                  <c:v>4.4350800000000001</c:v>
                </c:pt>
                <c:pt idx="76">
                  <c:v>4.5024199999999999</c:v>
                </c:pt>
                <c:pt idx="77">
                  <c:v>4.57294</c:v>
                </c:pt>
                <c:pt idx="78">
                  <c:v>4.6486599999999996</c:v>
                </c:pt>
                <c:pt idx="79">
                  <c:v>4.7190799999999999</c:v>
                </c:pt>
                <c:pt idx="80">
                  <c:v>4.7812200000000002</c:v>
                </c:pt>
                <c:pt idx="81">
                  <c:v>4.8365900000000002</c:v>
                </c:pt>
                <c:pt idx="82">
                  <c:v>4.8848200000000004</c:v>
                </c:pt>
                <c:pt idx="83">
                  <c:v>4.9268099999999997</c:v>
                </c:pt>
                <c:pt idx="84">
                  <c:v>4.9629500000000002</c:v>
                </c:pt>
                <c:pt idx="85">
                  <c:v>4.9972499999999993</c:v>
                </c:pt>
                <c:pt idx="86">
                  <c:v>5.0287000000000006</c:v>
                </c:pt>
                <c:pt idx="87">
                  <c:v>5.0583599999999995</c:v>
                </c:pt>
                <c:pt idx="88">
                  <c:v>5.0835399999999993</c:v>
                </c:pt>
                <c:pt idx="89">
                  <c:v>5.1037699999999999</c:v>
                </c:pt>
                <c:pt idx="90">
                  <c:v>5.1177200000000003</c:v>
                </c:pt>
                <c:pt idx="91">
                  <c:v>5.1266100000000003</c:v>
                </c:pt>
                <c:pt idx="92">
                  <c:v>5.1319300000000005</c:v>
                </c:pt>
                <c:pt idx="93">
                  <c:v>5.1331300000000004</c:v>
                </c:pt>
                <c:pt idx="94">
                  <c:v>5.1311999999999998</c:v>
                </c:pt>
                <c:pt idx="95">
                  <c:v>5.1270899999999999</c:v>
                </c:pt>
                <c:pt idx="96">
                  <c:v>5.1209699999999998</c:v>
                </c:pt>
                <c:pt idx="97">
                  <c:v>5.1128900000000002</c:v>
                </c:pt>
                <c:pt idx="98">
                  <c:v>5.0995800000000004</c:v>
                </c:pt>
                <c:pt idx="99">
                  <c:v>5.0790900000000008</c:v>
                </c:pt>
                <c:pt idx="100">
                  <c:v>5.0532500000000002</c:v>
                </c:pt>
                <c:pt idx="101">
                  <c:v>5.0194700000000001</c:v>
                </c:pt>
                <c:pt idx="102">
                  <c:v>4.9797900000000004</c:v>
                </c:pt>
                <c:pt idx="103">
                  <c:v>4.9351000000000003</c:v>
                </c:pt>
                <c:pt idx="104">
                  <c:v>4.8902200000000002</c:v>
                </c:pt>
                <c:pt idx="105">
                  <c:v>4.8472100000000005</c:v>
                </c:pt>
                <c:pt idx="106">
                  <c:v>4.80572</c:v>
                </c:pt>
                <c:pt idx="107">
                  <c:v>4.7643699999999995</c:v>
                </c:pt>
                <c:pt idx="108">
                  <c:v>4.7217900000000004</c:v>
                </c:pt>
                <c:pt idx="109">
                  <c:v>4.6781299999999995</c:v>
                </c:pt>
                <c:pt idx="110">
                  <c:v>4.6316600000000001</c:v>
                </c:pt>
                <c:pt idx="111">
                  <c:v>4.5840300000000003</c:v>
                </c:pt>
                <c:pt idx="112">
                  <c:v>4.5338899999999995</c:v>
                </c:pt>
                <c:pt idx="113">
                  <c:v>4.4839700000000002</c:v>
                </c:pt>
                <c:pt idx="114">
                  <c:v>4.4340799999999998</c:v>
                </c:pt>
                <c:pt idx="115">
                  <c:v>4.3857600000000003</c:v>
                </c:pt>
                <c:pt idx="116">
                  <c:v>4.3402400000000005</c:v>
                </c:pt>
                <c:pt idx="117">
                  <c:v>4.2954799999999995</c:v>
                </c:pt>
                <c:pt idx="118">
                  <c:v>4.2519900000000002</c:v>
                </c:pt>
                <c:pt idx="119">
                  <c:v>4.2090800000000002</c:v>
                </c:pt>
                <c:pt idx="120">
                  <c:v>4.1661799999999998</c:v>
                </c:pt>
                <c:pt idx="121">
                  <c:v>4.1227399999999994</c:v>
                </c:pt>
                <c:pt idx="122">
                  <c:v>4.0788600000000006</c:v>
                </c:pt>
                <c:pt idx="123">
                  <c:v>4.0364000000000004</c:v>
                </c:pt>
                <c:pt idx="124">
                  <c:v>4.0085899999999999</c:v>
                </c:pt>
                <c:pt idx="125">
                  <c:v>3.9815899999999997</c:v>
                </c:pt>
                <c:pt idx="126">
                  <c:v>3.95505</c:v>
                </c:pt>
                <c:pt idx="127">
                  <c:v>3.9284400000000002</c:v>
                </c:pt>
                <c:pt idx="128">
                  <c:v>3.8977200000000001</c:v>
                </c:pt>
                <c:pt idx="129">
                  <c:v>3.8645700000000001</c:v>
                </c:pt>
                <c:pt idx="130">
                  <c:v>3.8308499999999999</c:v>
                </c:pt>
                <c:pt idx="131">
                  <c:v>3.7939299999999996</c:v>
                </c:pt>
                <c:pt idx="132">
                  <c:v>3.75563</c:v>
                </c:pt>
                <c:pt idx="133">
                  <c:v>3.7201200000000001</c:v>
                </c:pt>
                <c:pt idx="134">
                  <c:v>3.6859399999999996</c:v>
                </c:pt>
                <c:pt idx="135">
                  <c:v>3.6501000000000001</c:v>
                </c:pt>
                <c:pt idx="136">
                  <c:v>3.6133799999999998</c:v>
                </c:pt>
                <c:pt idx="137">
                  <c:v>3.5823300000000002</c:v>
                </c:pt>
                <c:pt idx="138">
                  <c:v>3.5543499999999999</c:v>
                </c:pt>
                <c:pt idx="139">
                  <c:v>3.5364</c:v>
                </c:pt>
                <c:pt idx="140">
                  <c:v>3.5296599999999998</c:v>
                </c:pt>
                <c:pt idx="141">
                  <c:v>3.5206999999999997</c:v>
                </c:pt>
                <c:pt idx="142">
                  <c:v>3.5146300000000004</c:v>
                </c:pt>
                <c:pt idx="143">
                  <c:v>3.5103299999999997</c:v>
                </c:pt>
                <c:pt idx="144">
                  <c:v>3.4990100000000002</c:v>
                </c:pt>
                <c:pt idx="145">
                  <c:v>3.4840599999999999</c:v>
                </c:pt>
                <c:pt idx="146">
                  <c:v>3.4597899999999999</c:v>
                </c:pt>
                <c:pt idx="147">
                  <c:v>3.4246700000000003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0.36688700000000002</c:v>
                </c:pt>
                <c:pt idx="2">
                  <c:v>0.77391500000000002</c:v>
                </c:pt>
                <c:pt idx="3">
                  <c:v>1.17879</c:v>
                </c:pt>
                <c:pt idx="4">
                  <c:v>1.58758</c:v>
                </c:pt>
                <c:pt idx="5">
                  <c:v>1.9903900000000001</c:v>
                </c:pt>
                <c:pt idx="6">
                  <c:v>2.39846</c:v>
                </c:pt>
                <c:pt idx="7">
                  <c:v>2.8031600000000001</c:v>
                </c:pt>
                <c:pt idx="8">
                  <c:v>3.2112799999999999</c:v>
                </c:pt>
                <c:pt idx="9">
                  <c:v>3.6184799999999999</c:v>
                </c:pt>
                <c:pt idx="10">
                  <c:v>4.0210299999999997</c:v>
                </c:pt>
                <c:pt idx="11">
                  <c:v>4.4290500000000002</c:v>
                </c:pt>
                <c:pt idx="12">
                  <c:v>4.8327</c:v>
                </c:pt>
                <c:pt idx="13">
                  <c:v>5.2411399999999997</c:v>
                </c:pt>
                <c:pt idx="14">
                  <c:v>5.6464999999999996</c:v>
                </c:pt>
                <c:pt idx="15">
                  <c:v>6.0575900000000003</c:v>
                </c:pt>
                <c:pt idx="16">
                  <c:v>6.4595900000000004</c:v>
                </c:pt>
                <c:pt idx="17">
                  <c:v>6.8643799999999997</c:v>
                </c:pt>
                <c:pt idx="18">
                  <c:v>7.2694099999999997</c:v>
                </c:pt>
                <c:pt idx="19">
                  <c:v>7.6803400000000002</c:v>
                </c:pt>
                <c:pt idx="20">
                  <c:v>8.08568</c:v>
                </c:pt>
                <c:pt idx="21">
                  <c:v>8.4936199999999999</c:v>
                </c:pt>
                <c:pt idx="22">
                  <c:v>8.8960000000000008</c:v>
                </c:pt>
                <c:pt idx="23">
                  <c:v>9.3033999999999999</c:v>
                </c:pt>
                <c:pt idx="24">
                  <c:v>9.7083499999999994</c:v>
                </c:pt>
                <c:pt idx="25">
                  <c:v>10.1144</c:v>
                </c:pt>
                <c:pt idx="26">
                  <c:v>10.523199999999999</c:v>
                </c:pt>
                <c:pt idx="27">
                  <c:v>10.928699999999999</c:v>
                </c:pt>
                <c:pt idx="28">
                  <c:v>11.333500000000001</c:v>
                </c:pt>
                <c:pt idx="29">
                  <c:v>11.743399999999999</c:v>
                </c:pt>
                <c:pt idx="30">
                  <c:v>12.1503</c:v>
                </c:pt>
                <c:pt idx="31">
                  <c:v>12.5572</c:v>
                </c:pt>
                <c:pt idx="32">
                  <c:v>12.960100000000001</c:v>
                </c:pt>
                <c:pt idx="33">
                  <c:v>13.3651</c:v>
                </c:pt>
                <c:pt idx="34">
                  <c:v>13.7721</c:v>
                </c:pt>
                <c:pt idx="35">
                  <c:v>14.1799</c:v>
                </c:pt>
                <c:pt idx="36">
                  <c:v>14.583399999999999</c:v>
                </c:pt>
                <c:pt idx="37">
                  <c:v>14.9903</c:v>
                </c:pt>
                <c:pt idx="38">
                  <c:v>15.400700000000001</c:v>
                </c:pt>
                <c:pt idx="39">
                  <c:v>15.8055</c:v>
                </c:pt>
                <c:pt idx="40">
                  <c:v>16.209599999999998</c:v>
                </c:pt>
                <c:pt idx="41">
                  <c:v>16.6173</c:v>
                </c:pt>
                <c:pt idx="42">
                  <c:v>17.021100000000001</c:v>
                </c:pt>
                <c:pt idx="43">
                  <c:v>17.426200000000001</c:v>
                </c:pt>
                <c:pt idx="44">
                  <c:v>17.834499999999998</c:v>
                </c:pt>
                <c:pt idx="45">
                  <c:v>18.242999999999999</c:v>
                </c:pt>
                <c:pt idx="46">
                  <c:v>18.649899999999999</c:v>
                </c:pt>
                <c:pt idx="47">
                  <c:v>19.052499999999998</c:v>
                </c:pt>
                <c:pt idx="48">
                  <c:v>19.459800000000001</c:v>
                </c:pt>
                <c:pt idx="49">
                  <c:v>19.8659</c:v>
                </c:pt>
                <c:pt idx="50">
                  <c:v>20.273599999999998</c:v>
                </c:pt>
                <c:pt idx="51">
                  <c:v>20.6816</c:v>
                </c:pt>
                <c:pt idx="52">
                  <c:v>21.083300000000001</c:v>
                </c:pt>
                <c:pt idx="53">
                  <c:v>21.491399999999999</c:v>
                </c:pt>
                <c:pt idx="54">
                  <c:v>21.897500000000001</c:v>
                </c:pt>
                <c:pt idx="55">
                  <c:v>22.305199999999999</c:v>
                </c:pt>
                <c:pt idx="56">
                  <c:v>22.713100000000001</c:v>
                </c:pt>
                <c:pt idx="57">
                  <c:v>23.114899999999999</c:v>
                </c:pt>
                <c:pt idx="58">
                  <c:v>23.521799999999999</c:v>
                </c:pt>
                <c:pt idx="59">
                  <c:v>23.930499999999999</c:v>
                </c:pt>
                <c:pt idx="60">
                  <c:v>24.335899999999999</c:v>
                </c:pt>
                <c:pt idx="61">
                  <c:v>24.741299999999999</c:v>
                </c:pt>
                <c:pt idx="62">
                  <c:v>25.148599999999998</c:v>
                </c:pt>
                <c:pt idx="63">
                  <c:v>25.5547</c:v>
                </c:pt>
                <c:pt idx="64">
                  <c:v>25.9605</c:v>
                </c:pt>
                <c:pt idx="65">
                  <c:v>26.369599999999998</c:v>
                </c:pt>
                <c:pt idx="66">
                  <c:v>26.772200000000002</c:v>
                </c:pt>
                <c:pt idx="67">
                  <c:v>27.180099999999999</c:v>
                </c:pt>
                <c:pt idx="68">
                  <c:v>27.5854</c:v>
                </c:pt>
                <c:pt idx="69">
                  <c:v>27.993200000000002</c:v>
                </c:pt>
                <c:pt idx="70">
                  <c:v>28.396000000000001</c:v>
                </c:pt>
                <c:pt idx="71">
                  <c:v>28.805800000000001</c:v>
                </c:pt>
                <c:pt idx="72">
                  <c:v>29.209700000000002</c:v>
                </c:pt>
                <c:pt idx="73">
                  <c:v>29.617599999999999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2.1557599999999999</c:v>
                </c:pt>
                <c:pt idx="1">
                  <c:v>2.1887599999999998</c:v>
                </c:pt>
                <c:pt idx="2">
                  <c:v>2.22078</c:v>
                </c:pt>
                <c:pt idx="3">
                  <c:v>2.25135</c:v>
                </c:pt>
                <c:pt idx="4">
                  <c:v>2.2803800000000001</c:v>
                </c:pt>
                <c:pt idx="5">
                  <c:v>2.3091699999999999</c:v>
                </c:pt>
                <c:pt idx="6">
                  <c:v>2.3403900000000002</c:v>
                </c:pt>
                <c:pt idx="7">
                  <c:v>2.3717800000000002</c:v>
                </c:pt>
                <c:pt idx="8">
                  <c:v>2.4035699999999998</c:v>
                </c:pt>
                <c:pt idx="9">
                  <c:v>2.4356100000000001</c:v>
                </c:pt>
                <c:pt idx="10">
                  <c:v>2.4662800000000002</c:v>
                </c:pt>
                <c:pt idx="11">
                  <c:v>2.4974599999999998</c:v>
                </c:pt>
                <c:pt idx="12">
                  <c:v>2.5293100000000002</c:v>
                </c:pt>
                <c:pt idx="13">
                  <c:v>2.5637700000000003</c:v>
                </c:pt>
                <c:pt idx="14">
                  <c:v>2.60141</c:v>
                </c:pt>
                <c:pt idx="15">
                  <c:v>2.6413500000000001</c:v>
                </c:pt>
                <c:pt idx="16">
                  <c:v>2.6798100000000002</c:v>
                </c:pt>
                <c:pt idx="17">
                  <c:v>2.7165600000000003</c:v>
                </c:pt>
                <c:pt idx="18">
                  <c:v>2.7542400000000002</c:v>
                </c:pt>
                <c:pt idx="19">
                  <c:v>2.7929700000000004</c:v>
                </c:pt>
                <c:pt idx="20">
                  <c:v>2.8348499999999999</c:v>
                </c:pt>
                <c:pt idx="21">
                  <c:v>2.8803700000000001</c:v>
                </c:pt>
                <c:pt idx="22">
                  <c:v>2.9292499999999997</c:v>
                </c:pt>
                <c:pt idx="23">
                  <c:v>2.9813099999999997</c:v>
                </c:pt>
                <c:pt idx="24">
                  <c:v>3.0337999999999998</c:v>
                </c:pt>
                <c:pt idx="25">
                  <c:v>3.0863499999999999</c:v>
                </c:pt>
                <c:pt idx="26">
                  <c:v>3.1375999999999999</c:v>
                </c:pt>
                <c:pt idx="27">
                  <c:v>3.1898200000000001</c:v>
                </c:pt>
                <c:pt idx="28">
                  <c:v>3.2440000000000002</c:v>
                </c:pt>
                <c:pt idx="29">
                  <c:v>3.3022400000000003</c:v>
                </c:pt>
                <c:pt idx="30">
                  <c:v>3.3585700000000003</c:v>
                </c:pt>
                <c:pt idx="31">
                  <c:v>3.4110800000000001</c:v>
                </c:pt>
                <c:pt idx="32">
                  <c:v>3.4641199999999999</c:v>
                </c:pt>
                <c:pt idx="33">
                  <c:v>3.5170000000000003</c:v>
                </c:pt>
                <c:pt idx="34">
                  <c:v>3.5724400000000003</c:v>
                </c:pt>
                <c:pt idx="35">
                  <c:v>3.62202</c:v>
                </c:pt>
                <c:pt idx="36">
                  <c:v>3.6722700000000001</c:v>
                </c:pt>
                <c:pt idx="37">
                  <c:v>3.7192699999999999</c:v>
                </c:pt>
                <c:pt idx="38">
                  <c:v>3.7637900000000002</c:v>
                </c:pt>
                <c:pt idx="39">
                  <c:v>3.80342</c:v>
                </c:pt>
                <c:pt idx="40">
                  <c:v>3.8403300000000002</c:v>
                </c:pt>
                <c:pt idx="41">
                  <c:v>3.8768799999999999</c:v>
                </c:pt>
                <c:pt idx="42">
                  <c:v>3.9129000000000005</c:v>
                </c:pt>
                <c:pt idx="43">
                  <c:v>3.9447700000000001</c:v>
                </c:pt>
                <c:pt idx="44">
                  <c:v>3.9693800000000001</c:v>
                </c:pt>
                <c:pt idx="45">
                  <c:v>3.9883800000000003</c:v>
                </c:pt>
                <c:pt idx="46">
                  <c:v>4.0010899999999996</c:v>
                </c:pt>
                <c:pt idx="47">
                  <c:v>4.0091099999999997</c:v>
                </c:pt>
                <c:pt idx="48">
                  <c:v>4.0145799999999996</c:v>
                </c:pt>
                <c:pt idx="49">
                  <c:v>4.0198200000000002</c:v>
                </c:pt>
                <c:pt idx="50">
                  <c:v>4.0260099999999994</c:v>
                </c:pt>
                <c:pt idx="51">
                  <c:v>4.0295699999999997</c:v>
                </c:pt>
                <c:pt idx="52">
                  <c:v>4.0307700000000004</c:v>
                </c:pt>
                <c:pt idx="53">
                  <c:v>4.0266900000000003</c:v>
                </c:pt>
                <c:pt idx="54">
                  <c:v>4.0163900000000003</c:v>
                </c:pt>
                <c:pt idx="55">
                  <c:v>4.0028799999999993</c:v>
                </c:pt>
                <c:pt idx="56">
                  <c:v>3.9893099999999997</c:v>
                </c:pt>
                <c:pt idx="57">
                  <c:v>3.9755699999999998</c:v>
                </c:pt>
                <c:pt idx="58">
                  <c:v>3.9654299999999996</c:v>
                </c:pt>
                <c:pt idx="59">
                  <c:v>3.9551500000000002</c:v>
                </c:pt>
                <c:pt idx="60">
                  <c:v>3.9528099999999999</c:v>
                </c:pt>
                <c:pt idx="61">
                  <c:v>3.9508999999999999</c:v>
                </c:pt>
                <c:pt idx="62">
                  <c:v>3.9522300000000001</c:v>
                </c:pt>
                <c:pt idx="63">
                  <c:v>3.9573399999999999</c:v>
                </c:pt>
                <c:pt idx="64">
                  <c:v>3.9673999999999996</c:v>
                </c:pt>
                <c:pt idx="65">
                  <c:v>3.9818799999999999</c:v>
                </c:pt>
                <c:pt idx="66">
                  <c:v>4.0032699999999997</c:v>
                </c:pt>
                <c:pt idx="67">
                  <c:v>4.0292499999999993</c:v>
                </c:pt>
                <c:pt idx="68">
                  <c:v>4.0619300000000003</c:v>
                </c:pt>
                <c:pt idx="69">
                  <c:v>4.1027300000000002</c:v>
                </c:pt>
                <c:pt idx="70">
                  <c:v>4.1479600000000003</c:v>
                </c:pt>
                <c:pt idx="71">
                  <c:v>4.1962599999999997</c:v>
                </c:pt>
                <c:pt idx="72">
                  <c:v>4.2465999999999999</c:v>
                </c:pt>
                <c:pt idx="73">
                  <c:v>4.2968500000000001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29.617599999999999</c:v>
                </c:pt>
                <c:pt idx="1">
                  <c:v>30.019600000000001</c:v>
                </c:pt>
                <c:pt idx="2">
                  <c:v>30.622</c:v>
                </c:pt>
                <c:pt idx="3">
                  <c:v>30.9894</c:v>
                </c:pt>
                <c:pt idx="4">
                  <c:v>31.366</c:v>
                </c:pt>
                <c:pt idx="5">
                  <c:v>31.741</c:v>
                </c:pt>
                <c:pt idx="6">
                  <c:v>32.119399999999999</c:v>
                </c:pt>
                <c:pt idx="7">
                  <c:v>32.523000000000003</c:v>
                </c:pt>
                <c:pt idx="8">
                  <c:v>32.928899999999999</c:v>
                </c:pt>
                <c:pt idx="9">
                  <c:v>33.333799999999997</c:v>
                </c:pt>
                <c:pt idx="10">
                  <c:v>33.7408</c:v>
                </c:pt>
                <c:pt idx="11">
                  <c:v>34.146900000000002</c:v>
                </c:pt>
                <c:pt idx="12">
                  <c:v>34.5595</c:v>
                </c:pt>
                <c:pt idx="13">
                  <c:v>34.9587</c:v>
                </c:pt>
                <c:pt idx="14">
                  <c:v>35.368699999999997</c:v>
                </c:pt>
                <c:pt idx="15">
                  <c:v>35.773400000000002</c:v>
                </c:pt>
                <c:pt idx="16">
                  <c:v>36.176699999999997</c:v>
                </c:pt>
                <c:pt idx="17">
                  <c:v>36.584200000000003</c:v>
                </c:pt>
                <c:pt idx="18">
                  <c:v>36.991999999999997</c:v>
                </c:pt>
                <c:pt idx="19">
                  <c:v>37.399299999999997</c:v>
                </c:pt>
                <c:pt idx="20">
                  <c:v>37.8048</c:v>
                </c:pt>
                <c:pt idx="21">
                  <c:v>38.212699999999998</c:v>
                </c:pt>
                <c:pt idx="22">
                  <c:v>38.615699999999997</c:v>
                </c:pt>
                <c:pt idx="23">
                  <c:v>39.022500000000001</c:v>
                </c:pt>
                <c:pt idx="24">
                  <c:v>39.426299999999998</c:v>
                </c:pt>
                <c:pt idx="25">
                  <c:v>39.833799999999997</c:v>
                </c:pt>
                <c:pt idx="26">
                  <c:v>40.238399999999999</c:v>
                </c:pt>
                <c:pt idx="27">
                  <c:v>40.648499999999999</c:v>
                </c:pt>
                <c:pt idx="28">
                  <c:v>41.054099999999998</c:v>
                </c:pt>
                <c:pt idx="29">
                  <c:v>41.457900000000002</c:v>
                </c:pt>
                <c:pt idx="30">
                  <c:v>41.865099999999998</c:v>
                </c:pt>
                <c:pt idx="31">
                  <c:v>42.271900000000002</c:v>
                </c:pt>
                <c:pt idx="32">
                  <c:v>42.6798</c:v>
                </c:pt>
                <c:pt idx="33">
                  <c:v>43.088799999999999</c:v>
                </c:pt>
                <c:pt idx="34">
                  <c:v>43.490600000000001</c:v>
                </c:pt>
                <c:pt idx="35">
                  <c:v>43.900599999999997</c:v>
                </c:pt>
                <c:pt idx="36">
                  <c:v>44.307400000000001</c:v>
                </c:pt>
                <c:pt idx="37">
                  <c:v>44.712299999999999</c:v>
                </c:pt>
                <c:pt idx="38">
                  <c:v>45.115200000000002</c:v>
                </c:pt>
                <c:pt idx="39">
                  <c:v>45.5197</c:v>
                </c:pt>
                <c:pt idx="40">
                  <c:v>45.9285</c:v>
                </c:pt>
                <c:pt idx="41">
                  <c:v>46.337000000000003</c:v>
                </c:pt>
                <c:pt idx="42">
                  <c:v>46.741799999999998</c:v>
                </c:pt>
                <c:pt idx="43">
                  <c:v>47.148800000000001</c:v>
                </c:pt>
                <c:pt idx="44">
                  <c:v>47.552900000000001</c:v>
                </c:pt>
                <c:pt idx="45">
                  <c:v>47.959899999999998</c:v>
                </c:pt>
                <c:pt idx="46">
                  <c:v>48.367699999999999</c:v>
                </c:pt>
                <c:pt idx="47">
                  <c:v>48.774700000000003</c:v>
                </c:pt>
                <c:pt idx="48">
                  <c:v>49.179400000000001</c:v>
                </c:pt>
                <c:pt idx="49">
                  <c:v>49.583399999999997</c:v>
                </c:pt>
                <c:pt idx="50">
                  <c:v>49.989199999999997</c:v>
                </c:pt>
                <c:pt idx="51">
                  <c:v>50.3962</c:v>
                </c:pt>
                <c:pt idx="52">
                  <c:v>50.803600000000003</c:v>
                </c:pt>
                <c:pt idx="53">
                  <c:v>51.213900000000002</c:v>
                </c:pt>
                <c:pt idx="54">
                  <c:v>51.616799999999998</c:v>
                </c:pt>
                <c:pt idx="55">
                  <c:v>52.0229</c:v>
                </c:pt>
                <c:pt idx="56">
                  <c:v>52.429699999999997</c:v>
                </c:pt>
                <c:pt idx="57">
                  <c:v>52.834699999999998</c:v>
                </c:pt>
                <c:pt idx="58">
                  <c:v>53.240600000000001</c:v>
                </c:pt>
                <c:pt idx="59">
                  <c:v>53.6494</c:v>
                </c:pt>
                <c:pt idx="60">
                  <c:v>54.051400000000001</c:v>
                </c:pt>
                <c:pt idx="61">
                  <c:v>54.461300000000001</c:v>
                </c:pt>
                <c:pt idx="62">
                  <c:v>54.866100000000003</c:v>
                </c:pt>
                <c:pt idx="63">
                  <c:v>55.2714</c:v>
                </c:pt>
                <c:pt idx="64">
                  <c:v>55.68</c:v>
                </c:pt>
                <c:pt idx="65">
                  <c:v>56.088000000000001</c:v>
                </c:pt>
                <c:pt idx="66">
                  <c:v>56.492699999999999</c:v>
                </c:pt>
                <c:pt idx="67">
                  <c:v>56.898800000000001</c:v>
                </c:pt>
                <c:pt idx="68">
                  <c:v>57.304699999999997</c:v>
                </c:pt>
                <c:pt idx="69">
                  <c:v>57.712499999999999</c:v>
                </c:pt>
                <c:pt idx="70">
                  <c:v>58.1205</c:v>
                </c:pt>
                <c:pt idx="71">
                  <c:v>58.5214</c:v>
                </c:pt>
                <c:pt idx="72">
                  <c:v>58.929299999999998</c:v>
                </c:pt>
                <c:pt idx="73">
                  <c:v>59.333799999999997</c:v>
                </c:pt>
                <c:pt idx="74">
                  <c:v>59.7393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4.2968500000000001</c:v>
                </c:pt>
                <c:pt idx="1">
                  <c:v>4.3520199999999996</c:v>
                </c:pt>
                <c:pt idx="2">
                  <c:v>4.4350800000000001</c:v>
                </c:pt>
                <c:pt idx="3">
                  <c:v>4.5024199999999999</c:v>
                </c:pt>
                <c:pt idx="4">
                  <c:v>4.57294</c:v>
                </c:pt>
                <c:pt idx="5">
                  <c:v>4.6486599999999996</c:v>
                </c:pt>
                <c:pt idx="6">
                  <c:v>4.7190799999999999</c:v>
                </c:pt>
                <c:pt idx="7">
                  <c:v>4.7812200000000002</c:v>
                </c:pt>
                <c:pt idx="8">
                  <c:v>4.8365900000000002</c:v>
                </c:pt>
                <c:pt idx="9">
                  <c:v>4.8848200000000004</c:v>
                </c:pt>
                <c:pt idx="10">
                  <c:v>4.9268099999999997</c:v>
                </c:pt>
                <c:pt idx="11">
                  <c:v>4.9629500000000002</c:v>
                </c:pt>
                <c:pt idx="12">
                  <c:v>4.9972499999999993</c:v>
                </c:pt>
                <c:pt idx="13">
                  <c:v>5.0287000000000006</c:v>
                </c:pt>
                <c:pt idx="14">
                  <c:v>5.0583599999999995</c:v>
                </c:pt>
                <c:pt idx="15">
                  <c:v>5.0835399999999993</c:v>
                </c:pt>
                <c:pt idx="16">
                  <c:v>5.1037699999999999</c:v>
                </c:pt>
                <c:pt idx="17">
                  <c:v>5.1177200000000003</c:v>
                </c:pt>
                <c:pt idx="18">
                  <c:v>5.1266100000000003</c:v>
                </c:pt>
                <c:pt idx="19">
                  <c:v>5.1319300000000005</c:v>
                </c:pt>
                <c:pt idx="20">
                  <c:v>5.1331300000000004</c:v>
                </c:pt>
                <c:pt idx="21">
                  <c:v>5.1311999999999998</c:v>
                </c:pt>
                <c:pt idx="22">
                  <c:v>5.1270899999999999</c:v>
                </c:pt>
                <c:pt idx="23">
                  <c:v>5.1209699999999998</c:v>
                </c:pt>
                <c:pt idx="24">
                  <c:v>5.1128900000000002</c:v>
                </c:pt>
                <c:pt idx="25">
                  <c:v>5.0995800000000004</c:v>
                </c:pt>
                <c:pt idx="26">
                  <c:v>5.0790900000000008</c:v>
                </c:pt>
                <c:pt idx="27">
                  <c:v>5.0532500000000002</c:v>
                </c:pt>
                <c:pt idx="28">
                  <c:v>5.0194700000000001</c:v>
                </c:pt>
                <c:pt idx="29">
                  <c:v>4.9797900000000004</c:v>
                </c:pt>
                <c:pt idx="30">
                  <c:v>4.9351000000000003</c:v>
                </c:pt>
                <c:pt idx="31">
                  <c:v>4.8902200000000002</c:v>
                </c:pt>
                <c:pt idx="32">
                  <c:v>4.8472100000000005</c:v>
                </c:pt>
                <c:pt idx="33">
                  <c:v>4.80572</c:v>
                </c:pt>
                <c:pt idx="34">
                  <c:v>4.7643699999999995</c:v>
                </c:pt>
                <c:pt idx="35">
                  <c:v>4.7217900000000004</c:v>
                </c:pt>
                <c:pt idx="36">
                  <c:v>4.6781299999999995</c:v>
                </c:pt>
                <c:pt idx="37">
                  <c:v>4.6316600000000001</c:v>
                </c:pt>
                <c:pt idx="38">
                  <c:v>4.5840300000000003</c:v>
                </c:pt>
                <c:pt idx="39">
                  <c:v>4.5338899999999995</c:v>
                </c:pt>
                <c:pt idx="40">
                  <c:v>4.4839700000000002</c:v>
                </c:pt>
                <c:pt idx="41">
                  <c:v>4.4340799999999998</c:v>
                </c:pt>
                <c:pt idx="42">
                  <c:v>4.3857600000000003</c:v>
                </c:pt>
                <c:pt idx="43">
                  <c:v>4.3402400000000005</c:v>
                </c:pt>
                <c:pt idx="44">
                  <c:v>4.2954799999999995</c:v>
                </c:pt>
                <c:pt idx="45">
                  <c:v>4.2519900000000002</c:v>
                </c:pt>
                <c:pt idx="46">
                  <c:v>4.2090800000000002</c:v>
                </c:pt>
                <c:pt idx="47">
                  <c:v>4.1661799999999998</c:v>
                </c:pt>
                <c:pt idx="48">
                  <c:v>4.1227399999999994</c:v>
                </c:pt>
                <c:pt idx="49">
                  <c:v>4.0788600000000006</c:v>
                </c:pt>
                <c:pt idx="50">
                  <c:v>4.0364000000000004</c:v>
                </c:pt>
                <c:pt idx="51">
                  <c:v>4.0085899999999999</c:v>
                </c:pt>
                <c:pt idx="52">
                  <c:v>3.9815899999999997</c:v>
                </c:pt>
                <c:pt idx="53">
                  <c:v>3.95505</c:v>
                </c:pt>
                <c:pt idx="54">
                  <c:v>3.9284400000000002</c:v>
                </c:pt>
                <c:pt idx="55">
                  <c:v>3.8977200000000001</c:v>
                </c:pt>
                <c:pt idx="56">
                  <c:v>3.8645700000000001</c:v>
                </c:pt>
                <c:pt idx="57">
                  <c:v>3.8308499999999999</c:v>
                </c:pt>
                <c:pt idx="58">
                  <c:v>3.7939299999999996</c:v>
                </c:pt>
                <c:pt idx="59">
                  <c:v>3.75563</c:v>
                </c:pt>
                <c:pt idx="60">
                  <c:v>3.7201200000000001</c:v>
                </c:pt>
                <c:pt idx="61">
                  <c:v>3.6859399999999996</c:v>
                </c:pt>
                <c:pt idx="62">
                  <c:v>3.6501000000000001</c:v>
                </c:pt>
                <c:pt idx="63">
                  <c:v>3.6133799999999998</c:v>
                </c:pt>
                <c:pt idx="64">
                  <c:v>3.5823300000000002</c:v>
                </c:pt>
                <c:pt idx="65">
                  <c:v>3.5543499999999999</c:v>
                </c:pt>
                <c:pt idx="66">
                  <c:v>3.5364</c:v>
                </c:pt>
                <c:pt idx="67">
                  <c:v>3.5296599999999998</c:v>
                </c:pt>
                <c:pt idx="68">
                  <c:v>3.5206999999999997</c:v>
                </c:pt>
                <c:pt idx="69">
                  <c:v>3.5146300000000004</c:v>
                </c:pt>
                <c:pt idx="70">
                  <c:v>3.5103299999999997</c:v>
                </c:pt>
                <c:pt idx="71">
                  <c:v>3.4990100000000002</c:v>
                </c:pt>
                <c:pt idx="72">
                  <c:v>3.4840599999999999</c:v>
                </c:pt>
                <c:pt idx="73">
                  <c:v>3.4597899999999999</c:v>
                </c:pt>
                <c:pt idx="74">
                  <c:v>3.4246700000000003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14.934825</c:v>
                </c:pt>
                <c:pt idx="1">
                  <c:v>44.804474999999996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3.4076581081081088</c:v>
                </c:pt>
                <c:pt idx="1">
                  <c:v>4.4003468918918927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0.36688700000000002</c:v>
                </c:pt>
                <c:pt idx="2">
                  <c:v>0.77391500000000002</c:v>
                </c:pt>
                <c:pt idx="3">
                  <c:v>1.17879</c:v>
                </c:pt>
                <c:pt idx="4">
                  <c:v>1.58758</c:v>
                </c:pt>
                <c:pt idx="5">
                  <c:v>1.9903900000000001</c:v>
                </c:pt>
                <c:pt idx="6">
                  <c:v>2.39846</c:v>
                </c:pt>
                <c:pt idx="7">
                  <c:v>2.8031600000000001</c:v>
                </c:pt>
                <c:pt idx="8">
                  <c:v>3.2112799999999999</c:v>
                </c:pt>
                <c:pt idx="9">
                  <c:v>3.6184799999999999</c:v>
                </c:pt>
                <c:pt idx="10">
                  <c:v>4.0210299999999997</c:v>
                </c:pt>
                <c:pt idx="11">
                  <c:v>4.4290500000000002</c:v>
                </c:pt>
                <c:pt idx="12">
                  <c:v>4.8327</c:v>
                </c:pt>
                <c:pt idx="13">
                  <c:v>5.2411399999999997</c:v>
                </c:pt>
                <c:pt idx="14">
                  <c:v>5.6464999999999996</c:v>
                </c:pt>
                <c:pt idx="15">
                  <c:v>6.0575900000000003</c:v>
                </c:pt>
                <c:pt idx="16">
                  <c:v>6.4595900000000004</c:v>
                </c:pt>
                <c:pt idx="17">
                  <c:v>6.8643799999999997</c:v>
                </c:pt>
                <c:pt idx="18">
                  <c:v>7.2694099999999997</c:v>
                </c:pt>
                <c:pt idx="19">
                  <c:v>7.6803400000000002</c:v>
                </c:pt>
                <c:pt idx="20">
                  <c:v>8.08568</c:v>
                </c:pt>
                <c:pt idx="21">
                  <c:v>8.4936199999999999</c:v>
                </c:pt>
                <c:pt idx="22">
                  <c:v>8.8960000000000008</c:v>
                </c:pt>
                <c:pt idx="23">
                  <c:v>9.3033999999999999</c:v>
                </c:pt>
                <c:pt idx="24">
                  <c:v>9.7083499999999994</c:v>
                </c:pt>
                <c:pt idx="25">
                  <c:v>10.1144</c:v>
                </c:pt>
                <c:pt idx="26">
                  <c:v>10.523199999999999</c:v>
                </c:pt>
                <c:pt idx="27">
                  <c:v>10.928699999999999</c:v>
                </c:pt>
                <c:pt idx="28">
                  <c:v>11.333500000000001</c:v>
                </c:pt>
                <c:pt idx="29">
                  <c:v>11.743399999999999</c:v>
                </c:pt>
                <c:pt idx="30">
                  <c:v>12.1503</c:v>
                </c:pt>
                <c:pt idx="31">
                  <c:v>12.5572</c:v>
                </c:pt>
                <c:pt idx="32">
                  <c:v>12.960100000000001</c:v>
                </c:pt>
                <c:pt idx="33">
                  <c:v>13.3651</c:v>
                </c:pt>
                <c:pt idx="34">
                  <c:v>13.7721</c:v>
                </c:pt>
                <c:pt idx="35">
                  <c:v>14.1799</c:v>
                </c:pt>
                <c:pt idx="36">
                  <c:v>14.583399999999999</c:v>
                </c:pt>
                <c:pt idx="37">
                  <c:v>14.9903</c:v>
                </c:pt>
                <c:pt idx="38">
                  <c:v>15.400700000000001</c:v>
                </c:pt>
                <c:pt idx="39">
                  <c:v>15.8055</c:v>
                </c:pt>
                <c:pt idx="40">
                  <c:v>16.209599999999998</c:v>
                </c:pt>
                <c:pt idx="41">
                  <c:v>16.6173</c:v>
                </c:pt>
                <c:pt idx="42">
                  <c:v>17.021100000000001</c:v>
                </c:pt>
                <c:pt idx="43">
                  <c:v>17.426200000000001</c:v>
                </c:pt>
                <c:pt idx="44">
                  <c:v>17.834499999999998</c:v>
                </c:pt>
                <c:pt idx="45">
                  <c:v>18.242999999999999</c:v>
                </c:pt>
                <c:pt idx="46">
                  <c:v>18.649899999999999</c:v>
                </c:pt>
                <c:pt idx="47">
                  <c:v>19.052499999999998</c:v>
                </c:pt>
                <c:pt idx="48">
                  <c:v>19.459800000000001</c:v>
                </c:pt>
                <c:pt idx="49">
                  <c:v>19.8659</c:v>
                </c:pt>
                <c:pt idx="50">
                  <c:v>20.273599999999998</c:v>
                </c:pt>
                <c:pt idx="51">
                  <c:v>20.6816</c:v>
                </c:pt>
                <c:pt idx="52">
                  <c:v>21.083300000000001</c:v>
                </c:pt>
                <c:pt idx="53">
                  <c:v>21.491399999999999</c:v>
                </c:pt>
                <c:pt idx="54">
                  <c:v>21.897500000000001</c:v>
                </c:pt>
                <c:pt idx="55">
                  <c:v>22.305199999999999</c:v>
                </c:pt>
                <c:pt idx="56">
                  <c:v>22.713100000000001</c:v>
                </c:pt>
                <c:pt idx="57">
                  <c:v>23.114899999999999</c:v>
                </c:pt>
                <c:pt idx="58">
                  <c:v>23.521799999999999</c:v>
                </c:pt>
                <c:pt idx="59">
                  <c:v>23.930499999999999</c:v>
                </c:pt>
                <c:pt idx="60">
                  <c:v>24.335899999999999</c:v>
                </c:pt>
                <c:pt idx="61">
                  <c:v>24.741299999999999</c:v>
                </c:pt>
                <c:pt idx="62">
                  <c:v>25.148599999999998</c:v>
                </c:pt>
                <c:pt idx="63">
                  <c:v>25.5547</c:v>
                </c:pt>
                <c:pt idx="64">
                  <c:v>25.9605</c:v>
                </c:pt>
                <c:pt idx="65">
                  <c:v>26.369599999999998</c:v>
                </c:pt>
                <c:pt idx="66">
                  <c:v>26.772200000000002</c:v>
                </c:pt>
                <c:pt idx="67">
                  <c:v>27.180099999999999</c:v>
                </c:pt>
                <c:pt idx="68">
                  <c:v>27.5854</c:v>
                </c:pt>
                <c:pt idx="69">
                  <c:v>27.993200000000002</c:v>
                </c:pt>
                <c:pt idx="70">
                  <c:v>28.396000000000001</c:v>
                </c:pt>
                <c:pt idx="71">
                  <c:v>28.805800000000001</c:v>
                </c:pt>
                <c:pt idx="72">
                  <c:v>29.209700000000002</c:v>
                </c:pt>
                <c:pt idx="73">
                  <c:v>29.617599999999999</c:v>
                </c:pt>
                <c:pt idx="74">
                  <c:v>30.019600000000001</c:v>
                </c:pt>
                <c:pt idx="75">
                  <c:v>30.622</c:v>
                </c:pt>
                <c:pt idx="76">
                  <c:v>30.9894</c:v>
                </c:pt>
                <c:pt idx="77">
                  <c:v>31.366</c:v>
                </c:pt>
                <c:pt idx="78">
                  <c:v>31.741</c:v>
                </c:pt>
                <c:pt idx="79">
                  <c:v>32.119399999999999</c:v>
                </c:pt>
                <c:pt idx="80">
                  <c:v>32.523000000000003</c:v>
                </c:pt>
                <c:pt idx="81">
                  <c:v>32.928899999999999</c:v>
                </c:pt>
                <c:pt idx="82">
                  <c:v>33.333799999999997</c:v>
                </c:pt>
                <c:pt idx="83">
                  <c:v>33.7408</c:v>
                </c:pt>
                <c:pt idx="84">
                  <c:v>34.146900000000002</c:v>
                </c:pt>
                <c:pt idx="85">
                  <c:v>34.5595</c:v>
                </c:pt>
                <c:pt idx="86">
                  <c:v>34.9587</c:v>
                </c:pt>
                <c:pt idx="87">
                  <c:v>35.368699999999997</c:v>
                </c:pt>
                <c:pt idx="88">
                  <c:v>35.773400000000002</c:v>
                </c:pt>
                <c:pt idx="89">
                  <c:v>36.176699999999997</c:v>
                </c:pt>
                <c:pt idx="90">
                  <c:v>36.584200000000003</c:v>
                </c:pt>
                <c:pt idx="91">
                  <c:v>36.991999999999997</c:v>
                </c:pt>
                <c:pt idx="92">
                  <c:v>37.399299999999997</c:v>
                </c:pt>
                <c:pt idx="93">
                  <c:v>37.8048</c:v>
                </c:pt>
                <c:pt idx="94">
                  <c:v>38.212699999999998</c:v>
                </c:pt>
                <c:pt idx="95">
                  <c:v>38.615699999999997</c:v>
                </c:pt>
                <c:pt idx="96">
                  <c:v>39.022500000000001</c:v>
                </c:pt>
                <c:pt idx="97">
                  <c:v>39.426299999999998</c:v>
                </c:pt>
                <c:pt idx="98">
                  <c:v>39.833799999999997</c:v>
                </c:pt>
                <c:pt idx="99">
                  <c:v>40.238399999999999</c:v>
                </c:pt>
                <c:pt idx="100">
                  <c:v>40.648499999999999</c:v>
                </c:pt>
                <c:pt idx="101">
                  <c:v>41.054099999999998</c:v>
                </c:pt>
                <c:pt idx="102">
                  <c:v>41.457900000000002</c:v>
                </c:pt>
                <c:pt idx="103">
                  <c:v>41.865099999999998</c:v>
                </c:pt>
                <c:pt idx="104">
                  <c:v>42.271900000000002</c:v>
                </c:pt>
                <c:pt idx="105">
                  <c:v>42.6798</c:v>
                </c:pt>
                <c:pt idx="106">
                  <c:v>43.088799999999999</c:v>
                </c:pt>
                <c:pt idx="107">
                  <c:v>43.490600000000001</c:v>
                </c:pt>
                <c:pt idx="108">
                  <c:v>43.900599999999997</c:v>
                </c:pt>
                <c:pt idx="109">
                  <c:v>44.307400000000001</c:v>
                </c:pt>
                <c:pt idx="110">
                  <c:v>44.712299999999999</c:v>
                </c:pt>
                <c:pt idx="111">
                  <c:v>45.115200000000002</c:v>
                </c:pt>
                <c:pt idx="112">
                  <c:v>45.5197</c:v>
                </c:pt>
                <c:pt idx="113">
                  <c:v>45.9285</c:v>
                </c:pt>
                <c:pt idx="114">
                  <c:v>46.337000000000003</c:v>
                </c:pt>
                <c:pt idx="115">
                  <c:v>46.741799999999998</c:v>
                </c:pt>
                <c:pt idx="116">
                  <c:v>47.148800000000001</c:v>
                </c:pt>
                <c:pt idx="117">
                  <c:v>47.552900000000001</c:v>
                </c:pt>
                <c:pt idx="118">
                  <c:v>47.959899999999998</c:v>
                </c:pt>
                <c:pt idx="119">
                  <c:v>48.367699999999999</c:v>
                </c:pt>
                <c:pt idx="120">
                  <c:v>48.774700000000003</c:v>
                </c:pt>
                <c:pt idx="121">
                  <c:v>49.179400000000001</c:v>
                </c:pt>
                <c:pt idx="122">
                  <c:v>49.583399999999997</c:v>
                </c:pt>
                <c:pt idx="123">
                  <c:v>49.989199999999997</c:v>
                </c:pt>
                <c:pt idx="124">
                  <c:v>50.3962</c:v>
                </c:pt>
                <c:pt idx="125">
                  <c:v>50.803600000000003</c:v>
                </c:pt>
                <c:pt idx="126">
                  <c:v>51.213900000000002</c:v>
                </c:pt>
                <c:pt idx="127">
                  <c:v>51.616799999999998</c:v>
                </c:pt>
                <c:pt idx="128">
                  <c:v>52.0229</c:v>
                </c:pt>
                <c:pt idx="129">
                  <c:v>52.429699999999997</c:v>
                </c:pt>
                <c:pt idx="130">
                  <c:v>52.834699999999998</c:v>
                </c:pt>
                <c:pt idx="131">
                  <c:v>53.240600000000001</c:v>
                </c:pt>
                <c:pt idx="132">
                  <c:v>53.6494</c:v>
                </c:pt>
                <c:pt idx="133">
                  <c:v>54.051400000000001</c:v>
                </c:pt>
                <c:pt idx="134">
                  <c:v>54.461300000000001</c:v>
                </c:pt>
                <c:pt idx="135">
                  <c:v>54.866100000000003</c:v>
                </c:pt>
                <c:pt idx="136">
                  <c:v>55.2714</c:v>
                </c:pt>
                <c:pt idx="137">
                  <c:v>55.68</c:v>
                </c:pt>
                <c:pt idx="138">
                  <c:v>56.088000000000001</c:v>
                </c:pt>
                <c:pt idx="139">
                  <c:v>56.492699999999999</c:v>
                </c:pt>
                <c:pt idx="140">
                  <c:v>56.898800000000001</c:v>
                </c:pt>
                <c:pt idx="141">
                  <c:v>57.304699999999997</c:v>
                </c:pt>
                <c:pt idx="142">
                  <c:v>57.712499999999999</c:v>
                </c:pt>
                <c:pt idx="143">
                  <c:v>58.1205</c:v>
                </c:pt>
                <c:pt idx="144">
                  <c:v>58.5214</c:v>
                </c:pt>
                <c:pt idx="145">
                  <c:v>58.929299999999998</c:v>
                </c:pt>
                <c:pt idx="146">
                  <c:v>59.333799999999997</c:v>
                </c:pt>
                <c:pt idx="147">
                  <c:v>59.7393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67.322199999999995</c:v>
                </c:pt>
                <c:pt idx="1">
                  <c:v>67.273300000000006</c:v>
                </c:pt>
                <c:pt idx="2">
                  <c:v>67.152900000000002</c:v>
                </c:pt>
                <c:pt idx="3">
                  <c:v>66.899000000000001</c:v>
                </c:pt>
                <c:pt idx="4">
                  <c:v>66.479699999999994</c:v>
                </c:pt>
                <c:pt idx="5">
                  <c:v>65.97</c:v>
                </c:pt>
                <c:pt idx="6">
                  <c:v>65.317099999999996</c:v>
                </c:pt>
                <c:pt idx="7">
                  <c:v>64.644599999999997</c:v>
                </c:pt>
                <c:pt idx="8">
                  <c:v>63.986699999999999</c:v>
                </c:pt>
                <c:pt idx="9">
                  <c:v>63.302</c:v>
                </c:pt>
                <c:pt idx="10">
                  <c:v>62.621899999999997</c:v>
                </c:pt>
                <c:pt idx="11">
                  <c:v>61.935099999999998</c:v>
                </c:pt>
                <c:pt idx="12">
                  <c:v>61.216400000000007</c:v>
                </c:pt>
                <c:pt idx="13">
                  <c:v>60.487299999999998</c:v>
                </c:pt>
                <c:pt idx="14">
                  <c:v>59.685600000000008</c:v>
                </c:pt>
                <c:pt idx="15">
                  <c:v>58.871899999999997</c:v>
                </c:pt>
                <c:pt idx="16">
                  <c:v>58.199400000000004</c:v>
                </c:pt>
                <c:pt idx="17">
                  <c:v>57.677700000000002</c:v>
                </c:pt>
                <c:pt idx="18">
                  <c:v>57.196899999999992</c:v>
                </c:pt>
                <c:pt idx="19">
                  <c:v>56.664800000000007</c:v>
                </c:pt>
                <c:pt idx="20">
                  <c:v>56.069199999999995</c:v>
                </c:pt>
                <c:pt idx="21">
                  <c:v>55.391500000000008</c:v>
                </c:pt>
                <c:pt idx="22">
                  <c:v>54.597799999999999</c:v>
                </c:pt>
                <c:pt idx="23">
                  <c:v>53.752400000000002</c:v>
                </c:pt>
                <c:pt idx="24">
                  <c:v>52.997199999999999</c:v>
                </c:pt>
                <c:pt idx="25">
                  <c:v>52.274799999999999</c:v>
                </c:pt>
                <c:pt idx="26">
                  <c:v>51.664900000000003</c:v>
                </c:pt>
                <c:pt idx="27">
                  <c:v>51.100999999999999</c:v>
                </c:pt>
                <c:pt idx="28">
                  <c:v>50.585800000000006</c:v>
                </c:pt>
                <c:pt idx="29">
                  <c:v>49.977800000000002</c:v>
                </c:pt>
                <c:pt idx="30">
                  <c:v>49.380299999999998</c:v>
                </c:pt>
                <c:pt idx="31">
                  <c:v>48.8187</c:v>
                </c:pt>
                <c:pt idx="32">
                  <c:v>48.2898</c:v>
                </c:pt>
                <c:pt idx="33">
                  <c:v>47.838900000000002</c:v>
                </c:pt>
                <c:pt idx="34">
                  <c:v>47.552799999999998</c:v>
                </c:pt>
                <c:pt idx="35">
                  <c:v>47.433100000000003</c:v>
                </c:pt>
                <c:pt idx="36">
                  <c:v>47.3874</c:v>
                </c:pt>
                <c:pt idx="37">
                  <c:v>47.438699999999997</c:v>
                </c:pt>
                <c:pt idx="38">
                  <c:v>47.4465</c:v>
                </c:pt>
                <c:pt idx="39">
                  <c:v>47.436799999999998</c:v>
                </c:pt>
                <c:pt idx="40">
                  <c:v>47.402000000000001</c:v>
                </c:pt>
                <c:pt idx="41">
                  <c:v>47.420499999999997</c:v>
                </c:pt>
                <c:pt idx="42">
                  <c:v>47.514299999999999</c:v>
                </c:pt>
                <c:pt idx="43">
                  <c:v>47.622100000000003</c:v>
                </c:pt>
                <c:pt idx="44">
                  <c:v>47.678199999999997</c:v>
                </c:pt>
                <c:pt idx="45">
                  <c:v>47.629199999999997</c:v>
                </c:pt>
                <c:pt idx="46">
                  <c:v>47.521999999999998</c:v>
                </c:pt>
                <c:pt idx="47">
                  <c:v>47.360700000000001</c:v>
                </c:pt>
                <c:pt idx="48">
                  <c:v>47.125699999999995</c:v>
                </c:pt>
                <c:pt idx="49">
                  <c:v>46.857500000000002</c:v>
                </c:pt>
                <c:pt idx="50">
                  <c:v>46.688000000000002</c:v>
                </c:pt>
                <c:pt idx="51">
                  <c:v>46.440799999999996</c:v>
                </c:pt>
                <c:pt idx="52">
                  <c:v>46.104199999999999</c:v>
                </c:pt>
                <c:pt idx="53">
                  <c:v>45.715400000000002</c:v>
                </c:pt>
                <c:pt idx="54">
                  <c:v>45.359100000000005</c:v>
                </c:pt>
                <c:pt idx="55">
                  <c:v>45.134900000000002</c:v>
                </c:pt>
                <c:pt idx="56">
                  <c:v>45.052700000000002</c:v>
                </c:pt>
                <c:pt idx="57">
                  <c:v>45.054899999999996</c:v>
                </c:pt>
                <c:pt idx="58">
                  <c:v>45.104499999999994</c:v>
                </c:pt>
                <c:pt idx="59">
                  <c:v>45.091500000000003</c:v>
                </c:pt>
                <c:pt idx="60">
                  <c:v>45.055900000000001</c:v>
                </c:pt>
                <c:pt idx="61">
                  <c:v>44.994599999999998</c:v>
                </c:pt>
                <c:pt idx="62">
                  <c:v>44.999699999999997</c:v>
                </c:pt>
                <c:pt idx="63">
                  <c:v>45.034700000000001</c:v>
                </c:pt>
                <c:pt idx="64">
                  <c:v>45.076999999999998</c:v>
                </c:pt>
                <c:pt idx="65">
                  <c:v>45.137300000000003</c:v>
                </c:pt>
                <c:pt idx="66">
                  <c:v>45.106299999999997</c:v>
                </c:pt>
                <c:pt idx="67">
                  <c:v>44.981700000000004</c:v>
                </c:pt>
                <c:pt idx="68">
                  <c:v>44.768900000000002</c:v>
                </c:pt>
                <c:pt idx="69">
                  <c:v>44.573599999999999</c:v>
                </c:pt>
                <c:pt idx="70">
                  <c:v>44.426400000000001</c:v>
                </c:pt>
                <c:pt idx="71">
                  <c:v>44.372199999999999</c:v>
                </c:pt>
                <c:pt idx="72">
                  <c:v>44.432200000000002</c:v>
                </c:pt>
                <c:pt idx="73">
                  <c:v>44.580599999999997</c:v>
                </c:pt>
                <c:pt idx="74">
                  <c:v>44.635100000000001</c:v>
                </c:pt>
                <c:pt idx="75">
                  <c:v>44.556100000000001</c:v>
                </c:pt>
                <c:pt idx="76">
                  <c:v>44.484299999999998</c:v>
                </c:pt>
                <c:pt idx="77">
                  <c:v>44.439700000000002</c:v>
                </c:pt>
                <c:pt idx="78">
                  <c:v>44.424999999999997</c:v>
                </c:pt>
                <c:pt idx="79">
                  <c:v>44.726500000000001</c:v>
                </c:pt>
                <c:pt idx="80">
                  <c:v>45.356499999999997</c:v>
                </c:pt>
                <c:pt idx="81">
                  <c:v>46.165399999999998</c:v>
                </c:pt>
                <c:pt idx="82">
                  <c:v>47.062599999999996</c:v>
                </c:pt>
                <c:pt idx="83">
                  <c:v>48.005499999999998</c:v>
                </c:pt>
                <c:pt idx="84">
                  <c:v>48.881300000000003</c:v>
                </c:pt>
                <c:pt idx="85">
                  <c:v>49.695799999999998</c:v>
                </c:pt>
                <c:pt idx="86">
                  <c:v>50.474499999999999</c:v>
                </c:pt>
                <c:pt idx="87">
                  <c:v>51.2682</c:v>
                </c:pt>
                <c:pt idx="88">
                  <c:v>52.069299999999998</c:v>
                </c:pt>
                <c:pt idx="89">
                  <c:v>52.853000000000009</c:v>
                </c:pt>
                <c:pt idx="90">
                  <c:v>53.532500000000006</c:v>
                </c:pt>
                <c:pt idx="91">
                  <c:v>54.086100000000002</c:v>
                </c:pt>
                <c:pt idx="92">
                  <c:v>54.543699999999994</c:v>
                </c:pt>
                <c:pt idx="93">
                  <c:v>54.869299999999996</c:v>
                </c:pt>
                <c:pt idx="94">
                  <c:v>55.115499999999997</c:v>
                </c:pt>
                <c:pt idx="95">
                  <c:v>55.289200000000008</c:v>
                </c:pt>
                <c:pt idx="96">
                  <c:v>55.3979</c:v>
                </c:pt>
                <c:pt idx="97">
                  <c:v>55.482799999999997</c:v>
                </c:pt>
                <c:pt idx="98">
                  <c:v>55.443299999999994</c:v>
                </c:pt>
                <c:pt idx="99">
                  <c:v>55.298499999999997</c:v>
                </c:pt>
                <c:pt idx="100">
                  <c:v>55.0809</c:v>
                </c:pt>
                <c:pt idx="101">
                  <c:v>54.926499999999997</c:v>
                </c:pt>
                <c:pt idx="102">
                  <c:v>54.863300000000002</c:v>
                </c:pt>
                <c:pt idx="103">
                  <c:v>55.028299999999994</c:v>
                </c:pt>
                <c:pt idx="104">
                  <c:v>55.212899999999998</c:v>
                </c:pt>
                <c:pt idx="105">
                  <c:v>55.358600000000003</c:v>
                </c:pt>
                <c:pt idx="106">
                  <c:v>55.512399999999992</c:v>
                </c:pt>
                <c:pt idx="107">
                  <c:v>55.622300000000003</c:v>
                </c:pt>
                <c:pt idx="108">
                  <c:v>55.6526</c:v>
                </c:pt>
                <c:pt idx="109">
                  <c:v>55.695700000000002</c:v>
                </c:pt>
                <c:pt idx="110">
                  <c:v>55.832800000000006</c:v>
                </c:pt>
                <c:pt idx="111">
                  <c:v>56.025100000000009</c:v>
                </c:pt>
                <c:pt idx="112">
                  <c:v>56.165100000000002</c:v>
                </c:pt>
                <c:pt idx="113">
                  <c:v>56.195799999999998</c:v>
                </c:pt>
                <c:pt idx="114">
                  <c:v>56.052</c:v>
                </c:pt>
                <c:pt idx="115">
                  <c:v>55.772399999999998</c:v>
                </c:pt>
                <c:pt idx="116">
                  <c:v>55.517200000000003</c:v>
                </c:pt>
                <c:pt idx="117">
                  <c:v>55.276499999999999</c:v>
                </c:pt>
                <c:pt idx="118">
                  <c:v>55.063099999999999</c:v>
                </c:pt>
                <c:pt idx="119">
                  <c:v>54.949800000000003</c:v>
                </c:pt>
                <c:pt idx="120">
                  <c:v>54.895400000000002</c:v>
                </c:pt>
                <c:pt idx="121">
                  <c:v>54.917700000000004</c:v>
                </c:pt>
                <c:pt idx="122">
                  <c:v>54.930299999999995</c:v>
                </c:pt>
                <c:pt idx="123">
                  <c:v>54.889400000000002</c:v>
                </c:pt>
                <c:pt idx="124">
                  <c:v>55.071099999999994</c:v>
                </c:pt>
                <c:pt idx="125">
                  <c:v>55.208900000000007</c:v>
                </c:pt>
                <c:pt idx="126">
                  <c:v>55.282699999999998</c:v>
                </c:pt>
                <c:pt idx="127">
                  <c:v>55.338200000000001</c:v>
                </c:pt>
                <c:pt idx="128">
                  <c:v>55.497900000000001</c:v>
                </c:pt>
                <c:pt idx="129">
                  <c:v>55.700799999999994</c:v>
                </c:pt>
                <c:pt idx="130">
                  <c:v>55.842499999999994</c:v>
                </c:pt>
                <c:pt idx="131">
                  <c:v>55.985799999999998</c:v>
                </c:pt>
                <c:pt idx="132">
                  <c:v>56.0944</c:v>
                </c:pt>
                <c:pt idx="133">
                  <c:v>56.034199999999998</c:v>
                </c:pt>
                <c:pt idx="134">
                  <c:v>55.915899999999993</c:v>
                </c:pt>
                <c:pt idx="135">
                  <c:v>55.884799999999998</c:v>
                </c:pt>
                <c:pt idx="136">
                  <c:v>55.851600000000005</c:v>
                </c:pt>
                <c:pt idx="137">
                  <c:v>55.729500000000002</c:v>
                </c:pt>
                <c:pt idx="138">
                  <c:v>55.630100000000006</c:v>
                </c:pt>
                <c:pt idx="139">
                  <c:v>55.465499999999999</c:v>
                </c:pt>
                <c:pt idx="140">
                  <c:v>55.200499999999998</c:v>
                </c:pt>
                <c:pt idx="141">
                  <c:v>54.984200000000008</c:v>
                </c:pt>
                <c:pt idx="142">
                  <c:v>55.055399999999999</c:v>
                </c:pt>
                <c:pt idx="143">
                  <c:v>55.271800000000006</c:v>
                </c:pt>
                <c:pt idx="144">
                  <c:v>55.543600000000005</c:v>
                </c:pt>
                <c:pt idx="145">
                  <c:v>55.644300000000001</c:v>
                </c:pt>
                <c:pt idx="146">
                  <c:v>55.725800000000007</c:v>
                </c:pt>
                <c:pt idx="147">
                  <c:v>55.343699999999998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0.36688700000000002</c:v>
                </c:pt>
                <c:pt idx="2">
                  <c:v>0.77391500000000002</c:v>
                </c:pt>
                <c:pt idx="3">
                  <c:v>1.17879</c:v>
                </c:pt>
                <c:pt idx="4">
                  <c:v>1.58758</c:v>
                </c:pt>
                <c:pt idx="5">
                  <c:v>1.9903900000000001</c:v>
                </c:pt>
                <c:pt idx="6">
                  <c:v>2.39846</c:v>
                </c:pt>
                <c:pt idx="7">
                  <c:v>2.8031600000000001</c:v>
                </c:pt>
                <c:pt idx="8">
                  <c:v>3.2112799999999999</c:v>
                </c:pt>
                <c:pt idx="9">
                  <c:v>3.6184799999999999</c:v>
                </c:pt>
                <c:pt idx="10">
                  <c:v>4.0210299999999997</c:v>
                </c:pt>
                <c:pt idx="11">
                  <c:v>4.4290500000000002</c:v>
                </c:pt>
                <c:pt idx="12">
                  <c:v>4.8327</c:v>
                </c:pt>
                <c:pt idx="13">
                  <c:v>5.2411399999999997</c:v>
                </c:pt>
                <c:pt idx="14">
                  <c:v>5.6464999999999996</c:v>
                </c:pt>
                <c:pt idx="15">
                  <c:v>6.0575900000000003</c:v>
                </c:pt>
                <c:pt idx="16">
                  <c:v>6.4595900000000004</c:v>
                </c:pt>
                <c:pt idx="17">
                  <c:v>6.8643799999999997</c:v>
                </c:pt>
                <c:pt idx="18">
                  <c:v>7.2694099999999997</c:v>
                </c:pt>
                <c:pt idx="19">
                  <c:v>7.6803400000000002</c:v>
                </c:pt>
                <c:pt idx="20">
                  <c:v>8.08568</c:v>
                </c:pt>
                <c:pt idx="21">
                  <c:v>8.4936199999999999</c:v>
                </c:pt>
                <c:pt idx="22">
                  <c:v>8.8960000000000008</c:v>
                </c:pt>
                <c:pt idx="23">
                  <c:v>9.3033999999999999</c:v>
                </c:pt>
                <c:pt idx="24">
                  <c:v>9.7083499999999994</c:v>
                </c:pt>
                <c:pt idx="25">
                  <c:v>10.1144</c:v>
                </c:pt>
                <c:pt idx="26">
                  <c:v>10.523199999999999</c:v>
                </c:pt>
                <c:pt idx="27">
                  <c:v>10.928699999999999</c:v>
                </c:pt>
                <c:pt idx="28">
                  <c:v>11.333500000000001</c:v>
                </c:pt>
                <c:pt idx="29">
                  <c:v>11.743399999999999</c:v>
                </c:pt>
                <c:pt idx="30">
                  <c:v>12.1503</c:v>
                </c:pt>
                <c:pt idx="31">
                  <c:v>12.5572</c:v>
                </c:pt>
                <c:pt idx="32">
                  <c:v>12.960100000000001</c:v>
                </c:pt>
                <c:pt idx="33">
                  <c:v>13.3651</c:v>
                </c:pt>
                <c:pt idx="34">
                  <c:v>13.7721</c:v>
                </c:pt>
                <c:pt idx="35">
                  <c:v>14.1799</c:v>
                </c:pt>
                <c:pt idx="36">
                  <c:v>14.583399999999999</c:v>
                </c:pt>
                <c:pt idx="37">
                  <c:v>14.9903</c:v>
                </c:pt>
                <c:pt idx="38">
                  <c:v>15.400700000000001</c:v>
                </c:pt>
                <c:pt idx="39">
                  <c:v>15.8055</c:v>
                </c:pt>
                <c:pt idx="40">
                  <c:v>16.209599999999998</c:v>
                </c:pt>
                <c:pt idx="41">
                  <c:v>16.6173</c:v>
                </c:pt>
                <c:pt idx="42">
                  <c:v>17.021100000000001</c:v>
                </c:pt>
                <c:pt idx="43">
                  <c:v>17.426200000000001</c:v>
                </c:pt>
                <c:pt idx="44">
                  <c:v>17.834499999999998</c:v>
                </c:pt>
                <c:pt idx="45">
                  <c:v>18.242999999999999</c:v>
                </c:pt>
                <c:pt idx="46">
                  <c:v>18.649899999999999</c:v>
                </c:pt>
                <c:pt idx="47">
                  <c:v>19.052499999999998</c:v>
                </c:pt>
                <c:pt idx="48">
                  <c:v>19.459800000000001</c:v>
                </c:pt>
                <c:pt idx="49">
                  <c:v>19.8659</c:v>
                </c:pt>
                <c:pt idx="50">
                  <c:v>20.273599999999998</c:v>
                </c:pt>
                <c:pt idx="51">
                  <c:v>20.6816</c:v>
                </c:pt>
                <c:pt idx="52">
                  <c:v>21.083300000000001</c:v>
                </c:pt>
                <c:pt idx="53">
                  <c:v>21.491399999999999</c:v>
                </c:pt>
                <c:pt idx="54">
                  <c:v>21.897500000000001</c:v>
                </c:pt>
                <c:pt idx="55">
                  <c:v>22.305199999999999</c:v>
                </c:pt>
                <c:pt idx="56">
                  <c:v>22.713100000000001</c:v>
                </c:pt>
                <c:pt idx="57">
                  <c:v>23.114899999999999</c:v>
                </c:pt>
                <c:pt idx="58">
                  <c:v>23.521799999999999</c:v>
                </c:pt>
                <c:pt idx="59">
                  <c:v>23.930499999999999</c:v>
                </c:pt>
                <c:pt idx="60">
                  <c:v>24.335899999999999</c:v>
                </c:pt>
                <c:pt idx="61">
                  <c:v>24.741299999999999</c:v>
                </c:pt>
                <c:pt idx="62">
                  <c:v>25.148599999999998</c:v>
                </c:pt>
                <c:pt idx="63">
                  <c:v>25.5547</c:v>
                </c:pt>
                <c:pt idx="64">
                  <c:v>25.9605</c:v>
                </c:pt>
                <c:pt idx="65">
                  <c:v>26.369599999999998</c:v>
                </c:pt>
                <c:pt idx="66">
                  <c:v>26.772200000000002</c:v>
                </c:pt>
                <c:pt idx="67">
                  <c:v>27.180099999999999</c:v>
                </c:pt>
                <c:pt idx="68">
                  <c:v>27.5854</c:v>
                </c:pt>
                <c:pt idx="69">
                  <c:v>27.993200000000002</c:v>
                </c:pt>
                <c:pt idx="70">
                  <c:v>28.396000000000001</c:v>
                </c:pt>
                <c:pt idx="71">
                  <c:v>28.805800000000001</c:v>
                </c:pt>
                <c:pt idx="72">
                  <c:v>29.209700000000002</c:v>
                </c:pt>
                <c:pt idx="73">
                  <c:v>29.617599999999999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67.322199999999995</c:v>
                </c:pt>
                <c:pt idx="1">
                  <c:v>67.273300000000006</c:v>
                </c:pt>
                <c:pt idx="2">
                  <c:v>67.152900000000002</c:v>
                </c:pt>
                <c:pt idx="3">
                  <c:v>66.899000000000001</c:v>
                </c:pt>
                <c:pt idx="4">
                  <c:v>66.479699999999994</c:v>
                </c:pt>
                <c:pt idx="5">
                  <c:v>65.97</c:v>
                </c:pt>
                <c:pt idx="6">
                  <c:v>65.317099999999996</c:v>
                </c:pt>
                <c:pt idx="7">
                  <c:v>64.644599999999997</c:v>
                </c:pt>
                <c:pt idx="8">
                  <c:v>63.986699999999999</c:v>
                </c:pt>
                <c:pt idx="9">
                  <c:v>63.302</c:v>
                </c:pt>
                <c:pt idx="10">
                  <c:v>62.621899999999997</c:v>
                </c:pt>
                <c:pt idx="11">
                  <c:v>61.935099999999998</c:v>
                </c:pt>
                <c:pt idx="12">
                  <c:v>61.216400000000007</c:v>
                </c:pt>
                <c:pt idx="13">
                  <c:v>60.487299999999998</c:v>
                </c:pt>
                <c:pt idx="14">
                  <c:v>59.685600000000008</c:v>
                </c:pt>
                <c:pt idx="15">
                  <c:v>58.871899999999997</c:v>
                </c:pt>
                <c:pt idx="16">
                  <c:v>58.199400000000004</c:v>
                </c:pt>
                <c:pt idx="17">
                  <c:v>57.677700000000002</c:v>
                </c:pt>
                <c:pt idx="18">
                  <c:v>57.196899999999992</c:v>
                </c:pt>
                <c:pt idx="19">
                  <c:v>56.664800000000007</c:v>
                </c:pt>
                <c:pt idx="20">
                  <c:v>56.069199999999995</c:v>
                </c:pt>
                <c:pt idx="21">
                  <c:v>55.391500000000008</c:v>
                </c:pt>
                <c:pt idx="22">
                  <c:v>54.597799999999999</c:v>
                </c:pt>
                <c:pt idx="23">
                  <c:v>53.752400000000002</c:v>
                </c:pt>
                <c:pt idx="24">
                  <c:v>52.997199999999999</c:v>
                </c:pt>
                <c:pt idx="25">
                  <c:v>52.274799999999999</c:v>
                </c:pt>
                <c:pt idx="26">
                  <c:v>51.664900000000003</c:v>
                </c:pt>
                <c:pt idx="27">
                  <c:v>51.100999999999999</c:v>
                </c:pt>
                <c:pt idx="28">
                  <c:v>50.585800000000006</c:v>
                </c:pt>
                <c:pt idx="29">
                  <c:v>49.977800000000002</c:v>
                </c:pt>
                <c:pt idx="30">
                  <c:v>49.380299999999998</c:v>
                </c:pt>
                <c:pt idx="31">
                  <c:v>48.8187</c:v>
                </c:pt>
                <c:pt idx="32">
                  <c:v>48.2898</c:v>
                </c:pt>
                <c:pt idx="33">
                  <c:v>47.838900000000002</c:v>
                </c:pt>
                <c:pt idx="34">
                  <c:v>47.552799999999998</c:v>
                </c:pt>
                <c:pt idx="35">
                  <c:v>47.433100000000003</c:v>
                </c:pt>
                <c:pt idx="36">
                  <c:v>47.3874</c:v>
                </c:pt>
                <c:pt idx="37">
                  <c:v>47.438699999999997</c:v>
                </c:pt>
                <c:pt idx="38">
                  <c:v>47.4465</c:v>
                </c:pt>
                <c:pt idx="39">
                  <c:v>47.436799999999998</c:v>
                </c:pt>
                <c:pt idx="40">
                  <c:v>47.402000000000001</c:v>
                </c:pt>
                <c:pt idx="41">
                  <c:v>47.420499999999997</c:v>
                </c:pt>
                <c:pt idx="42">
                  <c:v>47.514299999999999</c:v>
                </c:pt>
                <c:pt idx="43">
                  <c:v>47.622100000000003</c:v>
                </c:pt>
                <c:pt idx="44">
                  <c:v>47.678199999999997</c:v>
                </c:pt>
                <c:pt idx="45">
                  <c:v>47.629199999999997</c:v>
                </c:pt>
                <c:pt idx="46">
                  <c:v>47.521999999999998</c:v>
                </c:pt>
                <c:pt idx="47">
                  <c:v>47.360700000000001</c:v>
                </c:pt>
                <c:pt idx="48">
                  <c:v>47.125699999999995</c:v>
                </c:pt>
                <c:pt idx="49">
                  <c:v>46.857500000000002</c:v>
                </c:pt>
                <c:pt idx="50">
                  <c:v>46.688000000000002</c:v>
                </c:pt>
                <c:pt idx="51">
                  <c:v>46.440799999999996</c:v>
                </c:pt>
                <c:pt idx="52">
                  <c:v>46.104199999999999</c:v>
                </c:pt>
                <c:pt idx="53">
                  <c:v>45.715400000000002</c:v>
                </c:pt>
                <c:pt idx="54">
                  <c:v>45.359100000000005</c:v>
                </c:pt>
                <c:pt idx="55">
                  <c:v>45.134900000000002</c:v>
                </c:pt>
                <c:pt idx="56">
                  <c:v>45.052700000000002</c:v>
                </c:pt>
                <c:pt idx="57">
                  <c:v>45.054899999999996</c:v>
                </c:pt>
                <c:pt idx="58">
                  <c:v>45.104499999999994</c:v>
                </c:pt>
                <c:pt idx="59">
                  <c:v>45.091500000000003</c:v>
                </c:pt>
                <c:pt idx="60">
                  <c:v>45.055900000000001</c:v>
                </c:pt>
                <c:pt idx="61">
                  <c:v>44.994599999999998</c:v>
                </c:pt>
                <c:pt idx="62">
                  <c:v>44.999699999999997</c:v>
                </c:pt>
                <c:pt idx="63">
                  <c:v>45.034700000000001</c:v>
                </c:pt>
                <c:pt idx="64">
                  <c:v>45.076999999999998</c:v>
                </c:pt>
                <c:pt idx="65">
                  <c:v>45.137300000000003</c:v>
                </c:pt>
                <c:pt idx="66">
                  <c:v>45.106299999999997</c:v>
                </c:pt>
                <c:pt idx="67">
                  <c:v>44.981700000000004</c:v>
                </c:pt>
                <c:pt idx="68">
                  <c:v>44.768900000000002</c:v>
                </c:pt>
                <c:pt idx="69">
                  <c:v>44.573599999999999</c:v>
                </c:pt>
                <c:pt idx="70">
                  <c:v>44.426400000000001</c:v>
                </c:pt>
                <c:pt idx="71">
                  <c:v>44.372199999999999</c:v>
                </c:pt>
                <c:pt idx="72">
                  <c:v>44.432200000000002</c:v>
                </c:pt>
                <c:pt idx="73">
                  <c:v>44.580599999999997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29.617599999999999</c:v>
                </c:pt>
                <c:pt idx="1">
                  <c:v>30.019600000000001</c:v>
                </c:pt>
                <c:pt idx="2">
                  <c:v>30.622</c:v>
                </c:pt>
                <c:pt idx="3">
                  <c:v>30.9894</c:v>
                </c:pt>
                <c:pt idx="4">
                  <c:v>31.366</c:v>
                </c:pt>
                <c:pt idx="5">
                  <c:v>31.741</c:v>
                </c:pt>
                <c:pt idx="6">
                  <c:v>32.119399999999999</c:v>
                </c:pt>
                <c:pt idx="7">
                  <c:v>32.523000000000003</c:v>
                </c:pt>
                <c:pt idx="8">
                  <c:v>32.928899999999999</c:v>
                </c:pt>
                <c:pt idx="9">
                  <c:v>33.333799999999997</c:v>
                </c:pt>
                <c:pt idx="10">
                  <c:v>33.7408</c:v>
                </c:pt>
                <c:pt idx="11">
                  <c:v>34.146900000000002</c:v>
                </c:pt>
                <c:pt idx="12">
                  <c:v>34.5595</c:v>
                </c:pt>
                <c:pt idx="13">
                  <c:v>34.9587</c:v>
                </c:pt>
                <c:pt idx="14">
                  <c:v>35.368699999999997</c:v>
                </c:pt>
                <c:pt idx="15">
                  <c:v>35.773400000000002</c:v>
                </c:pt>
                <c:pt idx="16">
                  <c:v>36.176699999999997</c:v>
                </c:pt>
                <c:pt idx="17">
                  <c:v>36.584200000000003</c:v>
                </c:pt>
                <c:pt idx="18">
                  <c:v>36.991999999999997</c:v>
                </c:pt>
                <c:pt idx="19">
                  <c:v>37.399299999999997</c:v>
                </c:pt>
                <c:pt idx="20">
                  <c:v>37.8048</c:v>
                </c:pt>
                <c:pt idx="21">
                  <c:v>38.212699999999998</c:v>
                </c:pt>
                <c:pt idx="22">
                  <c:v>38.615699999999997</c:v>
                </c:pt>
                <c:pt idx="23">
                  <c:v>39.022500000000001</c:v>
                </c:pt>
                <c:pt idx="24">
                  <c:v>39.426299999999998</c:v>
                </c:pt>
                <c:pt idx="25">
                  <c:v>39.833799999999997</c:v>
                </c:pt>
                <c:pt idx="26">
                  <c:v>40.238399999999999</c:v>
                </c:pt>
                <c:pt idx="27">
                  <c:v>40.648499999999999</c:v>
                </c:pt>
                <c:pt idx="28">
                  <c:v>41.054099999999998</c:v>
                </c:pt>
                <c:pt idx="29">
                  <c:v>41.457900000000002</c:v>
                </c:pt>
                <c:pt idx="30">
                  <c:v>41.865099999999998</c:v>
                </c:pt>
                <c:pt idx="31">
                  <c:v>42.271900000000002</c:v>
                </c:pt>
                <c:pt idx="32">
                  <c:v>42.6798</c:v>
                </c:pt>
                <c:pt idx="33">
                  <c:v>43.088799999999999</c:v>
                </c:pt>
                <c:pt idx="34">
                  <c:v>43.490600000000001</c:v>
                </c:pt>
                <c:pt idx="35">
                  <c:v>43.900599999999997</c:v>
                </c:pt>
                <c:pt idx="36">
                  <c:v>44.307400000000001</c:v>
                </c:pt>
                <c:pt idx="37">
                  <c:v>44.712299999999999</c:v>
                </c:pt>
                <c:pt idx="38">
                  <c:v>45.115200000000002</c:v>
                </c:pt>
                <c:pt idx="39">
                  <c:v>45.5197</c:v>
                </c:pt>
                <c:pt idx="40">
                  <c:v>45.9285</c:v>
                </c:pt>
                <c:pt idx="41">
                  <c:v>46.337000000000003</c:v>
                </c:pt>
                <c:pt idx="42">
                  <c:v>46.741799999999998</c:v>
                </c:pt>
                <c:pt idx="43">
                  <c:v>47.148800000000001</c:v>
                </c:pt>
                <c:pt idx="44">
                  <c:v>47.552900000000001</c:v>
                </c:pt>
                <c:pt idx="45">
                  <c:v>47.959899999999998</c:v>
                </c:pt>
                <c:pt idx="46">
                  <c:v>48.367699999999999</c:v>
                </c:pt>
                <c:pt idx="47">
                  <c:v>48.774700000000003</c:v>
                </c:pt>
                <c:pt idx="48">
                  <c:v>49.179400000000001</c:v>
                </c:pt>
                <c:pt idx="49">
                  <c:v>49.583399999999997</c:v>
                </c:pt>
                <c:pt idx="50">
                  <c:v>49.989199999999997</c:v>
                </c:pt>
                <c:pt idx="51">
                  <c:v>50.3962</c:v>
                </c:pt>
                <c:pt idx="52">
                  <c:v>50.803600000000003</c:v>
                </c:pt>
                <c:pt idx="53">
                  <c:v>51.213900000000002</c:v>
                </c:pt>
                <c:pt idx="54">
                  <c:v>51.616799999999998</c:v>
                </c:pt>
                <c:pt idx="55">
                  <c:v>52.0229</c:v>
                </c:pt>
                <c:pt idx="56">
                  <c:v>52.429699999999997</c:v>
                </c:pt>
                <c:pt idx="57">
                  <c:v>52.834699999999998</c:v>
                </c:pt>
                <c:pt idx="58">
                  <c:v>53.240600000000001</c:v>
                </c:pt>
                <c:pt idx="59">
                  <c:v>53.6494</c:v>
                </c:pt>
                <c:pt idx="60">
                  <c:v>54.051400000000001</c:v>
                </c:pt>
                <c:pt idx="61">
                  <c:v>54.461300000000001</c:v>
                </c:pt>
                <c:pt idx="62">
                  <c:v>54.866100000000003</c:v>
                </c:pt>
                <c:pt idx="63">
                  <c:v>55.2714</c:v>
                </c:pt>
                <c:pt idx="64">
                  <c:v>55.68</c:v>
                </c:pt>
                <c:pt idx="65">
                  <c:v>56.088000000000001</c:v>
                </c:pt>
                <c:pt idx="66">
                  <c:v>56.492699999999999</c:v>
                </c:pt>
                <c:pt idx="67">
                  <c:v>56.898800000000001</c:v>
                </c:pt>
                <c:pt idx="68">
                  <c:v>57.304699999999997</c:v>
                </c:pt>
                <c:pt idx="69">
                  <c:v>57.712499999999999</c:v>
                </c:pt>
                <c:pt idx="70">
                  <c:v>58.1205</c:v>
                </c:pt>
                <c:pt idx="71">
                  <c:v>58.5214</c:v>
                </c:pt>
                <c:pt idx="72">
                  <c:v>58.929299999999998</c:v>
                </c:pt>
                <c:pt idx="73">
                  <c:v>59.333799999999997</c:v>
                </c:pt>
                <c:pt idx="74">
                  <c:v>59.7393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44.580599999999997</c:v>
                </c:pt>
                <c:pt idx="1">
                  <c:v>44.635100000000001</c:v>
                </c:pt>
                <c:pt idx="2">
                  <c:v>44.556100000000001</c:v>
                </c:pt>
                <c:pt idx="3">
                  <c:v>44.484299999999998</c:v>
                </c:pt>
                <c:pt idx="4">
                  <c:v>44.439700000000002</c:v>
                </c:pt>
                <c:pt idx="5">
                  <c:v>44.424999999999997</c:v>
                </c:pt>
                <c:pt idx="6">
                  <c:v>44.726500000000001</c:v>
                </c:pt>
                <c:pt idx="7">
                  <c:v>45.356499999999997</c:v>
                </c:pt>
                <c:pt idx="8">
                  <c:v>46.165399999999998</c:v>
                </c:pt>
                <c:pt idx="9">
                  <c:v>47.062599999999996</c:v>
                </c:pt>
                <c:pt idx="10">
                  <c:v>48.005499999999998</c:v>
                </c:pt>
                <c:pt idx="11">
                  <c:v>48.881300000000003</c:v>
                </c:pt>
                <c:pt idx="12">
                  <c:v>49.695799999999998</c:v>
                </c:pt>
                <c:pt idx="13">
                  <c:v>50.474499999999999</c:v>
                </c:pt>
                <c:pt idx="14">
                  <c:v>51.2682</c:v>
                </c:pt>
                <c:pt idx="15">
                  <c:v>52.069299999999998</c:v>
                </c:pt>
                <c:pt idx="16">
                  <c:v>52.853000000000009</c:v>
                </c:pt>
                <c:pt idx="17">
                  <c:v>53.532500000000006</c:v>
                </c:pt>
                <c:pt idx="18">
                  <c:v>54.086100000000002</c:v>
                </c:pt>
                <c:pt idx="19">
                  <c:v>54.543699999999994</c:v>
                </c:pt>
                <c:pt idx="20">
                  <c:v>54.869299999999996</c:v>
                </c:pt>
                <c:pt idx="21">
                  <c:v>55.115499999999997</c:v>
                </c:pt>
                <c:pt idx="22">
                  <c:v>55.289200000000008</c:v>
                </c:pt>
                <c:pt idx="23">
                  <c:v>55.3979</c:v>
                </c:pt>
                <c:pt idx="24">
                  <c:v>55.482799999999997</c:v>
                </c:pt>
                <c:pt idx="25">
                  <c:v>55.443299999999994</c:v>
                </c:pt>
                <c:pt idx="26">
                  <c:v>55.298499999999997</c:v>
                </c:pt>
                <c:pt idx="27">
                  <c:v>55.0809</c:v>
                </c:pt>
                <c:pt idx="28">
                  <c:v>54.926499999999997</c:v>
                </c:pt>
                <c:pt idx="29">
                  <c:v>54.863300000000002</c:v>
                </c:pt>
                <c:pt idx="30">
                  <c:v>55.028299999999994</c:v>
                </c:pt>
                <c:pt idx="31">
                  <c:v>55.212899999999998</c:v>
                </c:pt>
                <c:pt idx="32">
                  <c:v>55.358600000000003</c:v>
                </c:pt>
                <c:pt idx="33">
                  <c:v>55.512399999999992</c:v>
                </c:pt>
                <c:pt idx="34">
                  <c:v>55.622300000000003</c:v>
                </c:pt>
                <c:pt idx="35">
                  <c:v>55.6526</c:v>
                </c:pt>
                <c:pt idx="36">
                  <c:v>55.695700000000002</c:v>
                </c:pt>
                <c:pt idx="37">
                  <c:v>55.832800000000006</c:v>
                </c:pt>
                <c:pt idx="38">
                  <c:v>56.025100000000009</c:v>
                </c:pt>
                <c:pt idx="39">
                  <c:v>56.165100000000002</c:v>
                </c:pt>
                <c:pt idx="40">
                  <c:v>56.195799999999998</c:v>
                </c:pt>
                <c:pt idx="41">
                  <c:v>56.052</c:v>
                </c:pt>
                <c:pt idx="42">
                  <c:v>55.772399999999998</c:v>
                </c:pt>
                <c:pt idx="43">
                  <c:v>55.517200000000003</c:v>
                </c:pt>
                <c:pt idx="44">
                  <c:v>55.276499999999999</c:v>
                </c:pt>
                <c:pt idx="45">
                  <c:v>55.063099999999999</c:v>
                </c:pt>
                <c:pt idx="46">
                  <c:v>54.949800000000003</c:v>
                </c:pt>
                <c:pt idx="47">
                  <c:v>54.895400000000002</c:v>
                </c:pt>
                <c:pt idx="48">
                  <c:v>54.917700000000004</c:v>
                </c:pt>
                <c:pt idx="49">
                  <c:v>54.930299999999995</c:v>
                </c:pt>
                <c:pt idx="50">
                  <c:v>54.889400000000002</c:v>
                </c:pt>
                <c:pt idx="51">
                  <c:v>55.071099999999994</c:v>
                </c:pt>
                <c:pt idx="52">
                  <c:v>55.208900000000007</c:v>
                </c:pt>
                <c:pt idx="53">
                  <c:v>55.282699999999998</c:v>
                </c:pt>
                <c:pt idx="54">
                  <c:v>55.338200000000001</c:v>
                </c:pt>
                <c:pt idx="55">
                  <c:v>55.497900000000001</c:v>
                </c:pt>
                <c:pt idx="56">
                  <c:v>55.700799999999994</c:v>
                </c:pt>
                <c:pt idx="57">
                  <c:v>55.842499999999994</c:v>
                </c:pt>
                <c:pt idx="58">
                  <c:v>55.985799999999998</c:v>
                </c:pt>
                <c:pt idx="59">
                  <c:v>56.0944</c:v>
                </c:pt>
                <c:pt idx="60">
                  <c:v>56.034199999999998</c:v>
                </c:pt>
                <c:pt idx="61">
                  <c:v>55.915899999999993</c:v>
                </c:pt>
                <c:pt idx="62">
                  <c:v>55.884799999999998</c:v>
                </c:pt>
                <c:pt idx="63">
                  <c:v>55.851600000000005</c:v>
                </c:pt>
                <c:pt idx="64">
                  <c:v>55.729500000000002</c:v>
                </c:pt>
                <c:pt idx="65">
                  <c:v>55.630100000000006</c:v>
                </c:pt>
                <c:pt idx="66">
                  <c:v>55.465499999999999</c:v>
                </c:pt>
                <c:pt idx="67">
                  <c:v>55.200499999999998</c:v>
                </c:pt>
                <c:pt idx="68">
                  <c:v>54.984200000000008</c:v>
                </c:pt>
                <c:pt idx="69">
                  <c:v>55.055399999999999</c:v>
                </c:pt>
                <c:pt idx="70">
                  <c:v>55.271800000000006</c:v>
                </c:pt>
                <c:pt idx="71">
                  <c:v>55.543600000000005</c:v>
                </c:pt>
                <c:pt idx="72">
                  <c:v>55.644300000000001</c:v>
                </c:pt>
                <c:pt idx="73">
                  <c:v>55.725800000000007</c:v>
                </c:pt>
                <c:pt idx="74">
                  <c:v>55.343699999999998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14.934825</c:v>
                </c:pt>
                <c:pt idx="1">
                  <c:v>44.804474999999996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51.591340540540507</c:v>
                </c:pt>
                <c:pt idx="1">
                  <c:v>53.660768918918897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2.1557599999999999</c:v>
                </c:pt>
                <c:pt idx="1">
                  <c:v>2.1887599999999998</c:v>
                </c:pt>
                <c:pt idx="2">
                  <c:v>2.22078</c:v>
                </c:pt>
                <c:pt idx="3">
                  <c:v>2.25135</c:v>
                </c:pt>
                <c:pt idx="4">
                  <c:v>2.2803800000000001</c:v>
                </c:pt>
                <c:pt idx="5">
                  <c:v>2.3091699999999999</c:v>
                </c:pt>
                <c:pt idx="6">
                  <c:v>2.3403900000000002</c:v>
                </c:pt>
                <c:pt idx="7">
                  <c:v>2.3717800000000002</c:v>
                </c:pt>
                <c:pt idx="8">
                  <c:v>2.4035699999999998</c:v>
                </c:pt>
                <c:pt idx="9">
                  <c:v>2.4356100000000001</c:v>
                </c:pt>
                <c:pt idx="10">
                  <c:v>2.4662800000000002</c:v>
                </c:pt>
                <c:pt idx="11">
                  <c:v>2.4974599999999998</c:v>
                </c:pt>
                <c:pt idx="12">
                  <c:v>2.5293100000000002</c:v>
                </c:pt>
                <c:pt idx="13">
                  <c:v>2.5637700000000003</c:v>
                </c:pt>
                <c:pt idx="14">
                  <c:v>2.60141</c:v>
                </c:pt>
                <c:pt idx="15">
                  <c:v>2.6413500000000001</c:v>
                </c:pt>
                <c:pt idx="16">
                  <c:v>2.6798100000000002</c:v>
                </c:pt>
                <c:pt idx="17">
                  <c:v>2.7165600000000003</c:v>
                </c:pt>
                <c:pt idx="18">
                  <c:v>2.7542400000000002</c:v>
                </c:pt>
                <c:pt idx="19">
                  <c:v>2.7929700000000004</c:v>
                </c:pt>
                <c:pt idx="20">
                  <c:v>2.8348499999999999</c:v>
                </c:pt>
                <c:pt idx="21">
                  <c:v>2.8803700000000001</c:v>
                </c:pt>
                <c:pt idx="22">
                  <c:v>2.9292499999999997</c:v>
                </c:pt>
                <c:pt idx="23">
                  <c:v>2.9813099999999997</c:v>
                </c:pt>
                <c:pt idx="24">
                  <c:v>3.0337999999999998</c:v>
                </c:pt>
                <c:pt idx="25">
                  <c:v>3.0863499999999999</c:v>
                </c:pt>
                <c:pt idx="26">
                  <c:v>3.1375999999999999</c:v>
                </c:pt>
                <c:pt idx="27">
                  <c:v>3.1898200000000001</c:v>
                </c:pt>
                <c:pt idx="28">
                  <c:v>3.2440000000000002</c:v>
                </c:pt>
                <c:pt idx="29">
                  <c:v>3.3022400000000003</c:v>
                </c:pt>
                <c:pt idx="30">
                  <c:v>3.3585700000000003</c:v>
                </c:pt>
                <c:pt idx="31">
                  <c:v>3.4110800000000001</c:v>
                </c:pt>
                <c:pt idx="32">
                  <c:v>3.4641199999999999</c:v>
                </c:pt>
                <c:pt idx="33">
                  <c:v>3.5170000000000003</c:v>
                </c:pt>
                <c:pt idx="34">
                  <c:v>3.5724400000000003</c:v>
                </c:pt>
                <c:pt idx="35">
                  <c:v>3.62202</c:v>
                </c:pt>
                <c:pt idx="36">
                  <c:v>3.6722700000000001</c:v>
                </c:pt>
                <c:pt idx="37">
                  <c:v>3.7192699999999999</c:v>
                </c:pt>
                <c:pt idx="38">
                  <c:v>3.7637900000000002</c:v>
                </c:pt>
                <c:pt idx="39">
                  <c:v>3.80342</c:v>
                </c:pt>
                <c:pt idx="40">
                  <c:v>3.8403300000000002</c:v>
                </c:pt>
                <c:pt idx="41">
                  <c:v>3.8768799999999999</c:v>
                </c:pt>
                <c:pt idx="42">
                  <c:v>3.9129000000000005</c:v>
                </c:pt>
                <c:pt idx="43">
                  <c:v>3.9447700000000001</c:v>
                </c:pt>
                <c:pt idx="44">
                  <c:v>3.9693800000000001</c:v>
                </c:pt>
                <c:pt idx="45">
                  <c:v>3.9883800000000003</c:v>
                </c:pt>
                <c:pt idx="46">
                  <c:v>4.0010899999999996</c:v>
                </c:pt>
                <c:pt idx="47">
                  <c:v>4.0091099999999997</c:v>
                </c:pt>
                <c:pt idx="48">
                  <c:v>4.0145799999999996</c:v>
                </c:pt>
                <c:pt idx="49">
                  <c:v>4.0198200000000002</c:v>
                </c:pt>
                <c:pt idx="50">
                  <c:v>4.0260099999999994</c:v>
                </c:pt>
                <c:pt idx="51">
                  <c:v>4.0295699999999997</c:v>
                </c:pt>
                <c:pt idx="52">
                  <c:v>4.0307700000000004</c:v>
                </c:pt>
                <c:pt idx="53">
                  <c:v>4.0266900000000003</c:v>
                </c:pt>
                <c:pt idx="54">
                  <c:v>4.0163900000000003</c:v>
                </c:pt>
                <c:pt idx="55">
                  <c:v>4.0028799999999993</c:v>
                </c:pt>
                <c:pt idx="56">
                  <c:v>3.9893099999999997</c:v>
                </c:pt>
                <c:pt idx="57">
                  <c:v>3.9755699999999998</c:v>
                </c:pt>
                <c:pt idx="58">
                  <c:v>3.9654299999999996</c:v>
                </c:pt>
                <c:pt idx="59">
                  <c:v>3.9551500000000002</c:v>
                </c:pt>
                <c:pt idx="60">
                  <c:v>3.9528099999999999</c:v>
                </c:pt>
                <c:pt idx="61">
                  <c:v>3.9508999999999999</c:v>
                </c:pt>
                <c:pt idx="62">
                  <c:v>3.9522300000000001</c:v>
                </c:pt>
                <c:pt idx="63">
                  <c:v>3.9573399999999999</c:v>
                </c:pt>
                <c:pt idx="64">
                  <c:v>3.9673999999999996</c:v>
                </c:pt>
                <c:pt idx="65">
                  <c:v>3.9818799999999999</c:v>
                </c:pt>
                <c:pt idx="66">
                  <c:v>4.0032699999999997</c:v>
                </c:pt>
                <c:pt idx="67">
                  <c:v>4.0292499999999993</c:v>
                </c:pt>
                <c:pt idx="68">
                  <c:v>4.0619300000000003</c:v>
                </c:pt>
                <c:pt idx="69">
                  <c:v>4.1027300000000002</c:v>
                </c:pt>
                <c:pt idx="70">
                  <c:v>4.1479600000000003</c:v>
                </c:pt>
                <c:pt idx="71">
                  <c:v>4.1962599999999997</c:v>
                </c:pt>
                <c:pt idx="72">
                  <c:v>4.2465999999999999</c:v>
                </c:pt>
                <c:pt idx="73">
                  <c:v>4.2968500000000001</c:v>
                </c:pt>
                <c:pt idx="74">
                  <c:v>4.3520199999999996</c:v>
                </c:pt>
                <c:pt idx="75">
                  <c:v>4.4350800000000001</c:v>
                </c:pt>
                <c:pt idx="76">
                  <c:v>4.5024199999999999</c:v>
                </c:pt>
                <c:pt idx="77">
                  <c:v>4.57294</c:v>
                </c:pt>
                <c:pt idx="78">
                  <c:v>4.6486599999999996</c:v>
                </c:pt>
                <c:pt idx="79">
                  <c:v>4.7190799999999999</c:v>
                </c:pt>
                <c:pt idx="80">
                  <c:v>4.7812200000000002</c:v>
                </c:pt>
                <c:pt idx="81">
                  <c:v>4.8365900000000002</c:v>
                </c:pt>
                <c:pt idx="82">
                  <c:v>4.8848200000000004</c:v>
                </c:pt>
                <c:pt idx="83">
                  <c:v>4.9268099999999997</c:v>
                </c:pt>
                <c:pt idx="84">
                  <c:v>4.9629500000000002</c:v>
                </c:pt>
                <c:pt idx="85">
                  <c:v>4.9972499999999993</c:v>
                </c:pt>
                <c:pt idx="86">
                  <c:v>5.0287000000000006</c:v>
                </c:pt>
                <c:pt idx="87">
                  <c:v>5.0583599999999995</c:v>
                </c:pt>
                <c:pt idx="88">
                  <c:v>5.0835399999999993</c:v>
                </c:pt>
                <c:pt idx="89">
                  <c:v>5.1037699999999999</c:v>
                </c:pt>
                <c:pt idx="90">
                  <c:v>5.1177200000000003</c:v>
                </c:pt>
                <c:pt idx="91">
                  <c:v>5.1266100000000003</c:v>
                </c:pt>
                <c:pt idx="92">
                  <c:v>5.1319300000000005</c:v>
                </c:pt>
                <c:pt idx="93">
                  <c:v>5.1331300000000004</c:v>
                </c:pt>
                <c:pt idx="94">
                  <c:v>5.1311999999999998</c:v>
                </c:pt>
                <c:pt idx="95">
                  <c:v>5.1270899999999999</c:v>
                </c:pt>
                <c:pt idx="96">
                  <c:v>5.1209699999999998</c:v>
                </c:pt>
                <c:pt idx="97">
                  <c:v>5.1128900000000002</c:v>
                </c:pt>
                <c:pt idx="98">
                  <c:v>5.0995800000000004</c:v>
                </c:pt>
                <c:pt idx="99">
                  <c:v>5.0790900000000008</c:v>
                </c:pt>
                <c:pt idx="100">
                  <c:v>5.0532500000000002</c:v>
                </c:pt>
                <c:pt idx="101">
                  <c:v>5.0194700000000001</c:v>
                </c:pt>
                <c:pt idx="102">
                  <c:v>4.9797900000000004</c:v>
                </c:pt>
                <c:pt idx="103">
                  <c:v>4.9351000000000003</c:v>
                </c:pt>
                <c:pt idx="104">
                  <c:v>4.8902200000000002</c:v>
                </c:pt>
                <c:pt idx="105">
                  <c:v>4.8472100000000005</c:v>
                </c:pt>
                <c:pt idx="106">
                  <c:v>4.80572</c:v>
                </c:pt>
                <c:pt idx="107">
                  <c:v>4.7643699999999995</c:v>
                </c:pt>
                <c:pt idx="108">
                  <c:v>4.7217900000000004</c:v>
                </c:pt>
                <c:pt idx="109">
                  <c:v>4.6781299999999995</c:v>
                </c:pt>
                <c:pt idx="110">
                  <c:v>4.6316600000000001</c:v>
                </c:pt>
                <c:pt idx="111">
                  <c:v>4.5840300000000003</c:v>
                </c:pt>
                <c:pt idx="112">
                  <c:v>4.5338899999999995</c:v>
                </c:pt>
                <c:pt idx="113">
                  <c:v>4.4839700000000002</c:v>
                </c:pt>
                <c:pt idx="114">
                  <c:v>4.4340799999999998</c:v>
                </c:pt>
                <c:pt idx="115">
                  <c:v>4.3857600000000003</c:v>
                </c:pt>
                <c:pt idx="116">
                  <c:v>4.3402400000000005</c:v>
                </c:pt>
                <c:pt idx="117">
                  <c:v>4.2954799999999995</c:v>
                </c:pt>
                <c:pt idx="118">
                  <c:v>4.2519900000000002</c:v>
                </c:pt>
                <c:pt idx="119">
                  <c:v>4.2090800000000002</c:v>
                </c:pt>
                <c:pt idx="120">
                  <c:v>4.1661799999999998</c:v>
                </c:pt>
                <c:pt idx="121">
                  <c:v>4.1227399999999994</c:v>
                </c:pt>
                <c:pt idx="122">
                  <c:v>4.0788600000000006</c:v>
                </c:pt>
                <c:pt idx="123">
                  <c:v>4.0364000000000004</c:v>
                </c:pt>
                <c:pt idx="124">
                  <c:v>4.0085899999999999</c:v>
                </c:pt>
                <c:pt idx="125">
                  <c:v>3.9815899999999997</c:v>
                </c:pt>
                <c:pt idx="126">
                  <c:v>3.95505</c:v>
                </c:pt>
                <c:pt idx="127">
                  <c:v>3.9284400000000002</c:v>
                </c:pt>
                <c:pt idx="128">
                  <c:v>3.8977200000000001</c:v>
                </c:pt>
                <c:pt idx="129">
                  <c:v>3.8645700000000001</c:v>
                </c:pt>
                <c:pt idx="130">
                  <c:v>3.8308499999999999</c:v>
                </c:pt>
                <c:pt idx="131">
                  <c:v>3.7939299999999996</c:v>
                </c:pt>
                <c:pt idx="132">
                  <c:v>3.75563</c:v>
                </c:pt>
                <c:pt idx="133">
                  <c:v>3.7201200000000001</c:v>
                </c:pt>
                <c:pt idx="134">
                  <c:v>3.6859399999999996</c:v>
                </c:pt>
                <c:pt idx="135">
                  <c:v>3.6501000000000001</c:v>
                </c:pt>
                <c:pt idx="136">
                  <c:v>3.6133799999999998</c:v>
                </c:pt>
                <c:pt idx="137">
                  <c:v>3.5823300000000002</c:v>
                </c:pt>
                <c:pt idx="138">
                  <c:v>3.5543499999999999</c:v>
                </c:pt>
                <c:pt idx="139">
                  <c:v>3.5364</c:v>
                </c:pt>
                <c:pt idx="140">
                  <c:v>3.5296599999999998</c:v>
                </c:pt>
                <c:pt idx="141">
                  <c:v>3.5206999999999997</c:v>
                </c:pt>
                <c:pt idx="142">
                  <c:v>3.5146300000000004</c:v>
                </c:pt>
                <c:pt idx="143">
                  <c:v>3.5103299999999997</c:v>
                </c:pt>
                <c:pt idx="144">
                  <c:v>3.4990100000000002</c:v>
                </c:pt>
                <c:pt idx="145">
                  <c:v>3.4840599999999999</c:v>
                </c:pt>
                <c:pt idx="146">
                  <c:v>3.4597899999999999</c:v>
                </c:pt>
                <c:pt idx="147">
                  <c:v>3.4246700000000003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67.322199999999995</c:v>
                </c:pt>
                <c:pt idx="1">
                  <c:v>67.273300000000006</c:v>
                </c:pt>
                <c:pt idx="2">
                  <c:v>67.152900000000002</c:v>
                </c:pt>
                <c:pt idx="3">
                  <c:v>66.899000000000001</c:v>
                </c:pt>
                <c:pt idx="4">
                  <c:v>66.479699999999994</c:v>
                </c:pt>
                <c:pt idx="5">
                  <c:v>65.97</c:v>
                </c:pt>
                <c:pt idx="6">
                  <c:v>65.317099999999996</c:v>
                </c:pt>
                <c:pt idx="7">
                  <c:v>64.644599999999997</c:v>
                </c:pt>
                <c:pt idx="8">
                  <c:v>63.986699999999999</c:v>
                </c:pt>
                <c:pt idx="9">
                  <c:v>63.302</c:v>
                </c:pt>
                <c:pt idx="10">
                  <c:v>62.621899999999997</c:v>
                </c:pt>
                <c:pt idx="11">
                  <c:v>61.935099999999998</c:v>
                </c:pt>
                <c:pt idx="12">
                  <c:v>61.216400000000007</c:v>
                </c:pt>
                <c:pt idx="13">
                  <c:v>60.487299999999998</c:v>
                </c:pt>
                <c:pt idx="14">
                  <c:v>59.685600000000008</c:v>
                </c:pt>
                <c:pt idx="15">
                  <c:v>58.871899999999997</c:v>
                </c:pt>
                <c:pt idx="16">
                  <c:v>58.199400000000004</c:v>
                </c:pt>
                <c:pt idx="17">
                  <c:v>57.677700000000002</c:v>
                </c:pt>
                <c:pt idx="18">
                  <c:v>57.196899999999992</c:v>
                </c:pt>
                <c:pt idx="19">
                  <c:v>56.664800000000007</c:v>
                </c:pt>
                <c:pt idx="20">
                  <c:v>56.069199999999995</c:v>
                </c:pt>
                <c:pt idx="21">
                  <c:v>55.391500000000008</c:v>
                </c:pt>
                <c:pt idx="22">
                  <c:v>54.597799999999999</c:v>
                </c:pt>
                <c:pt idx="23">
                  <c:v>53.752400000000002</c:v>
                </c:pt>
                <c:pt idx="24">
                  <c:v>52.997199999999999</c:v>
                </c:pt>
                <c:pt idx="25">
                  <c:v>52.274799999999999</c:v>
                </c:pt>
                <c:pt idx="26">
                  <c:v>51.664900000000003</c:v>
                </c:pt>
                <c:pt idx="27">
                  <c:v>51.100999999999999</c:v>
                </c:pt>
                <c:pt idx="28">
                  <c:v>50.585800000000006</c:v>
                </c:pt>
                <c:pt idx="29">
                  <c:v>49.977800000000002</c:v>
                </c:pt>
                <c:pt idx="30">
                  <c:v>49.380299999999998</c:v>
                </c:pt>
                <c:pt idx="31">
                  <c:v>48.8187</c:v>
                </c:pt>
                <c:pt idx="32">
                  <c:v>48.2898</c:v>
                </c:pt>
                <c:pt idx="33">
                  <c:v>47.838900000000002</c:v>
                </c:pt>
                <c:pt idx="34">
                  <c:v>47.552799999999998</c:v>
                </c:pt>
                <c:pt idx="35">
                  <c:v>47.433100000000003</c:v>
                </c:pt>
                <c:pt idx="36">
                  <c:v>47.3874</c:v>
                </c:pt>
                <c:pt idx="37">
                  <c:v>47.438699999999997</c:v>
                </c:pt>
                <c:pt idx="38">
                  <c:v>47.4465</c:v>
                </c:pt>
                <c:pt idx="39">
                  <c:v>47.436799999999998</c:v>
                </c:pt>
                <c:pt idx="40">
                  <c:v>47.402000000000001</c:v>
                </c:pt>
                <c:pt idx="41">
                  <c:v>47.420499999999997</c:v>
                </c:pt>
                <c:pt idx="42">
                  <c:v>47.514299999999999</c:v>
                </c:pt>
                <c:pt idx="43">
                  <c:v>47.622100000000003</c:v>
                </c:pt>
                <c:pt idx="44">
                  <c:v>47.678199999999997</c:v>
                </c:pt>
                <c:pt idx="45">
                  <c:v>47.629199999999997</c:v>
                </c:pt>
                <c:pt idx="46">
                  <c:v>47.521999999999998</c:v>
                </c:pt>
                <c:pt idx="47">
                  <c:v>47.360700000000001</c:v>
                </c:pt>
                <c:pt idx="48">
                  <c:v>47.125699999999995</c:v>
                </c:pt>
                <c:pt idx="49">
                  <c:v>46.857500000000002</c:v>
                </c:pt>
                <c:pt idx="50">
                  <c:v>46.688000000000002</c:v>
                </c:pt>
                <c:pt idx="51">
                  <c:v>46.440799999999996</c:v>
                </c:pt>
                <c:pt idx="52">
                  <c:v>46.104199999999999</c:v>
                </c:pt>
                <c:pt idx="53">
                  <c:v>45.715400000000002</c:v>
                </c:pt>
                <c:pt idx="54">
                  <c:v>45.359100000000005</c:v>
                </c:pt>
                <c:pt idx="55">
                  <c:v>45.134900000000002</c:v>
                </c:pt>
                <c:pt idx="56">
                  <c:v>45.052700000000002</c:v>
                </c:pt>
                <c:pt idx="57">
                  <c:v>45.054899999999996</c:v>
                </c:pt>
                <c:pt idx="58">
                  <c:v>45.104499999999994</c:v>
                </c:pt>
                <c:pt idx="59">
                  <c:v>45.091500000000003</c:v>
                </c:pt>
                <c:pt idx="60">
                  <c:v>45.055900000000001</c:v>
                </c:pt>
                <c:pt idx="61">
                  <c:v>44.994599999999998</c:v>
                </c:pt>
                <c:pt idx="62">
                  <c:v>44.999699999999997</c:v>
                </c:pt>
                <c:pt idx="63">
                  <c:v>45.034700000000001</c:v>
                </c:pt>
                <c:pt idx="64">
                  <c:v>45.076999999999998</c:v>
                </c:pt>
                <c:pt idx="65">
                  <c:v>45.137300000000003</c:v>
                </c:pt>
                <c:pt idx="66">
                  <c:v>45.106299999999997</c:v>
                </c:pt>
                <c:pt idx="67">
                  <c:v>44.981700000000004</c:v>
                </c:pt>
                <c:pt idx="68">
                  <c:v>44.768900000000002</c:v>
                </c:pt>
                <c:pt idx="69">
                  <c:v>44.573599999999999</c:v>
                </c:pt>
                <c:pt idx="70">
                  <c:v>44.426400000000001</c:v>
                </c:pt>
                <c:pt idx="71">
                  <c:v>44.372199999999999</c:v>
                </c:pt>
                <c:pt idx="72">
                  <c:v>44.432200000000002</c:v>
                </c:pt>
                <c:pt idx="73">
                  <c:v>44.580599999999997</c:v>
                </c:pt>
                <c:pt idx="74">
                  <c:v>44.635100000000001</c:v>
                </c:pt>
                <c:pt idx="75">
                  <c:v>44.556100000000001</c:v>
                </c:pt>
                <c:pt idx="76">
                  <c:v>44.484299999999998</c:v>
                </c:pt>
                <c:pt idx="77">
                  <c:v>44.439700000000002</c:v>
                </c:pt>
                <c:pt idx="78">
                  <c:v>44.424999999999997</c:v>
                </c:pt>
                <c:pt idx="79">
                  <c:v>44.726500000000001</c:v>
                </c:pt>
                <c:pt idx="80">
                  <c:v>45.356499999999997</c:v>
                </c:pt>
                <c:pt idx="81">
                  <c:v>46.165399999999998</c:v>
                </c:pt>
                <c:pt idx="82">
                  <c:v>47.062599999999996</c:v>
                </c:pt>
                <c:pt idx="83">
                  <c:v>48.005499999999998</c:v>
                </c:pt>
                <c:pt idx="84">
                  <c:v>48.881300000000003</c:v>
                </c:pt>
                <c:pt idx="85">
                  <c:v>49.695799999999998</c:v>
                </c:pt>
                <c:pt idx="86">
                  <c:v>50.474499999999999</c:v>
                </c:pt>
                <c:pt idx="87">
                  <c:v>51.2682</c:v>
                </c:pt>
                <c:pt idx="88">
                  <c:v>52.069299999999998</c:v>
                </c:pt>
                <c:pt idx="89">
                  <c:v>52.853000000000009</c:v>
                </c:pt>
                <c:pt idx="90">
                  <c:v>53.532500000000006</c:v>
                </c:pt>
                <c:pt idx="91">
                  <c:v>54.086100000000002</c:v>
                </c:pt>
                <c:pt idx="92">
                  <c:v>54.543699999999994</c:v>
                </c:pt>
                <c:pt idx="93">
                  <c:v>54.869299999999996</c:v>
                </c:pt>
                <c:pt idx="94">
                  <c:v>55.115499999999997</c:v>
                </c:pt>
                <c:pt idx="95">
                  <c:v>55.289200000000008</c:v>
                </c:pt>
                <c:pt idx="96">
                  <c:v>55.3979</c:v>
                </c:pt>
                <c:pt idx="97">
                  <c:v>55.482799999999997</c:v>
                </c:pt>
                <c:pt idx="98">
                  <c:v>55.443299999999994</c:v>
                </c:pt>
                <c:pt idx="99">
                  <c:v>55.298499999999997</c:v>
                </c:pt>
                <c:pt idx="100">
                  <c:v>55.0809</c:v>
                </c:pt>
                <c:pt idx="101">
                  <c:v>54.926499999999997</c:v>
                </c:pt>
                <c:pt idx="102">
                  <c:v>54.863300000000002</c:v>
                </c:pt>
                <c:pt idx="103">
                  <c:v>55.028299999999994</c:v>
                </c:pt>
                <c:pt idx="104">
                  <c:v>55.212899999999998</c:v>
                </c:pt>
                <c:pt idx="105">
                  <c:v>55.358600000000003</c:v>
                </c:pt>
                <c:pt idx="106">
                  <c:v>55.512399999999992</c:v>
                </c:pt>
                <c:pt idx="107">
                  <c:v>55.622300000000003</c:v>
                </c:pt>
                <c:pt idx="108">
                  <c:v>55.6526</c:v>
                </c:pt>
                <c:pt idx="109">
                  <c:v>55.695700000000002</c:v>
                </c:pt>
                <c:pt idx="110">
                  <c:v>55.832800000000006</c:v>
                </c:pt>
                <c:pt idx="111">
                  <c:v>56.025100000000009</c:v>
                </c:pt>
                <c:pt idx="112">
                  <c:v>56.165100000000002</c:v>
                </c:pt>
                <c:pt idx="113">
                  <c:v>56.195799999999998</c:v>
                </c:pt>
                <c:pt idx="114">
                  <c:v>56.052</c:v>
                </c:pt>
                <c:pt idx="115">
                  <c:v>55.772399999999998</c:v>
                </c:pt>
                <c:pt idx="116">
                  <c:v>55.517200000000003</c:v>
                </c:pt>
                <c:pt idx="117">
                  <c:v>55.276499999999999</c:v>
                </c:pt>
                <c:pt idx="118">
                  <c:v>55.063099999999999</c:v>
                </c:pt>
                <c:pt idx="119">
                  <c:v>54.949800000000003</c:v>
                </c:pt>
                <c:pt idx="120">
                  <c:v>54.895400000000002</c:v>
                </c:pt>
                <c:pt idx="121">
                  <c:v>54.917700000000004</c:v>
                </c:pt>
                <c:pt idx="122">
                  <c:v>54.930299999999995</c:v>
                </c:pt>
                <c:pt idx="123">
                  <c:v>54.889400000000002</c:v>
                </c:pt>
                <c:pt idx="124">
                  <c:v>55.071099999999994</c:v>
                </c:pt>
                <c:pt idx="125">
                  <c:v>55.208900000000007</c:v>
                </c:pt>
                <c:pt idx="126">
                  <c:v>55.282699999999998</c:v>
                </c:pt>
                <c:pt idx="127">
                  <c:v>55.338200000000001</c:v>
                </c:pt>
                <c:pt idx="128">
                  <c:v>55.497900000000001</c:v>
                </c:pt>
                <c:pt idx="129">
                  <c:v>55.700799999999994</c:v>
                </c:pt>
                <c:pt idx="130">
                  <c:v>55.842499999999994</c:v>
                </c:pt>
                <c:pt idx="131">
                  <c:v>55.985799999999998</c:v>
                </c:pt>
                <c:pt idx="132">
                  <c:v>56.0944</c:v>
                </c:pt>
                <c:pt idx="133">
                  <c:v>56.034199999999998</c:v>
                </c:pt>
                <c:pt idx="134">
                  <c:v>55.915899999999993</c:v>
                </c:pt>
                <c:pt idx="135">
                  <c:v>55.884799999999998</c:v>
                </c:pt>
                <c:pt idx="136">
                  <c:v>55.851600000000005</c:v>
                </c:pt>
                <c:pt idx="137">
                  <c:v>55.729500000000002</c:v>
                </c:pt>
                <c:pt idx="138">
                  <c:v>55.630100000000006</c:v>
                </c:pt>
                <c:pt idx="139">
                  <c:v>55.465499999999999</c:v>
                </c:pt>
                <c:pt idx="140">
                  <c:v>55.200499999999998</c:v>
                </c:pt>
                <c:pt idx="141">
                  <c:v>54.984200000000008</c:v>
                </c:pt>
                <c:pt idx="142">
                  <c:v>55.055399999999999</c:v>
                </c:pt>
                <c:pt idx="143">
                  <c:v>55.271800000000006</c:v>
                </c:pt>
                <c:pt idx="144">
                  <c:v>55.543600000000005</c:v>
                </c:pt>
                <c:pt idx="145">
                  <c:v>55.644300000000001</c:v>
                </c:pt>
                <c:pt idx="146">
                  <c:v>55.725800000000007</c:v>
                </c:pt>
                <c:pt idx="147">
                  <c:v>55.343699999999998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2.1557599999999999</c:v>
                </c:pt>
                <c:pt idx="1">
                  <c:v>2.1887599999999998</c:v>
                </c:pt>
                <c:pt idx="2">
                  <c:v>2.22078</c:v>
                </c:pt>
                <c:pt idx="3">
                  <c:v>2.25135</c:v>
                </c:pt>
                <c:pt idx="4">
                  <c:v>2.2803800000000001</c:v>
                </c:pt>
                <c:pt idx="5">
                  <c:v>2.3091699999999999</c:v>
                </c:pt>
                <c:pt idx="6">
                  <c:v>2.3403900000000002</c:v>
                </c:pt>
                <c:pt idx="7">
                  <c:v>2.3717800000000002</c:v>
                </c:pt>
                <c:pt idx="8">
                  <c:v>2.4035699999999998</c:v>
                </c:pt>
                <c:pt idx="9">
                  <c:v>2.4356100000000001</c:v>
                </c:pt>
                <c:pt idx="10">
                  <c:v>2.4662800000000002</c:v>
                </c:pt>
                <c:pt idx="11">
                  <c:v>2.4974599999999998</c:v>
                </c:pt>
                <c:pt idx="12">
                  <c:v>2.5293100000000002</c:v>
                </c:pt>
                <c:pt idx="13">
                  <c:v>2.5637700000000003</c:v>
                </c:pt>
                <c:pt idx="14">
                  <c:v>2.60141</c:v>
                </c:pt>
                <c:pt idx="15">
                  <c:v>2.6413500000000001</c:v>
                </c:pt>
                <c:pt idx="16">
                  <c:v>2.6798100000000002</c:v>
                </c:pt>
                <c:pt idx="17">
                  <c:v>2.7165600000000003</c:v>
                </c:pt>
                <c:pt idx="18">
                  <c:v>2.7542400000000002</c:v>
                </c:pt>
                <c:pt idx="19">
                  <c:v>2.7929700000000004</c:v>
                </c:pt>
                <c:pt idx="20">
                  <c:v>2.8348499999999999</c:v>
                </c:pt>
                <c:pt idx="21">
                  <c:v>2.8803700000000001</c:v>
                </c:pt>
                <c:pt idx="22">
                  <c:v>2.9292499999999997</c:v>
                </c:pt>
                <c:pt idx="23">
                  <c:v>2.9813099999999997</c:v>
                </c:pt>
                <c:pt idx="24">
                  <c:v>3.0337999999999998</c:v>
                </c:pt>
                <c:pt idx="25">
                  <c:v>3.0863499999999999</c:v>
                </c:pt>
                <c:pt idx="26">
                  <c:v>3.1375999999999999</c:v>
                </c:pt>
                <c:pt idx="27">
                  <c:v>3.1898200000000001</c:v>
                </c:pt>
                <c:pt idx="28">
                  <c:v>3.2440000000000002</c:v>
                </c:pt>
                <c:pt idx="29">
                  <c:v>3.3022400000000003</c:v>
                </c:pt>
                <c:pt idx="30">
                  <c:v>3.3585700000000003</c:v>
                </c:pt>
                <c:pt idx="31">
                  <c:v>3.4110800000000001</c:v>
                </c:pt>
                <c:pt idx="32">
                  <c:v>3.4641199999999999</c:v>
                </c:pt>
                <c:pt idx="33">
                  <c:v>3.5170000000000003</c:v>
                </c:pt>
                <c:pt idx="34">
                  <c:v>3.5724400000000003</c:v>
                </c:pt>
                <c:pt idx="35">
                  <c:v>3.62202</c:v>
                </c:pt>
                <c:pt idx="36">
                  <c:v>3.6722700000000001</c:v>
                </c:pt>
                <c:pt idx="37">
                  <c:v>3.7192699999999999</c:v>
                </c:pt>
                <c:pt idx="38">
                  <c:v>3.7637900000000002</c:v>
                </c:pt>
                <c:pt idx="39">
                  <c:v>3.80342</c:v>
                </c:pt>
                <c:pt idx="40">
                  <c:v>3.8403300000000002</c:v>
                </c:pt>
                <c:pt idx="41">
                  <c:v>3.8768799999999999</c:v>
                </c:pt>
                <c:pt idx="42">
                  <c:v>3.9129000000000005</c:v>
                </c:pt>
                <c:pt idx="43">
                  <c:v>3.9447700000000001</c:v>
                </c:pt>
                <c:pt idx="44">
                  <c:v>3.9693800000000001</c:v>
                </c:pt>
                <c:pt idx="45">
                  <c:v>3.9883800000000003</c:v>
                </c:pt>
                <c:pt idx="46">
                  <c:v>4.0010899999999996</c:v>
                </c:pt>
                <c:pt idx="47">
                  <c:v>4.0091099999999997</c:v>
                </c:pt>
                <c:pt idx="48">
                  <c:v>4.0145799999999996</c:v>
                </c:pt>
                <c:pt idx="49">
                  <c:v>4.0198200000000002</c:v>
                </c:pt>
                <c:pt idx="50">
                  <c:v>4.0260099999999994</c:v>
                </c:pt>
                <c:pt idx="51">
                  <c:v>4.0295699999999997</c:v>
                </c:pt>
                <c:pt idx="52">
                  <c:v>4.0307700000000004</c:v>
                </c:pt>
                <c:pt idx="53">
                  <c:v>4.0266900000000003</c:v>
                </c:pt>
                <c:pt idx="54">
                  <c:v>4.0163900000000003</c:v>
                </c:pt>
                <c:pt idx="55">
                  <c:v>4.0028799999999993</c:v>
                </c:pt>
                <c:pt idx="56">
                  <c:v>3.9893099999999997</c:v>
                </c:pt>
                <c:pt idx="57">
                  <c:v>3.9755699999999998</c:v>
                </c:pt>
                <c:pt idx="58">
                  <c:v>3.9654299999999996</c:v>
                </c:pt>
                <c:pt idx="59">
                  <c:v>3.9551500000000002</c:v>
                </c:pt>
                <c:pt idx="60">
                  <c:v>3.9528099999999999</c:v>
                </c:pt>
                <c:pt idx="61">
                  <c:v>3.9508999999999999</c:v>
                </c:pt>
                <c:pt idx="62">
                  <c:v>3.9522300000000001</c:v>
                </c:pt>
                <c:pt idx="63">
                  <c:v>3.9573399999999999</c:v>
                </c:pt>
                <c:pt idx="64">
                  <c:v>3.9673999999999996</c:v>
                </c:pt>
                <c:pt idx="65">
                  <c:v>3.9818799999999999</c:v>
                </c:pt>
                <c:pt idx="66">
                  <c:v>4.0032699999999997</c:v>
                </c:pt>
                <c:pt idx="67">
                  <c:v>4.0292499999999993</c:v>
                </c:pt>
                <c:pt idx="68">
                  <c:v>4.0619300000000003</c:v>
                </c:pt>
                <c:pt idx="69">
                  <c:v>4.1027300000000002</c:v>
                </c:pt>
                <c:pt idx="70">
                  <c:v>4.1479600000000003</c:v>
                </c:pt>
                <c:pt idx="71">
                  <c:v>4.1962599999999997</c:v>
                </c:pt>
                <c:pt idx="72">
                  <c:v>4.2465999999999999</c:v>
                </c:pt>
                <c:pt idx="73">
                  <c:v>4.2968500000000001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67.322199999999995</c:v>
                </c:pt>
                <c:pt idx="1">
                  <c:v>67.273300000000006</c:v>
                </c:pt>
                <c:pt idx="2">
                  <c:v>67.152900000000002</c:v>
                </c:pt>
                <c:pt idx="3">
                  <c:v>66.899000000000001</c:v>
                </c:pt>
                <c:pt idx="4">
                  <c:v>66.479699999999994</c:v>
                </c:pt>
                <c:pt idx="5">
                  <c:v>65.97</c:v>
                </c:pt>
                <c:pt idx="6">
                  <c:v>65.317099999999996</c:v>
                </c:pt>
                <c:pt idx="7">
                  <c:v>64.644599999999997</c:v>
                </c:pt>
                <c:pt idx="8">
                  <c:v>63.986699999999999</c:v>
                </c:pt>
                <c:pt idx="9">
                  <c:v>63.302</c:v>
                </c:pt>
                <c:pt idx="10">
                  <c:v>62.621899999999997</c:v>
                </c:pt>
                <c:pt idx="11">
                  <c:v>61.935099999999998</c:v>
                </c:pt>
                <c:pt idx="12">
                  <c:v>61.216400000000007</c:v>
                </c:pt>
                <c:pt idx="13">
                  <c:v>60.487299999999998</c:v>
                </c:pt>
                <c:pt idx="14">
                  <c:v>59.685600000000008</c:v>
                </c:pt>
                <c:pt idx="15">
                  <c:v>58.871899999999997</c:v>
                </c:pt>
                <c:pt idx="16">
                  <c:v>58.199400000000004</c:v>
                </c:pt>
                <c:pt idx="17">
                  <c:v>57.677700000000002</c:v>
                </c:pt>
                <c:pt idx="18">
                  <c:v>57.196899999999992</c:v>
                </c:pt>
                <c:pt idx="19">
                  <c:v>56.664800000000007</c:v>
                </c:pt>
                <c:pt idx="20">
                  <c:v>56.069199999999995</c:v>
                </c:pt>
                <c:pt idx="21">
                  <c:v>55.391500000000008</c:v>
                </c:pt>
                <c:pt idx="22">
                  <c:v>54.597799999999999</c:v>
                </c:pt>
                <c:pt idx="23">
                  <c:v>53.752400000000002</c:v>
                </c:pt>
                <c:pt idx="24">
                  <c:v>52.997199999999999</c:v>
                </c:pt>
                <c:pt idx="25">
                  <c:v>52.274799999999999</c:v>
                </c:pt>
                <c:pt idx="26">
                  <c:v>51.664900000000003</c:v>
                </c:pt>
                <c:pt idx="27">
                  <c:v>51.100999999999999</c:v>
                </c:pt>
                <c:pt idx="28">
                  <c:v>50.585800000000006</c:v>
                </c:pt>
                <c:pt idx="29">
                  <c:v>49.977800000000002</c:v>
                </c:pt>
                <c:pt idx="30">
                  <c:v>49.380299999999998</c:v>
                </c:pt>
                <c:pt idx="31">
                  <c:v>48.8187</c:v>
                </c:pt>
                <c:pt idx="32">
                  <c:v>48.2898</c:v>
                </c:pt>
                <c:pt idx="33">
                  <c:v>47.838900000000002</c:v>
                </c:pt>
                <c:pt idx="34">
                  <c:v>47.552799999999998</c:v>
                </c:pt>
                <c:pt idx="35">
                  <c:v>47.433100000000003</c:v>
                </c:pt>
                <c:pt idx="36">
                  <c:v>47.3874</c:v>
                </c:pt>
                <c:pt idx="37">
                  <c:v>47.438699999999997</c:v>
                </c:pt>
                <c:pt idx="38">
                  <c:v>47.4465</c:v>
                </c:pt>
                <c:pt idx="39">
                  <c:v>47.436799999999998</c:v>
                </c:pt>
                <c:pt idx="40">
                  <c:v>47.402000000000001</c:v>
                </c:pt>
                <c:pt idx="41">
                  <c:v>47.420499999999997</c:v>
                </c:pt>
                <c:pt idx="42">
                  <c:v>47.514299999999999</c:v>
                </c:pt>
                <c:pt idx="43">
                  <c:v>47.622100000000003</c:v>
                </c:pt>
                <c:pt idx="44">
                  <c:v>47.678199999999997</c:v>
                </c:pt>
                <c:pt idx="45">
                  <c:v>47.629199999999997</c:v>
                </c:pt>
                <c:pt idx="46">
                  <c:v>47.521999999999998</c:v>
                </c:pt>
                <c:pt idx="47">
                  <c:v>47.360700000000001</c:v>
                </c:pt>
                <c:pt idx="48">
                  <c:v>47.125699999999995</c:v>
                </c:pt>
                <c:pt idx="49">
                  <c:v>46.857500000000002</c:v>
                </c:pt>
                <c:pt idx="50">
                  <c:v>46.688000000000002</c:v>
                </c:pt>
                <c:pt idx="51">
                  <c:v>46.440799999999996</c:v>
                </c:pt>
                <c:pt idx="52">
                  <c:v>46.104199999999999</c:v>
                </c:pt>
                <c:pt idx="53">
                  <c:v>45.715400000000002</c:v>
                </c:pt>
                <c:pt idx="54">
                  <c:v>45.359100000000005</c:v>
                </c:pt>
                <c:pt idx="55">
                  <c:v>45.134900000000002</c:v>
                </c:pt>
                <c:pt idx="56">
                  <c:v>45.052700000000002</c:v>
                </c:pt>
                <c:pt idx="57">
                  <c:v>45.054899999999996</c:v>
                </c:pt>
                <c:pt idx="58">
                  <c:v>45.104499999999994</c:v>
                </c:pt>
                <c:pt idx="59">
                  <c:v>45.091500000000003</c:v>
                </c:pt>
                <c:pt idx="60">
                  <c:v>45.055900000000001</c:v>
                </c:pt>
                <c:pt idx="61">
                  <c:v>44.994599999999998</c:v>
                </c:pt>
                <c:pt idx="62">
                  <c:v>44.999699999999997</c:v>
                </c:pt>
                <c:pt idx="63">
                  <c:v>45.034700000000001</c:v>
                </c:pt>
                <c:pt idx="64">
                  <c:v>45.076999999999998</c:v>
                </c:pt>
                <c:pt idx="65">
                  <c:v>45.137300000000003</c:v>
                </c:pt>
                <c:pt idx="66">
                  <c:v>45.106299999999997</c:v>
                </c:pt>
                <c:pt idx="67">
                  <c:v>44.981700000000004</c:v>
                </c:pt>
                <c:pt idx="68">
                  <c:v>44.768900000000002</c:v>
                </c:pt>
                <c:pt idx="69">
                  <c:v>44.573599999999999</c:v>
                </c:pt>
                <c:pt idx="70">
                  <c:v>44.426400000000001</c:v>
                </c:pt>
                <c:pt idx="71">
                  <c:v>44.372199999999999</c:v>
                </c:pt>
                <c:pt idx="72">
                  <c:v>44.432200000000002</c:v>
                </c:pt>
                <c:pt idx="73">
                  <c:v>44.580599999999997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4.2968500000000001</c:v>
                </c:pt>
                <c:pt idx="1">
                  <c:v>4.3520199999999996</c:v>
                </c:pt>
                <c:pt idx="2">
                  <c:v>4.4350800000000001</c:v>
                </c:pt>
                <c:pt idx="3">
                  <c:v>4.5024199999999999</c:v>
                </c:pt>
                <c:pt idx="4">
                  <c:v>4.57294</c:v>
                </c:pt>
                <c:pt idx="5">
                  <c:v>4.6486599999999996</c:v>
                </c:pt>
                <c:pt idx="6">
                  <c:v>4.7190799999999999</c:v>
                </c:pt>
                <c:pt idx="7">
                  <c:v>4.7812200000000002</c:v>
                </c:pt>
                <c:pt idx="8">
                  <c:v>4.8365900000000002</c:v>
                </c:pt>
                <c:pt idx="9">
                  <c:v>4.8848200000000004</c:v>
                </c:pt>
                <c:pt idx="10">
                  <c:v>4.9268099999999997</c:v>
                </c:pt>
                <c:pt idx="11">
                  <c:v>4.9629500000000002</c:v>
                </c:pt>
                <c:pt idx="12">
                  <c:v>4.9972499999999993</c:v>
                </c:pt>
                <c:pt idx="13">
                  <c:v>5.0287000000000006</c:v>
                </c:pt>
                <c:pt idx="14">
                  <c:v>5.0583599999999995</c:v>
                </c:pt>
                <c:pt idx="15">
                  <c:v>5.0835399999999993</c:v>
                </c:pt>
                <c:pt idx="16">
                  <c:v>5.1037699999999999</c:v>
                </c:pt>
                <c:pt idx="17">
                  <c:v>5.1177200000000003</c:v>
                </c:pt>
                <c:pt idx="18">
                  <c:v>5.1266100000000003</c:v>
                </c:pt>
                <c:pt idx="19">
                  <c:v>5.1319300000000005</c:v>
                </c:pt>
                <c:pt idx="20">
                  <c:v>5.1331300000000004</c:v>
                </c:pt>
                <c:pt idx="21">
                  <c:v>5.1311999999999998</c:v>
                </c:pt>
                <c:pt idx="22">
                  <c:v>5.1270899999999999</c:v>
                </c:pt>
                <c:pt idx="23">
                  <c:v>5.1209699999999998</c:v>
                </c:pt>
                <c:pt idx="24">
                  <c:v>5.1128900000000002</c:v>
                </c:pt>
                <c:pt idx="25">
                  <c:v>5.0995800000000004</c:v>
                </c:pt>
                <c:pt idx="26">
                  <c:v>5.0790900000000008</c:v>
                </c:pt>
                <c:pt idx="27">
                  <c:v>5.0532500000000002</c:v>
                </c:pt>
                <c:pt idx="28">
                  <c:v>5.0194700000000001</c:v>
                </c:pt>
                <c:pt idx="29">
                  <c:v>4.9797900000000004</c:v>
                </c:pt>
                <c:pt idx="30">
                  <c:v>4.9351000000000003</c:v>
                </c:pt>
                <c:pt idx="31">
                  <c:v>4.8902200000000002</c:v>
                </c:pt>
                <c:pt idx="32">
                  <c:v>4.8472100000000005</c:v>
                </c:pt>
                <c:pt idx="33">
                  <c:v>4.80572</c:v>
                </c:pt>
                <c:pt idx="34">
                  <c:v>4.7643699999999995</c:v>
                </c:pt>
                <c:pt idx="35">
                  <c:v>4.7217900000000004</c:v>
                </c:pt>
                <c:pt idx="36">
                  <c:v>4.6781299999999995</c:v>
                </c:pt>
                <c:pt idx="37">
                  <c:v>4.6316600000000001</c:v>
                </c:pt>
                <c:pt idx="38">
                  <c:v>4.5840300000000003</c:v>
                </c:pt>
                <c:pt idx="39">
                  <c:v>4.5338899999999995</c:v>
                </c:pt>
                <c:pt idx="40">
                  <c:v>4.4839700000000002</c:v>
                </c:pt>
                <c:pt idx="41">
                  <c:v>4.4340799999999998</c:v>
                </c:pt>
                <c:pt idx="42">
                  <c:v>4.3857600000000003</c:v>
                </c:pt>
                <c:pt idx="43">
                  <c:v>4.3402400000000005</c:v>
                </c:pt>
                <c:pt idx="44">
                  <c:v>4.2954799999999995</c:v>
                </c:pt>
                <c:pt idx="45">
                  <c:v>4.2519900000000002</c:v>
                </c:pt>
                <c:pt idx="46">
                  <c:v>4.2090800000000002</c:v>
                </c:pt>
                <c:pt idx="47">
                  <c:v>4.1661799999999998</c:v>
                </c:pt>
                <c:pt idx="48">
                  <c:v>4.1227399999999994</c:v>
                </c:pt>
                <c:pt idx="49">
                  <c:v>4.0788600000000006</c:v>
                </c:pt>
                <c:pt idx="50">
                  <c:v>4.0364000000000004</c:v>
                </c:pt>
                <c:pt idx="51">
                  <c:v>4.0085899999999999</c:v>
                </c:pt>
                <c:pt idx="52">
                  <c:v>3.9815899999999997</c:v>
                </c:pt>
                <c:pt idx="53">
                  <c:v>3.95505</c:v>
                </c:pt>
                <c:pt idx="54">
                  <c:v>3.9284400000000002</c:v>
                </c:pt>
                <c:pt idx="55">
                  <c:v>3.8977200000000001</c:v>
                </c:pt>
                <c:pt idx="56">
                  <c:v>3.8645700000000001</c:v>
                </c:pt>
                <c:pt idx="57">
                  <c:v>3.8308499999999999</c:v>
                </c:pt>
                <c:pt idx="58">
                  <c:v>3.7939299999999996</c:v>
                </c:pt>
                <c:pt idx="59">
                  <c:v>3.75563</c:v>
                </c:pt>
                <c:pt idx="60">
                  <c:v>3.7201200000000001</c:v>
                </c:pt>
                <c:pt idx="61">
                  <c:v>3.6859399999999996</c:v>
                </c:pt>
                <c:pt idx="62">
                  <c:v>3.6501000000000001</c:v>
                </c:pt>
                <c:pt idx="63">
                  <c:v>3.6133799999999998</c:v>
                </c:pt>
                <c:pt idx="64">
                  <c:v>3.5823300000000002</c:v>
                </c:pt>
                <c:pt idx="65">
                  <c:v>3.5543499999999999</c:v>
                </c:pt>
                <c:pt idx="66">
                  <c:v>3.5364</c:v>
                </c:pt>
                <c:pt idx="67">
                  <c:v>3.5296599999999998</c:v>
                </c:pt>
                <c:pt idx="68">
                  <c:v>3.5206999999999997</c:v>
                </c:pt>
                <c:pt idx="69">
                  <c:v>3.5146300000000004</c:v>
                </c:pt>
                <c:pt idx="70">
                  <c:v>3.5103299999999997</c:v>
                </c:pt>
                <c:pt idx="71">
                  <c:v>3.4990100000000002</c:v>
                </c:pt>
                <c:pt idx="72">
                  <c:v>3.4840599999999999</c:v>
                </c:pt>
                <c:pt idx="73">
                  <c:v>3.4597899999999999</c:v>
                </c:pt>
                <c:pt idx="74">
                  <c:v>3.4246700000000003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44.580599999999997</c:v>
                </c:pt>
                <c:pt idx="1">
                  <c:v>44.635100000000001</c:v>
                </c:pt>
                <c:pt idx="2">
                  <c:v>44.556100000000001</c:v>
                </c:pt>
                <c:pt idx="3">
                  <c:v>44.484299999999998</c:v>
                </c:pt>
                <c:pt idx="4">
                  <c:v>44.439700000000002</c:v>
                </c:pt>
                <c:pt idx="5">
                  <c:v>44.424999999999997</c:v>
                </c:pt>
                <c:pt idx="6">
                  <c:v>44.726500000000001</c:v>
                </c:pt>
                <c:pt idx="7">
                  <c:v>45.356499999999997</c:v>
                </c:pt>
                <c:pt idx="8">
                  <c:v>46.165399999999998</c:v>
                </c:pt>
                <c:pt idx="9">
                  <c:v>47.062599999999996</c:v>
                </c:pt>
                <c:pt idx="10">
                  <c:v>48.005499999999998</c:v>
                </c:pt>
                <c:pt idx="11">
                  <c:v>48.881300000000003</c:v>
                </c:pt>
                <c:pt idx="12">
                  <c:v>49.695799999999998</c:v>
                </c:pt>
                <c:pt idx="13">
                  <c:v>50.474499999999999</c:v>
                </c:pt>
                <c:pt idx="14">
                  <c:v>51.2682</c:v>
                </c:pt>
                <c:pt idx="15">
                  <c:v>52.069299999999998</c:v>
                </c:pt>
                <c:pt idx="16">
                  <c:v>52.853000000000009</c:v>
                </c:pt>
                <c:pt idx="17">
                  <c:v>53.532500000000006</c:v>
                </c:pt>
                <c:pt idx="18">
                  <c:v>54.086100000000002</c:v>
                </c:pt>
                <c:pt idx="19">
                  <c:v>54.543699999999994</c:v>
                </c:pt>
                <c:pt idx="20">
                  <c:v>54.869299999999996</c:v>
                </c:pt>
                <c:pt idx="21">
                  <c:v>55.115499999999997</c:v>
                </c:pt>
                <c:pt idx="22">
                  <c:v>55.289200000000008</c:v>
                </c:pt>
                <c:pt idx="23">
                  <c:v>55.3979</c:v>
                </c:pt>
                <c:pt idx="24">
                  <c:v>55.482799999999997</c:v>
                </c:pt>
                <c:pt idx="25">
                  <c:v>55.443299999999994</c:v>
                </c:pt>
                <c:pt idx="26">
                  <c:v>55.298499999999997</c:v>
                </c:pt>
                <c:pt idx="27">
                  <c:v>55.0809</c:v>
                </c:pt>
                <c:pt idx="28">
                  <c:v>54.926499999999997</c:v>
                </c:pt>
                <c:pt idx="29">
                  <c:v>54.863300000000002</c:v>
                </c:pt>
                <c:pt idx="30">
                  <c:v>55.028299999999994</c:v>
                </c:pt>
                <c:pt idx="31">
                  <c:v>55.212899999999998</c:v>
                </c:pt>
                <c:pt idx="32">
                  <c:v>55.358600000000003</c:v>
                </c:pt>
                <c:pt idx="33">
                  <c:v>55.512399999999992</c:v>
                </c:pt>
                <c:pt idx="34">
                  <c:v>55.622300000000003</c:v>
                </c:pt>
                <c:pt idx="35">
                  <c:v>55.6526</c:v>
                </c:pt>
                <c:pt idx="36">
                  <c:v>55.695700000000002</c:v>
                </c:pt>
                <c:pt idx="37">
                  <c:v>55.832800000000006</c:v>
                </c:pt>
                <c:pt idx="38">
                  <c:v>56.025100000000009</c:v>
                </c:pt>
                <c:pt idx="39">
                  <c:v>56.165100000000002</c:v>
                </c:pt>
                <c:pt idx="40">
                  <c:v>56.195799999999998</c:v>
                </c:pt>
                <c:pt idx="41">
                  <c:v>56.052</c:v>
                </c:pt>
                <c:pt idx="42">
                  <c:v>55.772399999999998</c:v>
                </c:pt>
                <c:pt idx="43">
                  <c:v>55.517200000000003</c:v>
                </c:pt>
                <c:pt idx="44">
                  <c:v>55.276499999999999</c:v>
                </c:pt>
                <c:pt idx="45">
                  <c:v>55.063099999999999</c:v>
                </c:pt>
                <c:pt idx="46">
                  <c:v>54.949800000000003</c:v>
                </c:pt>
                <c:pt idx="47">
                  <c:v>54.895400000000002</c:v>
                </c:pt>
                <c:pt idx="48">
                  <c:v>54.917700000000004</c:v>
                </c:pt>
                <c:pt idx="49">
                  <c:v>54.930299999999995</c:v>
                </c:pt>
                <c:pt idx="50">
                  <c:v>54.889400000000002</c:v>
                </c:pt>
                <c:pt idx="51">
                  <c:v>55.071099999999994</c:v>
                </c:pt>
                <c:pt idx="52">
                  <c:v>55.208900000000007</c:v>
                </c:pt>
                <c:pt idx="53">
                  <c:v>55.282699999999998</c:v>
                </c:pt>
                <c:pt idx="54">
                  <c:v>55.338200000000001</c:v>
                </c:pt>
                <c:pt idx="55">
                  <c:v>55.497900000000001</c:v>
                </c:pt>
                <c:pt idx="56">
                  <c:v>55.700799999999994</c:v>
                </c:pt>
                <c:pt idx="57">
                  <c:v>55.842499999999994</c:v>
                </c:pt>
                <c:pt idx="58">
                  <c:v>55.985799999999998</c:v>
                </c:pt>
                <c:pt idx="59">
                  <c:v>56.0944</c:v>
                </c:pt>
                <c:pt idx="60">
                  <c:v>56.034199999999998</c:v>
                </c:pt>
                <c:pt idx="61">
                  <c:v>55.915899999999993</c:v>
                </c:pt>
                <c:pt idx="62">
                  <c:v>55.884799999999998</c:v>
                </c:pt>
                <c:pt idx="63">
                  <c:v>55.851600000000005</c:v>
                </c:pt>
                <c:pt idx="64">
                  <c:v>55.729500000000002</c:v>
                </c:pt>
                <c:pt idx="65">
                  <c:v>55.630100000000006</c:v>
                </c:pt>
                <c:pt idx="66">
                  <c:v>55.465499999999999</c:v>
                </c:pt>
                <c:pt idx="67">
                  <c:v>55.200499999999998</c:v>
                </c:pt>
                <c:pt idx="68">
                  <c:v>54.984200000000008</c:v>
                </c:pt>
                <c:pt idx="69">
                  <c:v>55.055399999999999</c:v>
                </c:pt>
                <c:pt idx="70">
                  <c:v>55.271800000000006</c:v>
                </c:pt>
                <c:pt idx="71">
                  <c:v>55.543600000000005</c:v>
                </c:pt>
                <c:pt idx="72">
                  <c:v>55.644300000000001</c:v>
                </c:pt>
                <c:pt idx="73">
                  <c:v>55.725800000000007</c:v>
                </c:pt>
                <c:pt idx="74">
                  <c:v>55.343699999999998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2.1557599999999999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67.322199999999995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3.4076581081081088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51.591340540540507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4.4003468918918927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53.660768918918897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4.4003468918918927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53.660768918918897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53"/>
      <c r="D1" s="154"/>
      <c r="E1" s="154"/>
      <c r="F1" s="154"/>
      <c r="G1" s="154"/>
      <c r="H1" s="154"/>
      <c r="I1" s="154"/>
      <c r="J1" s="26"/>
      <c r="K1" s="8"/>
      <c r="L1" s="2"/>
      <c r="M1" s="2"/>
      <c r="N1" s="2"/>
      <c r="O1" s="2"/>
      <c r="P1" s="2"/>
    </row>
    <row r="2" spans="2:21" ht="27.75" customHeight="1" thickBot="1">
      <c r="B2" s="194" t="s">
        <v>290</v>
      </c>
      <c r="C2" s="195"/>
      <c r="D2" s="195"/>
      <c r="E2" s="195"/>
      <c r="F2" s="195"/>
      <c r="G2" s="195"/>
      <c r="H2" s="195"/>
      <c r="I2" s="195"/>
      <c r="J2" s="195"/>
      <c r="K2" s="195"/>
      <c r="L2" s="90"/>
      <c r="M2" s="90"/>
      <c r="N2" s="90"/>
      <c r="O2" s="90"/>
      <c r="P2" s="90"/>
    </row>
    <row r="3" spans="2:21" ht="13.5">
      <c r="B3" s="176" t="str">
        <f>lang!B2</f>
        <v>心理生理状态分析结果</v>
      </c>
      <c r="C3" s="177"/>
      <c r="D3" s="177"/>
      <c r="E3" s="177"/>
      <c r="F3" s="177"/>
      <c r="G3" s="177"/>
      <c r="H3" s="177"/>
      <c r="I3" s="177"/>
      <c r="J3" s="177"/>
      <c r="K3" s="178"/>
    </row>
    <row r="4" spans="2:21" ht="34.5" customHeight="1" thickBot="1">
      <c r="B4" s="179"/>
      <c r="C4" s="180"/>
      <c r="D4" s="180"/>
      <c r="E4" s="180"/>
      <c r="F4" s="180"/>
      <c r="G4" s="180"/>
      <c r="H4" s="180"/>
      <c r="I4" s="180"/>
      <c r="J4" s="180"/>
      <c r="K4" s="181"/>
    </row>
    <row r="5" spans="2:21" ht="16.5" customHeight="1">
      <c r="B5" s="45" t="str">
        <f>lang!B24</f>
        <v>姓名</v>
      </c>
      <c r="C5" s="198" t="s">
        <v>572</v>
      </c>
      <c r="D5" s="191"/>
      <c r="E5" s="191"/>
      <c r="F5" s="192"/>
      <c r="G5" s="48" t="str">
        <f>lang!B27</f>
        <v>编号</v>
      </c>
      <c r="H5" s="190">
        <v>17</v>
      </c>
      <c r="I5" s="191"/>
      <c r="J5" s="191"/>
      <c r="K5" s="193"/>
    </row>
    <row r="6" spans="2:21" ht="17.25" customHeight="1">
      <c r="B6" s="46" t="str">
        <f>lang!B25</f>
        <v>性别</v>
      </c>
      <c r="C6" s="197" t="s">
        <v>571</v>
      </c>
      <c r="D6" s="145"/>
      <c r="E6" s="145"/>
      <c r="F6" s="146"/>
      <c r="G6" s="49" t="str">
        <f>lang!B28</f>
        <v xml:space="preserve"> 日期</v>
      </c>
      <c r="H6" s="129">
        <f>FH_info!A2</f>
        <v>43615.673472222225</v>
      </c>
      <c r="I6" s="130"/>
      <c r="J6" s="130"/>
      <c r="K6" s="131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47">
        <v>59</v>
      </c>
      <c r="D7" s="148"/>
      <c r="E7" s="148"/>
      <c r="F7" s="149"/>
      <c r="G7" s="50" t="str">
        <f>lang!B29</f>
        <v>误差率（%）</v>
      </c>
      <c r="H7" s="132">
        <f>M!B17*1</f>
        <v>15.7677</v>
      </c>
      <c r="I7" s="133"/>
      <c r="J7" s="133"/>
      <c r="K7" s="134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25" t="str">
        <f>lang!B30</f>
        <v>10项参数结果</v>
      </c>
      <c r="C8" s="126"/>
      <c r="D8" s="127"/>
      <c r="E8" s="127"/>
      <c r="F8" s="127"/>
      <c r="G8" s="127"/>
      <c r="H8" s="127"/>
      <c r="I8" s="127"/>
      <c r="J8" s="127"/>
      <c r="K8" s="128"/>
      <c r="M8" s="27" t="str">
        <f>lang!B14</f>
        <v>攻击性</v>
      </c>
      <c r="N8" s="59">
        <f>M!B5*1</f>
        <v>38.214100000000002</v>
      </c>
      <c r="O8" s="59">
        <f>M!C5*1</f>
        <v>7.5732400000000002</v>
      </c>
      <c r="P8" s="59">
        <f>M!D5*1</f>
        <v>19.817900000000002</v>
      </c>
      <c r="Q8" s="59">
        <f>M!E5*1</f>
        <v>20</v>
      </c>
      <c r="R8" s="59">
        <f>M!F5*1</f>
        <v>15.946199999999999</v>
      </c>
      <c r="S8" s="59">
        <f>M!G5*1</f>
        <v>50</v>
      </c>
      <c r="T8" s="59">
        <f>M!H5*1</f>
        <v>47.061300000000003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22.5806</v>
      </c>
      <c r="O9" s="59">
        <f>M!C6*1</f>
        <v>2.3902600000000001</v>
      </c>
      <c r="P9" s="59">
        <f>M!D6*1</f>
        <v>10.5855</v>
      </c>
      <c r="Q9" s="59">
        <f>M!E6*1</f>
        <v>20</v>
      </c>
      <c r="R9" s="59">
        <f>M!F6*1</f>
        <v>17.961300000000001</v>
      </c>
      <c r="S9" s="59">
        <f>M!G6*1</f>
        <v>40</v>
      </c>
      <c r="T9" s="59">
        <f>M!H6*1</f>
        <v>26.648900000000001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15.946199999999999</v>
      </c>
      <c r="D10" s="99">
        <f>N8</f>
        <v>38.214100000000002</v>
      </c>
      <c r="E10" s="100">
        <f>T8</f>
        <v>47.061300000000003</v>
      </c>
      <c r="F10" s="91">
        <f>P8</f>
        <v>19.817900000000002</v>
      </c>
      <c r="G10" s="81" t="str">
        <f>CONCATENATE(M9,"
(20 ~ 40)")</f>
        <v>压力
(20 ~ 40)</v>
      </c>
      <c r="H10" s="98">
        <f>R9</f>
        <v>17.961300000000001</v>
      </c>
      <c r="I10" s="108">
        <f>N9</f>
        <v>22.5806</v>
      </c>
      <c r="J10" s="98">
        <f>T9</f>
        <v>26.648900000000001</v>
      </c>
      <c r="K10" s="92">
        <f>P9</f>
        <v>10.5855</v>
      </c>
      <c r="L10" s="6"/>
      <c r="M10" s="27" t="str">
        <f>lang!B16</f>
        <v>焦虑</v>
      </c>
      <c r="N10" s="59">
        <f>M!B7*1</f>
        <v>26.249700000000001</v>
      </c>
      <c r="O10" s="59">
        <f>M!C7*1</f>
        <v>6.4371799999999997</v>
      </c>
      <c r="P10" s="59">
        <f>M!D7*1</f>
        <v>24.5229</v>
      </c>
      <c r="Q10" s="59">
        <f>M!E7*1</f>
        <v>15</v>
      </c>
      <c r="R10" s="59">
        <f>M!F7*1</f>
        <v>4.8761200000000002</v>
      </c>
      <c r="S10" s="59">
        <f>M!G7*1</f>
        <v>40</v>
      </c>
      <c r="T10" s="59">
        <f>M!H7*1</f>
        <v>35.2958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4.8761200000000002</v>
      </c>
      <c r="D11" s="102">
        <f>N10</f>
        <v>26.249700000000001</v>
      </c>
      <c r="E11" s="103">
        <f>T10</f>
        <v>35.2958</v>
      </c>
      <c r="F11" s="94">
        <f>P10</f>
        <v>24.5229</v>
      </c>
      <c r="G11" s="52" t="str">
        <f>CONCATENATE(M11,"
(20 ~ 50)")</f>
        <v>可疑
(20 ~ 50)</v>
      </c>
      <c r="H11" s="101">
        <f>R11</f>
        <v>22.3504</v>
      </c>
      <c r="I11" s="104">
        <f>N11</f>
        <v>27.899699999999999</v>
      </c>
      <c r="J11" s="101">
        <f>T11</f>
        <v>31.184200000000001</v>
      </c>
      <c r="K11" s="95">
        <f>P11</f>
        <v>7.8978799999999998</v>
      </c>
      <c r="L11" s="4"/>
      <c r="M11" s="27" t="str">
        <f>lang!B17</f>
        <v>可疑</v>
      </c>
      <c r="N11" s="59">
        <f>M!B8*1</f>
        <v>27.899699999999999</v>
      </c>
      <c r="O11" s="59">
        <f>M!C8*1</f>
        <v>2.2034899999999999</v>
      </c>
      <c r="P11" s="59">
        <f>M!D8*1</f>
        <v>7.8978799999999998</v>
      </c>
      <c r="Q11" s="59">
        <f>M!E8*1</f>
        <v>20</v>
      </c>
      <c r="R11" s="59">
        <f>M!F8*1</f>
        <v>22.3504</v>
      </c>
      <c r="S11" s="59">
        <f>M!G8*1</f>
        <v>50</v>
      </c>
      <c r="T11" s="59">
        <f>M!H8*1</f>
        <v>31.184200000000001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61.462000000000003</v>
      </c>
      <c r="D12" s="104">
        <f>N12</f>
        <v>75.536799999999999</v>
      </c>
      <c r="E12" s="101">
        <f>T12</f>
        <v>84.030699999999996</v>
      </c>
      <c r="F12" s="93">
        <f>P12</f>
        <v>6.2020099999999996</v>
      </c>
      <c r="G12" s="52" t="str">
        <f>CONCATENATE(M13,"
(40 ~ 100)")</f>
        <v>自信
(40 ~ 100)</v>
      </c>
      <c r="H12" s="101">
        <f>R13</f>
        <v>75.582400000000007</v>
      </c>
      <c r="I12" s="104">
        <f>N13</f>
        <v>79.205799999999996</v>
      </c>
      <c r="J12" s="101">
        <f>T13</f>
        <v>83.798400000000001</v>
      </c>
      <c r="K12" s="95">
        <f>P13</f>
        <v>2.2310599999999998</v>
      </c>
      <c r="L12" s="4"/>
      <c r="M12" s="27" t="str">
        <f>lang!B18</f>
        <v>平衡</v>
      </c>
      <c r="N12" s="59">
        <f>M!B9*1</f>
        <v>75.536799999999999</v>
      </c>
      <c r="O12" s="59">
        <f>M!C9*1</f>
        <v>4.6848000000000001</v>
      </c>
      <c r="P12" s="59">
        <f>M!D9*1</f>
        <v>6.2020099999999996</v>
      </c>
      <c r="Q12" s="59">
        <f>M!E9*1</f>
        <v>50</v>
      </c>
      <c r="R12" s="59">
        <f>M!F9*1</f>
        <v>61.462000000000003</v>
      </c>
      <c r="S12" s="59">
        <f>M!G9*1</f>
        <v>100</v>
      </c>
      <c r="T12" s="59">
        <f>M!H9*1</f>
        <v>84.030699999999996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10.5304</v>
      </c>
      <c r="D13" s="102">
        <f>N14</f>
        <v>28.276800000000001</v>
      </c>
      <c r="E13" s="103">
        <f>T14</f>
        <v>46.401899999999998</v>
      </c>
      <c r="F13" s="94">
        <f>P14</f>
        <v>32.082900000000002</v>
      </c>
      <c r="G13" s="52" t="str">
        <f>CONCATENATE(M15,"
(50 ~ 100)")</f>
        <v>自我调节
(50 ~ 100)</v>
      </c>
      <c r="H13" s="101">
        <f>R15</f>
        <v>69.285899999999998</v>
      </c>
      <c r="I13" s="104">
        <f>N15</f>
        <v>77.445800000000006</v>
      </c>
      <c r="J13" s="101">
        <f>T15</f>
        <v>83.63</v>
      </c>
      <c r="K13" s="95">
        <f>P15</f>
        <v>3.8582200000000002</v>
      </c>
      <c r="L13" s="4"/>
      <c r="M13" s="27" t="str">
        <f>lang!B19</f>
        <v>自信</v>
      </c>
      <c r="N13" s="59">
        <f>M!B10*1</f>
        <v>79.205799999999996</v>
      </c>
      <c r="O13" s="59">
        <f>M!C10*1</f>
        <v>1.7671300000000001</v>
      </c>
      <c r="P13" s="59">
        <f>M!D10*1</f>
        <v>2.2310599999999998</v>
      </c>
      <c r="Q13" s="59">
        <f>M!E10*1</f>
        <v>40</v>
      </c>
      <c r="R13" s="59">
        <f>M!F10*1</f>
        <v>75.582400000000007</v>
      </c>
      <c r="S13" s="59">
        <f>M!G10*1</f>
        <v>100</v>
      </c>
      <c r="T13" s="59">
        <f>M!H10*1</f>
        <v>83.798400000000001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12.6732</v>
      </c>
      <c r="D14" s="106">
        <f>N16</f>
        <v>18.646999999999998</v>
      </c>
      <c r="E14" s="107">
        <f>T16</f>
        <v>29.167899999999999</v>
      </c>
      <c r="F14" s="96">
        <f>P16</f>
        <v>17.255600000000001</v>
      </c>
      <c r="G14" s="112" t="str">
        <f>CONCATENATE(M17,"
(10 ~ 50)")</f>
        <v>神经质
(10 ~ 50)</v>
      </c>
      <c r="H14" s="105">
        <f>R17</f>
        <v>1.89181</v>
      </c>
      <c r="I14" s="106">
        <f>N17</f>
        <v>32.176499999999997</v>
      </c>
      <c r="J14" s="107">
        <f>T17</f>
        <v>36.7029</v>
      </c>
      <c r="K14" s="97">
        <f>P17</f>
        <v>33.222999999999999</v>
      </c>
      <c r="M14" s="27" t="str">
        <f>lang!B20</f>
        <v>活力</v>
      </c>
      <c r="N14" s="59">
        <f>M!B11*1</f>
        <v>28.276800000000001</v>
      </c>
      <c r="O14" s="59">
        <f>M!C11*1</f>
        <v>9.0720399999999994</v>
      </c>
      <c r="P14" s="59">
        <f>M!D11*1</f>
        <v>32.082900000000002</v>
      </c>
      <c r="Q14" s="59">
        <f>M!E11*1</f>
        <v>10</v>
      </c>
      <c r="R14" s="59">
        <f>M!F11*1</f>
        <v>10.5304</v>
      </c>
      <c r="S14" s="59">
        <f>M!G11*1</f>
        <v>50</v>
      </c>
      <c r="T14" s="59">
        <f>M!H11*1</f>
        <v>46.401899999999998</v>
      </c>
      <c r="U14" s="14"/>
    </row>
    <row r="15" spans="2:21" ht="19.5" customHeight="1" thickBot="1">
      <c r="B15" s="187" t="str">
        <f>lang!B3</f>
        <v>参数表</v>
      </c>
      <c r="C15" s="188"/>
      <c r="D15" s="188"/>
      <c r="E15" s="188"/>
      <c r="F15" s="189"/>
      <c r="G15" s="184" t="str">
        <f>lang!B4</f>
        <v>情感状态分布图</v>
      </c>
      <c r="H15" s="185"/>
      <c r="I15" s="185"/>
      <c r="J15" s="185"/>
      <c r="K15" s="186"/>
      <c r="M15" s="27" t="str">
        <f>lang!B21</f>
        <v>自我调节</v>
      </c>
      <c r="N15" s="59">
        <f>M!B12*1</f>
        <v>77.445800000000006</v>
      </c>
      <c r="O15" s="59">
        <f>M!C12*1</f>
        <v>2.9880300000000002</v>
      </c>
      <c r="P15" s="59">
        <f>M!D12*1</f>
        <v>3.8582200000000002</v>
      </c>
      <c r="Q15" s="59">
        <f>M!E12*1</f>
        <v>50</v>
      </c>
      <c r="R15" s="59">
        <f>M!F12*1</f>
        <v>69.285899999999998</v>
      </c>
      <c r="S15" s="59">
        <f>M!G12*1</f>
        <v>100</v>
      </c>
      <c r="T15" s="59">
        <f>M!H12*1</f>
        <v>83.63</v>
      </c>
      <c r="U15" s="14"/>
    </row>
    <row r="16" spans="2:21" ht="21" customHeight="1">
      <c r="B16" s="38"/>
      <c r="C16" s="28"/>
      <c r="D16" s="28"/>
      <c r="E16" s="28"/>
      <c r="F16" s="28"/>
      <c r="G16" s="165"/>
      <c r="H16" s="166"/>
      <c r="I16" s="166"/>
      <c r="J16" s="166"/>
      <c r="K16" s="167"/>
      <c r="M16" s="27" t="str">
        <f>lang!B22</f>
        <v>抑郁</v>
      </c>
      <c r="N16" s="59">
        <f>M!B13*1</f>
        <v>18.646999999999998</v>
      </c>
      <c r="O16" s="59">
        <f>M!C13*1</f>
        <v>3.2176499999999999</v>
      </c>
      <c r="P16" s="59">
        <f>M!D13*1</f>
        <v>17.255600000000001</v>
      </c>
      <c r="Q16" s="59">
        <f>M!E13*1</f>
        <v>10</v>
      </c>
      <c r="R16" s="59">
        <f>M!F13*1</f>
        <v>12.6732</v>
      </c>
      <c r="S16" s="59">
        <f>M!G13*1</f>
        <v>25</v>
      </c>
      <c r="T16" s="59">
        <f>M!H13*1</f>
        <v>29.167899999999999</v>
      </c>
      <c r="U16" s="14"/>
    </row>
    <row r="17" spans="2:24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7" t="str">
        <f>lang!B23</f>
        <v>神经质</v>
      </c>
      <c r="N17" s="59">
        <f>M!B14*1</f>
        <v>32.176499999999997</v>
      </c>
      <c r="O17" s="59">
        <f>M!C14*1</f>
        <v>10.69</v>
      </c>
      <c r="P17" s="59">
        <f>M!D14*1</f>
        <v>33.222999999999999</v>
      </c>
      <c r="Q17" s="59">
        <f>M!E14*1</f>
        <v>10</v>
      </c>
      <c r="R17" s="59">
        <f>M!F14*1</f>
        <v>1.89181</v>
      </c>
      <c r="S17" s="59">
        <f>M!G14*1</f>
        <v>50</v>
      </c>
      <c r="T17" s="59">
        <f>M!H14*1</f>
        <v>36.7029</v>
      </c>
      <c r="U17" s="15"/>
    </row>
    <row r="18" spans="2:24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lang!B7</f>
        <v>Positive</v>
      </c>
      <c r="N18" s="65">
        <f>SUM(N12:N15)/4</f>
        <v>65.116299999999995</v>
      </c>
      <c r="O18" s="22">
        <f>N18/(N18+N19+N20)</f>
        <v>0.54598419515683994</v>
      </c>
      <c r="P18" s="65">
        <f>SUM(P12:P15)/4</f>
        <v>11.093547500000001</v>
      </c>
      <c r="Q18" s="22">
        <f>P18/(P18+P19+P20)</f>
        <v>0.21317800912077445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lang!B8</f>
        <v>Negative</v>
      </c>
      <c r="N19" s="18">
        <f>SUM(N8:N11)/4</f>
        <v>28.736025000000001</v>
      </c>
      <c r="O19" s="22">
        <f>N19/(N18+N19+N20)</f>
        <v>0.24094451745003684</v>
      </c>
      <c r="P19" s="18">
        <f>SUM(P8:P11)/4</f>
        <v>15.706045</v>
      </c>
      <c r="Q19" s="22">
        <f>P19/(P18+P19+P20)</f>
        <v>0.30181359067163083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 t="str">
        <f>lang!B9</f>
        <v>Physiological</v>
      </c>
      <c r="N20" s="18">
        <f>(N16+N17)/2</f>
        <v>25.411749999999998</v>
      </c>
      <c r="O20" s="22">
        <f>N20/(N18+N19+N20)</f>
        <v>0.2130712873931232</v>
      </c>
      <c r="P20" s="18">
        <f>(P16+P17)/2</f>
        <v>25.2393</v>
      </c>
      <c r="Q20" s="22">
        <f>P20/(P18+P19+P20)</f>
        <v>0.48500840020759473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21" t="str">
        <f>lang!B50</f>
        <v>Sat</v>
      </c>
      <c r="N21" s="88">
        <f ca="1">(info!V3-info!U3)-(info!X3-info!W3)</f>
        <v>-7.8574594594594538E-2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68"/>
      <c r="H22" s="169"/>
      <c r="I22" s="169"/>
      <c r="J22" s="169"/>
      <c r="K22" s="17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71"/>
      <c r="H23" s="172"/>
      <c r="I23" s="172"/>
      <c r="J23" s="172"/>
      <c r="K23" s="173"/>
      <c r="M23" s="16"/>
      <c r="O23" s="17"/>
      <c r="Q23"/>
      <c r="T23"/>
      <c r="U23" s="19"/>
    </row>
    <row r="24" spans="2:24" ht="17.25" customHeight="1" thickBot="1">
      <c r="B24" s="150" t="str">
        <f>lang!B5</f>
        <v>频率分布直方图</v>
      </c>
      <c r="C24" s="151"/>
      <c r="D24" s="151"/>
      <c r="E24" s="151"/>
      <c r="F24" s="152"/>
      <c r="G24" s="162" t="str">
        <f>lang!B6</f>
        <v xml:space="preserve">心理变化 - 心理基础代谢 </v>
      </c>
      <c r="H24" s="163"/>
      <c r="I24" s="163"/>
      <c r="J24" s="163"/>
      <c r="K24" s="16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2.0304103355426357</v>
      </c>
      <c r="D25" s="44" t="str">
        <f>lang!B11</f>
        <v>频率方差</v>
      </c>
      <c r="E25" s="182">
        <f ca="1">FH!L3</f>
        <v>0.62896823684130365</v>
      </c>
      <c r="F25" s="183"/>
      <c r="G25" s="174" t="str">
        <f>lang!B12</f>
        <v>生理变化率</v>
      </c>
      <c r="H25" s="175"/>
      <c r="I25" s="62" t="str">
        <f ca="1">CONCATENATE(info!M7,"-",info!M8)</f>
        <v>44.4-67.3</v>
      </c>
      <c r="J25" s="42" t="str">
        <f>lang!B13</f>
        <v>千卡l/分钟</v>
      </c>
      <c r="K25" s="41" t="str">
        <f ca="1">CONCATENATE(info!M5,"-",info!M6)</f>
        <v>2.2-5.1</v>
      </c>
      <c r="M25" s="16"/>
      <c r="O25" s="17"/>
      <c r="P25" s="17"/>
      <c r="Q25"/>
      <c r="T25"/>
      <c r="U25" s="19"/>
    </row>
    <row r="26" spans="2:24" ht="156.75" customHeight="1" thickBot="1">
      <c r="B26" s="155" ph="1"/>
      <c r="C26" s="156" ph="1"/>
      <c r="D26" s="156" ph="1"/>
      <c r="E26" s="157" ph="1"/>
      <c r="F26" s="39" ph="1"/>
      <c r="G26" s="158"/>
      <c r="H26" s="159"/>
      <c r="I26" s="159"/>
      <c r="J26" s="160"/>
      <c r="K26" s="161"/>
      <c r="M26"/>
      <c r="O26" s="17"/>
      <c r="Q26"/>
      <c r="T26"/>
      <c r="U26" s="19"/>
    </row>
    <row r="27" spans="2:24" ht="15" customHeight="1" thickBot="1">
      <c r="B27" s="119" t="str">
        <f>CONCATENATE( lang!B31," ",ROUND(100-FH_info!L2,0),"%]")</f>
        <v>Result [Quality 100%]</v>
      </c>
      <c r="C27" s="120"/>
      <c r="D27" s="120"/>
      <c r="E27" s="120"/>
      <c r="F27" s="120"/>
      <c r="G27" s="120"/>
      <c r="H27" s="120"/>
      <c r="I27" s="120"/>
      <c r="J27" s="120"/>
      <c r="K27" s="121"/>
      <c r="M27"/>
      <c r="Q27"/>
      <c r="T27"/>
    </row>
    <row r="28" spans="2:24" ht="15.75" thickBot="1">
      <c r="B28" s="135" t="str">
        <f>lang!B32</f>
        <v>外向性</v>
      </c>
      <c r="C28" s="136"/>
      <c r="D28" s="137"/>
      <c r="E28" s="119">
        <f>M!B18*100</f>
        <v>57.408700000000003</v>
      </c>
      <c r="F28" s="121"/>
      <c r="G28" s="135" t="str">
        <f>lang!B33</f>
        <v>稳定性</v>
      </c>
      <c r="H28" s="136"/>
      <c r="I28" s="137"/>
      <c r="J28" s="138">
        <f>M!B19*100</f>
        <v>59.668799999999997</v>
      </c>
      <c r="K28" s="139"/>
    </row>
    <row r="29" spans="2:24" ht="24.75" customHeight="1">
      <c r="B29" s="122" t="str">
        <f>lang!B34</f>
        <v xml:space="preserve">心理生理状态分析结果： </v>
      </c>
      <c r="C29" s="123"/>
      <c r="D29" s="123"/>
      <c r="E29" s="123"/>
      <c r="F29" s="123"/>
      <c r="G29" s="123"/>
      <c r="H29" s="123"/>
      <c r="I29" s="123"/>
      <c r="J29" s="123"/>
      <c r="K29" s="124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40" t="str">
        <f>lang!B37</f>
        <v>意见</v>
      </c>
      <c r="C32" s="141"/>
      <c r="D32" s="142"/>
      <c r="E32" s="142"/>
      <c r="F32" s="142"/>
      <c r="G32" s="142"/>
      <c r="H32" s="142"/>
      <c r="I32" s="142"/>
      <c r="J32" s="142"/>
      <c r="K32" s="143"/>
      <c r="M32"/>
      <c r="Q32"/>
      <c r="T32"/>
      <c r="W32" s="33"/>
      <c r="X32" s="33"/>
    </row>
    <row r="33" spans="2:24" ht="18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20.25" customHeight="1">
      <c r="B34" s="113"/>
      <c r="C34" s="114"/>
      <c r="D34" s="114"/>
      <c r="E34" s="114"/>
      <c r="F34" s="114"/>
      <c r="G34" s="114"/>
      <c r="H34" s="114"/>
      <c r="I34" s="114"/>
      <c r="J34" s="114"/>
      <c r="K34" s="115"/>
      <c r="M34"/>
      <c r="Q34"/>
      <c r="T34"/>
      <c r="W34" s="33"/>
      <c r="X34" s="33"/>
    </row>
    <row r="35" spans="2:24" ht="35.25" customHeight="1" thickBot="1">
      <c r="B35" s="116"/>
      <c r="C35" s="117"/>
      <c r="D35" s="117"/>
      <c r="E35" s="117"/>
      <c r="F35" s="117"/>
      <c r="G35" s="117"/>
      <c r="H35" s="117"/>
      <c r="I35" s="117"/>
      <c r="J35" s="117"/>
      <c r="K35" s="118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53"/>
      <c r="D1" s="154"/>
      <c r="E1" s="154"/>
      <c r="F1" s="154"/>
      <c r="G1" s="154"/>
      <c r="H1" s="154"/>
      <c r="I1" s="154"/>
      <c r="J1" s="87"/>
      <c r="K1" s="87"/>
      <c r="L1" s="86"/>
      <c r="M1" s="86"/>
      <c r="N1" s="86"/>
      <c r="O1" s="86"/>
      <c r="P1" s="86"/>
    </row>
    <row r="2" spans="2:38" ht="13.5">
      <c r="B2" s="176" t="str">
        <f>lang!B2</f>
        <v>心理生理状态分析结果</v>
      </c>
      <c r="C2" s="177"/>
      <c r="D2" s="177"/>
      <c r="E2" s="177"/>
      <c r="F2" s="177"/>
      <c r="G2" s="177"/>
      <c r="H2" s="177"/>
      <c r="I2" s="177"/>
      <c r="J2" s="177"/>
      <c r="K2" s="178"/>
    </row>
    <row r="3" spans="2:38" ht="31.5" customHeight="1" thickBot="1">
      <c r="B3" s="179"/>
      <c r="C3" s="180"/>
      <c r="D3" s="180"/>
      <c r="E3" s="180"/>
      <c r="F3" s="180"/>
      <c r="G3" s="180"/>
      <c r="H3" s="180"/>
      <c r="I3" s="180"/>
      <c r="J3" s="180"/>
      <c r="K3" s="181"/>
    </row>
    <row r="4" spans="2:38" ht="16.5" customHeight="1">
      <c r="B4" s="45" t="str">
        <f>lang!B24</f>
        <v>姓名</v>
      </c>
      <c r="C4" s="190" t="str">
        <f>FH_info!B2</f>
        <v>.</v>
      </c>
      <c r="D4" s="191"/>
      <c r="E4" s="191"/>
      <c r="F4" s="192"/>
      <c r="G4" s="48" t="str">
        <f>lang!B27</f>
        <v>编号</v>
      </c>
      <c r="H4" s="190"/>
      <c r="I4" s="191"/>
      <c r="J4" s="191"/>
      <c r="K4" s="193"/>
    </row>
    <row r="5" spans="2:38" ht="17.25" customHeight="1">
      <c r="B5" s="46" t="str">
        <f>lang!B25</f>
        <v>性别</v>
      </c>
      <c r="C5" s="144"/>
      <c r="D5" s="145"/>
      <c r="E5" s="145"/>
      <c r="F5" s="146"/>
      <c r="G5" s="49" t="str">
        <f>lang!B28</f>
        <v xml:space="preserve"> 日期</v>
      </c>
      <c r="H5" s="129">
        <f>FH_info!A2</f>
        <v>43615.673472222225</v>
      </c>
      <c r="I5" s="130"/>
      <c r="J5" s="130"/>
      <c r="K5" s="131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47"/>
      <c r="D6" s="148"/>
      <c r="E6" s="148"/>
      <c r="F6" s="149"/>
      <c r="G6" s="50" t="str">
        <f>lang!B29</f>
        <v>误差率（%）</v>
      </c>
      <c r="H6" s="132">
        <f>dM!B17*1</f>
        <v>0</v>
      </c>
      <c r="I6" s="133"/>
      <c r="J6" s="133"/>
      <c r="K6" s="134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25" t="str">
        <f>lang!B30</f>
        <v>10项参数结果</v>
      </c>
      <c r="C7" s="126"/>
      <c r="D7" s="127"/>
      <c r="E7" s="127"/>
      <c r="F7" s="127"/>
      <c r="G7" s="127"/>
      <c r="H7" s="127"/>
      <c r="I7" s="127"/>
      <c r="J7" s="127"/>
      <c r="K7" s="128"/>
      <c r="M7" s="27" t="str">
        <f>lang!B14</f>
        <v>攻击性</v>
      </c>
      <c r="N7" s="59">
        <f>AF7-W7</f>
        <v>8.607800000000001</v>
      </c>
      <c r="O7" s="59">
        <f t="shared" ref="O7:T7" si="2">AG7-X7</f>
        <v>-4.3084399999999992</v>
      </c>
      <c r="P7" s="59">
        <f t="shared" si="2"/>
        <v>-16.110570000000003</v>
      </c>
      <c r="Q7" s="59">
        <f t="shared" si="2"/>
        <v>0</v>
      </c>
      <c r="R7" s="59">
        <f t="shared" si="2"/>
        <v>16.714400000000005</v>
      </c>
      <c r="S7" s="59">
        <f t="shared" si="2"/>
        <v>0</v>
      </c>
      <c r="T7" s="59">
        <f t="shared" si="2"/>
        <v>1.6796000000000006</v>
      </c>
      <c r="U7" s="14"/>
      <c r="V7" s="27" t="str">
        <f>M7</f>
        <v>攻击性</v>
      </c>
      <c r="W7" s="59">
        <f>'M1'!B5*1</f>
        <v>31.737300000000001</v>
      </c>
      <c r="X7" s="59">
        <f>'M1'!C5*1</f>
        <v>8.0797899999999991</v>
      </c>
      <c r="Y7" s="59">
        <f>'M1'!D5*1</f>
        <v>25.458300000000001</v>
      </c>
      <c r="Z7" s="59">
        <f>'M1'!E5*1</f>
        <v>20</v>
      </c>
      <c r="AA7" s="59">
        <f>'M1'!F5*1</f>
        <v>15.946199999999999</v>
      </c>
      <c r="AB7" s="59">
        <f>'M1'!G5*1</f>
        <v>50</v>
      </c>
      <c r="AC7" s="59">
        <f>'M1'!H5*1</f>
        <v>45.381700000000002</v>
      </c>
      <c r="AE7" s="27" t="str">
        <f>V7</f>
        <v>攻击性</v>
      </c>
      <c r="AF7" s="59">
        <f>'M2'!B5*1</f>
        <v>40.345100000000002</v>
      </c>
      <c r="AG7" s="59">
        <f>'M2'!C5*1</f>
        <v>3.77135</v>
      </c>
      <c r="AH7" s="59">
        <f>'M2'!D5*1</f>
        <v>9.3477300000000003</v>
      </c>
      <c r="AI7" s="59">
        <f>'M2'!E5*1</f>
        <v>20</v>
      </c>
      <c r="AJ7" s="59">
        <f>'M2'!F5*1</f>
        <v>32.660600000000002</v>
      </c>
      <c r="AK7" s="59">
        <f>'M2'!G5*1</f>
        <v>50</v>
      </c>
      <c r="AL7" s="59">
        <f>'M2'!H5*1</f>
        <v>47.061300000000003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-3.5713000000000008</v>
      </c>
      <c r="O8" s="59">
        <f t="shared" ref="O8:O16" si="5">AG8-X8</f>
        <v>0.87999000000000027</v>
      </c>
      <c r="P8" s="59">
        <f t="shared" ref="P8:P16" si="6">AH8-Y8</f>
        <v>5.6162099999999988</v>
      </c>
      <c r="Q8" s="59">
        <f t="shared" ref="Q8:Q16" si="7">AI8-Z8</f>
        <v>0</v>
      </c>
      <c r="R8" s="59">
        <f t="shared" ref="R8:R16" si="8">AJ8-AA8</f>
        <v>-3.736699999999999</v>
      </c>
      <c r="S8" s="59">
        <f t="shared" ref="S8:S16" si="9">AK8-AB8</f>
        <v>0</v>
      </c>
      <c r="T8" s="59">
        <f t="shared" ref="T8:T16" si="10">AL8-AC8</f>
        <v>0.10000000000000142</v>
      </c>
      <c r="U8" s="15"/>
      <c r="V8" s="27" t="str">
        <f t="shared" ref="V8:V16" si="11">M8</f>
        <v>压力</v>
      </c>
      <c r="W8" s="59">
        <f>'M1'!B6*1</f>
        <v>23.1797</v>
      </c>
      <c r="X8" s="59">
        <f>'M1'!C6*1</f>
        <v>1.4359999999999999</v>
      </c>
      <c r="Y8" s="59">
        <f>'M1'!D6*1</f>
        <v>6.1950900000000004</v>
      </c>
      <c r="Z8" s="59">
        <f>'M1'!E6*1</f>
        <v>20</v>
      </c>
      <c r="AA8" s="59">
        <f>'M1'!F6*1</f>
        <v>21.698</v>
      </c>
      <c r="AB8" s="59">
        <f>'M1'!G6*1</f>
        <v>40</v>
      </c>
      <c r="AC8" s="59">
        <f>'M1'!H6*1</f>
        <v>26.5489</v>
      </c>
      <c r="AE8" s="27" t="str">
        <f t="shared" ref="AE8:AE16" si="12">V8</f>
        <v>压力</v>
      </c>
      <c r="AF8" s="59">
        <f>'M2'!B6*1</f>
        <v>19.6084</v>
      </c>
      <c r="AG8" s="59">
        <f>'M2'!C6*1</f>
        <v>2.3159900000000002</v>
      </c>
      <c r="AH8" s="59">
        <f>'M2'!D6*1</f>
        <v>11.811299999999999</v>
      </c>
      <c r="AI8" s="59">
        <f>'M2'!E6*1</f>
        <v>20</v>
      </c>
      <c r="AJ8" s="59">
        <f>'M2'!F6*1</f>
        <v>17.961300000000001</v>
      </c>
      <c r="AK8" s="59">
        <f>'M2'!G6*1</f>
        <v>40</v>
      </c>
      <c r="AL8" s="59">
        <f>'M2'!H6*1</f>
        <v>26.648900000000001</v>
      </c>
    </row>
    <row r="9" spans="2:38" s="7" customFormat="1" ht="21" customHeight="1">
      <c r="B9" s="76" t="str">
        <f>CONCATENATE(M7,"
(20 ~ 50)")</f>
        <v>攻击性
(20 ~ 50)</v>
      </c>
      <c r="C9" s="77">
        <f>R7</f>
        <v>16.714400000000005</v>
      </c>
      <c r="D9" s="78">
        <f>N7</f>
        <v>8.607800000000001</v>
      </c>
      <c r="E9" s="79">
        <f>T7</f>
        <v>1.6796000000000006</v>
      </c>
      <c r="F9" s="79">
        <f>P7</f>
        <v>-16.110570000000003</v>
      </c>
      <c r="G9" s="80" t="str">
        <f>CONCATENATE(M8,"
(20 ~ 40)")</f>
        <v>压力
(20 ~ 40)</v>
      </c>
      <c r="H9" s="77">
        <f>R8</f>
        <v>-3.736699999999999</v>
      </c>
      <c r="I9" s="81">
        <f>N8</f>
        <v>-3.5713000000000008</v>
      </c>
      <c r="J9" s="77">
        <f>T8</f>
        <v>0.10000000000000142</v>
      </c>
      <c r="K9" s="82">
        <f>P8</f>
        <v>5.6162099999999988</v>
      </c>
      <c r="L9" s="6"/>
      <c r="M9" s="27" t="str">
        <f>lang!B16</f>
        <v>焦虑</v>
      </c>
      <c r="N9" s="59">
        <f t="shared" si="4"/>
        <v>-4.8590000000000018</v>
      </c>
      <c r="O9" s="59">
        <f t="shared" si="5"/>
        <v>2.8902799999999997</v>
      </c>
      <c r="P9" s="59">
        <f t="shared" si="6"/>
        <v>15.562700000000001</v>
      </c>
      <c r="Q9" s="59">
        <f t="shared" si="7"/>
        <v>0</v>
      </c>
      <c r="R9" s="59">
        <f t="shared" si="8"/>
        <v>-10.20698</v>
      </c>
      <c r="S9" s="59">
        <f t="shared" si="9"/>
        <v>0</v>
      </c>
      <c r="T9" s="59">
        <f t="shared" si="10"/>
        <v>0.3650999999999982</v>
      </c>
      <c r="U9" s="14"/>
      <c r="V9" s="27" t="str">
        <f t="shared" si="11"/>
        <v>焦虑</v>
      </c>
      <c r="W9" s="59">
        <f>'M1'!B7*1</f>
        <v>28.194900000000001</v>
      </c>
      <c r="X9" s="59">
        <f>'M1'!C7*1</f>
        <v>4.3020500000000004</v>
      </c>
      <c r="Y9" s="59">
        <f>'M1'!D7*1</f>
        <v>15.2582</v>
      </c>
      <c r="Z9" s="59">
        <f>'M1'!E7*1</f>
        <v>15</v>
      </c>
      <c r="AA9" s="59">
        <f>'M1'!F7*1</f>
        <v>15.0831</v>
      </c>
      <c r="AB9" s="59">
        <f>'M1'!G7*1</f>
        <v>40</v>
      </c>
      <c r="AC9" s="59">
        <f>'M1'!H7*1</f>
        <v>34.930700000000002</v>
      </c>
      <c r="AE9" s="27" t="str">
        <f t="shared" si="12"/>
        <v>焦虑</v>
      </c>
      <c r="AF9" s="59">
        <f>'M2'!B7*1</f>
        <v>23.335899999999999</v>
      </c>
      <c r="AG9" s="59">
        <f>'M2'!C7*1</f>
        <v>7.1923300000000001</v>
      </c>
      <c r="AH9" s="59">
        <f>'M2'!D7*1</f>
        <v>30.820900000000002</v>
      </c>
      <c r="AI9" s="59">
        <f>'M2'!E7*1</f>
        <v>15</v>
      </c>
      <c r="AJ9" s="59">
        <f>'M2'!F7*1</f>
        <v>4.8761200000000002</v>
      </c>
      <c r="AK9" s="59">
        <f>'M2'!G7*1</f>
        <v>40</v>
      </c>
      <c r="AL9" s="59">
        <f>'M2'!H7*1</f>
        <v>35.2958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-10.20698</v>
      </c>
      <c r="D10" s="51">
        <f>N9</f>
        <v>-4.8590000000000018</v>
      </c>
      <c r="E10" s="53">
        <f>T9</f>
        <v>0.3650999999999982</v>
      </c>
      <c r="F10" s="53">
        <f>P9</f>
        <v>15.562700000000001</v>
      </c>
      <c r="G10" s="73" t="str">
        <f>CONCATENATE(M10,"
(20 ~ 50)")</f>
        <v>可疑
(20 ~ 50)</v>
      </c>
      <c r="H10" s="24">
        <f>R10</f>
        <v>1.2257999999999996</v>
      </c>
      <c r="I10" s="52">
        <f>N10</f>
        <v>-0.21659999999999968</v>
      </c>
      <c r="J10" s="24">
        <f>T10</f>
        <v>-0.41420000000000101</v>
      </c>
      <c r="K10" s="25">
        <f>P10</f>
        <v>-2.422909999999999</v>
      </c>
      <c r="L10" s="4"/>
      <c r="M10" s="27" t="str">
        <f>lang!B17</f>
        <v>可疑</v>
      </c>
      <c r="N10" s="59">
        <f t="shared" si="4"/>
        <v>-0.21659999999999968</v>
      </c>
      <c r="O10" s="59">
        <f t="shared" si="5"/>
        <v>-0.69395999999999991</v>
      </c>
      <c r="P10" s="59">
        <f t="shared" si="6"/>
        <v>-2.422909999999999</v>
      </c>
      <c r="Q10" s="59">
        <f t="shared" si="7"/>
        <v>0</v>
      </c>
      <c r="R10" s="59">
        <f t="shared" si="8"/>
        <v>1.2257999999999996</v>
      </c>
      <c r="S10" s="59">
        <f t="shared" si="9"/>
        <v>0</v>
      </c>
      <c r="T10" s="59">
        <f t="shared" si="10"/>
        <v>-0.41420000000000101</v>
      </c>
      <c r="U10" s="14"/>
      <c r="V10" s="27" t="str">
        <f t="shared" si="11"/>
        <v>可疑</v>
      </c>
      <c r="W10" s="59">
        <f>'M1'!B8*1</f>
        <v>28.058499999999999</v>
      </c>
      <c r="X10" s="59">
        <f>'M1'!C8*1</f>
        <v>2.5094699999999999</v>
      </c>
      <c r="Y10" s="59">
        <f>'M1'!D8*1</f>
        <v>8.9437099999999994</v>
      </c>
      <c r="Z10" s="59">
        <f>'M1'!E8*1</f>
        <v>20</v>
      </c>
      <c r="AA10" s="59">
        <f>'M1'!F8*1</f>
        <v>22.3504</v>
      </c>
      <c r="AB10" s="59">
        <f>'M1'!G8*1</f>
        <v>50</v>
      </c>
      <c r="AC10" s="59">
        <f>'M1'!H8*1</f>
        <v>31.184200000000001</v>
      </c>
      <c r="AE10" s="27" t="str">
        <f t="shared" si="12"/>
        <v>可疑</v>
      </c>
      <c r="AF10" s="59">
        <f>'M2'!B8*1</f>
        <v>27.841899999999999</v>
      </c>
      <c r="AG10" s="59">
        <f>'M2'!C8*1</f>
        <v>1.81551</v>
      </c>
      <c r="AH10" s="59">
        <f>'M2'!D8*1</f>
        <v>6.5208000000000004</v>
      </c>
      <c r="AI10" s="59">
        <f>'M2'!E8*1</f>
        <v>20</v>
      </c>
      <c r="AJ10" s="59">
        <f>'M2'!F8*1</f>
        <v>23.5762</v>
      </c>
      <c r="AK10" s="59">
        <f>'M2'!G8*1</f>
        <v>50</v>
      </c>
      <c r="AL10" s="59">
        <f>'M2'!H8*1</f>
        <v>30.77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-7.6006</v>
      </c>
      <c r="D11" s="52">
        <f>N11</f>
        <v>-4.950800000000001</v>
      </c>
      <c r="E11" s="24">
        <f>T11</f>
        <v>-1.1376999999999953</v>
      </c>
      <c r="F11" s="24">
        <f>P11</f>
        <v>2.4091600000000009</v>
      </c>
      <c r="G11" s="73" t="str">
        <f>CONCATENATE(M12,"
(40 ~ 100)")</f>
        <v>自信
(40 ~ 100)</v>
      </c>
      <c r="H11" s="24">
        <f>R12</f>
        <v>-0.37899999999999068</v>
      </c>
      <c r="I11" s="52">
        <f>N12</f>
        <v>-1.5039000000000016</v>
      </c>
      <c r="J11" s="24">
        <f>T12</f>
        <v>-1.9361999999999995</v>
      </c>
      <c r="K11" s="25">
        <f>P12</f>
        <v>-0.34908000000000006</v>
      </c>
      <c r="L11" s="4"/>
      <c r="M11" s="27" t="str">
        <f>lang!B18</f>
        <v>平衡</v>
      </c>
      <c r="N11" s="59">
        <f t="shared" si="4"/>
        <v>-4.950800000000001</v>
      </c>
      <c r="O11" s="59">
        <f t="shared" si="5"/>
        <v>1.5394700000000001</v>
      </c>
      <c r="P11" s="59">
        <f t="shared" si="6"/>
        <v>2.4091600000000009</v>
      </c>
      <c r="Q11" s="59">
        <f t="shared" si="7"/>
        <v>0</v>
      </c>
      <c r="R11" s="59">
        <f t="shared" si="8"/>
        <v>-7.6006</v>
      </c>
      <c r="S11" s="59">
        <f t="shared" si="9"/>
        <v>0</v>
      </c>
      <c r="T11" s="59">
        <f t="shared" si="10"/>
        <v>-1.1376999999999953</v>
      </c>
      <c r="U11" s="14"/>
      <c r="V11" s="27" t="str">
        <f t="shared" si="11"/>
        <v>平衡</v>
      </c>
      <c r="W11" s="59">
        <f>'M1'!B9*1</f>
        <v>77.512699999999995</v>
      </c>
      <c r="X11" s="59">
        <f>'M1'!C9*1</f>
        <v>3.26702</v>
      </c>
      <c r="Y11" s="59">
        <f>'M1'!D9*1</f>
        <v>4.2148199999999996</v>
      </c>
      <c r="Z11" s="59">
        <f>'M1'!E9*1</f>
        <v>50</v>
      </c>
      <c r="AA11" s="59">
        <f>'M1'!F9*1</f>
        <v>69.062600000000003</v>
      </c>
      <c r="AB11" s="59">
        <f>'M1'!G9*1</f>
        <v>100</v>
      </c>
      <c r="AC11" s="59">
        <f>'M1'!H9*1</f>
        <v>84.030699999999996</v>
      </c>
      <c r="AE11" s="27" t="str">
        <f t="shared" si="12"/>
        <v>平衡</v>
      </c>
      <c r="AF11" s="59">
        <f>'M2'!B9*1</f>
        <v>72.561899999999994</v>
      </c>
      <c r="AG11" s="59">
        <f>'M2'!C9*1</f>
        <v>4.8064900000000002</v>
      </c>
      <c r="AH11" s="59">
        <f>'M2'!D9*1</f>
        <v>6.6239800000000004</v>
      </c>
      <c r="AI11" s="59">
        <f>'M2'!E9*1</f>
        <v>50</v>
      </c>
      <c r="AJ11" s="59">
        <f>'M2'!F9*1</f>
        <v>61.462000000000003</v>
      </c>
      <c r="AK11" s="59">
        <f>'M2'!G9*1</f>
        <v>100</v>
      </c>
      <c r="AL11" s="59">
        <f>'M2'!H9*1</f>
        <v>82.893000000000001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14.0627</v>
      </c>
      <c r="D12" s="51">
        <f>N13</f>
        <v>14.748599999999996</v>
      </c>
      <c r="E12" s="53">
        <f>T13</f>
        <v>14.1892</v>
      </c>
      <c r="F12" s="53">
        <f>P13</f>
        <v>-12.288899999999998</v>
      </c>
      <c r="G12" s="73" t="str">
        <f>CONCATENATE(M14,"
(50 ~ 100)")</f>
        <v>自我调节
(50 ~ 100)</v>
      </c>
      <c r="H12" s="24">
        <f>R14</f>
        <v>-3.7912000000000035</v>
      </c>
      <c r="I12" s="52">
        <f>N14</f>
        <v>-2.5663999999999874</v>
      </c>
      <c r="J12" s="24">
        <f>T14</f>
        <v>-1.6987000000000023</v>
      </c>
      <c r="K12" s="25">
        <f>P14</f>
        <v>0.96785000000000032</v>
      </c>
      <c r="L12" s="4"/>
      <c r="M12" s="27" t="str">
        <f>lang!B19</f>
        <v>自信</v>
      </c>
      <c r="N12" s="59">
        <f t="shared" si="4"/>
        <v>-1.5039000000000016</v>
      </c>
      <c r="O12" s="59">
        <f t="shared" si="5"/>
        <v>-0.30710999999999999</v>
      </c>
      <c r="P12" s="59">
        <f t="shared" si="6"/>
        <v>-0.34908000000000006</v>
      </c>
      <c r="Q12" s="59">
        <f t="shared" si="7"/>
        <v>0</v>
      </c>
      <c r="R12" s="59">
        <f t="shared" si="8"/>
        <v>-0.37899999999999068</v>
      </c>
      <c r="S12" s="59">
        <f t="shared" si="9"/>
        <v>0</v>
      </c>
      <c r="T12" s="59">
        <f t="shared" si="10"/>
        <v>-1.9361999999999995</v>
      </c>
      <c r="U12" s="15"/>
      <c r="V12" s="27" t="str">
        <f t="shared" si="11"/>
        <v>自信</v>
      </c>
      <c r="W12" s="59">
        <f>'M1'!B10*1</f>
        <v>80</v>
      </c>
      <c r="X12" s="59">
        <f>'M1'!C10*1</f>
        <v>1.76068</v>
      </c>
      <c r="Y12" s="59">
        <f>'M1'!D10*1</f>
        <v>2.20085</v>
      </c>
      <c r="Z12" s="59">
        <f>'M1'!E10*1</f>
        <v>40</v>
      </c>
      <c r="AA12" s="59">
        <f>'M1'!F10*1</f>
        <v>75.961399999999998</v>
      </c>
      <c r="AB12" s="59">
        <f>'M1'!G10*1</f>
        <v>100</v>
      </c>
      <c r="AC12" s="59">
        <f>'M1'!H10*1</f>
        <v>83.798400000000001</v>
      </c>
      <c r="AE12" s="27" t="str">
        <f t="shared" si="12"/>
        <v>自信</v>
      </c>
      <c r="AF12" s="59">
        <f>'M2'!B10*1</f>
        <v>78.496099999999998</v>
      </c>
      <c r="AG12" s="59">
        <f>'M2'!C10*1</f>
        <v>1.45357</v>
      </c>
      <c r="AH12" s="59">
        <f>'M2'!D10*1</f>
        <v>1.8517699999999999</v>
      </c>
      <c r="AI12" s="59">
        <f>'M2'!E10*1</f>
        <v>40</v>
      </c>
      <c r="AJ12" s="59">
        <f>'M2'!F10*1</f>
        <v>75.582400000000007</v>
      </c>
      <c r="AK12" s="59">
        <f>'M2'!G10*1</f>
        <v>100</v>
      </c>
      <c r="AL12" s="59">
        <f>'M2'!H10*1</f>
        <v>81.862200000000001</v>
      </c>
    </row>
    <row r="13" spans="2:38" ht="25.5" customHeight="1" thickBot="1">
      <c r="B13" s="72" t="str">
        <f>CONCATENATE(M15,"
(10 ~ 25)")</f>
        <v>抑郁
(10 ~ 25)</v>
      </c>
      <c r="C13" s="54">
        <f>R15</f>
        <v>2.520900000000001</v>
      </c>
      <c r="D13" s="55">
        <f>N15</f>
        <v>1.8426000000000009</v>
      </c>
      <c r="E13" s="56">
        <f>T15</f>
        <v>6.017199999999999</v>
      </c>
      <c r="F13" s="56">
        <f>P15</f>
        <v>1.5017999999999994</v>
      </c>
      <c r="G13" s="74" t="str">
        <f>CONCATENATE(M16,"
(10 ~ 50)")</f>
        <v>神经质
(10 ~ 50)</v>
      </c>
      <c r="H13" s="54">
        <f>R16</f>
        <v>1.5150600000000001</v>
      </c>
      <c r="I13" s="55">
        <f>N16</f>
        <v>5.7756000000000043</v>
      </c>
      <c r="J13" s="56">
        <f>T16</f>
        <v>6.4383999999999979</v>
      </c>
      <c r="K13" s="57">
        <f>P16</f>
        <v>2.9825999999999979</v>
      </c>
      <c r="M13" s="27" t="str">
        <f>lang!B20</f>
        <v>活力</v>
      </c>
      <c r="N13" s="59">
        <f t="shared" si="4"/>
        <v>14.748599999999996</v>
      </c>
      <c r="O13" s="59">
        <f t="shared" si="5"/>
        <v>0.10850999999999988</v>
      </c>
      <c r="P13" s="59">
        <f t="shared" si="6"/>
        <v>-12.288899999999998</v>
      </c>
      <c r="Q13" s="59">
        <f t="shared" si="7"/>
        <v>0</v>
      </c>
      <c r="R13" s="59">
        <f t="shared" si="8"/>
        <v>14.0627</v>
      </c>
      <c r="S13" s="59">
        <f t="shared" si="9"/>
        <v>0</v>
      </c>
      <c r="T13" s="59">
        <f t="shared" si="10"/>
        <v>14.1892</v>
      </c>
      <c r="U13" s="14"/>
      <c r="V13" s="27" t="str">
        <f t="shared" si="11"/>
        <v>活力</v>
      </c>
      <c r="W13" s="59">
        <f>'M1'!B11*1</f>
        <v>20.754300000000001</v>
      </c>
      <c r="X13" s="59">
        <f>'M1'!C11*1</f>
        <v>6.2921800000000001</v>
      </c>
      <c r="Y13" s="59">
        <f>'M1'!D11*1</f>
        <v>30.317499999999999</v>
      </c>
      <c r="Z13" s="59">
        <f>'M1'!E11*1</f>
        <v>10</v>
      </c>
      <c r="AA13" s="59">
        <f>'M1'!F11*1</f>
        <v>10.5304</v>
      </c>
      <c r="AB13" s="59">
        <f>'M1'!G11*1</f>
        <v>50</v>
      </c>
      <c r="AC13" s="59">
        <f>'M1'!H11*1</f>
        <v>32.212699999999998</v>
      </c>
      <c r="AE13" s="27" t="str">
        <f t="shared" si="12"/>
        <v>活力</v>
      </c>
      <c r="AF13" s="59">
        <f>'M2'!B11*1</f>
        <v>35.502899999999997</v>
      </c>
      <c r="AG13" s="59">
        <f>'M2'!C11*1</f>
        <v>6.40069</v>
      </c>
      <c r="AH13" s="59">
        <f>'M2'!D11*1</f>
        <v>18.028600000000001</v>
      </c>
      <c r="AI13" s="59">
        <f>'M2'!E11*1</f>
        <v>10</v>
      </c>
      <c r="AJ13" s="59">
        <f>'M2'!F11*1</f>
        <v>24.5931</v>
      </c>
      <c r="AK13" s="59">
        <f>'M2'!G11*1</f>
        <v>50</v>
      </c>
      <c r="AL13" s="59">
        <f>'M2'!H11*1</f>
        <v>46.401899999999998</v>
      </c>
    </row>
    <row r="14" spans="2:38" ht="19.5" customHeight="1" thickBot="1">
      <c r="B14" s="187" t="str">
        <f>lang!B3</f>
        <v>参数表</v>
      </c>
      <c r="C14" s="188"/>
      <c r="D14" s="188"/>
      <c r="E14" s="188"/>
      <c r="F14" s="189"/>
      <c r="G14" s="184" t="str">
        <f>lang!B4</f>
        <v>情感状态分布图</v>
      </c>
      <c r="H14" s="185"/>
      <c r="I14" s="185"/>
      <c r="J14" s="185"/>
      <c r="K14" s="186"/>
      <c r="M14" s="27" t="str">
        <f>lang!B21</f>
        <v>自我调节</v>
      </c>
      <c r="N14" s="59">
        <f t="shared" si="4"/>
        <v>-2.5663999999999874</v>
      </c>
      <c r="O14" s="59">
        <f t="shared" si="5"/>
        <v>0.65984000000000043</v>
      </c>
      <c r="P14" s="59">
        <f t="shared" si="6"/>
        <v>0.96785000000000032</v>
      </c>
      <c r="Q14" s="59">
        <f t="shared" si="7"/>
        <v>0</v>
      </c>
      <c r="R14" s="59">
        <f t="shared" si="8"/>
        <v>-3.7912000000000035</v>
      </c>
      <c r="S14" s="59">
        <f t="shared" si="9"/>
        <v>0</v>
      </c>
      <c r="T14" s="59">
        <f t="shared" si="10"/>
        <v>-1.6987000000000023</v>
      </c>
      <c r="U14" s="14"/>
      <c r="V14" s="27" t="str">
        <f t="shared" si="11"/>
        <v>自我调节</v>
      </c>
      <c r="W14" s="59">
        <f>'M1'!B12*1</f>
        <v>78.333299999999994</v>
      </c>
      <c r="X14" s="59">
        <f>'M1'!C12*1</f>
        <v>2.2425099999999998</v>
      </c>
      <c r="Y14" s="59">
        <f>'M1'!D12*1</f>
        <v>2.8627799999999999</v>
      </c>
      <c r="Z14" s="59">
        <f>'M1'!E12*1</f>
        <v>50</v>
      </c>
      <c r="AA14" s="59">
        <f>'M1'!F12*1</f>
        <v>73.077100000000002</v>
      </c>
      <c r="AB14" s="59">
        <f>'M1'!G12*1</f>
        <v>100</v>
      </c>
      <c r="AC14" s="59">
        <f>'M1'!H12*1</f>
        <v>83.63</v>
      </c>
      <c r="AE14" s="27" t="str">
        <f t="shared" si="12"/>
        <v>自我调节</v>
      </c>
      <c r="AF14" s="59">
        <f>'M2'!B12*1</f>
        <v>75.766900000000007</v>
      </c>
      <c r="AG14" s="59">
        <f>'M2'!C12*1</f>
        <v>2.9023500000000002</v>
      </c>
      <c r="AH14" s="59">
        <f>'M2'!D12*1</f>
        <v>3.8306300000000002</v>
      </c>
      <c r="AI14" s="59">
        <f>'M2'!E12*1</f>
        <v>50</v>
      </c>
      <c r="AJ14" s="59">
        <f>'M2'!F12*1</f>
        <v>69.285899999999998</v>
      </c>
      <c r="AK14" s="59">
        <f>'M2'!G12*1</f>
        <v>100</v>
      </c>
      <c r="AL14" s="59">
        <f>'M2'!H12*1</f>
        <v>81.931299999999993</v>
      </c>
    </row>
    <row r="15" spans="2:38" ht="21" customHeight="1">
      <c r="B15" s="38"/>
      <c r="C15" s="28"/>
      <c r="D15" s="28"/>
      <c r="E15" s="28"/>
      <c r="F15" s="28"/>
      <c r="G15" s="165"/>
      <c r="H15" s="166"/>
      <c r="I15" s="166"/>
      <c r="J15" s="166"/>
      <c r="K15" s="167"/>
      <c r="M15" s="27" t="str">
        <f>lang!B22</f>
        <v>抑郁</v>
      </c>
      <c r="N15" s="59">
        <f t="shared" si="4"/>
        <v>1.8426000000000009</v>
      </c>
      <c r="O15" s="59">
        <f t="shared" si="5"/>
        <v>0.57756000000000007</v>
      </c>
      <c r="P15" s="59">
        <f t="shared" si="6"/>
        <v>1.5017999999999994</v>
      </c>
      <c r="Q15" s="59">
        <f t="shared" si="7"/>
        <v>0</v>
      </c>
      <c r="R15" s="59">
        <f t="shared" si="8"/>
        <v>2.520900000000001</v>
      </c>
      <c r="S15" s="59">
        <f t="shared" si="9"/>
        <v>0</v>
      </c>
      <c r="T15" s="59">
        <f t="shared" si="10"/>
        <v>6.017199999999999</v>
      </c>
      <c r="U15" s="14"/>
      <c r="V15" s="27" t="str">
        <f t="shared" si="11"/>
        <v>抑郁</v>
      </c>
      <c r="W15" s="59">
        <f>'M1'!B13*1</f>
        <v>17.761900000000001</v>
      </c>
      <c r="X15" s="59">
        <f>'M1'!C13*1</f>
        <v>2.7292999999999998</v>
      </c>
      <c r="Y15" s="59">
        <f>'M1'!D13*1</f>
        <v>15.366</v>
      </c>
      <c r="Z15" s="59">
        <f>'M1'!E13*1</f>
        <v>10</v>
      </c>
      <c r="AA15" s="59">
        <f>'M1'!F13*1</f>
        <v>12.6732</v>
      </c>
      <c r="AB15" s="59">
        <f>'M1'!G13*1</f>
        <v>25</v>
      </c>
      <c r="AC15" s="59">
        <f>'M1'!H13*1</f>
        <v>23.150700000000001</v>
      </c>
      <c r="AE15" s="27" t="str">
        <f t="shared" si="12"/>
        <v>抑郁</v>
      </c>
      <c r="AF15" s="59">
        <f>'M2'!B13*1</f>
        <v>19.604500000000002</v>
      </c>
      <c r="AG15" s="59">
        <f>'M2'!C13*1</f>
        <v>3.3068599999999999</v>
      </c>
      <c r="AH15" s="59">
        <f>'M2'!D13*1</f>
        <v>16.867799999999999</v>
      </c>
      <c r="AI15" s="59">
        <f>'M2'!E13*1</f>
        <v>10</v>
      </c>
      <c r="AJ15" s="59">
        <f>'M2'!F13*1</f>
        <v>15.194100000000001</v>
      </c>
      <c r="AK15" s="59">
        <f>'M2'!G13*1</f>
        <v>25</v>
      </c>
      <c r="AL15" s="59">
        <f>'M2'!H13*1</f>
        <v>29.167899999999999</v>
      </c>
    </row>
    <row r="16" spans="2:38" ht="21" customHeight="1">
      <c r="B16" s="29"/>
      <c r="C16" s="32"/>
      <c r="D16" s="32"/>
      <c r="E16" s="32"/>
      <c r="F16" s="32"/>
      <c r="G16" s="168"/>
      <c r="H16" s="169"/>
      <c r="I16" s="169"/>
      <c r="J16" s="169"/>
      <c r="K16" s="170"/>
      <c r="M16" s="27" t="str">
        <f>lang!B23</f>
        <v>神经质</v>
      </c>
      <c r="N16" s="59">
        <f t="shared" si="4"/>
        <v>5.7756000000000043</v>
      </c>
      <c r="O16" s="59">
        <f t="shared" si="5"/>
        <v>2.8484499999999997</v>
      </c>
      <c r="P16" s="59">
        <f t="shared" si="6"/>
        <v>2.9825999999999979</v>
      </c>
      <c r="Q16" s="59">
        <f t="shared" si="7"/>
        <v>0</v>
      </c>
      <c r="R16" s="59">
        <f t="shared" si="8"/>
        <v>1.5150600000000001</v>
      </c>
      <c r="S16" s="59">
        <f t="shared" si="9"/>
        <v>0</v>
      </c>
      <c r="T16" s="59">
        <f t="shared" si="10"/>
        <v>6.4383999999999979</v>
      </c>
      <c r="U16" s="15"/>
      <c r="V16" s="27" t="str">
        <f t="shared" si="11"/>
        <v>神经质</v>
      </c>
      <c r="W16" s="59">
        <f>'M1'!B14*1</f>
        <v>27.292999999999999</v>
      </c>
      <c r="X16" s="59">
        <f>'M1'!C14*1</f>
        <v>8.79955</v>
      </c>
      <c r="Y16" s="59">
        <f>'M1'!D14*1</f>
        <v>32.241100000000003</v>
      </c>
      <c r="Z16" s="59">
        <f>'M1'!E14*1</f>
        <v>10</v>
      </c>
      <c r="AA16" s="59">
        <f>'M1'!F14*1</f>
        <v>1.89181</v>
      </c>
      <c r="AB16" s="59">
        <f>'M1'!G14*1</f>
        <v>50</v>
      </c>
      <c r="AC16" s="59">
        <f>'M1'!H14*1</f>
        <v>30.264500000000002</v>
      </c>
      <c r="AE16" s="27" t="str">
        <f t="shared" si="12"/>
        <v>神经质</v>
      </c>
      <c r="AF16" s="59">
        <f>'M2'!B14*1</f>
        <v>33.068600000000004</v>
      </c>
      <c r="AG16" s="59">
        <f>'M2'!C14*1</f>
        <v>11.648</v>
      </c>
      <c r="AH16" s="59">
        <f>'M2'!D14*1</f>
        <v>35.223700000000001</v>
      </c>
      <c r="AI16" s="59">
        <f>'M2'!E14*1</f>
        <v>10</v>
      </c>
      <c r="AJ16" s="59">
        <f>'M2'!F14*1</f>
        <v>3.4068700000000001</v>
      </c>
      <c r="AK16" s="59">
        <f>'M2'!G14*1</f>
        <v>50</v>
      </c>
      <c r="AL16" s="59">
        <f>'M2'!H14*1</f>
        <v>36.7029</v>
      </c>
    </row>
    <row r="17" spans="2:38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1" t="str">
        <f>lang!B7</f>
        <v>Positive</v>
      </c>
      <c r="N17" s="65">
        <f>SUM(N11:N14)/4</f>
        <v>1.4318750000000016</v>
      </c>
      <c r="O17" s="22">
        <f>N17/(N17+N18+N19)</f>
        <v>0.27371826731916205</v>
      </c>
      <c r="P17" s="65">
        <f>SUM(P11:P14)/4</f>
        <v>-2.3152424999999992</v>
      </c>
      <c r="Q17" s="22">
        <f>P17/(P17+P18+P19)</f>
        <v>-3.9353790061446725</v>
      </c>
      <c r="R17" s="14"/>
      <c r="S17" s="14"/>
      <c r="T17" s="14"/>
      <c r="U17" s="14"/>
      <c r="V17" s="21" t="str">
        <f>M17</f>
        <v>Positive</v>
      </c>
      <c r="W17" s="65">
        <f>SUM(W11:W14)/4</f>
        <v>64.150075000000001</v>
      </c>
      <c r="X17" s="22">
        <f>W17/(W17+W18+W19)</f>
        <v>0.56040888397736965</v>
      </c>
      <c r="Y17" s="65">
        <f>SUM(Y11:Y14)/4</f>
        <v>9.8989875000000005</v>
      </c>
      <c r="Z17" s="22">
        <f>Y17/(Y17+Y18+Y19)</f>
        <v>0.20767239161578566</v>
      </c>
      <c r="AA17" s="14"/>
      <c r="AB17" s="14"/>
      <c r="AC17" s="14"/>
      <c r="AE17" s="21" t="str">
        <f>V17</f>
        <v>Positive</v>
      </c>
      <c r="AF17" s="65">
        <f>SUM(AF11:AF14)/4</f>
        <v>65.581950000000006</v>
      </c>
      <c r="AG17" s="22">
        <f>AF17/(AF17+AF18+AF19)</f>
        <v>0.54787990024337663</v>
      </c>
      <c r="AH17" s="65">
        <f>SUM(AH11:AH14)/4</f>
        <v>7.5837450000000004</v>
      </c>
      <c r="AI17" s="22">
        <f>AH17/(AH17+AH18+AH19)</f>
        <v>0.1571608265333449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lang!B8</f>
        <v>Negative</v>
      </c>
      <c r="N18" s="18">
        <f>SUM(N7:N10)/4</f>
        <v>-9.7750000000003112E-3</v>
      </c>
      <c r="O18" s="22">
        <f>N18/(N17+N18+N19)</f>
        <v>-1.8685961156140664E-3</v>
      </c>
      <c r="P18" s="18">
        <f>SUM(P7:P10)/4</f>
        <v>0.6613574999999996</v>
      </c>
      <c r="Q18" s="22">
        <f>P18/(P17+P18+P19)</f>
        <v>1.1241554269396508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27.7926</v>
      </c>
      <c r="X18" s="22">
        <f>W18/(W17+W18+W19)</f>
        <v>0.24279347995819869</v>
      </c>
      <c r="Y18" s="18">
        <f>SUM(Y7:Y10)/4</f>
        <v>13.963825</v>
      </c>
      <c r="Z18" s="22">
        <f>Y18/(Y17+Y18+Y19)</f>
        <v>0.29294924696634861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27.782824999999999</v>
      </c>
      <c r="AG18" s="22">
        <f>AF18/(AF17+AF18+AF19)</f>
        <v>0.23210123196213572</v>
      </c>
      <c r="AH18" s="18">
        <f>SUM(AH7:AH10)/4</f>
        <v>14.625182500000001</v>
      </c>
      <c r="AI18" s="22">
        <f>AH18/(AH17+AH18+AH19)</f>
        <v>0.30308320887648665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lang!B9</f>
        <v>Physiological</v>
      </c>
      <c r="N19" s="18">
        <f>(N15+N16)/2</f>
        <v>3.8091000000000026</v>
      </c>
      <c r="O19" s="22">
        <f>N19/(N17+N18+N19)</f>
        <v>0.72815032879645203</v>
      </c>
      <c r="P19" s="18">
        <f>(P15+P16)/2</f>
        <v>2.2421999999999986</v>
      </c>
      <c r="Q19" s="22">
        <f>P19/(P17+P18+P19)</f>
        <v>3.8112235792050217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22.527450000000002</v>
      </c>
      <c r="X19" s="22">
        <f>W19/(W17+W18+W19)</f>
        <v>0.19679763606443165</v>
      </c>
      <c r="Y19" s="18">
        <f>(Y15+Y16)/2</f>
        <v>23.803550000000001</v>
      </c>
      <c r="Z19" s="22">
        <f>Y19/(Y17+Y18+Y19)</f>
        <v>0.49937836141786568</v>
      </c>
      <c r="AA19" s="14"/>
      <c r="AB19" s="14"/>
      <c r="AC19" s="14"/>
      <c r="AE19" s="21" t="str">
        <f t="shared" si="14"/>
        <v>Physiological</v>
      </c>
      <c r="AF19" s="18">
        <f>(AF15+AF16)/2</f>
        <v>26.336550000000003</v>
      </c>
      <c r="AG19" s="22">
        <f>AF19/(AF17+AF18+AF19)</f>
        <v>0.22001886779448765</v>
      </c>
      <c r="AH19" s="18">
        <f>(AH15+AH16)/2</f>
        <v>26.045749999999998</v>
      </c>
      <c r="AI19" s="22">
        <f>AH19/(AH17+AH18+AH19)</f>
        <v>0.5397559645901685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71"/>
      <c r="H22" s="172"/>
      <c r="I22" s="172"/>
      <c r="J22" s="172"/>
      <c r="K22" s="173"/>
      <c r="M22" s="16"/>
      <c r="O22" s="17"/>
      <c r="Q22"/>
      <c r="T22"/>
      <c r="U22" s="19"/>
    </row>
    <row r="23" spans="2:38" ht="17.25" customHeight="1" thickBot="1">
      <c r="B23" s="150" t="str">
        <f>lang!B5</f>
        <v>频率分布直方图</v>
      </c>
      <c r="C23" s="151"/>
      <c r="D23" s="151"/>
      <c r="E23" s="151"/>
      <c r="F23" s="152"/>
      <c r="G23" s="162" t="str">
        <f>lang!B6</f>
        <v xml:space="preserve">心理变化 - 心理基础代谢 </v>
      </c>
      <c r="H23" s="163"/>
      <c r="I23" s="163"/>
      <c r="J23" s="163"/>
      <c r="K23" s="16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1.58/2.24</v>
      </c>
      <c r="D24" s="44" t="str">
        <f>lang!B11</f>
        <v>频率方差</v>
      </c>
      <c r="E24" s="182" t="str">
        <f ca="1">CONCATENATE(ROUND('FH1'!L3,2),"/",ROUND('FH2'!L3,2))</f>
        <v>0.59/0.53</v>
      </c>
      <c r="F24" s="183"/>
      <c r="G24" s="174" t="str">
        <f>lang!B12</f>
        <v>生理变化率</v>
      </c>
      <c r="H24" s="175"/>
      <c r="I24" s="62" t="str">
        <f ca="1">CONCATENATE(info!M7,"-",info!M8)</f>
        <v>44.4-67.3</v>
      </c>
      <c r="J24" s="42" t="str">
        <f>lang!B13</f>
        <v>千卡l/分钟</v>
      </c>
      <c r="K24" s="41" t="str">
        <f ca="1">CONCATENATE(info!M5,"-",info!M6)</f>
        <v>2.2-5.1</v>
      </c>
      <c r="M24" s="16"/>
      <c r="O24" s="17"/>
      <c r="P24" s="17"/>
      <c r="Q24"/>
      <c r="T24"/>
      <c r="U24" s="19"/>
    </row>
    <row r="25" spans="2:38" ht="156.75" customHeight="1" thickBot="1">
      <c r="B25" s="155"/>
      <c r="C25" s="156"/>
      <c r="D25" s="156"/>
      <c r="E25" s="157"/>
      <c r="F25" s="39"/>
      <c r="G25" s="158"/>
      <c r="H25" s="159"/>
      <c r="I25" s="159"/>
      <c r="J25" s="160"/>
      <c r="K25" s="161"/>
      <c r="M25"/>
      <c r="O25" s="17"/>
      <c r="Q25"/>
      <c r="T25"/>
      <c r="U25" s="19"/>
    </row>
    <row r="26" spans="2:38" ht="15" customHeight="1" thickBot="1">
      <c r="B26" s="119" t="str">
        <f>CONCATENATE( lang!B31," ",ROUND(100-FH_info!L2,0),"%]")</f>
        <v>Result [Quality 100%]</v>
      </c>
      <c r="C26" s="120"/>
      <c r="D26" s="120"/>
      <c r="E26" s="120"/>
      <c r="F26" s="120"/>
      <c r="G26" s="120"/>
      <c r="H26" s="120"/>
      <c r="I26" s="120"/>
      <c r="J26" s="120"/>
      <c r="K26" s="121"/>
      <c r="M26"/>
      <c r="Q26"/>
      <c r="T26"/>
    </row>
    <row r="27" spans="2:38" ht="15.75" thickBot="1">
      <c r="B27" s="135" t="str">
        <f>lang!B32</f>
        <v>外向性</v>
      </c>
      <c r="C27" s="136"/>
      <c r="D27" s="137"/>
      <c r="E27" s="119">
        <f>dM!B18*100</f>
        <v>-9.4369999999999958</v>
      </c>
      <c r="F27" s="121"/>
      <c r="G27" s="135" t="str">
        <f>lang!B33</f>
        <v>稳定性</v>
      </c>
      <c r="H27" s="136"/>
      <c r="I27" s="137"/>
      <c r="J27" s="138">
        <f>dM!B19*100</f>
        <v>14.560400000000001</v>
      </c>
      <c r="K27" s="139"/>
    </row>
    <row r="28" spans="2:38" ht="24.75" customHeight="1">
      <c r="B28" s="122" t="str">
        <f>lang!B34</f>
        <v xml:space="preserve">心理生理状态分析结果： </v>
      </c>
      <c r="C28" s="123"/>
      <c r="D28" s="123"/>
      <c r="E28" s="123"/>
      <c r="F28" s="123"/>
      <c r="G28" s="123"/>
      <c r="H28" s="123"/>
      <c r="I28" s="123"/>
      <c r="J28" s="123"/>
      <c r="K28" s="124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40" t="str">
        <f>lang!B37</f>
        <v>意见</v>
      </c>
      <c r="C31" s="141"/>
      <c r="D31" s="142"/>
      <c r="E31" s="142"/>
      <c r="F31" s="142"/>
      <c r="G31" s="142"/>
      <c r="H31" s="142"/>
      <c r="I31" s="142"/>
      <c r="J31" s="142"/>
      <c r="K31" s="143"/>
      <c r="M31"/>
      <c r="Q31"/>
      <c r="T31"/>
      <c r="W31" s="33"/>
      <c r="X31" s="33"/>
    </row>
    <row r="32" spans="2:38" ht="18" customHeight="1">
      <c r="B32" s="113"/>
      <c r="C32" s="114"/>
      <c r="D32" s="114"/>
      <c r="E32" s="114"/>
      <c r="F32" s="114"/>
      <c r="G32" s="114"/>
      <c r="H32" s="114"/>
      <c r="I32" s="114"/>
      <c r="J32" s="114"/>
      <c r="K32" s="115"/>
      <c r="M32"/>
      <c r="Q32"/>
      <c r="T32"/>
      <c r="W32" s="33"/>
      <c r="X32" s="33"/>
    </row>
    <row r="33" spans="2:24" ht="20.25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35.25" customHeight="1" thickBot="1">
      <c r="B34" s="116"/>
      <c r="C34" s="117"/>
      <c r="D34" s="117"/>
      <c r="E34" s="117"/>
      <c r="F34" s="117"/>
      <c r="G34" s="117"/>
      <c r="H34" s="117"/>
      <c r="I34" s="117"/>
      <c r="J34" s="117"/>
      <c r="K34" s="118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  <mergeCell ref="B23:F23"/>
    <mergeCell ref="G23:K23"/>
    <mergeCell ref="E24:F24"/>
    <mergeCell ref="G24:H24"/>
    <mergeCell ref="B25:E25"/>
    <mergeCell ref="G25:K25"/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-0.97208658351028887</v>
      </c>
      <c r="C2">
        <f t="array" aca="1" ref="C2" ca="1">CORREL(FT_E02,FT_PH02)</f>
        <v>-0.29307393490934536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2.1557599999999999</v>
      </c>
      <c r="G2" s="61">
        <f>IF(FT!B2&lt;&gt;"",FT!B2*100,"")</f>
        <v>67.322199999999995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2.1887599999999998</v>
      </c>
      <c r="G3" s="61">
        <f>IF(FT!B3&lt;&gt;"",FT!B3*100,"")</f>
        <v>67.273300000000006</v>
      </c>
      <c r="H3" s="61">
        <f t="shared" ref="H3:H66" si="1">(IF(F3&lt;&gt;"",1,""))</f>
        <v>1</v>
      </c>
      <c r="I3" t="str">
        <f>IF(FT!B3&lt;&gt;"",FT!E3,"")</f>
        <v>1 [0.366887]</v>
      </c>
      <c r="J3">
        <f>IF(FT!B3&lt;&gt;"",FT!C3,"")</f>
        <v>0.36688700000000002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0.51591340540540509</v>
      </c>
      <c r="V3">
        <f ca="1">AVERAGE(OFFSET(FT!B2,info!$L$3/2,0,info!$L$3/2,1))</f>
        <v>0.536607689189189</v>
      </c>
      <c r="W3">
        <f ca="1">AVERAGE(OFFSET(FT!A2,0,0,info!$L$3/2,1))</f>
        <v>0.34076581081081087</v>
      </c>
      <c r="X3">
        <f ca="1">AVERAGE(OFFSET(FT!A2,info!$L$3/2,0,info!$L$3/2,1))</f>
        <v>0.44003468918918931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2.22078</v>
      </c>
      <c r="G4" s="61">
        <f>IF(FT!B4&lt;&gt;"",FT!B4*100,"")</f>
        <v>67.152900000000002</v>
      </c>
      <c r="H4" s="61">
        <f t="shared" si="1"/>
        <v>1</v>
      </c>
      <c r="I4" t="str">
        <f>IF(FT!B4&lt;&gt;"",FT!E4,"")</f>
        <v>1 [0.773915]</v>
      </c>
      <c r="J4">
        <f>IF(FT!B4&lt;&gt;"",FT!C4,"")</f>
        <v>0.77391500000000002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14.934825</v>
      </c>
      <c r="V4">
        <f>U4*3</f>
        <v>44.804474999999996</v>
      </c>
      <c r="W4">
        <f>U4</f>
        <v>14.934825</v>
      </c>
      <c r="X4">
        <f>V4</f>
        <v>44.804474999999996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2.25135</v>
      </c>
      <c r="G5" s="61">
        <f>IF(FT!B5&lt;&gt;"",FT!B5*100,"")</f>
        <v>66.899000000000001</v>
      </c>
      <c r="H5" s="61">
        <f t="shared" si="1"/>
        <v>1</v>
      </c>
      <c r="I5" t="str">
        <f>IF(FT!B5&lt;&gt;"",FT!E5,"")</f>
        <v>1 [1.178790]</v>
      </c>
      <c r="J5">
        <f>IF(FT!B5&lt;&gt;"",FT!C5,"")</f>
        <v>1.17879</v>
      </c>
      <c r="K5" t="s">
        <v>53</v>
      </c>
      <c r="L5" s="63">
        <f ca="1">MIN(FT_E)</f>
        <v>2.1557599999999999</v>
      </c>
      <c r="M5" s="63">
        <f ca="1">ROUND(L5,1)</f>
        <v>2.2000000000000002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51.591340540540507</v>
      </c>
      <c r="V5">
        <f ca="1">V3*100</f>
        <v>53.660768918918897</v>
      </c>
      <c r="W5">
        <f ca="1">W3*10</f>
        <v>3.4076581081081088</v>
      </c>
      <c r="X5">
        <f ca="1">X3*10</f>
        <v>4.4003468918918927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2.2803800000000001</v>
      </c>
      <c r="G6" s="61">
        <f>IF(FT!B6&lt;&gt;"",FT!B6*100,"")</f>
        <v>66.479699999999994</v>
      </c>
      <c r="H6" s="61">
        <f t="shared" si="1"/>
        <v>1</v>
      </c>
      <c r="I6" t="str">
        <f>IF(FT!B6&lt;&gt;"",FT!E6,"")</f>
        <v>1 [1.587581]</v>
      </c>
      <c r="J6">
        <f>IF(FT!B6&lt;&gt;"",FT!C6,"")</f>
        <v>1.58758</v>
      </c>
      <c r="K6" t="s">
        <v>54</v>
      </c>
      <c r="L6" s="63">
        <f ca="1">MAX(FT_E)</f>
        <v>5.1331300000000004</v>
      </c>
      <c r="M6" s="63">
        <f ca="1">ROUND(L6,1)</f>
        <v>5.0999999999999996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2.3091699999999999</v>
      </c>
      <c r="G7" s="61">
        <f>IF(FT!B7&lt;&gt;"",FT!B7*100,"")</f>
        <v>65.97</v>
      </c>
      <c r="H7" s="61">
        <f t="shared" si="1"/>
        <v>1</v>
      </c>
      <c r="I7" t="str">
        <f>IF(FT!B7&lt;&gt;"",FT!E7,"")</f>
        <v>1 [1.990387]</v>
      </c>
      <c r="J7">
        <f>IF(FT!B7&lt;&gt;"",FT!C7,"")</f>
        <v>1.9903900000000001</v>
      </c>
      <c r="K7" t="s">
        <v>55</v>
      </c>
      <c r="L7" s="63">
        <f ca="1">MIN(FT_PH)</f>
        <v>44.372199999999999</v>
      </c>
      <c r="M7" s="63">
        <f ca="1">ROUND(L7,1)</f>
        <v>44.4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149</v>
      </c>
      <c r="D8" s="61">
        <f>FH!B8*1</f>
        <v>149</v>
      </c>
      <c r="E8">
        <f t="shared" si="3"/>
        <v>6</v>
      </c>
      <c r="F8" s="61">
        <f>IF(FT!A8&lt;&gt;"",FT!A8*10,"")</f>
        <v>2.3403900000000002</v>
      </c>
      <c r="G8" s="61">
        <f>IF(FT!B8&lt;&gt;"",FT!B8*100,"")</f>
        <v>65.317099999999996</v>
      </c>
      <c r="H8" s="61">
        <f t="shared" si="1"/>
        <v>1</v>
      </c>
      <c r="I8" t="str">
        <f>IF(FT!B8&lt;&gt;"",FT!E8,"")</f>
        <v>1 [2.398464]</v>
      </c>
      <c r="J8">
        <f>IF(FT!B8&lt;&gt;"",FT!C8,"")</f>
        <v>2.39846</v>
      </c>
      <c r="K8" t="s">
        <v>56</v>
      </c>
      <c r="L8" s="63">
        <f ca="1">MAX(FT_PH)</f>
        <v>67.322199999999995</v>
      </c>
      <c r="M8" s="63">
        <f ca="1">ROUND(L8,1)</f>
        <v>67.3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2.3717800000000002</v>
      </c>
      <c r="G9" s="61">
        <f>IF(FT!B9&lt;&gt;"",FT!B9*100,"")</f>
        <v>64.644599999999997</v>
      </c>
      <c r="H9" s="61">
        <f t="shared" si="1"/>
        <v>1</v>
      </c>
      <c r="I9" t="str">
        <f>IF(FT!B9&lt;&gt;"",FT!E9,"")</f>
        <v>1 [2.803158]</v>
      </c>
      <c r="J9">
        <f>IF(FT!B9&lt;&gt;"",FT!C9,"")</f>
        <v>2.8031600000000001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286</v>
      </c>
      <c r="D10" s="61">
        <f>FH!B10*1</f>
        <v>286</v>
      </c>
      <c r="E10">
        <f t="shared" si="3"/>
        <v>8</v>
      </c>
      <c r="F10" s="61">
        <f>IF(FT!A10&lt;&gt;"",FT!A10*10,"")</f>
        <v>2.4035699999999998</v>
      </c>
      <c r="G10" s="61">
        <f>IF(FT!B10&lt;&gt;"",FT!B10*100,"")</f>
        <v>63.986699999999999</v>
      </c>
      <c r="H10" s="61">
        <f t="shared" si="1"/>
        <v>1</v>
      </c>
      <c r="I10" t="str">
        <f>IF(FT!B10&lt;&gt;"",FT!E10,"")</f>
        <v>1 [3.211279]</v>
      </c>
      <c r="J10">
        <f>IF(FT!B10&lt;&gt;"",FT!C10,"")</f>
        <v>3.2112799999999999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2.4356100000000001</v>
      </c>
      <c r="G11" s="61">
        <f>IF(FT!B11&lt;&gt;"",FT!B11*100,"")</f>
        <v>63.302</v>
      </c>
      <c r="H11" s="61">
        <f t="shared" si="1"/>
        <v>1</v>
      </c>
      <c r="I11" t="str">
        <f>IF(FT!B11&lt;&gt;"",FT!E11,"")</f>
        <v>1 [3.618484]</v>
      </c>
      <c r="J11">
        <f>IF(FT!B11&lt;&gt;"",FT!C11,"")</f>
        <v>3.6184799999999999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2.4662800000000002</v>
      </c>
      <c r="G12" s="61">
        <f>IF(FT!B12&lt;&gt;"",FT!B12*100,"")</f>
        <v>62.621899999999997</v>
      </c>
      <c r="H12" s="61">
        <f t="shared" si="1"/>
        <v>1</v>
      </c>
      <c r="I12" t="str">
        <f>IF(FT!B12&lt;&gt;"",FT!E12,"")</f>
        <v>1 [4.021034]</v>
      </c>
      <c r="J12">
        <f>IF(FT!B12&lt;&gt;"",FT!C12,"")</f>
        <v>4.0210299999999997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393</v>
      </c>
      <c r="D13" s="61">
        <f>FH!B13*1</f>
        <v>393</v>
      </c>
      <c r="E13">
        <f t="shared" si="3"/>
        <v>11</v>
      </c>
      <c r="F13" s="61">
        <f>IF(FT!A13&lt;&gt;"",FT!A13*10,"")</f>
        <v>2.4974599999999998</v>
      </c>
      <c r="G13" s="61">
        <f>IF(FT!B13&lt;&gt;"",FT!B13*100,"")</f>
        <v>61.935099999999998</v>
      </c>
      <c r="H13" s="61">
        <f t="shared" si="1"/>
        <v>1</v>
      </c>
      <c r="I13" t="str">
        <f>IF(FT!B13&lt;&gt;"",FT!E13,"")</f>
        <v>1 [4.429045]</v>
      </c>
      <c r="J13">
        <f>IF(FT!B13&lt;&gt;"",FT!C13,"")</f>
        <v>4.4290500000000002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2.5293100000000002</v>
      </c>
      <c r="G14" s="61">
        <f>IF(FT!B14&lt;&gt;"",FT!B14*100,"")</f>
        <v>61.216400000000007</v>
      </c>
      <c r="H14" s="61">
        <f t="shared" si="1"/>
        <v>1</v>
      </c>
      <c r="I14" t="str">
        <f>IF(FT!B14&lt;&gt;"",FT!E14,"")</f>
        <v>1 [4.832703]</v>
      </c>
      <c r="J14">
        <f>IF(FT!B14&lt;&gt;"",FT!C14,"")</f>
        <v>4.8327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1263</v>
      </c>
      <c r="D15" s="61">
        <f>FH!B15*1</f>
        <v>1263</v>
      </c>
      <c r="E15">
        <f t="shared" si="3"/>
        <v>13</v>
      </c>
      <c r="F15" s="61">
        <f>IF(FT!A15&lt;&gt;"",FT!A15*10,"")</f>
        <v>2.5637700000000003</v>
      </c>
      <c r="G15" s="61">
        <f>IF(FT!B15&lt;&gt;"",FT!B15*100,"")</f>
        <v>60.487299999999998</v>
      </c>
      <c r="H15" s="61">
        <f t="shared" si="1"/>
        <v>1</v>
      </c>
      <c r="I15" t="str">
        <f>IF(FT!B15&lt;&gt;"",FT!E15,"")</f>
        <v>1 [5.241137]</v>
      </c>
      <c r="J15">
        <f>IF(FT!B15&lt;&gt;"",FT!C15,"")</f>
        <v>5.2411399999999997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2.60141</v>
      </c>
      <c r="G16" s="61">
        <f>IF(FT!B16&lt;&gt;"",FT!B16*100,"")</f>
        <v>59.685600000000008</v>
      </c>
      <c r="H16" s="61">
        <f t="shared" si="1"/>
        <v>1</v>
      </c>
      <c r="I16" t="str">
        <f>IF(FT!B16&lt;&gt;"",FT!E16,"")</f>
        <v>1 [5.646502]</v>
      </c>
      <c r="J16">
        <f>IF(FT!B16&lt;&gt;"",FT!C16,"")</f>
        <v>5.6464999999999996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2.6413500000000001</v>
      </c>
      <c r="G17" s="61">
        <f>IF(FT!B17&lt;&gt;"",FT!B17*100,"")</f>
        <v>58.871899999999997</v>
      </c>
      <c r="H17" s="61">
        <f t="shared" si="1"/>
        <v>1</v>
      </c>
      <c r="I17" t="str">
        <f>IF(FT!B17&lt;&gt;"",FT!E17,"")</f>
        <v>1 [6.057594]</v>
      </c>
      <c r="J17">
        <f>IF(FT!B17&lt;&gt;"",FT!C17,"")</f>
        <v>6.0575900000000003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5488</v>
      </c>
      <c r="D18" s="61">
        <f>FH!B18*1</f>
        <v>5488</v>
      </c>
      <c r="E18">
        <f t="shared" si="3"/>
        <v>16</v>
      </c>
      <c r="F18" s="61">
        <f>IF(FT!A18&lt;&gt;"",FT!A18*10,"")</f>
        <v>2.6798100000000002</v>
      </c>
      <c r="G18" s="61">
        <f>IF(FT!B18&lt;&gt;"",FT!B18*100,"")</f>
        <v>58.199400000000004</v>
      </c>
      <c r="H18" s="61">
        <f t="shared" si="1"/>
        <v>1</v>
      </c>
      <c r="I18" t="str">
        <f>IF(FT!B18&lt;&gt;"",FT!E18,"")</f>
        <v>1 [6.459587]</v>
      </c>
      <c r="J18">
        <f>IF(FT!B18&lt;&gt;"",FT!C18,"")</f>
        <v>6.4595900000000004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2.7165600000000003</v>
      </c>
      <c r="G19" s="61">
        <f>IF(FT!B19&lt;&gt;"",FT!B19*100,"")</f>
        <v>57.677700000000002</v>
      </c>
      <c r="H19" s="61">
        <f t="shared" si="1"/>
        <v>1</v>
      </c>
      <c r="I19" t="str">
        <f>IF(FT!B19&lt;&gt;"",FT!E19,"")</f>
        <v>1 [6.864380]</v>
      </c>
      <c r="J19">
        <f>IF(FT!B19&lt;&gt;"",FT!C19,"")</f>
        <v>6.8643799999999997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2.7542400000000002</v>
      </c>
      <c r="G20" s="61">
        <f>IF(FT!B20&lt;&gt;"",FT!B20*100,"")</f>
        <v>57.196899999999992</v>
      </c>
      <c r="H20" s="61">
        <f t="shared" si="1"/>
        <v>1</v>
      </c>
      <c r="I20" t="str">
        <f>IF(FT!B20&lt;&gt;"",FT!E20,"")</f>
        <v>1 [7.269406]</v>
      </c>
      <c r="J20">
        <f>IF(FT!B20&lt;&gt;"",FT!C20,"")</f>
        <v>7.2694099999999997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5964</v>
      </c>
      <c r="D21" s="61">
        <f>FH!B21*1</f>
        <v>5964</v>
      </c>
      <c r="E21">
        <f t="shared" si="3"/>
        <v>19</v>
      </c>
      <c r="F21" s="61">
        <f>IF(FT!A21&lt;&gt;"",FT!A21*10,"")</f>
        <v>2.7929700000000004</v>
      </c>
      <c r="G21" s="61">
        <f>IF(FT!B21&lt;&gt;"",FT!B21*100,"")</f>
        <v>56.664800000000007</v>
      </c>
      <c r="H21" s="61">
        <f t="shared" si="1"/>
        <v>1</v>
      </c>
      <c r="I21" t="str">
        <f>IF(FT!B21&lt;&gt;"",FT!E21,"")</f>
        <v>1 [7.680336]</v>
      </c>
      <c r="J21">
        <f>IF(FT!B21&lt;&gt;"",FT!C21,"")</f>
        <v>7.6803400000000002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2.8348499999999999</v>
      </c>
      <c r="G22" s="61">
        <f>IF(FT!B22&lt;&gt;"",FT!B22*100,"")</f>
        <v>56.069199999999995</v>
      </c>
      <c r="H22" s="61">
        <f t="shared" si="1"/>
        <v>1</v>
      </c>
      <c r="I22" t="str">
        <f>IF(FT!B22&lt;&gt;"",FT!E22,"")</f>
        <v>1 [8.085679]</v>
      </c>
      <c r="J22">
        <f>IF(FT!B22&lt;&gt;"",FT!C22,"")</f>
        <v>8.08568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7676</v>
      </c>
      <c r="D23" s="61">
        <f>FH!B23*1</f>
        <v>7676</v>
      </c>
      <c r="E23">
        <f t="shared" si="3"/>
        <v>21</v>
      </c>
      <c r="F23" s="61">
        <f>IF(FT!A23&lt;&gt;"",FT!A23*10,"")</f>
        <v>2.8803700000000001</v>
      </c>
      <c r="G23" s="61">
        <f>IF(FT!B23&lt;&gt;"",FT!B23*100,"")</f>
        <v>55.391500000000008</v>
      </c>
      <c r="H23" s="61">
        <f t="shared" si="1"/>
        <v>1</v>
      </c>
      <c r="I23" t="str">
        <f>IF(FT!B23&lt;&gt;"",FT!E23,"")</f>
        <v>1 [8.493615]</v>
      </c>
      <c r="J23">
        <f>IF(FT!B23&lt;&gt;"",FT!C23,"")</f>
        <v>8.4936199999999999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2.9292499999999997</v>
      </c>
      <c r="G24" s="61">
        <f>IF(FT!B24&lt;&gt;"",FT!B24*100,"")</f>
        <v>54.597799999999999</v>
      </c>
      <c r="H24" s="61">
        <f t="shared" si="1"/>
        <v>1</v>
      </c>
      <c r="I24" t="str">
        <f>IF(FT!B24&lt;&gt;"",FT!E24,"")</f>
        <v>1 [8.895998]</v>
      </c>
      <c r="J24">
        <f>IF(FT!B24&lt;&gt;"",FT!C24,"")</f>
        <v>8.8960000000000008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2.9813099999999997</v>
      </c>
      <c r="G25" s="61">
        <f>IF(FT!B25&lt;&gt;"",FT!B25*100,"")</f>
        <v>53.752400000000002</v>
      </c>
      <c r="H25" s="61">
        <f t="shared" si="1"/>
        <v>1</v>
      </c>
      <c r="I25" t="str">
        <f>IF(FT!B25&lt;&gt;"",FT!E25,"")</f>
        <v>1 [9.303398]</v>
      </c>
      <c r="J25">
        <f>IF(FT!B25&lt;&gt;"",FT!C25,"")</f>
        <v>9.3033999999999999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11286</v>
      </c>
      <c r="D26" s="61">
        <f>FH!B26*1</f>
        <v>11286</v>
      </c>
      <c r="E26">
        <f t="shared" si="3"/>
        <v>24</v>
      </c>
      <c r="F26" s="61">
        <f>IF(FT!A26&lt;&gt;"",FT!A26*10,"")</f>
        <v>3.0337999999999998</v>
      </c>
      <c r="G26" s="61">
        <f>IF(FT!B26&lt;&gt;"",FT!B26*100,"")</f>
        <v>52.997199999999999</v>
      </c>
      <c r="H26" s="61">
        <f t="shared" si="1"/>
        <v>1</v>
      </c>
      <c r="I26" t="str">
        <f>IF(FT!B26&lt;&gt;"",FT!E26,"")</f>
        <v>1 [9.708353]</v>
      </c>
      <c r="J26">
        <f>IF(FT!B26&lt;&gt;"",FT!C26,"")</f>
        <v>9.7083499999999994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3.0863499999999999</v>
      </c>
      <c r="G27" s="61">
        <f>IF(FT!B27&lt;&gt;"",FT!B27*100,"")</f>
        <v>52.274799999999999</v>
      </c>
      <c r="H27" s="61">
        <f t="shared" si="1"/>
        <v>1</v>
      </c>
      <c r="I27" t="str">
        <f>IF(FT!B27&lt;&gt;"",FT!E27,"")</f>
        <v>1 [10.114377]</v>
      </c>
      <c r="J27">
        <f>IF(FT!B27&lt;&gt;"",FT!C27,"")</f>
        <v>10.1144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16475</v>
      </c>
      <c r="D28" s="61">
        <f>FH!B28*1</f>
        <v>16475</v>
      </c>
      <c r="E28">
        <f t="shared" si="3"/>
        <v>26</v>
      </c>
      <c r="F28" s="61">
        <f>IF(FT!A28&lt;&gt;"",FT!A28*10,"")</f>
        <v>3.1375999999999999</v>
      </c>
      <c r="G28" s="61">
        <f>IF(FT!B28&lt;&gt;"",FT!B28*100,"")</f>
        <v>51.664900000000003</v>
      </c>
      <c r="H28" s="61">
        <f t="shared" si="1"/>
        <v>1</v>
      </c>
      <c r="I28" t="str">
        <f>IF(FT!B28&lt;&gt;"",FT!E28,"")</f>
        <v>1 [10.523161]</v>
      </c>
      <c r="J28">
        <f>IF(FT!B28&lt;&gt;"",FT!C28,"")</f>
        <v>10.523199999999999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3.1898200000000001</v>
      </c>
      <c r="G29" s="61">
        <f>IF(FT!B29&lt;&gt;"",FT!B29*100,"")</f>
        <v>51.100999999999999</v>
      </c>
      <c r="H29" s="61">
        <f t="shared" si="1"/>
        <v>1</v>
      </c>
      <c r="I29" t="str">
        <f>IF(FT!B29&lt;&gt;"",FT!E29,"")</f>
        <v>1 [10.928748]</v>
      </c>
      <c r="J29">
        <f>IF(FT!B29&lt;&gt;"",FT!C29,"")</f>
        <v>10.928699999999999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3.2440000000000002</v>
      </c>
      <c r="G30" s="61">
        <f>IF(FT!B30&lt;&gt;"",FT!B30*100,"")</f>
        <v>50.585800000000006</v>
      </c>
      <c r="H30" s="61">
        <f t="shared" si="1"/>
        <v>1</v>
      </c>
      <c r="I30" t="str">
        <f>IF(FT!B30&lt;&gt;"",FT!E30,"")</f>
        <v>1 [11.333530]</v>
      </c>
      <c r="J30">
        <f>IF(FT!B30&lt;&gt;"",FT!C30,"")</f>
        <v>11.333500000000001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18996</v>
      </c>
      <c r="D31" s="61">
        <f>FH!B31*1</f>
        <v>18996</v>
      </c>
      <c r="E31">
        <f t="shared" si="3"/>
        <v>29</v>
      </c>
      <c r="F31" s="61">
        <f>IF(FT!A31&lt;&gt;"",FT!A31*10,"")</f>
        <v>3.3022400000000003</v>
      </c>
      <c r="G31" s="61">
        <f>IF(FT!B31&lt;&gt;"",FT!B31*100,"")</f>
        <v>49.977800000000002</v>
      </c>
      <c r="H31" s="61">
        <f t="shared" si="1"/>
        <v>1</v>
      </c>
      <c r="I31" t="str">
        <f>IF(FT!B31&lt;&gt;"",FT!E31,"")</f>
        <v>1 [11.743409]</v>
      </c>
      <c r="J31">
        <f>IF(FT!B31&lt;&gt;"",FT!C31,"")</f>
        <v>11.743399999999999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3.3585700000000003</v>
      </c>
      <c r="G32" s="61">
        <f>IF(FT!B32&lt;&gt;"",FT!B32*100,"")</f>
        <v>49.380299999999998</v>
      </c>
      <c r="H32" s="61">
        <f t="shared" si="1"/>
        <v>1</v>
      </c>
      <c r="I32" t="str">
        <f>IF(FT!B32&lt;&gt;"",FT!E32,"")</f>
        <v>1 [12.150258]</v>
      </c>
      <c r="J32">
        <f>IF(FT!B32&lt;&gt;"",FT!C32,"")</f>
        <v>12.1503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23989</v>
      </c>
      <c r="D33" s="61">
        <f>FH!B33*1</f>
        <v>23989</v>
      </c>
      <c r="E33">
        <f t="shared" si="3"/>
        <v>31</v>
      </c>
      <c r="F33" s="61">
        <f>IF(FT!A33&lt;&gt;"",FT!A33*10,"")</f>
        <v>3.4110800000000001</v>
      </c>
      <c r="G33" s="61">
        <f>IF(FT!B33&lt;&gt;"",FT!B33*100,"")</f>
        <v>48.8187</v>
      </c>
      <c r="H33" s="61">
        <f t="shared" si="1"/>
        <v>1</v>
      </c>
      <c r="I33" t="str">
        <f>IF(FT!B33&lt;&gt;"",FT!E33,"")</f>
        <v>1 [12.557245]</v>
      </c>
      <c r="J33">
        <f>IF(FT!B33&lt;&gt;"",FT!C33,"")</f>
        <v>12.5572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3.4641199999999999</v>
      </c>
      <c r="G34" s="61">
        <f>IF(FT!B34&lt;&gt;"",FT!B34*100,"")</f>
        <v>48.2898</v>
      </c>
      <c r="H34" s="61">
        <f t="shared" si="1"/>
        <v>1</v>
      </c>
      <c r="I34" t="str">
        <f>IF(FT!B34&lt;&gt;"",FT!E34,"")</f>
        <v>1 [12.960121]</v>
      </c>
      <c r="J34">
        <f>IF(FT!B34&lt;&gt;"",FT!C34,"")</f>
        <v>12.960100000000001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3.5170000000000003</v>
      </c>
      <c r="G35" s="61">
        <f>IF(FT!B35&lt;&gt;"",FT!B35*100,"")</f>
        <v>47.838900000000002</v>
      </c>
      <c r="H35" s="61">
        <f t="shared" si="1"/>
        <v>1</v>
      </c>
      <c r="I35" t="str">
        <f>IF(FT!B35&lt;&gt;"",FT!E35,"")</f>
        <v>1 [13.365058]</v>
      </c>
      <c r="J35">
        <f>IF(FT!B35&lt;&gt;"",FT!C35,"")</f>
        <v>13.3651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32648</v>
      </c>
      <c r="D36" s="61">
        <f>FH!B36*1</f>
        <v>32648</v>
      </c>
      <c r="E36">
        <f t="shared" si="3"/>
        <v>34</v>
      </c>
      <c r="F36" s="61">
        <f>IF(FT!A36&lt;&gt;"",FT!A36*10,"")</f>
        <v>3.5724400000000003</v>
      </c>
      <c r="G36" s="61">
        <f>IF(FT!B36&lt;&gt;"",FT!B36*100,"")</f>
        <v>47.552799999999998</v>
      </c>
      <c r="H36" s="61">
        <f t="shared" si="1"/>
        <v>1</v>
      </c>
      <c r="I36" t="str">
        <f>IF(FT!B36&lt;&gt;"",FT!E36,"")</f>
        <v>1 [13.772142]</v>
      </c>
      <c r="J36">
        <f>IF(FT!B36&lt;&gt;"",FT!C36,"")</f>
        <v>13.7721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3.62202</v>
      </c>
      <c r="G37" s="61">
        <f>IF(FT!B37&lt;&gt;"",FT!B37*100,"")</f>
        <v>47.433100000000003</v>
      </c>
      <c r="H37" s="61">
        <f t="shared" si="1"/>
        <v>1</v>
      </c>
      <c r="I37" t="str">
        <f>IF(FT!B37&lt;&gt;"",FT!E37,"")</f>
        <v>1 [14.179939]</v>
      </c>
      <c r="J37">
        <f>IF(FT!B37&lt;&gt;"",FT!C37,"")</f>
        <v>14.1799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3.6722700000000001</v>
      </c>
      <c r="G38" s="61">
        <f>IF(FT!B38&lt;&gt;"",FT!B38*100,"")</f>
        <v>47.3874</v>
      </c>
      <c r="H38" s="61">
        <f t="shared" si="1"/>
        <v>1</v>
      </c>
      <c r="I38" t="str">
        <f>IF(FT!B38&lt;&gt;"",FT!E38,"")</f>
        <v>1 [14.583408]</v>
      </c>
      <c r="J38">
        <f>IF(FT!B38&lt;&gt;"",FT!C38,"")</f>
        <v>14.583399999999999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43662</v>
      </c>
      <c r="D39" s="61">
        <f>FH!B39*1</f>
        <v>43662</v>
      </c>
      <c r="E39">
        <f t="shared" si="3"/>
        <v>37</v>
      </c>
      <c r="F39" s="61">
        <f>IF(FT!A39&lt;&gt;"",FT!A39*10,"")</f>
        <v>3.7192699999999999</v>
      </c>
      <c r="G39" s="61">
        <f>IF(FT!B39&lt;&gt;"",FT!B39*100,"")</f>
        <v>47.438699999999997</v>
      </c>
      <c r="H39" s="61">
        <f t="shared" si="1"/>
        <v>1</v>
      </c>
      <c r="I39" t="str">
        <f>IF(FT!B39&lt;&gt;"",FT!E39,"")</f>
        <v>1 [14.990333]</v>
      </c>
      <c r="J39">
        <f>IF(FT!B39&lt;&gt;"",FT!C39,"")</f>
        <v>14.9903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3.7637900000000002</v>
      </c>
      <c r="G40" s="61">
        <f>IF(FT!B40&lt;&gt;"",FT!B40*100,"")</f>
        <v>47.4465</v>
      </c>
      <c r="H40" s="61">
        <f t="shared" si="1"/>
        <v>1</v>
      </c>
      <c r="I40" t="str">
        <f>IF(FT!B40&lt;&gt;"",FT!E40,"")</f>
        <v>1 [15.400707]</v>
      </c>
      <c r="J40">
        <f>IF(FT!B40&lt;&gt;"",FT!C40,"")</f>
        <v>15.400700000000001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51780</v>
      </c>
      <c r="D41" s="61">
        <f>FH!B41*1</f>
        <v>51780</v>
      </c>
      <c r="E41">
        <f t="shared" si="3"/>
        <v>39</v>
      </c>
      <c r="F41" s="61">
        <f>IF(FT!A41&lt;&gt;"",FT!A41*10,"")</f>
        <v>3.80342</v>
      </c>
      <c r="G41" s="61">
        <f>IF(FT!B41&lt;&gt;"",FT!B41*100,"")</f>
        <v>47.436799999999998</v>
      </c>
      <c r="H41" s="61">
        <f t="shared" si="1"/>
        <v>1</v>
      </c>
      <c r="I41" t="str">
        <f>IF(FT!B41&lt;&gt;"",FT!E41,"")</f>
        <v>1 [15.805533]</v>
      </c>
      <c r="J41">
        <f>IF(FT!B41&lt;&gt;"",FT!C41,"")</f>
        <v>15.8055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3.8403300000000002</v>
      </c>
      <c r="G42" s="61">
        <f>IF(FT!B42&lt;&gt;"",FT!B42*100,"")</f>
        <v>47.402000000000001</v>
      </c>
      <c r="H42" s="61">
        <f t="shared" si="1"/>
        <v>1</v>
      </c>
      <c r="I42" t="str">
        <f>IF(FT!B42&lt;&gt;"",FT!E42,"")</f>
        <v>1 [16.209563]</v>
      </c>
      <c r="J42">
        <f>IF(FT!B42&lt;&gt;"",FT!C42,"")</f>
        <v>16.209599999999998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3.8768799999999999</v>
      </c>
      <c r="G43" s="61">
        <f>IF(FT!B43&lt;&gt;"",FT!B43*100,"")</f>
        <v>47.420499999999997</v>
      </c>
      <c r="H43" s="61">
        <f t="shared" si="1"/>
        <v>1</v>
      </c>
      <c r="I43" t="str">
        <f>IF(FT!B43&lt;&gt;"",FT!E43,"")</f>
        <v>1 [16.617345]</v>
      </c>
      <c r="J43">
        <f>IF(FT!B43&lt;&gt;"",FT!C43,"")</f>
        <v>16.6173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69714</v>
      </c>
      <c r="D44" s="61">
        <f>FH!B44*1</f>
        <v>69714</v>
      </c>
      <c r="E44">
        <f t="shared" si="3"/>
        <v>42</v>
      </c>
      <c r="F44" s="61">
        <f>IF(FT!A44&lt;&gt;"",FT!A44*10,"")</f>
        <v>3.9129000000000005</v>
      </c>
      <c r="G44" s="61">
        <f>IF(FT!B44&lt;&gt;"",FT!B44*100,"")</f>
        <v>47.514299999999999</v>
      </c>
      <c r="H44" s="61">
        <f t="shared" si="1"/>
        <v>1</v>
      </c>
      <c r="I44" t="str">
        <f>IF(FT!B44&lt;&gt;"",FT!E44,"")</f>
        <v>1 [17.021146]</v>
      </c>
      <c r="J44">
        <f>IF(FT!B44&lt;&gt;"",FT!C44,"")</f>
        <v>17.021100000000001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3.9447700000000001</v>
      </c>
      <c r="G45" s="61">
        <f>IF(FT!B45&lt;&gt;"",FT!B45*100,"")</f>
        <v>47.622100000000003</v>
      </c>
      <c r="H45" s="61">
        <f t="shared" si="1"/>
        <v>1</v>
      </c>
      <c r="I45" t="str">
        <f>IF(FT!B45&lt;&gt;"",FT!E45,"")</f>
        <v>1 [17.426246]</v>
      </c>
      <c r="J45">
        <f>IF(FT!B45&lt;&gt;"",FT!C45,"")</f>
        <v>17.426200000000001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73403</v>
      </c>
      <c r="D46" s="61">
        <f>FH!B46*1</f>
        <v>73403</v>
      </c>
      <c r="E46">
        <f t="shared" si="3"/>
        <v>44</v>
      </c>
      <c r="F46" s="61">
        <f>IF(FT!A46&lt;&gt;"",FT!A46*10,"")</f>
        <v>3.9693800000000001</v>
      </c>
      <c r="G46" s="61">
        <f>IF(FT!B46&lt;&gt;"",FT!B46*100,"")</f>
        <v>47.678199999999997</v>
      </c>
      <c r="H46" s="61">
        <f t="shared" si="1"/>
        <v>1</v>
      </c>
      <c r="I46" t="str">
        <f>IF(FT!B46&lt;&gt;"",FT!E46,"")</f>
        <v>1 [17.834486]</v>
      </c>
      <c r="J46">
        <f>IF(FT!B46&lt;&gt;"",FT!C46,"")</f>
        <v>17.834499999999998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3.9883800000000003</v>
      </c>
      <c r="G47" s="61">
        <f>IF(FT!B47&lt;&gt;"",FT!B47*100,"")</f>
        <v>47.629199999999997</v>
      </c>
      <c r="H47" s="61">
        <f t="shared" si="1"/>
        <v>1</v>
      </c>
      <c r="I47" t="str">
        <f>IF(FT!B47&lt;&gt;"",FT!E47,"")</f>
        <v>1 [18.243043]</v>
      </c>
      <c r="J47">
        <f>IF(FT!B47&lt;&gt;"",FT!C47,"")</f>
        <v>18.242999999999999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4.0010899999999996</v>
      </c>
      <c r="G48" s="61">
        <f>IF(FT!B48&lt;&gt;"",FT!B48*100,"")</f>
        <v>47.521999999999998</v>
      </c>
      <c r="H48" s="61">
        <f t="shared" si="1"/>
        <v>1</v>
      </c>
      <c r="I48" t="str">
        <f>IF(FT!B48&lt;&gt;"",FT!E48,"")</f>
        <v>1 [18.649919]</v>
      </c>
      <c r="J48">
        <f>IF(FT!B48&lt;&gt;"",FT!C48,"")</f>
        <v>18.649899999999999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74469</v>
      </c>
      <c r="D49" s="61">
        <f>FH!B49*1</f>
        <v>74469</v>
      </c>
      <c r="E49">
        <f t="shared" si="3"/>
        <v>47</v>
      </c>
      <c r="F49" s="61">
        <f>IF(FT!A49&lt;&gt;"",FT!A49*10,"")</f>
        <v>4.0091099999999997</v>
      </c>
      <c r="G49" s="61">
        <f>IF(FT!B49&lt;&gt;"",FT!B49*100,"")</f>
        <v>47.360700000000001</v>
      </c>
      <c r="H49" s="61">
        <f t="shared" si="1"/>
        <v>1</v>
      </c>
      <c r="I49" t="str">
        <f>IF(FT!B49&lt;&gt;"",FT!E49,"")</f>
        <v>1 [19.052459]</v>
      </c>
      <c r="J49">
        <f>IF(FT!B49&lt;&gt;"",FT!C49,"")</f>
        <v>19.052499999999998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4.0145799999999996</v>
      </c>
      <c r="G50" s="61">
        <f>IF(FT!B50&lt;&gt;"",FT!B50*100,"")</f>
        <v>47.125699999999995</v>
      </c>
      <c r="H50" s="61">
        <f t="shared" si="1"/>
        <v>1</v>
      </c>
      <c r="I50" t="str">
        <f>IF(FT!B50&lt;&gt;"",FT!E50,"")</f>
        <v>1 [19.459775]</v>
      </c>
      <c r="J50">
        <f>IF(FT!B50&lt;&gt;"",FT!C50,"")</f>
        <v>19.459800000000001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81802</v>
      </c>
      <c r="D51" s="61">
        <f>FH!B51*1</f>
        <v>81802</v>
      </c>
      <c r="E51">
        <f t="shared" si="3"/>
        <v>49</v>
      </c>
      <c r="F51" s="61">
        <f>IF(FT!A51&lt;&gt;"",FT!A51*10,"")</f>
        <v>4.0198200000000002</v>
      </c>
      <c r="G51" s="61">
        <f>IF(FT!B51&lt;&gt;"",FT!B51*100,"")</f>
        <v>46.857500000000002</v>
      </c>
      <c r="H51" s="61">
        <f t="shared" si="1"/>
        <v>1</v>
      </c>
      <c r="I51" t="str">
        <f>IF(FT!B51&lt;&gt;"",FT!E51,"")</f>
        <v>1 [19.865853]</v>
      </c>
      <c r="J51">
        <f>IF(FT!B51&lt;&gt;"",FT!C51,"")</f>
        <v>19.8659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4.0260099999999994</v>
      </c>
      <c r="G52" s="61">
        <f>IF(FT!B52&lt;&gt;"",FT!B52*100,"")</f>
        <v>46.688000000000002</v>
      </c>
      <c r="H52" s="61">
        <f t="shared" si="1"/>
        <v>1</v>
      </c>
      <c r="I52" t="str">
        <f>IF(FT!B52&lt;&gt;"",FT!E52,"")</f>
        <v>1 [20.273636]</v>
      </c>
      <c r="J52">
        <f>IF(FT!B52&lt;&gt;"",FT!C52,"")</f>
        <v>20.273599999999998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4.0295699999999997</v>
      </c>
      <c r="G53" s="61">
        <f>IF(FT!B53&lt;&gt;"",FT!B53*100,"")</f>
        <v>46.440799999999996</v>
      </c>
      <c r="H53" s="61">
        <f t="shared" si="1"/>
        <v>1</v>
      </c>
      <c r="I53" t="str">
        <f>IF(FT!B53&lt;&gt;"",FT!E53,"")</f>
        <v>1 [20.681647]</v>
      </c>
      <c r="J53">
        <f>IF(FT!B53&lt;&gt;"",FT!C53,"")</f>
        <v>20.6816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86750</v>
      </c>
      <c r="D54" s="61">
        <f>FH!B54*1</f>
        <v>86750</v>
      </c>
      <c r="E54">
        <f t="shared" si="3"/>
        <v>52</v>
      </c>
      <c r="F54" s="61">
        <f>IF(FT!A54&lt;&gt;"",FT!A54*10,"")</f>
        <v>4.0307700000000004</v>
      </c>
      <c r="G54" s="61">
        <f>IF(FT!B54&lt;&gt;"",FT!B54*100,"")</f>
        <v>46.104199999999999</v>
      </c>
      <c r="H54" s="61">
        <f t="shared" si="1"/>
        <v>1</v>
      </c>
      <c r="I54" t="str">
        <f>IF(FT!B54&lt;&gt;"",FT!E54,"")</f>
        <v>1 [21.083341]</v>
      </c>
      <c r="J54">
        <f>IF(FT!B54&lt;&gt;"",FT!C54,"")</f>
        <v>21.083300000000001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4.0266900000000003</v>
      </c>
      <c r="G55" s="61">
        <f>IF(FT!B55&lt;&gt;"",FT!B55*100,"")</f>
        <v>45.715400000000002</v>
      </c>
      <c r="H55" s="61">
        <f t="shared" si="1"/>
        <v>1</v>
      </c>
      <c r="I55" t="str">
        <f>IF(FT!B55&lt;&gt;"",FT!E55,"")</f>
        <v>1 [21.491402]</v>
      </c>
      <c r="J55">
        <f>IF(FT!B55&lt;&gt;"",FT!C55,"")</f>
        <v>21.491399999999999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4.0163900000000003</v>
      </c>
      <c r="G56" s="61">
        <f>IF(FT!B56&lt;&gt;"",FT!B56*100,"")</f>
        <v>45.359100000000005</v>
      </c>
      <c r="H56" s="61">
        <f t="shared" si="1"/>
        <v>1</v>
      </c>
      <c r="I56" t="str">
        <f>IF(FT!B56&lt;&gt;"",FT!E56,"")</f>
        <v>1 [21.897549]</v>
      </c>
      <c r="J56">
        <f>IF(FT!B56&lt;&gt;"",FT!C56,"")</f>
        <v>21.897500000000001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95359</v>
      </c>
      <c r="D57" s="61">
        <f>FH!B57*1</f>
        <v>95359</v>
      </c>
      <c r="E57">
        <f t="shared" si="3"/>
        <v>55</v>
      </c>
      <c r="F57" s="61">
        <f>IF(FT!A57&lt;&gt;"",FT!A57*10,"")</f>
        <v>4.0028799999999993</v>
      </c>
      <c r="G57" s="61">
        <f>IF(FT!B57&lt;&gt;"",FT!B57*100,"")</f>
        <v>45.134900000000002</v>
      </c>
      <c r="H57" s="61">
        <f t="shared" si="1"/>
        <v>1</v>
      </c>
      <c r="I57" t="str">
        <f>IF(FT!B57&lt;&gt;"",FT!E57,"")</f>
        <v>1 [22.305154]</v>
      </c>
      <c r="J57">
        <f>IF(FT!B57&lt;&gt;"",FT!C57,"")</f>
        <v>22.305199999999999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3.9893099999999997</v>
      </c>
      <c r="G58" s="61">
        <f>IF(FT!B58&lt;&gt;"",FT!B58*100,"")</f>
        <v>45.052700000000002</v>
      </c>
      <c r="H58" s="61">
        <f t="shared" si="1"/>
        <v>1</v>
      </c>
      <c r="I58" t="str">
        <f>IF(FT!B58&lt;&gt;"",FT!E58,"")</f>
        <v>1 [22.713107]</v>
      </c>
      <c r="J58">
        <f>IF(FT!B58&lt;&gt;"",FT!C58,"")</f>
        <v>22.713100000000001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103427</v>
      </c>
      <c r="D59" s="61">
        <f>FH!B59*1</f>
        <v>103427</v>
      </c>
      <c r="E59">
        <f t="shared" si="3"/>
        <v>57</v>
      </c>
      <c r="F59" s="61">
        <f>IF(FT!A59&lt;&gt;"",FT!A59*10,"")</f>
        <v>3.9755699999999998</v>
      </c>
      <c r="G59" s="61">
        <f>IF(FT!B59&lt;&gt;"",FT!B59*100,"")</f>
        <v>45.054899999999996</v>
      </c>
      <c r="H59" s="61">
        <f t="shared" si="1"/>
        <v>1</v>
      </c>
      <c r="I59" t="str">
        <f>IF(FT!B59&lt;&gt;"",FT!E59,"")</f>
        <v>1 [23.114898]</v>
      </c>
      <c r="J59">
        <f>IF(FT!B59&lt;&gt;"",FT!C59,"")</f>
        <v>23.114899999999999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3.9654299999999996</v>
      </c>
      <c r="G60" s="61">
        <f>IF(FT!B60&lt;&gt;"",FT!B60*100,"")</f>
        <v>45.104499999999994</v>
      </c>
      <c r="H60" s="61">
        <f t="shared" si="1"/>
        <v>1</v>
      </c>
      <c r="I60" t="str">
        <f>IF(FT!B60&lt;&gt;"",FT!E60,"")</f>
        <v>1 [23.521842]</v>
      </c>
      <c r="J60">
        <f>IF(FT!B60&lt;&gt;"",FT!C60,"")</f>
        <v>23.521799999999999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3.9551500000000002</v>
      </c>
      <c r="G61" s="61">
        <f>IF(FT!B61&lt;&gt;"",FT!B61*100,"")</f>
        <v>45.091500000000003</v>
      </c>
      <c r="H61" s="61">
        <f t="shared" si="1"/>
        <v>1</v>
      </c>
      <c r="I61" t="str">
        <f>IF(FT!B61&lt;&gt;"",FT!E61,"")</f>
        <v>1 [23.930484]</v>
      </c>
      <c r="J61">
        <f>IF(FT!B61&lt;&gt;"",FT!C61,"")</f>
        <v>23.930499999999999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115979</v>
      </c>
      <c r="D62" s="61">
        <f>FH!B62*1</f>
        <v>115979</v>
      </c>
      <c r="E62">
        <f t="shared" si="3"/>
        <v>60</v>
      </c>
      <c r="F62" s="61">
        <f>IF(FT!A62&lt;&gt;"",FT!A62*10,"")</f>
        <v>3.9528099999999999</v>
      </c>
      <c r="G62" s="61">
        <f>IF(FT!B62&lt;&gt;"",FT!B62*100,"")</f>
        <v>45.055900000000001</v>
      </c>
      <c r="H62" s="61">
        <f t="shared" si="1"/>
        <v>1</v>
      </c>
      <c r="I62" t="str">
        <f>IF(FT!B62&lt;&gt;"",FT!E62,"")</f>
        <v>1 [24.335924]</v>
      </c>
      <c r="J62">
        <f>IF(FT!B62&lt;&gt;"",FT!C62,"")</f>
        <v>24.335899999999999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3.9508999999999999</v>
      </c>
      <c r="G63" s="61">
        <f>IF(FT!B63&lt;&gt;"",FT!B63*100,"")</f>
        <v>44.994599999999998</v>
      </c>
      <c r="H63" s="61">
        <f t="shared" si="1"/>
        <v>1</v>
      </c>
      <c r="I63" t="str">
        <f>IF(FT!B63&lt;&gt;"",FT!E63,"")</f>
        <v>1 [24.741314]</v>
      </c>
      <c r="J63">
        <f>IF(FT!B63&lt;&gt;"",FT!C63,"")</f>
        <v>24.741299999999999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124941</v>
      </c>
      <c r="D64" s="61">
        <f>FH!B64*1</f>
        <v>124941</v>
      </c>
      <c r="E64">
        <f t="shared" si="3"/>
        <v>62</v>
      </c>
      <c r="F64" s="61">
        <f>IF(FT!A64&lt;&gt;"",FT!A64*10,"")</f>
        <v>3.9522300000000001</v>
      </c>
      <c r="G64" s="61">
        <f>IF(FT!B64&lt;&gt;"",FT!B64*100,"")</f>
        <v>44.999699999999997</v>
      </c>
      <c r="H64" s="61">
        <f t="shared" si="1"/>
        <v>1</v>
      </c>
      <c r="I64" t="str">
        <f>IF(FT!B64&lt;&gt;"",FT!E64,"")</f>
        <v>1 [25.148578]</v>
      </c>
      <c r="J64">
        <f>IF(FT!B64&lt;&gt;"",FT!C64,"")</f>
        <v>25.148599999999998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3.9573399999999999</v>
      </c>
      <c r="G65" s="61">
        <f>IF(FT!B65&lt;&gt;"",FT!B65*100,"")</f>
        <v>45.034700000000001</v>
      </c>
      <c r="H65" s="61">
        <f t="shared" si="1"/>
        <v>1</v>
      </c>
      <c r="I65" t="str">
        <f>IF(FT!B65&lt;&gt;"",FT!E65,"")</f>
        <v>1 [25.554712]</v>
      </c>
      <c r="J65">
        <f>IF(FT!B65&lt;&gt;"",FT!C65,"")</f>
        <v>25.5547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3.9673999999999996</v>
      </c>
      <c r="G66" s="61">
        <f>IF(FT!B66&lt;&gt;"",FT!B66*100,"")</f>
        <v>45.076999999999998</v>
      </c>
      <c r="H66" s="61">
        <f t="shared" si="1"/>
        <v>1</v>
      </c>
      <c r="I66" t="str">
        <f>IF(FT!B66&lt;&gt;"",FT!E66,"")</f>
        <v>1 [25.960510]</v>
      </c>
      <c r="J66">
        <f>IF(FT!B66&lt;&gt;"",FT!C66,"")</f>
        <v>25.9605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128101</v>
      </c>
      <c r="D67" s="61">
        <f>FH!B67*1</f>
        <v>128101</v>
      </c>
      <c r="E67">
        <f t="shared" si="3"/>
        <v>65</v>
      </c>
      <c r="F67" s="61">
        <f>IF(FT!A67&lt;&gt;"",FT!A67*10,"")</f>
        <v>3.9818799999999999</v>
      </c>
      <c r="G67" s="61">
        <f>IF(FT!B67&lt;&gt;"",FT!B67*100,"")</f>
        <v>45.137300000000003</v>
      </c>
      <c r="H67" s="61">
        <f t="shared" ref="H67:H130" si="9">(IF(F67&lt;&gt;"",1,""))</f>
        <v>1</v>
      </c>
      <c r="I67" t="str">
        <f>IF(FT!B67&lt;&gt;"",FT!E67,"")</f>
        <v>1 [26.369556]</v>
      </c>
      <c r="J67">
        <f>IF(FT!B67&lt;&gt;"",FT!C67,"")</f>
        <v>26.369599999999998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4.0032699999999997</v>
      </c>
      <c r="G68" s="61">
        <f>IF(FT!B68&lt;&gt;"",FT!B68*100,"")</f>
        <v>45.106299999999997</v>
      </c>
      <c r="H68" s="61">
        <f t="shared" si="9"/>
        <v>1</v>
      </c>
      <c r="I68" t="str">
        <f>IF(FT!B68&lt;&gt;"",FT!E68,"")</f>
        <v>1 [26.772213]</v>
      </c>
      <c r="J68">
        <f>IF(FT!B68&lt;&gt;"",FT!C68,"")</f>
        <v>26.772200000000002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137565</v>
      </c>
      <c r="D69" s="61">
        <f>FH!B69*1</f>
        <v>137565</v>
      </c>
      <c r="E69">
        <f t="shared" si="11"/>
        <v>67</v>
      </c>
      <c r="F69" s="61">
        <f>IF(FT!A69&lt;&gt;"",FT!A69*10,"")</f>
        <v>4.0292499999999993</v>
      </c>
      <c r="G69" s="61">
        <f>IF(FT!B69&lt;&gt;"",FT!B69*100,"")</f>
        <v>44.981700000000004</v>
      </c>
      <c r="H69" s="61">
        <f t="shared" si="9"/>
        <v>1</v>
      </c>
      <c r="I69" t="str">
        <f>IF(FT!B69&lt;&gt;"",FT!E69,"")</f>
        <v>1 [27.180136]</v>
      </c>
      <c r="J69">
        <f>IF(FT!B69&lt;&gt;"",FT!C69,"")</f>
        <v>27.180099999999999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4.0619300000000003</v>
      </c>
      <c r="G70" s="61">
        <f>IF(FT!B70&lt;&gt;"",FT!B70*100,"")</f>
        <v>44.768900000000002</v>
      </c>
      <c r="H70" s="61">
        <f t="shared" si="9"/>
        <v>1</v>
      </c>
      <c r="I70" t="str">
        <f>IF(FT!B70&lt;&gt;"",FT!E70,"")</f>
        <v>1 [27.585425]</v>
      </c>
      <c r="J70">
        <f>IF(FT!B70&lt;&gt;"",FT!C70,"")</f>
        <v>27.5854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4.1027300000000002</v>
      </c>
      <c r="G71" s="61">
        <f>IF(FT!B71&lt;&gt;"",FT!B71*100,"")</f>
        <v>44.573599999999999</v>
      </c>
      <c r="H71" s="61">
        <f t="shared" si="9"/>
        <v>1</v>
      </c>
      <c r="I71" t="str">
        <f>IF(FT!B71&lt;&gt;"",FT!E71,"")</f>
        <v>1 [27.993168]</v>
      </c>
      <c r="J71">
        <f>IF(FT!B71&lt;&gt;"",FT!C71,"")</f>
        <v>27.993200000000002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140599</v>
      </c>
      <c r="D72" s="61">
        <f>FH!B72*1</f>
        <v>140599</v>
      </c>
      <c r="E72">
        <f t="shared" si="11"/>
        <v>70</v>
      </c>
      <c r="F72" s="61">
        <f>IF(FT!A72&lt;&gt;"",FT!A72*10,"")</f>
        <v>4.1479600000000003</v>
      </c>
      <c r="G72" s="61">
        <f>IF(FT!B72&lt;&gt;"",FT!B72*100,"")</f>
        <v>44.426400000000001</v>
      </c>
      <c r="H72" s="61">
        <f t="shared" si="9"/>
        <v>1</v>
      </c>
      <c r="I72" t="str">
        <f>IF(FT!B72&lt;&gt;"",FT!E72,"")</f>
        <v>1 [28.395980]</v>
      </c>
      <c r="J72">
        <f>IF(FT!B72&lt;&gt;"",FT!C72,"")</f>
        <v>28.396000000000001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4.1962599999999997</v>
      </c>
      <c r="G73" s="61">
        <f>IF(FT!B73&lt;&gt;"",FT!B73*100,"")</f>
        <v>44.372199999999999</v>
      </c>
      <c r="H73" s="61">
        <f t="shared" si="9"/>
        <v>1</v>
      </c>
      <c r="I73" t="str">
        <f>IF(FT!B73&lt;&gt;"",FT!E73,"")</f>
        <v>1 [28.805803]</v>
      </c>
      <c r="J73">
        <f>IF(FT!B73&lt;&gt;"",FT!C73,"")</f>
        <v>28.805800000000001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4.2465999999999999</v>
      </c>
      <c r="G74" s="61">
        <f>IF(FT!B74&lt;&gt;"",FT!B74*100,"")</f>
        <v>44.432200000000002</v>
      </c>
      <c r="H74" s="61">
        <f t="shared" si="9"/>
        <v>1</v>
      </c>
      <c r="I74" t="str">
        <f>IF(FT!B74&lt;&gt;"",FT!E74,"")</f>
        <v>1 [29.209669]</v>
      </c>
      <c r="J74">
        <f>IF(FT!B74&lt;&gt;"",FT!C74,"")</f>
        <v>29.209700000000002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155086</v>
      </c>
      <c r="D75" s="61">
        <f>FH!B75*1</f>
        <v>155086</v>
      </c>
      <c r="E75">
        <f t="shared" si="11"/>
        <v>73</v>
      </c>
      <c r="F75" s="61">
        <f>IF(FT!A75&lt;&gt;"",FT!A75*10,"")</f>
        <v>4.2968500000000001</v>
      </c>
      <c r="G75" s="61">
        <f>IF(FT!B75&lt;&gt;"",FT!B75*100,"")</f>
        <v>44.580599999999997</v>
      </c>
      <c r="H75" s="61">
        <f t="shared" si="9"/>
        <v>1</v>
      </c>
      <c r="I75" t="str">
        <f>IF(FT!B75&lt;&gt;"",FT!E75,"")</f>
        <v>1 [29.617567]</v>
      </c>
      <c r="J75">
        <f>IF(FT!B75&lt;&gt;"",FT!C75,"")</f>
        <v>29.617599999999999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4.3520199999999996</v>
      </c>
      <c r="G76" s="61">
        <f>IF(FT!B76&lt;&gt;"",FT!B76*100,"")</f>
        <v>44.635100000000001</v>
      </c>
      <c r="H76" s="61">
        <f t="shared" si="9"/>
        <v>1</v>
      </c>
      <c r="I76" t="str">
        <f>IF(FT!B76&lt;&gt;"",FT!E76,"")</f>
        <v>2 [30.019567]</v>
      </c>
      <c r="J76">
        <f>IF(FT!B76&lt;&gt;"",FT!C76,"")</f>
        <v>30.019600000000001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171257</v>
      </c>
      <c r="D77" s="61">
        <f>FH!B77*1</f>
        <v>171257</v>
      </c>
      <c r="E77">
        <f t="shared" si="11"/>
        <v>75</v>
      </c>
      <c r="F77" s="61">
        <f>IF(FT!A77&lt;&gt;"",FT!A77*10,"")</f>
        <v>4.4350800000000001</v>
      </c>
      <c r="G77" s="61">
        <f>IF(FT!B77&lt;&gt;"",FT!B77*100,"")</f>
        <v>44.556100000000001</v>
      </c>
      <c r="H77" s="61">
        <f t="shared" si="9"/>
        <v>1</v>
      </c>
      <c r="I77" t="str">
        <f>IF(FT!B77&lt;&gt;"",FT!E77,"")</f>
        <v>2 [30.621996]</v>
      </c>
      <c r="J77">
        <f>IF(FT!B77&lt;&gt;"",FT!C77,"")</f>
        <v>30.622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4.5024199999999999</v>
      </c>
      <c r="G78" s="61">
        <f>IF(FT!B78&lt;&gt;"",FT!B78*100,"")</f>
        <v>44.484299999999998</v>
      </c>
      <c r="H78" s="61">
        <f t="shared" si="9"/>
        <v>1</v>
      </c>
      <c r="I78" t="str">
        <f>IF(FT!B78&lt;&gt;"",FT!E78,"")</f>
        <v>2 [30.989370]</v>
      </c>
      <c r="J78">
        <f>IF(FT!B78&lt;&gt;"",FT!C78,"")</f>
        <v>30.9894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4.57294</v>
      </c>
      <c r="G79" s="61">
        <f>IF(FT!B79&lt;&gt;"",FT!B79*100,"")</f>
        <v>44.439700000000002</v>
      </c>
      <c r="H79" s="61">
        <f t="shared" si="9"/>
        <v>1</v>
      </c>
      <c r="I79" t="str">
        <f>IF(FT!B79&lt;&gt;"",FT!E79,"")</f>
        <v>2 [31.366000]</v>
      </c>
      <c r="J79">
        <f>IF(FT!B79&lt;&gt;"",FT!C79,"")</f>
        <v>31.366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180033</v>
      </c>
      <c r="D80" s="61">
        <f>FH!B80*1</f>
        <v>180033</v>
      </c>
      <c r="E80">
        <f t="shared" si="11"/>
        <v>78</v>
      </c>
      <c r="F80" s="61">
        <f>IF(FT!A80&lt;&gt;"",FT!A80*10,"")</f>
        <v>4.6486599999999996</v>
      </c>
      <c r="G80" s="61">
        <f>IF(FT!B80&lt;&gt;"",FT!B80*100,"")</f>
        <v>44.424999999999997</v>
      </c>
      <c r="H80" s="61">
        <f t="shared" si="9"/>
        <v>1</v>
      </c>
      <c r="I80" t="str">
        <f>IF(FT!B80&lt;&gt;"",FT!E80,"")</f>
        <v>2 [31.741034]</v>
      </c>
      <c r="J80">
        <f>IF(FT!B80&lt;&gt;"",FT!C80,"")</f>
        <v>31.741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4.7190799999999999</v>
      </c>
      <c r="G81" s="61">
        <f>IF(FT!B81&lt;&gt;"",FT!B81*100,"")</f>
        <v>44.726500000000001</v>
      </c>
      <c r="H81" s="61">
        <f t="shared" si="9"/>
        <v>1</v>
      </c>
      <c r="I81" t="str">
        <f>IF(FT!B81&lt;&gt;"",FT!E81,"")</f>
        <v>2 [32.119368]</v>
      </c>
      <c r="J81">
        <f>IF(FT!B81&lt;&gt;"",FT!C81,"")</f>
        <v>32.119399999999999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186907</v>
      </c>
      <c r="D82" s="61">
        <f>FH!B82*1</f>
        <v>186907</v>
      </c>
      <c r="E82">
        <f t="shared" si="11"/>
        <v>80</v>
      </c>
      <c r="F82" s="61">
        <f>IF(FT!A82&lt;&gt;"",FT!A82*10,"")</f>
        <v>4.7812200000000002</v>
      </c>
      <c r="G82" s="61">
        <f>IF(FT!B82&lt;&gt;"",FT!B82*100,"")</f>
        <v>45.356499999999997</v>
      </c>
      <c r="H82" s="61">
        <f t="shared" si="9"/>
        <v>1</v>
      </c>
      <c r="I82" t="str">
        <f>IF(FT!B82&lt;&gt;"",FT!E82,"")</f>
        <v>2 [32.522979]</v>
      </c>
      <c r="J82">
        <f>IF(FT!B82&lt;&gt;"",FT!C82,"")</f>
        <v>32.523000000000003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4.8365900000000002</v>
      </c>
      <c r="G83" s="61">
        <f>IF(FT!B83&lt;&gt;"",FT!B83*100,"")</f>
        <v>46.165399999999998</v>
      </c>
      <c r="H83" s="61">
        <f t="shared" si="9"/>
        <v>1</v>
      </c>
      <c r="I83" t="str">
        <f>IF(FT!B83&lt;&gt;"",FT!E83,"")</f>
        <v>2 [32.928913]</v>
      </c>
      <c r="J83">
        <f>IF(FT!B83&lt;&gt;"",FT!C83,"")</f>
        <v>32.928899999999999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4.8848200000000004</v>
      </c>
      <c r="G84" s="61">
        <f>IF(FT!B84&lt;&gt;"",FT!B84*100,"")</f>
        <v>47.062599999999996</v>
      </c>
      <c r="H84" s="61">
        <f t="shared" si="9"/>
        <v>1</v>
      </c>
      <c r="I84" t="str">
        <f>IF(FT!B84&lt;&gt;"",FT!E84,"")</f>
        <v>2 [33.333777]</v>
      </c>
      <c r="J84">
        <f>IF(FT!B84&lt;&gt;"",FT!C84,"")</f>
        <v>33.333799999999997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201139</v>
      </c>
      <c r="D85" s="61">
        <f>FH!B85*1</f>
        <v>201139</v>
      </c>
      <c r="E85">
        <f t="shared" si="11"/>
        <v>83</v>
      </c>
      <c r="F85" s="61">
        <f>IF(FT!A85&lt;&gt;"",FT!A85*10,"")</f>
        <v>4.9268099999999997</v>
      </c>
      <c r="G85" s="61">
        <f>IF(FT!B85&lt;&gt;"",FT!B85*100,"")</f>
        <v>48.005499999999998</v>
      </c>
      <c r="H85" s="61">
        <f t="shared" si="9"/>
        <v>1</v>
      </c>
      <c r="I85" t="str">
        <f>IF(FT!B85&lt;&gt;"",FT!E85,"")</f>
        <v>2 [33.740838]</v>
      </c>
      <c r="J85">
        <f>IF(FT!B85&lt;&gt;"",FT!C85,"")</f>
        <v>33.7408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4.9629500000000002</v>
      </c>
      <c r="G86" s="61">
        <f>IF(FT!B86&lt;&gt;"",FT!B86*100,"")</f>
        <v>48.881300000000003</v>
      </c>
      <c r="H86" s="61">
        <f t="shared" si="9"/>
        <v>1</v>
      </c>
      <c r="I86" t="str">
        <f>IF(FT!B86&lt;&gt;"",FT!E86,"")</f>
        <v>2 [34.146937]</v>
      </c>
      <c r="J86">
        <f>IF(FT!B86&lt;&gt;"",FT!C86,"")</f>
        <v>34.146900000000002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4.9972499999999993</v>
      </c>
      <c r="G87" s="61">
        <f>IF(FT!B87&lt;&gt;"",FT!B87*100,"")</f>
        <v>49.695799999999998</v>
      </c>
      <c r="H87" s="61">
        <f t="shared" si="9"/>
        <v>1</v>
      </c>
      <c r="I87" t="str">
        <f>IF(FT!B87&lt;&gt;"",FT!E87,"")</f>
        <v>2 [34.559528]</v>
      </c>
      <c r="J87">
        <f>IF(FT!B87&lt;&gt;"",FT!C87,"")</f>
        <v>34.5595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215234</v>
      </c>
      <c r="D88" s="61">
        <f>FH!B88*1</f>
        <v>215234</v>
      </c>
      <c r="E88">
        <f t="shared" si="11"/>
        <v>86</v>
      </c>
      <c r="F88" s="61">
        <f>IF(FT!A88&lt;&gt;"",FT!A88*10,"")</f>
        <v>5.0287000000000006</v>
      </c>
      <c r="G88" s="61">
        <f>IF(FT!B88&lt;&gt;"",FT!B88*100,"")</f>
        <v>50.474499999999999</v>
      </c>
      <c r="H88" s="61">
        <f t="shared" si="9"/>
        <v>1</v>
      </c>
      <c r="I88" t="str">
        <f>IF(FT!B88&lt;&gt;"",FT!E88,"")</f>
        <v>2 [34.958688]</v>
      </c>
      <c r="J88">
        <f>IF(FT!B88&lt;&gt;"",FT!C88,"")</f>
        <v>34.9587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5.0583599999999995</v>
      </c>
      <c r="G89" s="61">
        <f>IF(FT!B89&lt;&gt;"",FT!B89*100,"")</f>
        <v>51.2682</v>
      </c>
      <c r="H89" s="61">
        <f t="shared" si="9"/>
        <v>1</v>
      </c>
      <c r="I89" t="str">
        <f>IF(FT!B89&lt;&gt;"",FT!E89,"")</f>
        <v>2 [35.368734]</v>
      </c>
      <c r="J89">
        <f>IF(FT!B89&lt;&gt;"",FT!C89,"")</f>
        <v>35.368699999999997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231432</v>
      </c>
      <c r="D90" s="61">
        <f>FH!B90*1</f>
        <v>231432</v>
      </c>
      <c r="E90">
        <f t="shared" si="11"/>
        <v>88</v>
      </c>
      <c r="F90" s="61">
        <f>IF(FT!A90&lt;&gt;"",FT!A90*10,"")</f>
        <v>5.0835399999999993</v>
      </c>
      <c r="G90" s="61">
        <f>IF(FT!B90&lt;&gt;"",FT!B90*100,"")</f>
        <v>52.069299999999998</v>
      </c>
      <c r="H90" s="61">
        <f t="shared" si="9"/>
        <v>1</v>
      </c>
      <c r="I90" t="str">
        <f>IF(FT!B90&lt;&gt;"",FT!E90,"")</f>
        <v>2 [35.773400]</v>
      </c>
      <c r="J90">
        <f>IF(FT!B90&lt;&gt;"",FT!C90,"")</f>
        <v>35.773400000000002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5.1037699999999999</v>
      </c>
      <c r="G91" s="61">
        <f>IF(FT!B91&lt;&gt;"",FT!B91*100,"")</f>
        <v>52.853000000000009</v>
      </c>
      <c r="H91" s="61">
        <f t="shared" si="9"/>
        <v>1</v>
      </c>
      <c r="I91" t="str">
        <f>IF(FT!B91&lt;&gt;"",FT!E91,"")</f>
        <v>2 [36.176707]</v>
      </c>
      <c r="J91">
        <f>IF(FT!B91&lt;&gt;"",FT!C91,"")</f>
        <v>36.176699999999997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5.1177200000000003</v>
      </c>
      <c r="G92" s="61">
        <f>IF(FT!B92&lt;&gt;"",FT!B92*100,"")</f>
        <v>53.532500000000006</v>
      </c>
      <c r="H92" s="61">
        <f t="shared" si="9"/>
        <v>1</v>
      </c>
      <c r="I92" t="str">
        <f>IF(FT!B92&lt;&gt;"",FT!E92,"")</f>
        <v>2 [36.584242]</v>
      </c>
      <c r="J92">
        <f>IF(FT!B92&lt;&gt;"",FT!C92,"")</f>
        <v>36.584200000000003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227765</v>
      </c>
      <c r="D93" s="61">
        <f>FH!B93*1</f>
        <v>227765</v>
      </c>
      <c r="E93">
        <f t="shared" si="11"/>
        <v>91</v>
      </c>
      <c r="F93" s="61">
        <f>IF(FT!A93&lt;&gt;"",FT!A93*10,"")</f>
        <v>5.1266100000000003</v>
      </c>
      <c r="G93" s="61">
        <f>IF(FT!B93&lt;&gt;"",FT!B93*100,"")</f>
        <v>54.086100000000002</v>
      </c>
      <c r="H93" s="61">
        <f t="shared" si="9"/>
        <v>1</v>
      </c>
      <c r="I93" t="str">
        <f>IF(FT!B93&lt;&gt;"",FT!E93,"")</f>
        <v>2 [36.991996]</v>
      </c>
      <c r="J93">
        <f>IF(FT!B93&lt;&gt;"",FT!C93,"")</f>
        <v>36.991999999999997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5.1319300000000005</v>
      </c>
      <c r="G94" s="61">
        <f>IF(FT!B94&lt;&gt;"",FT!B94*100,"")</f>
        <v>54.543699999999994</v>
      </c>
      <c r="H94" s="61">
        <f t="shared" si="9"/>
        <v>1</v>
      </c>
      <c r="I94" t="str">
        <f>IF(FT!B94&lt;&gt;"",FT!E94,"")</f>
        <v>2 [37.399313]</v>
      </c>
      <c r="J94">
        <f>IF(FT!B94&lt;&gt;"",FT!C94,"")</f>
        <v>37.399299999999997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253232</v>
      </c>
      <c r="D95" s="61">
        <f>FH!B95*1</f>
        <v>253232</v>
      </c>
      <c r="E95">
        <f t="shared" si="11"/>
        <v>93</v>
      </c>
      <c r="F95" s="61">
        <f>IF(FT!A95&lt;&gt;"",FT!A95*10,"")</f>
        <v>5.1331300000000004</v>
      </c>
      <c r="G95" s="61">
        <f>IF(FT!B95&lt;&gt;"",FT!B95*100,"")</f>
        <v>54.869299999999996</v>
      </c>
      <c r="H95" s="61">
        <f t="shared" si="9"/>
        <v>1</v>
      </c>
      <c r="I95" t="str">
        <f>IF(FT!B95&lt;&gt;"",FT!E95,"")</f>
        <v>2 [37.804826]</v>
      </c>
      <c r="J95">
        <f>IF(FT!B95&lt;&gt;"",FT!C95,"")</f>
        <v>37.8048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5.1311999999999998</v>
      </c>
      <c r="G96" s="61">
        <f>IF(FT!B96&lt;&gt;"",FT!B96*100,"")</f>
        <v>55.115499999999997</v>
      </c>
      <c r="H96" s="61">
        <f t="shared" si="9"/>
        <v>1</v>
      </c>
      <c r="I96" t="str">
        <f>IF(FT!B96&lt;&gt;"",FT!E96,"")</f>
        <v>2 [38.212682]</v>
      </c>
      <c r="J96">
        <f>IF(FT!B96&lt;&gt;"",FT!C96,"")</f>
        <v>38.212699999999998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5.1270899999999999</v>
      </c>
      <c r="G97" s="61">
        <f>IF(FT!B97&lt;&gt;"",FT!B97*100,"")</f>
        <v>55.289200000000008</v>
      </c>
      <c r="H97" s="61">
        <f t="shared" si="9"/>
        <v>1</v>
      </c>
      <c r="I97" t="str">
        <f>IF(FT!B97&lt;&gt;"",FT!E97,"")</f>
        <v>2 [38.615680]</v>
      </c>
      <c r="J97">
        <f>IF(FT!B97&lt;&gt;"",FT!C97,"")</f>
        <v>38.615699999999997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242790</v>
      </c>
      <c r="D98" s="61">
        <f>FH!B98*1</f>
        <v>242790</v>
      </c>
      <c r="E98">
        <f t="shared" si="11"/>
        <v>96</v>
      </c>
      <c r="F98" s="61">
        <f>IF(FT!A98&lt;&gt;"",FT!A98*10,"")</f>
        <v>5.1209699999999998</v>
      </c>
      <c r="G98" s="61">
        <f>IF(FT!B98&lt;&gt;"",FT!B98*100,"")</f>
        <v>55.3979</v>
      </c>
      <c r="H98" s="61">
        <f t="shared" si="9"/>
        <v>1</v>
      </c>
      <c r="I98" t="str">
        <f>IF(FT!B98&lt;&gt;"",FT!E98,"")</f>
        <v>2 [39.022531]</v>
      </c>
      <c r="J98">
        <f>IF(FT!B98&lt;&gt;"",FT!C98,"")</f>
        <v>39.022500000000001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5.1128900000000002</v>
      </c>
      <c r="G99" s="61">
        <f>IF(FT!B99&lt;&gt;"",FT!B99*100,"")</f>
        <v>55.482799999999997</v>
      </c>
      <c r="H99" s="61">
        <f t="shared" si="9"/>
        <v>1</v>
      </c>
      <c r="I99" t="str">
        <f>IF(FT!B99&lt;&gt;"",FT!E99,"")</f>
        <v>2 [39.426345]</v>
      </c>
      <c r="J99">
        <f>IF(FT!B99&lt;&gt;"",FT!C99,"")</f>
        <v>39.426299999999998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260520</v>
      </c>
      <c r="D100" s="61">
        <f>FH!B100*1</f>
        <v>260520</v>
      </c>
      <c r="E100">
        <f t="shared" si="11"/>
        <v>98</v>
      </c>
      <c r="F100" s="61">
        <f>IF(FT!A100&lt;&gt;"",FT!A100*10,"")</f>
        <v>5.0995800000000004</v>
      </c>
      <c r="G100" s="61">
        <f>IF(FT!B100&lt;&gt;"",FT!B100*100,"")</f>
        <v>55.443299999999994</v>
      </c>
      <c r="H100" s="61">
        <f t="shared" si="9"/>
        <v>1</v>
      </c>
      <c r="I100" t="str">
        <f>IF(FT!B100&lt;&gt;"",FT!E100,"")</f>
        <v>2 [39.833842]</v>
      </c>
      <c r="J100">
        <f>IF(FT!B100&lt;&gt;"",FT!C100,"")</f>
        <v>39.833799999999997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5.0790900000000008</v>
      </c>
      <c r="G101" s="61">
        <f>IF(FT!B101&lt;&gt;"",FT!B101*100,"")</f>
        <v>55.298499999999997</v>
      </c>
      <c r="H101" s="61">
        <f t="shared" si="9"/>
        <v>1</v>
      </c>
      <c r="I101" t="str">
        <f>IF(FT!B101&lt;&gt;"",FT!E101,"")</f>
        <v>2 [40.238422]</v>
      </c>
      <c r="J101">
        <f>IF(FT!B101&lt;&gt;"",FT!C101,"")</f>
        <v>40.238399999999999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5.0532500000000002</v>
      </c>
      <c r="G102" s="61">
        <f>IF(FT!B102&lt;&gt;"",FT!B102*100,"")</f>
        <v>55.0809</v>
      </c>
      <c r="H102" s="61">
        <f t="shared" si="9"/>
        <v>1</v>
      </c>
      <c r="I102" t="str">
        <f>IF(FT!B102&lt;&gt;"",FT!E102,"")</f>
        <v>2 [40.648451]</v>
      </c>
      <c r="J102">
        <f>IF(FT!B102&lt;&gt;"",FT!C102,"")</f>
        <v>40.648499999999999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240306</v>
      </c>
      <c r="D103" s="61">
        <f>FH!B103*1</f>
        <v>240306</v>
      </c>
      <c r="E103">
        <f t="shared" si="11"/>
        <v>101</v>
      </c>
      <c r="F103" s="61">
        <f>IF(FT!A103&lt;&gt;"",FT!A103*10,"")</f>
        <v>5.0194700000000001</v>
      </c>
      <c r="G103" s="61">
        <f>IF(FT!B103&lt;&gt;"",FT!B103*100,"")</f>
        <v>54.926499999999997</v>
      </c>
      <c r="H103" s="61">
        <f t="shared" si="9"/>
        <v>1</v>
      </c>
      <c r="I103" t="str">
        <f>IF(FT!B103&lt;&gt;"",FT!E103,"")</f>
        <v>2 [41.054079]</v>
      </c>
      <c r="J103">
        <f>IF(FT!B103&lt;&gt;"",FT!C103,"")</f>
        <v>41.054099999999998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4.9797900000000004</v>
      </c>
      <c r="G104" s="61">
        <f>IF(FT!B104&lt;&gt;"",FT!B104*100,"")</f>
        <v>54.863300000000002</v>
      </c>
      <c r="H104" s="61">
        <f t="shared" si="9"/>
        <v>1</v>
      </c>
      <c r="I104" t="str">
        <f>IF(FT!B104&lt;&gt;"",FT!E104,"")</f>
        <v>2 [41.457875]</v>
      </c>
      <c r="J104">
        <f>IF(FT!B104&lt;&gt;"",FT!C104,"")</f>
        <v>41.457900000000002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4.9351000000000003</v>
      </c>
      <c r="G105" s="61">
        <f>IF(FT!B105&lt;&gt;"",FT!B105*100,"")</f>
        <v>55.028299999999994</v>
      </c>
      <c r="H105" s="61">
        <f t="shared" si="9"/>
        <v>1</v>
      </c>
      <c r="I105" t="str">
        <f>IF(FT!B105&lt;&gt;"",FT!E105,"")</f>
        <v>2 [41.865051]</v>
      </c>
      <c r="J105">
        <f>IF(FT!B105&lt;&gt;"",FT!C105,"")</f>
        <v>41.865099999999998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255642</v>
      </c>
      <c r="D106" s="61">
        <f>FH!B106*1</f>
        <v>255642</v>
      </c>
      <c r="E106">
        <f t="shared" si="11"/>
        <v>104</v>
      </c>
      <c r="F106" s="61">
        <f>IF(FT!A106&lt;&gt;"",FT!A106*10,"")</f>
        <v>4.8902200000000002</v>
      </c>
      <c r="G106" s="61">
        <f>IF(FT!B106&lt;&gt;"",FT!B106*100,"")</f>
        <v>55.212899999999998</v>
      </c>
      <c r="H106" s="61">
        <f t="shared" si="9"/>
        <v>1</v>
      </c>
      <c r="I106" t="str">
        <f>IF(FT!B106&lt;&gt;"",FT!E106,"")</f>
        <v>2 [42.271934]</v>
      </c>
      <c r="J106">
        <f>IF(FT!B106&lt;&gt;"",FT!C106,"")</f>
        <v>42.271900000000002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4.8472100000000005</v>
      </c>
      <c r="G107" s="61">
        <f>IF(FT!B107&lt;&gt;"",FT!B107*100,"")</f>
        <v>55.358600000000003</v>
      </c>
      <c r="H107" s="61">
        <f t="shared" si="9"/>
        <v>1</v>
      </c>
      <c r="I107" t="str">
        <f>IF(FT!B107&lt;&gt;"",FT!E107,"")</f>
        <v>2 [42.679794]</v>
      </c>
      <c r="J107">
        <f>IF(FT!B107&lt;&gt;"",FT!C107,"")</f>
        <v>42.6798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260886</v>
      </c>
      <c r="D108" s="61">
        <f>FH!B108*1</f>
        <v>260886</v>
      </c>
      <c r="E108">
        <f t="shared" si="11"/>
        <v>106</v>
      </c>
      <c r="F108" s="61">
        <f>IF(FT!A108&lt;&gt;"",FT!A108*10,"")</f>
        <v>4.80572</v>
      </c>
      <c r="G108" s="61">
        <f>IF(FT!B108&lt;&gt;"",FT!B108*100,"")</f>
        <v>55.512399999999992</v>
      </c>
      <c r="H108" s="61">
        <f t="shared" si="9"/>
        <v>1</v>
      </c>
      <c r="I108" t="str">
        <f>IF(FT!B108&lt;&gt;"",FT!E108,"")</f>
        <v>2 [43.088762]</v>
      </c>
      <c r="J108">
        <f>IF(FT!B108&lt;&gt;"",FT!C108,"")</f>
        <v>43.088799999999999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4.7643699999999995</v>
      </c>
      <c r="G109" s="61">
        <f>IF(FT!B109&lt;&gt;"",FT!B109*100,"")</f>
        <v>55.622300000000003</v>
      </c>
      <c r="H109" s="61">
        <f t="shared" si="9"/>
        <v>1</v>
      </c>
      <c r="I109" t="str">
        <f>IF(FT!B109&lt;&gt;"",FT!E109,"")</f>
        <v>2 [43.490648]</v>
      </c>
      <c r="J109">
        <f>IF(FT!B109&lt;&gt;"",FT!C109,"")</f>
        <v>43.490600000000001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4.7217900000000004</v>
      </c>
      <c r="G110" s="61">
        <f>IF(FT!B110&lt;&gt;"",FT!B110*100,"")</f>
        <v>55.6526</v>
      </c>
      <c r="H110" s="61">
        <f t="shared" si="9"/>
        <v>1</v>
      </c>
      <c r="I110" t="str">
        <f>IF(FT!B110&lt;&gt;"",FT!E110,"")</f>
        <v>2 [43.900555]</v>
      </c>
      <c r="J110">
        <f>IF(FT!B110&lt;&gt;"",FT!C110,"")</f>
        <v>43.900599999999997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274278</v>
      </c>
      <c r="D111" s="61">
        <f>FH!B111*1</f>
        <v>274278</v>
      </c>
      <c r="E111">
        <f t="shared" si="11"/>
        <v>109</v>
      </c>
      <c r="F111" s="61">
        <f>IF(FT!A111&lt;&gt;"",FT!A111*10,"")</f>
        <v>4.6781299999999995</v>
      </c>
      <c r="G111" s="61">
        <f>IF(FT!B111&lt;&gt;"",FT!B111*100,"")</f>
        <v>55.695700000000002</v>
      </c>
      <c r="H111" s="61">
        <f t="shared" si="9"/>
        <v>1</v>
      </c>
      <c r="I111" t="str">
        <f>IF(FT!B111&lt;&gt;"",FT!E111,"")</f>
        <v>2 [44.307420]</v>
      </c>
      <c r="J111">
        <f>IF(FT!B111&lt;&gt;"",FT!C111,"")</f>
        <v>44.307400000000001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4.6316600000000001</v>
      </c>
      <c r="G112" s="61">
        <f>IF(FT!B112&lt;&gt;"",FT!B112*100,"")</f>
        <v>55.832800000000006</v>
      </c>
      <c r="H112" s="61">
        <f t="shared" si="9"/>
        <v>1</v>
      </c>
      <c r="I112" t="str">
        <f>IF(FT!B112&lt;&gt;"",FT!E112,"")</f>
        <v>2 [44.712347]</v>
      </c>
      <c r="J112">
        <f>IF(FT!B112&lt;&gt;"",FT!C112,"")</f>
        <v>44.712299999999999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262726</v>
      </c>
      <c r="D113" s="61">
        <f>FH!B113*1</f>
        <v>262726</v>
      </c>
      <c r="E113">
        <f t="shared" si="11"/>
        <v>111</v>
      </c>
      <c r="F113" s="61">
        <f>IF(FT!A113&lt;&gt;"",FT!A113*10,"")</f>
        <v>4.5840300000000003</v>
      </c>
      <c r="G113" s="61">
        <f>IF(FT!B113&lt;&gt;"",FT!B113*100,"")</f>
        <v>56.025100000000009</v>
      </c>
      <c r="H113" s="61">
        <f t="shared" si="9"/>
        <v>1</v>
      </c>
      <c r="I113" t="str">
        <f>IF(FT!B113&lt;&gt;"",FT!E113,"")</f>
        <v>2 [45.115206]</v>
      </c>
      <c r="J113">
        <f>IF(FT!B113&lt;&gt;"",FT!C113,"")</f>
        <v>45.115200000000002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4.5338899999999995</v>
      </c>
      <c r="G114" s="61">
        <f>IF(FT!B114&lt;&gt;"",FT!B114*100,"")</f>
        <v>56.165100000000002</v>
      </c>
      <c r="H114" s="61">
        <f t="shared" si="9"/>
        <v>1</v>
      </c>
      <c r="I114" t="str">
        <f>IF(FT!B114&lt;&gt;"",FT!E114,"")</f>
        <v>2 [45.519691]</v>
      </c>
      <c r="J114">
        <f>IF(FT!B114&lt;&gt;"",FT!C114,"")</f>
        <v>45.5197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4.4839700000000002</v>
      </c>
      <c r="G115" s="61">
        <f>IF(FT!B115&lt;&gt;"",FT!B115*100,"")</f>
        <v>56.195799999999998</v>
      </c>
      <c r="H115" s="61">
        <f t="shared" si="9"/>
        <v>1</v>
      </c>
      <c r="I115" t="str">
        <f>IF(FT!B115&lt;&gt;"",FT!E115,"")</f>
        <v>2 [45.928482]</v>
      </c>
      <c r="J115">
        <f>IF(FT!B115&lt;&gt;"",FT!C115,"")</f>
        <v>45.9285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269146</v>
      </c>
      <c r="D116" s="61">
        <f>FH!B116*1</f>
        <v>269146</v>
      </c>
      <c r="E116">
        <f t="shared" si="11"/>
        <v>114</v>
      </c>
      <c r="F116" s="61">
        <f>IF(FT!A116&lt;&gt;"",FT!A116*10,"")</f>
        <v>4.4340799999999998</v>
      </c>
      <c r="G116" s="61">
        <f>IF(FT!B116&lt;&gt;"",FT!B116*100,"")</f>
        <v>56.052</v>
      </c>
      <c r="H116" s="61">
        <f t="shared" si="9"/>
        <v>1</v>
      </c>
      <c r="I116" t="str">
        <f>IF(FT!B116&lt;&gt;"",FT!E116,"")</f>
        <v>2 [46.337000]</v>
      </c>
      <c r="J116">
        <f>IF(FT!B116&lt;&gt;"",FT!C116,"")</f>
        <v>46.337000000000003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4.3857600000000003</v>
      </c>
      <c r="G117" s="61">
        <f>IF(FT!B117&lt;&gt;"",FT!B117*100,"")</f>
        <v>55.772399999999998</v>
      </c>
      <c r="H117" s="61">
        <f t="shared" si="9"/>
        <v>1</v>
      </c>
      <c r="I117" t="str">
        <f>IF(FT!B117&lt;&gt;"",FT!E117,"")</f>
        <v>2 [46.741825]</v>
      </c>
      <c r="J117">
        <f>IF(FT!B117&lt;&gt;"",FT!C117,"")</f>
        <v>46.741799999999998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260089</v>
      </c>
      <c r="D118" s="61">
        <f>FH!B118*1</f>
        <v>260089</v>
      </c>
      <c r="E118">
        <f t="shared" si="11"/>
        <v>116</v>
      </c>
      <c r="F118" s="61">
        <f>IF(FT!A118&lt;&gt;"",FT!A118*10,"")</f>
        <v>4.3402400000000005</v>
      </c>
      <c r="G118" s="61">
        <f>IF(FT!B118&lt;&gt;"",FT!B118*100,"")</f>
        <v>55.517200000000003</v>
      </c>
      <c r="H118" s="61">
        <f t="shared" si="9"/>
        <v>1</v>
      </c>
      <c r="I118" t="str">
        <f>IF(FT!B118&lt;&gt;"",FT!E118,"")</f>
        <v>2 [47.148810]</v>
      </c>
      <c r="J118">
        <f>IF(FT!B118&lt;&gt;"",FT!C118,"")</f>
        <v>47.148800000000001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4.2954799999999995</v>
      </c>
      <c r="G119" s="61">
        <f>IF(FT!B119&lt;&gt;"",FT!B119*100,"")</f>
        <v>55.276499999999999</v>
      </c>
      <c r="H119" s="61">
        <f t="shared" si="9"/>
        <v>1</v>
      </c>
      <c r="I119" t="str">
        <f>IF(FT!B119&lt;&gt;"",FT!E119,"")</f>
        <v>2 [47.552900]</v>
      </c>
      <c r="J119">
        <f>IF(FT!B119&lt;&gt;"",FT!C119,"")</f>
        <v>47.552900000000001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4.2519900000000002</v>
      </c>
      <c r="G120" s="61">
        <f>IF(FT!B120&lt;&gt;"",FT!B120*100,"")</f>
        <v>55.063099999999999</v>
      </c>
      <c r="H120" s="61">
        <f t="shared" si="9"/>
        <v>1</v>
      </c>
      <c r="I120" t="str">
        <f>IF(FT!B120&lt;&gt;"",FT!E120,"")</f>
        <v>2 [47.959858]</v>
      </c>
      <c r="J120">
        <f>IF(FT!B120&lt;&gt;"",FT!C120,"")</f>
        <v>47.959899999999998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249304</v>
      </c>
      <c r="D121" s="61">
        <f>FH!B121*1</f>
        <v>249304</v>
      </c>
      <c r="E121">
        <f t="shared" si="11"/>
        <v>119</v>
      </c>
      <c r="F121" s="61">
        <f>IF(FT!A121&lt;&gt;"",FT!A121*10,"")</f>
        <v>4.2090800000000002</v>
      </c>
      <c r="G121" s="61">
        <f>IF(FT!B121&lt;&gt;"",FT!B121*100,"")</f>
        <v>54.949800000000003</v>
      </c>
      <c r="H121" s="61">
        <f t="shared" si="9"/>
        <v>1</v>
      </c>
      <c r="I121" t="str">
        <f>IF(FT!B121&lt;&gt;"",FT!E121,"")</f>
        <v>2 [48.367656]</v>
      </c>
      <c r="J121">
        <f>IF(FT!B121&lt;&gt;"",FT!C121,"")</f>
        <v>48.367699999999999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4.1661799999999998</v>
      </c>
      <c r="G122" s="61">
        <f>IF(FT!B122&lt;&gt;"",FT!B122*100,"")</f>
        <v>54.895400000000002</v>
      </c>
      <c r="H122" s="61">
        <f t="shared" si="9"/>
        <v>1</v>
      </c>
      <c r="I122" t="str">
        <f>IF(FT!B122&lt;&gt;"",FT!E122,"")</f>
        <v>2 [48.774740]</v>
      </c>
      <c r="J122">
        <f>IF(FT!B122&lt;&gt;"",FT!C122,"")</f>
        <v>48.774700000000003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4.1227399999999994</v>
      </c>
      <c r="G123" s="61">
        <f>IF(FT!B123&lt;&gt;"",FT!B123*100,"")</f>
        <v>54.917700000000004</v>
      </c>
      <c r="H123" s="61">
        <f t="shared" si="9"/>
        <v>1</v>
      </c>
      <c r="I123" t="str">
        <f>IF(FT!B123&lt;&gt;"",FT!E123,"")</f>
        <v>2 [49.179384]</v>
      </c>
      <c r="J123">
        <f>IF(FT!B123&lt;&gt;"",FT!C123,"")</f>
        <v>49.179400000000001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262287</v>
      </c>
      <c r="D124" s="61">
        <f>FH!B124*1</f>
        <v>262287</v>
      </c>
      <c r="E124">
        <f t="shared" si="11"/>
        <v>122</v>
      </c>
      <c r="F124" s="61">
        <f>IF(FT!A124&lt;&gt;"",FT!A124*10,"")</f>
        <v>4.0788600000000006</v>
      </c>
      <c r="G124" s="61">
        <f>IF(FT!B124&lt;&gt;"",FT!B124*100,"")</f>
        <v>54.930299999999995</v>
      </c>
      <c r="H124" s="61">
        <f t="shared" si="9"/>
        <v>1</v>
      </c>
      <c r="I124" t="str">
        <f>IF(FT!B124&lt;&gt;"",FT!E124,"")</f>
        <v>2 [49.583419]</v>
      </c>
      <c r="J124">
        <f>IF(FT!B124&lt;&gt;"",FT!C124,"")</f>
        <v>49.583399999999997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4.0364000000000004</v>
      </c>
      <c r="G125" s="61">
        <f>IF(FT!B125&lt;&gt;"",FT!B125*100,"")</f>
        <v>54.889400000000002</v>
      </c>
      <c r="H125" s="61">
        <f t="shared" si="9"/>
        <v>1</v>
      </c>
      <c r="I125" t="str">
        <f>IF(FT!B125&lt;&gt;"",FT!E125,"")</f>
        <v>2 [49.989157]</v>
      </c>
      <c r="J125">
        <f>IF(FT!B125&lt;&gt;"",FT!C125,"")</f>
        <v>49.989199999999997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250111</v>
      </c>
      <c r="D126" s="61">
        <f>FH!B126*1</f>
        <v>250111</v>
      </c>
      <c r="E126">
        <f t="shared" si="11"/>
        <v>124</v>
      </c>
      <c r="F126" s="61">
        <f>IF(FT!A126&lt;&gt;"",FT!A126*10,"")</f>
        <v>4.0085899999999999</v>
      </c>
      <c r="G126" s="61">
        <f>IF(FT!B126&lt;&gt;"",FT!B126*100,"")</f>
        <v>55.071099999999994</v>
      </c>
      <c r="H126" s="61">
        <f t="shared" si="9"/>
        <v>1</v>
      </c>
      <c r="I126" t="str">
        <f>IF(FT!B126&lt;&gt;"",FT!E126,"")</f>
        <v>2 [50.396233]</v>
      </c>
      <c r="J126">
        <f>IF(FT!B126&lt;&gt;"",FT!C126,"")</f>
        <v>50.3962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3.9815899999999997</v>
      </c>
      <c r="G127" s="61">
        <f>IF(FT!B127&lt;&gt;"",FT!B127*100,"")</f>
        <v>55.208900000000007</v>
      </c>
      <c r="H127" s="61">
        <f t="shared" si="9"/>
        <v>1</v>
      </c>
      <c r="I127" t="str">
        <f>IF(FT!B127&lt;&gt;"",FT!E127,"")</f>
        <v>2 [50.803648]</v>
      </c>
      <c r="J127">
        <f>IF(FT!B127&lt;&gt;"",FT!C127,"")</f>
        <v>50.803600000000003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3.95505</v>
      </c>
      <c r="G128" s="61">
        <f>IF(FT!B128&lt;&gt;"",FT!B128*100,"")</f>
        <v>55.282699999999998</v>
      </c>
      <c r="H128" s="61">
        <f t="shared" si="9"/>
        <v>1</v>
      </c>
      <c r="I128" t="str">
        <f>IF(FT!B128&lt;&gt;"",FT!E128,"")</f>
        <v>2 [51.213935]</v>
      </c>
      <c r="J128">
        <f>IF(FT!B128&lt;&gt;"",FT!C128,"")</f>
        <v>51.213900000000002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237941</v>
      </c>
      <c r="D129" s="61">
        <f>FH!B129*1</f>
        <v>237941</v>
      </c>
      <c r="E129">
        <f t="shared" si="11"/>
        <v>127</v>
      </c>
      <c r="F129" s="61">
        <f>IF(FT!A129&lt;&gt;"",FT!A129*10,"")</f>
        <v>3.9284400000000002</v>
      </c>
      <c r="G129" s="61">
        <f>IF(FT!B129&lt;&gt;"",FT!B129*100,"")</f>
        <v>55.338200000000001</v>
      </c>
      <c r="H129" s="61">
        <f t="shared" si="9"/>
        <v>1</v>
      </c>
      <c r="I129" t="str">
        <f>IF(FT!B129&lt;&gt;"",FT!E129,"")</f>
        <v>2 [51.616770]</v>
      </c>
      <c r="J129">
        <f>IF(FT!B129&lt;&gt;"",FT!C129,"")</f>
        <v>51.616799999999998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3.8977200000000001</v>
      </c>
      <c r="G130" s="61">
        <f>IF(FT!B130&lt;&gt;"",FT!B130*100,"")</f>
        <v>55.497900000000001</v>
      </c>
      <c r="H130" s="61">
        <f t="shared" si="9"/>
        <v>1</v>
      </c>
      <c r="I130" t="str">
        <f>IF(FT!B130&lt;&gt;"",FT!E130,"")</f>
        <v>2 [52.022872]</v>
      </c>
      <c r="J130">
        <f>IF(FT!B130&lt;&gt;"",FT!C130,"")</f>
        <v>52.0229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235744</v>
      </c>
      <c r="D131" s="61">
        <f>FH!B131*1</f>
        <v>235744</v>
      </c>
      <c r="E131">
        <f t="shared" si="11"/>
        <v>129</v>
      </c>
      <c r="F131" s="61">
        <f>IF(FT!A131&lt;&gt;"",FT!A131*10,"")</f>
        <v>3.8645700000000001</v>
      </c>
      <c r="G131" s="61">
        <f>IF(FT!B131&lt;&gt;"",FT!B131*100,"")</f>
        <v>55.700799999999994</v>
      </c>
      <c r="H131" s="61">
        <f t="shared" ref="H131:H194" si="13">(IF(F131&lt;&gt;"",1,""))</f>
        <v>1</v>
      </c>
      <c r="I131" t="str">
        <f>IF(FT!B131&lt;&gt;"",FT!E131,"")</f>
        <v>2 [52.429689]</v>
      </c>
      <c r="J131">
        <f>IF(FT!B131&lt;&gt;"",FT!C131,"")</f>
        <v>52.429699999999997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3.8308499999999999</v>
      </c>
      <c r="G132" s="61">
        <f>IF(FT!B132&lt;&gt;"",FT!B132*100,"")</f>
        <v>55.842499999999994</v>
      </c>
      <c r="H132" s="61">
        <f t="shared" si="13"/>
        <v>1</v>
      </c>
      <c r="I132" t="str">
        <f>IF(FT!B132&lt;&gt;"",FT!E132,"")</f>
        <v>2 [52.834707]</v>
      </c>
      <c r="J132">
        <f>IF(FT!B132&lt;&gt;"",FT!C132,"")</f>
        <v>52.834699999999998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3.7939299999999996</v>
      </c>
      <c r="G133" s="61">
        <f>IF(FT!B133&lt;&gt;"",FT!B133*100,"")</f>
        <v>55.985799999999998</v>
      </c>
      <c r="H133" s="61">
        <f t="shared" si="13"/>
        <v>1</v>
      </c>
      <c r="I133" t="str">
        <f>IF(FT!B133&lt;&gt;"",FT!E133,"")</f>
        <v>2 [53.240600]</v>
      </c>
      <c r="J133">
        <f>IF(FT!B133&lt;&gt;"",FT!C133,"")</f>
        <v>53.240600000000001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232230</v>
      </c>
      <c r="D134" s="61">
        <f>FH!B134*1</f>
        <v>232230</v>
      </c>
      <c r="E134">
        <f t="shared" si="15"/>
        <v>132</v>
      </c>
      <c r="F134" s="61">
        <f>IF(FT!A134&lt;&gt;"",FT!A134*10,"")</f>
        <v>3.75563</v>
      </c>
      <c r="G134" s="61">
        <f>IF(FT!B134&lt;&gt;"",FT!B134*100,"")</f>
        <v>56.0944</v>
      </c>
      <c r="H134" s="61">
        <f t="shared" si="13"/>
        <v>1</v>
      </c>
      <c r="I134" t="str">
        <f>IF(FT!B134&lt;&gt;"",FT!E134,"")</f>
        <v>2 [53.649440]</v>
      </c>
      <c r="J134">
        <f>IF(FT!B134&lt;&gt;"",FT!C134,"")</f>
        <v>53.6494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3.7201200000000001</v>
      </c>
      <c r="G135" s="61">
        <f>IF(FT!B135&lt;&gt;"",FT!B135*100,"")</f>
        <v>56.034199999999998</v>
      </c>
      <c r="H135" s="61">
        <f t="shared" si="13"/>
        <v>1</v>
      </c>
      <c r="I135" t="str">
        <f>IF(FT!B135&lt;&gt;"",FT!E135,"")</f>
        <v>2 [54.051445]</v>
      </c>
      <c r="J135">
        <f>IF(FT!B135&lt;&gt;"",FT!C135,"")</f>
        <v>54.051400000000001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216514</v>
      </c>
      <c r="D136" s="61">
        <f>FH!B136*1</f>
        <v>216514</v>
      </c>
      <c r="E136">
        <f t="shared" si="15"/>
        <v>134</v>
      </c>
      <c r="F136" s="61">
        <f>IF(FT!A136&lt;&gt;"",FT!A136*10,"")</f>
        <v>3.6859399999999996</v>
      </c>
      <c r="G136" s="61">
        <f>IF(FT!B136&lt;&gt;"",FT!B136*100,"")</f>
        <v>55.915899999999993</v>
      </c>
      <c r="H136" s="61">
        <f t="shared" si="13"/>
        <v>1</v>
      </c>
      <c r="I136" t="str">
        <f>IF(FT!B136&lt;&gt;"",FT!E136,"")</f>
        <v>2 [54.461297]</v>
      </c>
      <c r="J136">
        <f>IF(FT!B136&lt;&gt;"",FT!C136,"")</f>
        <v>54.461300000000001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3.6501000000000001</v>
      </c>
      <c r="G137" s="61">
        <f>IF(FT!B137&lt;&gt;"",FT!B137*100,"")</f>
        <v>55.884799999999998</v>
      </c>
      <c r="H137" s="61">
        <f t="shared" si="13"/>
        <v>1</v>
      </c>
      <c r="I137" t="str">
        <f>IF(FT!B137&lt;&gt;"",FT!E137,"")</f>
        <v>2 [54.866063]</v>
      </c>
      <c r="J137">
        <f>IF(FT!B137&lt;&gt;"",FT!C137,"")</f>
        <v>54.866100000000003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3.6133799999999998</v>
      </c>
      <c r="G138" s="61">
        <f>IF(FT!B138&lt;&gt;"",FT!B138*100,"")</f>
        <v>55.851600000000005</v>
      </c>
      <c r="H138" s="61">
        <f t="shared" si="13"/>
        <v>1</v>
      </c>
      <c r="I138" t="str">
        <f>IF(FT!B138&lt;&gt;"",FT!E138,"")</f>
        <v>2 [55.271442]</v>
      </c>
      <c r="J138">
        <f>IF(FT!B138&lt;&gt;"",FT!C138,"")</f>
        <v>55.2714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201460</v>
      </c>
      <c r="D139" s="61">
        <f>FH!B139*1</f>
        <v>201460</v>
      </c>
      <c r="E139">
        <f t="shared" si="15"/>
        <v>137</v>
      </c>
      <c r="F139" s="61">
        <f>IF(FT!A139&lt;&gt;"",FT!A139*10,"")</f>
        <v>3.5823300000000002</v>
      </c>
      <c r="G139" s="61">
        <f>IF(FT!B139&lt;&gt;"",FT!B139*100,"")</f>
        <v>55.729500000000002</v>
      </c>
      <c r="H139" s="61">
        <f t="shared" si="13"/>
        <v>1</v>
      </c>
      <c r="I139" t="str">
        <f>IF(FT!B139&lt;&gt;"",FT!E139,"")</f>
        <v>2 [55.679993]</v>
      </c>
      <c r="J139">
        <f>IF(FT!B139&lt;&gt;"",FT!C139,"")</f>
        <v>55.68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3.5543499999999999</v>
      </c>
      <c r="G140" s="61">
        <f>IF(FT!B140&lt;&gt;"",FT!B140*100,"")</f>
        <v>55.630100000000006</v>
      </c>
      <c r="H140" s="61">
        <f t="shared" si="13"/>
        <v>1</v>
      </c>
      <c r="I140" t="str">
        <f>IF(FT!B140&lt;&gt;"",FT!E140,"")</f>
        <v>2 [56.087991]</v>
      </c>
      <c r="J140">
        <f>IF(FT!B140&lt;&gt;"",FT!C140,"")</f>
        <v>56.088000000000001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3.5364</v>
      </c>
      <c r="G141" s="61">
        <f>IF(FT!B141&lt;&gt;"",FT!B141*100,"")</f>
        <v>55.465499999999999</v>
      </c>
      <c r="H141" s="61">
        <f t="shared" si="13"/>
        <v>1</v>
      </c>
      <c r="I141" t="str">
        <f>IF(FT!B141&lt;&gt;"",FT!E141,"")</f>
        <v>2 [56.492749]</v>
      </c>
      <c r="J141">
        <f>IF(FT!B141&lt;&gt;"",FT!C141,"")</f>
        <v>56.492699999999999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207243</v>
      </c>
      <c r="D142" s="61">
        <f>FH!B142*1</f>
        <v>207243</v>
      </c>
      <c r="E142">
        <f t="shared" si="15"/>
        <v>140</v>
      </c>
      <c r="F142" s="61">
        <f>IF(FT!A142&lt;&gt;"",FT!A142*10,"")</f>
        <v>3.5296599999999998</v>
      </c>
      <c r="G142" s="61">
        <f>IF(FT!B142&lt;&gt;"",FT!B142*100,"")</f>
        <v>55.200499999999998</v>
      </c>
      <c r="H142" s="61">
        <f t="shared" si="13"/>
        <v>1</v>
      </c>
      <c r="I142" t="str">
        <f>IF(FT!B142&lt;&gt;"",FT!E142,"")</f>
        <v>2 [56.898820]</v>
      </c>
      <c r="J142">
        <f>IF(FT!B142&lt;&gt;"",FT!C142,"")</f>
        <v>56.898800000000001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3.5206999999999997</v>
      </c>
      <c r="G143" s="61">
        <f>IF(FT!B143&lt;&gt;"",FT!B143*100,"")</f>
        <v>54.984200000000008</v>
      </c>
      <c r="H143" s="61">
        <f t="shared" si="13"/>
        <v>1</v>
      </c>
      <c r="I143" t="str">
        <f>IF(FT!B143&lt;&gt;"",FT!E143,"")</f>
        <v>2 [57.304679]</v>
      </c>
      <c r="J143">
        <f>IF(FT!B143&lt;&gt;"",FT!C143,"")</f>
        <v>57.304699999999997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183145</v>
      </c>
      <c r="D144" s="61">
        <f>FH!B144*1</f>
        <v>183145</v>
      </c>
      <c r="E144">
        <f t="shared" si="15"/>
        <v>142</v>
      </c>
      <c r="F144" s="61">
        <f>IF(FT!A144&lt;&gt;"",FT!A144*10,"")</f>
        <v>3.5146300000000004</v>
      </c>
      <c r="G144" s="61">
        <f>IF(FT!B144&lt;&gt;"",FT!B144*100,"")</f>
        <v>55.055399999999999</v>
      </c>
      <c r="H144" s="61">
        <f t="shared" si="13"/>
        <v>1</v>
      </c>
      <c r="I144" t="str">
        <f>IF(FT!B144&lt;&gt;"",FT!E144,"")</f>
        <v>2 [57.712524]</v>
      </c>
      <c r="J144">
        <f>IF(FT!B144&lt;&gt;"",FT!C144,"")</f>
        <v>57.712499999999999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3.5103299999999997</v>
      </c>
      <c r="G145" s="61">
        <f>IF(FT!B145&lt;&gt;"",FT!B145*100,"")</f>
        <v>55.271800000000006</v>
      </c>
      <c r="H145" s="61">
        <f t="shared" si="13"/>
        <v>1</v>
      </c>
      <c r="I145" t="str">
        <f>IF(FT!B145&lt;&gt;"",FT!E145,"")</f>
        <v>2 [58.120544]</v>
      </c>
      <c r="J145">
        <f>IF(FT!B145&lt;&gt;"",FT!C145,"")</f>
        <v>58.1205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3.4990100000000002</v>
      </c>
      <c r="G146" s="61">
        <f>IF(FT!B146&lt;&gt;"",FT!B146*100,"")</f>
        <v>55.543600000000005</v>
      </c>
      <c r="H146" s="61">
        <f t="shared" si="13"/>
        <v>1</v>
      </c>
      <c r="I146" t="str">
        <f>IF(FT!B146&lt;&gt;"",FT!E146,"")</f>
        <v>2 [58.521416]</v>
      </c>
      <c r="J146">
        <f>IF(FT!B146&lt;&gt;"",FT!C146,"")</f>
        <v>58.5214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159992</v>
      </c>
      <c r="D147" s="61">
        <f>FH!B147*1</f>
        <v>159992</v>
      </c>
      <c r="E147">
        <f t="shared" si="15"/>
        <v>145</v>
      </c>
      <c r="F147" s="61">
        <f>IF(FT!A147&lt;&gt;"",FT!A147*10,"")</f>
        <v>3.4840599999999999</v>
      </c>
      <c r="G147" s="61">
        <f>IF(FT!B147&lt;&gt;"",FT!B147*100,"")</f>
        <v>55.644300000000001</v>
      </c>
      <c r="H147" s="61">
        <f t="shared" si="13"/>
        <v>1</v>
      </c>
      <c r="I147" t="str">
        <f>IF(FT!B147&lt;&gt;"",FT!E147,"")</f>
        <v>2 [58.929261]</v>
      </c>
      <c r="J147">
        <f>IF(FT!B147&lt;&gt;"",FT!C147,"")</f>
        <v>58.929299999999998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3.4597899999999999</v>
      </c>
      <c r="G148" s="61">
        <f>IF(FT!B148&lt;&gt;"",FT!B148*100,"")</f>
        <v>55.725800000000007</v>
      </c>
      <c r="H148" s="61">
        <f t="shared" si="13"/>
        <v>1</v>
      </c>
      <c r="I148" t="str">
        <f>IF(FT!B148&lt;&gt;"",FT!E148,"")</f>
        <v>2 [59.333786]</v>
      </c>
      <c r="J148">
        <f>IF(FT!B148&lt;&gt;"",FT!C148,"")</f>
        <v>59.333799999999997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140820</v>
      </c>
      <c r="D149" s="61">
        <f>FH!B149*1</f>
        <v>140820</v>
      </c>
      <c r="E149">
        <f t="shared" si="15"/>
        <v>147</v>
      </c>
      <c r="F149" s="61">
        <f>IF(FT!A149&lt;&gt;"",FT!A149*10,"")</f>
        <v>3.4246700000000003</v>
      </c>
      <c r="G149" s="61">
        <f>IF(FT!B149&lt;&gt;"",FT!B149*100,"")</f>
        <v>55.343699999999998</v>
      </c>
      <c r="H149" s="61">
        <f t="shared" si="13"/>
        <v>1</v>
      </c>
      <c r="I149" t="str">
        <f>IF(FT!B149&lt;&gt;"",FT!E149,"")</f>
        <v>2 [59.739295]</v>
      </c>
      <c r="J149">
        <f>IF(FT!B149&lt;&gt;"",FT!C149,"")</f>
        <v>59.7393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123905</v>
      </c>
      <c r="D152" s="61">
        <f>FH!B152*1</f>
        <v>123905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95297</v>
      </c>
      <c r="D154" s="61">
        <f>FH!B154*1</f>
        <v>95297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83652</v>
      </c>
      <c r="D157" s="61">
        <f>FH!B157*1</f>
        <v>83652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69341</v>
      </c>
      <c r="D160" s="61">
        <f>FH!B160*1</f>
        <v>69341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62153</v>
      </c>
      <c r="D162" s="61">
        <f>FH!B162*1</f>
        <v>62153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48805</v>
      </c>
      <c r="D165" s="61">
        <f>FH!B165*1</f>
        <v>48805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45006</v>
      </c>
      <c r="D167" s="61">
        <f>FH!B167*1</f>
        <v>45006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42037</v>
      </c>
      <c r="D170" s="61">
        <f>FH!B170*1</f>
        <v>42037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38044</v>
      </c>
      <c r="D173" s="61">
        <f>FH!B173*1</f>
        <v>38044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28842</v>
      </c>
      <c r="D175" s="61">
        <f>FH!B175*1</f>
        <v>28842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22466</v>
      </c>
      <c r="D178" s="61">
        <f>FH!B178*1</f>
        <v>22466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17333</v>
      </c>
      <c r="D180" s="61">
        <f>FH!B180*1</f>
        <v>17333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15467</v>
      </c>
      <c r="D183" s="61">
        <f>FH!B183*1</f>
        <v>15467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13833</v>
      </c>
      <c r="D185" s="61">
        <f>FH!B185*1</f>
        <v>13833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12609</v>
      </c>
      <c r="D188" s="61">
        <f>FH!B188*1</f>
        <v>12609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6335</v>
      </c>
      <c r="D191" s="61">
        <f>FH!B191*1</f>
        <v>6335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5057</v>
      </c>
      <c r="D193" s="61">
        <f>FH!B193*1</f>
        <v>5057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3817</v>
      </c>
      <c r="D196" s="61">
        <f>FH!B196*1</f>
        <v>3817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2284</v>
      </c>
      <c r="D198" s="61">
        <f>FH!B198*1</f>
        <v>2284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1094</v>
      </c>
      <c r="D201" s="61">
        <f>FH!B201*1</f>
        <v>1094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374</v>
      </c>
      <c r="D203" s="61">
        <f>FH!B203*1</f>
        <v>374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38.214100000000002</v>
      </c>
      <c r="C5" s="66">
        <v>7.5732400000000002</v>
      </c>
      <c r="D5" s="66">
        <v>19.817900000000002</v>
      </c>
      <c r="E5" s="66">
        <v>20</v>
      </c>
      <c r="F5" s="66">
        <v>15.946199999999999</v>
      </c>
      <c r="G5" s="66">
        <v>50</v>
      </c>
      <c r="H5" s="66">
        <v>47.061300000000003</v>
      </c>
    </row>
    <row r="6" spans="1:8">
      <c r="A6" s="58" t="s">
        <v>303</v>
      </c>
      <c r="B6" s="66">
        <v>22.5806</v>
      </c>
      <c r="C6" s="66">
        <v>2.3902600000000001</v>
      </c>
      <c r="D6" s="66">
        <v>10.5855</v>
      </c>
      <c r="E6" s="66">
        <v>20</v>
      </c>
      <c r="F6" s="66">
        <v>17.961300000000001</v>
      </c>
      <c r="G6" s="66">
        <v>40</v>
      </c>
      <c r="H6" s="66">
        <v>26.648900000000001</v>
      </c>
    </row>
    <row r="7" spans="1:8">
      <c r="A7" s="58" t="s">
        <v>304</v>
      </c>
      <c r="B7" s="66">
        <v>26.249700000000001</v>
      </c>
      <c r="C7" s="66">
        <v>6.4371799999999997</v>
      </c>
      <c r="D7" s="66">
        <v>24.5229</v>
      </c>
      <c r="E7" s="66">
        <v>15</v>
      </c>
      <c r="F7" s="66">
        <v>4.8761200000000002</v>
      </c>
      <c r="G7" s="66">
        <v>40</v>
      </c>
      <c r="H7" s="66">
        <v>35.2958</v>
      </c>
    </row>
    <row r="8" spans="1:8">
      <c r="A8" s="58" t="s">
        <v>305</v>
      </c>
      <c r="B8" s="66">
        <v>27.899699999999999</v>
      </c>
      <c r="C8" s="66">
        <v>2.2034899999999999</v>
      </c>
      <c r="D8" s="66">
        <v>7.8978799999999998</v>
      </c>
      <c r="E8" s="66">
        <v>20</v>
      </c>
      <c r="F8" s="66">
        <v>22.3504</v>
      </c>
      <c r="G8" s="66">
        <v>50</v>
      </c>
      <c r="H8" s="66">
        <v>31.184200000000001</v>
      </c>
    </row>
    <row r="9" spans="1:8">
      <c r="A9" s="58" t="s">
        <v>306</v>
      </c>
      <c r="B9" s="66">
        <v>75.536799999999999</v>
      </c>
      <c r="C9" s="66">
        <v>4.6848000000000001</v>
      </c>
      <c r="D9" s="66">
        <v>6.2020099999999996</v>
      </c>
      <c r="E9" s="66">
        <v>50</v>
      </c>
      <c r="F9" s="66">
        <v>61.462000000000003</v>
      </c>
      <c r="G9" s="66">
        <v>100</v>
      </c>
      <c r="H9" s="66">
        <v>84.030699999999996</v>
      </c>
    </row>
    <row r="10" spans="1:8">
      <c r="A10" s="58" t="s">
        <v>307</v>
      </c>
      <c r="B10" s="66">
        <v>79.205799999999996</v>
      </c>
      <c r="C10" s="66">
        <v>1.7671300000000001</v>
      </c>
      <c r="D10" s="66">
        <v>2.2310599999999998</v>
      </c>
      <c r="E10" s="66">
        <v>40</v>
      </c>
      <c r="F10" s="66">
        <v>75.582400000000007</v>
      </c>
      <c r="G10" s="66">
        <v>100</v>
      </c>
      <c r="H10" s="66">
        <v>83.798400000000001</v>
      </c>
    </row>
    <row r="11" spans="1:8">
      <c r="A11" s="58" t="s">
        <v>308</v>
      </c>
      <c r="B11" s="66">
        <v>28.276800000000001</v>
      </c>
      <c r="C11" s="66">
        <v>9.0720399999999994</v>
      </c>
      <c r="D11" s="66">
        <v>32.082900000000002</v>
      </c>
      <c r="E11" s="66">
        <v>10</v>
      </c>
      <c r="F11" s="66">
        <v>10.5304</v>
      </c>
      <c r="G11" s="66">
        <v>50</v>
      </c>
      <c r="H11" s="66">
        <v>46.401899999999998</v>
      </c>
    </row>
    <row r="12" spans="1:8">
      <c r="A12" s="58" t="s">
        <v>309</v>
      </c>
      <c r="B12" s="66">
        <v>77.445800000000006</v>
      </c>
      <c r="C12" s="66">
        <v>2.9880300000000002</v>
      </c>
      <c r="D12" s="66">
        <v>3.8582200000000002</v>
      </c>
      <c r="E12" s="66">
        <v>50</v>
      </c>
      <c r="F12" s="66">
        <v>69.285899999999998</v>
      </c>
      <c r="G12" s="66">
        <v>100</v>
      </c>
      <c r="H12" s="66">
        <v>83.63</v>
      </c>
    </row>
    <row r="13" spans="1:8">
      <c r="A13" s="58" t="s">
        <v>310</v>
      </c>
      <c r="B13" s="66">
        <v>18.646999999999998</v>
      </c>
      <c r="C13" s="66">
        <v>3.2176499999999999</v>
      </c>
      <c r="D13" s="66">
        <v>17.255600000000001</v>
      </c>
      <c r="E13" s="66">
        <v>10</v>
      </c>
      <c r="F13" s="66">
        <v>12.6732</v>
      </c>
      <c r="G13" s="66">
        <v>25</v>
      </c>
      <c r="H13" s="66">
        <v>29.167899999999999</v>
      </c>
    </row>
    <row r="14" spans="1:8">
      <c r="A14" s="58" t="s">
        <v>311</v>
      </c>
      <c r="B14" s="66">
        <v>32.176499999999997</v>
      </c>
      <c r="C14" s="66">
        <v>10.69</v>
      </c>
      <c r="D14" s="66">
        <v>33.222999999999999</v>
      </c>
      <c r="E14" s="66">
        <v>10</v>
      </c>
      <c r="F14" s="66">
        <v>1.89181</v>
      </c>
      <c r="G14" s="66">
        <v>50</v>
      </c>
      <c r="H14" s="66">
        <v>36.7029</v>
      </c>
    </row>
    <row r="15" spans="1:8">
      <c r="A15" s="58" t="s">
        <v>312</v>
      </c>
      <c r="B15" s="66">
        <v>7.21334E-2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4.4811200000000002E-2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15.7677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0.57408700000000001</v>
      </c>
      <c r="C18" s="66">
        <v>7.1521500000000002E-2</v>
      </c>
      <c r="D18" s="66">
        <v>0.124583</v>
      </c>
      <c r="E18" s="66">
        <v>0</v>
      </c>
      <c r="F18" s="66">
        <v>0.50256599999999996</v>
      </c>
      <c r="G18" s="66">
        <v>0</v>
      </c>
      <c r="H18" s="66">
        <v>0.64560799999999996</v>
      </c>
    </row>
    <row r="19" spans="1:8">
      <c r="A19" s="58" t="s">
        <v>316</v>
      </c>
      <c r="B19" s="66">
        <v>0.596688</v>
      </c>
      <c r="C19" s="66">
        <v>2.0959200000000001E-2</v>
      </c>
      <c r="D19" s="66">
        <v>3.5125799999999999E-2</v>
      </c>
      <c r="E19" s="66">
        <v>0</v>
      </c>
      <c r="F19" s="66">
        <v>0.57572900000000005</v>
      </c>
      <c r="G19" s="66">
        <v>0</v>
      </c>
      <c r="H19" s="66">
        <v>0.61764699999999995</v>
      </c>
    </row>
    <row r="20" spans="1:8">
      <c r="A20" s="58" t="s">
        <v>317</v>
      </c>
      <c r="B20" s="66">
        <v>1.2840000000000001E-2</v>
      </c>
      <c r="C20" s="66">
        <v>0.22900699999999999</v>
      </c>
      <c r="D20" s="66">
        <v>17.8354</v>
      </c>
      <c r="E20" s="66">
        <v>0</v>
      </c>
      <c r="F20" s="66">
        <v>3.0473100000000001E-3</v>
      </c>
      <c r="G20" s="66">
        <v>0</v>
      </c>
      <c r="H20" s="66">
        <v>2.5352100000000002</v>
      </c>
    </row>
    <row r="21" spans="1:8">
      <c r="A21" s="58" t="s">
        <v>318</v>
      </c>
      <c r="B21" s="66">
        <v>0.22685900000000001</v>
      </c>
      <c r="C21" s="66">
        <v>1.66414</v>
      </c>
      <c r="D21" s="66">
        <v>7.3355899999999998</v>
      </c>
      <c r="E21" s="66">
        <v>0</v>
      </c>
      <c r="F21" s="66">
        <v>9.4034300000000008E-3</v>
      </c>
      <c r="G21" s="66">
        <v>0</v>
      </c>
      <c r="H21" s="66">
        <v>13.1396</v>
      </c>
    </row>
    <row r="22" spans="1:8">
      <c r="A22" s="58" t="s">
        <v>319</v>
      </c>
      <c r="B22" s="66">
        <v>41.214100000000002</v>
      </c>
      <c r="C22" s="66">
        <v>38.8827</v>
      </c>
      <c r="D22" s="66">
        <v>0.94343200000000005</v>
      </c>
      <c r="E22" s="66">
        <v>0</v>
      </c>
      <c r="F22" s="66">
        <v>12.528700000000001</v>
      </c>
      <c r="G22" s="66">
        <v>0</v>
      </c>
      <c r="H22" s="66">
        <v>236.96899999999999</v>
      </c>
    </row>
    <row r="23" spans="1:8">
      <c r="A23" s="58" t="s">
        <v>320</v>
      </c>
      <c r="B23" s="66">
        <v>19.097999999999999</v>
      </c>
      <c r="C23" s="66">
        <v>18.634799999999998</v>
      </c>
      <c r="D23" s="66">
        <v>0.97574799999999995</v>
      </c>
      <c r="E23" s="66">
        <v>0</v>
      </c>
      <c r="F23" s="66">
        <v>9.5390499999999996</v>
      </c>
      <c r="G23" s="66">
        <v>0</v>
      </c>
      <c r="H23" s="66">
        <v>59.893799999999999</v>
      </c>
    </row>
    <row r="24" spans="1:8">
      <c r="A24" s="58" t="s">
        <v>321</v>
      </c>
      <c r="B24" s="66">
        <v>1.80483E-2</v>
      </c>
      <c r="C24" s="66">
        <v>0.20053599999999999</v>
      </c>
      <c r="D24" s="66">
        <v>11.111000000000001</v>
      </c>
      <c r="E24" s="66">
        <v>0</v>
      </c>
      <c r="F24" s="66">
        <v>4.0682100000000001E-3</v>
      </c>
      <c r="G24" s="66">
        <v>0</v>
      </c>
      <c r="H24" s="66">
        <v>1.6621699999999999</v>
      </c>
    </row>
    <row r="25" spans="1:8">
      <c r="A25" s="58" t="s">
        <v>322</v>
      </c>
      <c r="B25" s="66">
        <v>0.22697999999999999</v>
      </c>
      <c r="C25" s="66">
        <v>1.3902399999999999</v>
      </c>
      <c r="D25" s="66">
        <v>6.12493</v>
      </c>
      <c r="E25" s="66">
        <v>0</v>
      </c>
      <c r="F25" s="66">
        <v>3.8485800000000001E-2</v>
      </c>
      <c r="G25" s="66">
        <v>0</v>
      </c>
      <c r="H25" s="66">
        <v>7.3635400000000004</v>
      </c>
    </row>
    <row r="26" spans="1:8">
      <c r="A26" s="58" t="s">
        <v>323</v>
      </c>
      <c r="B26" s="66">
        <v>2.56368E-3</v>
      </c>
      <c r="C26" s="66">
        <v>2.1960199999999999E-2</v>
      </c>
      <c r="D26" s="66">
        <v>8.5658899999999996</v>
      </c>
      <c r="E26" s="66">
        <v>0</v>
      </c>
      <c r="F26" s="66">
        <v>5.2521000000000002E-4</v>
      </c>
      <c r="G26" s="66">
        <v>0</v>
      </c>
      <c r="H26" s="66">
        <v>0.17546900000000001</v>
      </c>
    </row>
    <row r="27" spans="1:8">
      <c r="A27" s="58" t="s">
        <v>324</v>
      </c>
      <c r="B27" s="196">
        <v>-4.9238399999999999E-5</v>
      </c>
      <c r="C27" s="66">
        <v>6.1833000000000001E-3</v>
      </c>
      <c r="D27" s="66">
        <v>-125.57899999999999</v>
      </c>
      <c r="E27" s="66">
        <v>0</v>
      </c>
      <c r="F27" s="66">
        <v>-7.3128899999999997E-2</v>
      </c>
      <c r="G27" s="66">
        <v>0</v>
      </c>
      <c r="H27" s="66">
        <v>9.8335699999999998E-2</v>
      </c>
    </row>
    <row r="28" spans="1:8">
      <c r="A28" s="58" t="s">
        <v>325</v>
      </c>
      <c r="B28" s="66">
        <v>2.8129899999999999E-2</v>
      </c>
      <c r="C28" s="66">
        <v>7.0445599999999997E-2</v>
      </c>
      <c r="D28" s="66">
        <v>2.5043000000000002</v>
      </c>
      <c r="E28" s="66">
        <v>0</v>
      </c>
      <c r="F28" s="66">
        <v>2.0279899999999999E-3</v>
      </c>
      <c r="G28" s="66">
        <v>0</v>
      </c>
      <c r="H28" s="66">
        <v>0.38136399999999998</v>
      </c>
    </row>
    <row r="29" spans="1:8">
      <c r="A29" s="58" t="s">
        <v>326</v>
      </c>
      <c r="B29" s="66">
        <v>72.852699999999999</v>
      </c>
      <c r="C29" s="66">
        <v>17.568000000000001</v>
      </c>
      <c r="D29" s="66">
        <v>0.241144</v>
      </c>
      <c r="E29" s="66">
        <v>0</v>
      </c>
      <c r="F29" s="66">
        <v>47.914099999999998</v>
      </c>
      <c r="G29" s="66">
        <v>0</v>
      </c>
      <c r="H29" s="66">
        <v>144.30500000000001</v>
      </c>
    </row>
    <row r="30" spans="1:8">
      <c r="A30" s="58" t="s">
        <v>327</v>
      </c>
      <c r="B30" s="66">
        <v>29.135200000000001</v>
      </c>
      <c r="C30" s="66">
        <v>13.333500000000001</v>
      </c>
      <c r="D30" s="66">
        <v>0.45764199999999999</v>
      </c>
      <c r="E30" s="66">
        <v>0</v>
      </c>
      <c r="F30" s="66">
        <v>13.2485</v>
      </c>
      <c r="G30" s="66">
        <v>0</v>
      </c>
      <c r="H30" s="66">
        <v>57.0687</v>
      </c>
    </row>
    <row r="31" spans="1:8">
      <c r="A31" s="58" t="s">
        <v>328</v>
      </c>
      <c r="B31" s="66">
        <v>298.78199999999998</v>
      </c>
      <c r="C31" s="66">
        <v>92.650599999999997</v>
      </c>
      <c r="D31" s="66">
        <v>0.31009500000000001</v>
      </c>
      <c r="E31" s="66">
        <v>0</v>
      </c>
      <c r="F31" s="66">
        <v>81.947599999999994</v>
      </c>
      <c r="G31" s="66">
        <v>0</v>
      </c>
      <c r="H31" s="66">
        <v>366.94200000000001</v>
      </c>
    </row>
    <row r="32" spans="1:8">
      <c r="A32" s="58" t="s">
        <v>329</v>
      </c>
      <c r="B32" s="66">
        <v>0.26249699999999998</v>
      </c>
      <c r="C32" s="66">
        <v>6.4371800000000007E-2</v>
      </c>
      <c r="D32" s="66">
        <v>0.245229</v>
      </c>
      <c r="E32" s="66">
        <v>0.15</v>
      </c>
      <c r="F32" s="66">
        <v>4.8761199999999998E-2</v>
      </c>
      <c r="G32" s="66">
        <v>0.4</v>
      </c>
      <c r="H32" s="66">
        <v>0.35295799999999999</v>
      </c>
    </row>
    <row r="33" spans="1:8">
      <c r="A33" s="58" t="s">
        <v>330</v>
      </c>
      <c r="B33" s="66">
        <v>0.31123299999999998</v>
      </c>
      <c r="C33" s="66">
        <v>3.1201199999999998E-2</v>
      </c>
      <c r="D33" s="66">
        <v>0.10025000000000001</v>
      </c>
      <c r="E33" s="66">
        <v>0</v>
      </c>
      <c r="F33" s="66">
        <v>0.22644400000000001</v>
      </c>
      <c r="G33" s="66">
        <v>0</v>
      </c>
      <c r="H33" s="66">
        <v>0.39285599999999998</v>
      </c>
    </row>
    <row r="34" spans="1:8">
      <c r="A34" s="58" t="s">
        <v>331</v>
      </c>
      <c r="B34" s="66">
        <v>0.18647</v>
      </c>
      <c r="C34" s="66">
        <v>3.2176499999999997E-2</v>
      </c>
      <c r="D34" s="66">
        <v>0.17255599999999999</v>
      </c>
      <c r="E34" s="66">
        <v>0.1</v>
      </c>
      <c r="F34" s="66">
        <v>0.12673200000000001</v>
      </c>
      <c r="G34" s="66">
        <v>0.25</v>
      </c>
      <c r="H34" s="66">
        <v>0.29167900000000002</v>
      </c>
    </row>
    <row r="35" spans="1:8">
      <c r="A35" s="58" t="s">
        <v>332</v>
      </c>
      <c r="B35" s="66">
        <v>7.1410100000000004E-2</v>
      </c>
      <c r="C35" s="66">
        <v>2.1183500000000001E-2</v>
      </c>
      <c r="D35" s="66">
        <v>0.29664499999999999</v>
      </c>
      <c r="E35" s="66">
        <v>0</v>
      </c>
      <c r="F35" s="66">
        <v>3.5362299999999999E-2</v>
      </c>
      <c r="G35" s="66">
        <v>0</v>
      </c>
      <c r="H35" s="66">
        <v>0.13892099999999999</v>
      </c>
    </row>
    <row r="36" spans="1:8">
      <c r="A36" s="58" t="s">
        <v>333</v>
      </c>
      <c r="B36" s="66">
        <v>0.16922100000000001</v>
      </c>
      <c r="C36" s="66">
        <v>8.6856900000000001E-2</v>
      </c>
      <c r="D36" s="66">
        <v>0.51327500000000004</v>
      </c>
      <c r="E36" s="66">
        <v>0</v>
      </c>
      <c r="F36" s="66">
        <v>3.9544000000000003E-2</v>
      </c>
      <c r="G36" s="66">
        <v>0</v>
      </c>
      <c r="H36" s="66">
        <v>0.49558600000000003</v>
      </c>
    </row>
    <row r="37" spans="1:8">
      <c r="A37" s="58" t="s">
        <v>334</v>
      </c>
      <c r="B37" s="66">
        <v>0.32176500000000002</v>
      </c>
      <c r="C37" s="66">
        <v>0.1069</v>
      </c>
      <c r="D37" s="66">
        <v>0.33223000000000003</v>
      </c>
      <c r="E37" s="66">
        <v>0.1</v>
      </c>
      <c r="F37" s="66">
        <v>1.89181E-2</v>
      </c>
      <c r="G37" s="66">
        <v>0.5</v>
      </c>
      <c r="H37" s="66">
        <v>0.36702899999999999</v>
      </c>
    </row>
    <row r="38" spans="1:8">
      <c r="A38" s="58" t="s">
        <v>335</v>
      </c>
      <c r="B38" s="66">
        <v>18.6768</v>
      </c>
      <c r="C38" s="66">
        <v>49.451099999999997</v>
      </c>
      <c r="D38" s="66">
        <v>2.6477300000000001</v>
      </c>
      <c r="E38" s="66">
        <v>0</v>
      </c>
      <c r="F38" s="66">
        <v>-234.19900000000001</v>
      </c>
      <c r="G38" s="66">
        <v>0</v>
      </c>
      <c r="H38" s="66">
        <v>343.85</v>
      </c>
    </row>
    <row r="39" spans="1:8">
      <c r="A39" s="58" t="s">
        <v>336</v>
      </c>
      <c r="B39" s="66">
        <v>7.1651300000000004</v>
      </c>
      <c r="C39" s="66">
        <v>9.79575</v>
      </c>
      <c r="D39" s="66">
        <v>1.36714</v>
      </c>
      <c r="E39" s="66">
        <v>0</v>
      </c>
      <c r="F39" s="66">
        <v>-5.1062700000000003</v>
      </c>
      <c r="G39" s="66">
        <v>0</v>
      </c>
      <c r="H39" s="66">
        <v>50.416200000000003</v>
      </c>
    </row>
    <row r="40" spans="1:8">
      <c r="A40" s="58" t="s">
        <v>337</v>
      </c>
      <c r="B40" s="66">
        <v>4.2549099999999997</v>
      </c>
      <c r="C40" s="66">
        <v>4.58988</v>
      </c>
      <c r="D40" s="66">
        <v>1.07873</v>
      </c>
      <c r="E40" s="66">
        <v>0</v>
      </c>
      <c r="F40" s="66">
        <v>0.70988300000000004</v>
      </c>
      <c r="G40" s="66">
        <v>0</v>
      </c>
      <c r="H40" s="66">
        <v>14.1767</v>
      </c>
    </row>
    <row r="41" spans="1:8">
      <c r="A41" s="58" t="s">
        <v>338</v>
      </c>
      <c r="B41" s="66">
        <v>0.144459</v>
      </c>
      <c r="C41" s="66">
        <v>0.27189400000000002</v>
      </c>
      <c r="D41" s="66">
        <v>1.88215</v>
      </c>
      <c r="E41" s="66">
        <v>0</v>
      </c>
      <c r="F41" s="66">
        <v>-0.87368400000000002</v>
      </c>
      <c r="G41" s="66">
        <v>0</v>
      </c>
      <c r="H41" s="66">
        <v>1</v>
      </c>
    </row>
    <row r="42" spans="1:8">
      <c r="A42" s="58" t="s">
        <v>339</v>
      </c>
      <c r="B42" s="66">
        <v>0.17328099999999999</v>
      </c>
      <c r="C42" s="66">
        <v>7.8074400000000002E-2</v>
      </c>
      <c r="D42" s="66">
        <v>0.45056499999999999</v>
      </c>
      <c r="E42" s="66">
        <v>0</v>
      </c>
      <c r="F42" s="66">
        <v>3.6054799999999998E-2</v>
      </c>
      <c r="G42" s="66">
        <v>0</v>
      </c>
      <c r="H42" s="66">
        <v>0.417545</v>
      </c>
    </row>
    <row r="43" spans="1:8">
      <c r="A43" s="58" t="s">
        <v>340</v>
      </c>
      <c r="B43" s="66">
        <v>0.124005</v>
      </c>
      <c r="C43" s="66">
        <v>4.7125899999999998E-2</v>
      </c>
      <c r="D43" s="66">
        <v>0.38003100000000001</v>
      </c>
      <c r="E43" s="66">
        <v>0</v>
      </c>
      <c r="F43" s="66">
        <v>7.1856500000000004E-2</v>
      </c>
      <c r="G43" s="66">
        <v>0</v>
      </c>
      <c r="H43" s="66">
        <v>0.29089300000000001</v>
      </c>
    </row>
    <row r="44" spans="1:8">
      <c r="A44" s="58" t="s">
        <v>341</v>
      </c>
      <c r="B44" s="66">
        <v>52.268300000000004</v>
      </c>
      <c r="C44" s="66">
        <v>28.024100000000001</v>
      </c>
      <c r="D44" s="66">
        <v>0.53615900000000005</v>
      </c>
      <c r="E44" s="66">
        <v>0</v>
      </c>
      <c r="F44" s="66">
        <v>5.3079799999999997</v>
      </c>
      <c r="G44" s="66">
        <v>0</v>
      </c>
      <c r="H44" s="66">
        <v>100.09399999999999</v>
      </c>
    </row>
    <row r="45" spans="1:8">
      <c r="A45" s="58" t="s">
        <v>342</v>
      </c>
      <c r="B45" s="66">
        <v>45.376199999999997</v>
      </c>
      <c r="C45" s="66">
        <v>7.3106600000000004</v>
      </c>
      <c r="D45" s="66">
        <v>0.16111200000000001</v>
      </c>
      <c r="E45" s="66">
        <v>0</v>
      </c>
      <c r="F45" s="66">
        <v>20.889900000000001</v>
      </c>
      <c r="G45" s="66">
        <v>0</v>
      </c>
      <c r="H45" s="66">
        <v>60.553600000000003</v>
      </c>
    </row>
    <row r="46" spans="1:8">
      <c r="A46" s="58" t="s">
        <v>343</v>
      </c>
      <c r="B46" s="66">
        <v>23.084800000000001</v>
      </c>
      <c r="C46" s="66">
        <v>4.1260199999999996</v>
      </c>
      <c r="D46" s="66">
        <v>0.178734</v>
      </c>
      <c r="E46" s="66">
        <v>0</v>
      </c>
      <c r="F46" s="66">
        <v>12.8971</v>
      </c>
      <c r="G46" s="66">
        <v>0</v>
      </c>
      <c r="H46" s="66">
        <v>30.587900000000001</v>
      </c>
    </row>
    <row r="47" spans="1:8">
      <c r="A47" s="58" t="s">
        <v>344</v>
      </c>
      <c r="B47" s="66">
        <v>1.40232</v>
      </c>
      <c r="C47" s="66">
        <v>2.84219</v>
      </c>
      <c r="D47" s="66">
        <v>2.02677</v>
      </c>
      <c r="E47" s="66">
        <v>0</v>
      </c>
      <c r="F47" s="66">
        <v>0.38884000000000002</v>
      </c>
      <c r="G47" s="66">
        <v>0</v>
      </c>
      <c r="H47" s="66">
        <v>20.507899999999999</v>
      </c>
    </row>
    <row r="48" spans="1:8">
      <c r="A48" s="58" t="s">
        <v>345</v>
      </c>
      <c r="B48" s="66">
        <v>1.26187</v>
      </c>
      <c r="C48" s="66">
        <v>0.357045</v>
      </c>
      <c r="D48" s="66">
        <v>0.28294999999999998</v>
      </c>
      <c r="E48" s="66">
        <v>0</v>
      </c>
      <c r="F48" s="66">
        <v>0.83648900000000004</v>
      </c>
      <c r="G48" s="66">
        <v>0</v>
      </c>
      <c r="H48" s="66">
        <v>2.1721699999999999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8.607800000000001</v>
      </c>
      <c r="C5" s="66">
        <f>'M2'!C5-'M1'!C5</f>
        <v>-4.3084399999999992</v>
      </c>
      <c r="D5" s="66">
        <f>'M2'!D5-'M1'!D5</f>
        <v>-16.110570000000003</v>
      </c>
      <c r="E5" s="66">
        <f>'M2'!E5-'M1'!E5</f>
        <v>0</v>
      </c>
      <c r="F5" s="66">
        <f>'M2'!F5-'M1'!F5</f>
        <v>16.714400000000005</v>
      </c>
      <c r="G5" s="66">
        <f>'M2'!G5-'M1'!G5</f>
        <v>0</v>
      </c>
      <c r="H5" s="66">
        <f>'M2'!H5-'M1'!H5</f>
        <v>1.6796000000000006</v>
      </c>
    </row>
    <row r="6" spans="1:8">
      <c r="A6" s="66" t="s">
        <v>244</v>
      </c>
      <c r="B6" s="66">
        <f>'M2'!B6-'M1'!B6</f>
        <v>-3.5713000000000008</v>
      </c>
      <c r="C6" s="66">
        <f>'M2'!C6-'M1'!C6</f>
        <v>0.87999000000000027</v>
      </c>
      <c r="D6" s="66">
        <f>'M2'!D6-'M1'!D6</f>
        <v>5.6162099999999988</v>
      </c>
      <c r="E6" s="66">
        <f>'M2'!E6-'M1'!E6</f>
        <v>0</v>
      </c>
      <c r="F6" s="66">
        <f>'M2'!F6-'M1'!F6</f>
        <v>-3.736699999999999</v>
      </c>
      <c r="G6" s="66">
        <f>'M2'!G6-'M1'!G6</f>
        <v>0</v>
      </c>
      <c r="H6" s="66">
        <f>'M2'!H6-'M1'!H6</f>
        <v>0.10000000000000142</v>
      </c>
    </row>
    <row r="7" spans="1:8">
      <c r="A7" s="66" t="s">
        <v>245</v>
      </c>
      <c r="B7" s="66">
        <f>'M2'!B7-'M1'!B7</f>
        <v>-4.8590000000000018</v>
      </c>
      <c r="C7" s="66">
        <f>'M2'!C7-'M1'!C7</f>
        <v>2.8902799999999997</v>
      </c>
      <c r="D7" s="66">
        <f>'M2'!D7-'M1'!D7</f>
        <v>15.562700000000001</v>
      </c>
      <c r="E7" s="66">
        <f>'M2'!E7-'M1'!E7</f>
        <v>0</v>
      </c>
      <c r="F7" s="66">
        <f>'M2'!F7-'M1'!F7</f>
        <v>-10.20698</v>
      </c>
      <c r="G7" s="66">
        <f>'M2'!G7-'M1'!G7</f>
        <v>0</v>
      </c>
      <c r="H7" s="66">
        <f>'M2'!H7-'M1'!H7</f>
        <v>0.3650999999999982</v>
      </c>
    </row>
    <row r="8" spans="1:8">
      <c r="A8" s="66" t="s">
        <v>246</v>
      </c>
      <c r="B8" s="66">
        <f>'M2'!B8-'M1'!B8</f>
        <v>-0.21659999999999968</v>
      </c>
      <c r="C8" s="66">
        <f>'M2'!C8-'M1'!C8</f>
        <v>-0.69395999999999991</v>
      </c>
      <c r="D8" s="66">
        <f>'M2'!D8-'M1'!D8</f>
        <v>-2.422909999999999</v>
      </c>
      <c r="E8" s="66">
        <f>'M2'!E8-'M1'!E8</f>
        <v>0</v>
      </c>
      <c r="F8" s="66">
        <f>'M2'!F8-'M1'!F8</f>
        <v>1.2257999999999996</v>
      </c>
      <c r="G8" s="66">
        <f>'M2'!G8-'M1'!G8</f>
        <v>0</v>
      </c>
      <c r="H8" s="66">
        <f>'M2'!H8-'M1'!H8</f>
        <v>-0.41420000000000101</v>
      </c>
    </row>
    <row r="9" spans="1:8">
      <c r="A9" s="66" t="s">
        <v>247</v>
      </c>
      <c r="B9" s="66">
        <f>'M2'!B9-'M1'!B9</f>
        <v>-4.950800000000001</v>
      </c>
      <c r="C9" s="66">
        <f>'M2'!C9-'M1'!C9</f>
        <v>1.5394700000000001</v>
      </c>
      <c r="D9" s="66">
        <f>'M2'!D9-'M1'!D9</f>
        <v>2.4091600000000009</v>
      </c>
      <c r="E9" s="66">
        <f>'M2'!E9-'M1'!E9</f>
        <v>0</v>
      </c>
      <c r="F9" s="66">
        <f>'M2'!F9-'M1'!F9</f>
        <v>-7.6006</v>
      </c>
      <c r="G9" s="66">
        <f>'M2'!G9-'M1'!G9</f>
        <v>0</v>
      </c>
      <c r="H9" s="66">
        <f>'M2'!H9-'M1'!H9</f>
        <v>-1.1376999999999953</v>
      </c>
    </row>
    <row r="10" spans="1:8">
      <c r="A10" s="66" t="s">
        <v>248</v>
      </c>
      <c r="B10" s="66">
        <f>'M2'!B10-'M1'!B10</f>
        <v>-1.5039000000000016</v>
      </c>
      <c r="C10" s="66">
        <f>'M2'!C10-'M1'!C10</f>
        <v>-0.30710999999999999</v>
      </c>
      <c r="D10" s="66">
        <f>'M2'!D10-'M1'!D10</f>
        <v>-0.34908000000000006</v>
      </c>
      <c r="E10" s="66">
        <f>'M2'!E10-'M1'!E10</f>
        <v>0</v>
      </c>
      <c r="F10" s="66">
        <f>'M2'!F10-'M1'!F10</f>
        <v>-0.37899999999999068</v>
      </c>
      <c r="G10" s="66">
        <f>'M2'!G10-'M1'!G10</f>
        <v>0</v>
      </c>
      <c r="H10" s="66">
        <f>'M2'!H10-'M1'!H10</f>
        <v>-1.9361999999999995</v>
      </c>
    </row>
    <row r="11" spans="1:8">
      <c r="A11" s="66" t="s">
        <v>249</v>
      </c>
      <c r="B11" s="66">
        <f>'M2'!B11-'M1'!B11</f>
        <v>14.748599999999996</v>
      </c>
      <c r="C11" s="66">
        <f>'M2'!C11-'M1'!C11</f>
        <v>0.10850999999999988</v>
      </c>
      <c r="D11" s="66">
        <f>'M2'!D11-'M1'!D11</f>
        <v>-12.288899999999998</v>
      </c>
      <c r="E11" s="66">
        <f>'M2'!E11-'M1'!E11</f>
        <v>0</v>
      </c>
      <c r="F11" s="66">
        <f>'M2'!F11-'M1'!F11</f>
        <v>14.0627</v>
      </c>
      <c r="G11" s="66">
        <f>'M2'!G11-'M1'!G11</f>
        <v>0</v>
      </c>
      <c r="H11" s="66">
        <f>'M2'!H11-'M1'!H11</f>
        <v>14.1892</v>
      </c>
    </row>
    <row r="12" spans="1:8">
      <c r="A12" s="66" t="s">
        <v>250</v>
      </c>
      <c r="B12" s="66">
        <f>'M2'!B12-'M1'!B12</f>
        <v>-2.5663999999999874</v>
      </c>
      <c r="C12" s="66">
        <f>'M2'!C12-'M1'!C12</f>
        <v>0.65984000000000043</v>
      </c>
      <c r="D12" s="66">
        <f>'M2'!D12-'M1'!D12</f>
        <v>0.96785000000000032</v>
      </c>
      <c r="E12" s="66">
        <f>'M2'!E12-'M1'!E12</f>
        <v>0</v>
      </c>
      <c r="F12" s="66">
        <f>'M2'!F12-'M1'!F12</f>
        <v>-3.7912000000000035</v>
      </c>
      <c r="G12" s="66">
        <f>'M2'!G12-'M1'!G12</f>
        <v>0</v>
      </c>
      <c r="H12" s="66">
        <f>'M2'!H12-'M1'!H12</f>
        <v>-1.6987000000000023</v>
      </c>
    </row>
    <row r="13" spans="1:8">
      <c r="A13" s="66" t="s">
        <v>251</v>
      </c>
      <c r="B13" s="66">
        <f>'M2'!B13-'M1'!B13</f>
        <v>1.8426000000000009</v>
      </c>
      <c r="C13" s="66">
        <f>'M2'!C13-'M1'!C13</f>
        <v>0.57756000000000007</v>
      </c>
      <c r="D13" s="66">
        <f>'M2'!D13-'M1'!D13</f>
        <v>1.5017999999999994</v>
      </c>
      <c r="E13" s="66">
        <f>'M2'!E13-'M1'!E13</f>
        <v>0</v>
      </c>
      <c r="F13" s="66">
        <f>'M2'!F13-'M1'!F13</f>
        <v>2.520900000000001</v>
      </c>
      <c r="G13" s="66">
        <f>'M2'!G13-'M1'!G13</f>
        <v>0</v>
      </c>
      <c r="H13" s="66">
        <f>'M2'!H13-'M1'!H13</f>
        <v>6.017199999999999</v>
      </c>
    </row>
    <row r="14" spans="1:8">
      <c r="A14" s="66" t="s">
        <v>252</v>
      </c>
      <c r="B14" s="66">
        <f>'M2'!B14-'M1'!B14</f>
        <v>5.7756000000000043</v>
      </c>
      <c r="C14" s="66">
        <f>'M2'!C14-'M1'!C14</f>
        <v>2.8484499999999997</v>
      </c>
      <c r="D14" s="66">
        <f>'M2'!D14-'M1'!D14</f>
        <v>2.9825999999999979</v>
      </c>
      <c r="E14" s="66">
        <f>'M2'!E14-'M1'!E14</f>
        <v>0</v>
      </c>
      <c r="F14" s="66">
        <f>'M2'!F14-'M1'!F14</f>
        <v>1.5150600000000001</v>
      </c>
      <c r="G14" s="66">
        <f>'M2'!G14-'M1'!G14</f>
        <v>0</v>
      </c>
      <c r="H14" s="66">
        <f>'M2'!H14-'M1'!H14</f>
        <v>6.4383999999999979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-9.4369999999999954E-2</v>
      </c>
      <c r="C18" s="66">
        <f>'M2'!C18-'M1'!C18</f>
        <v>7.1521500000000002E-2</v>
      </c>
      <c r="D18" s="66">
        <f>'M2'!D18-'M1'!D18</f>
        <v>0.124583</v>
      </c>
      <c r="E18" s="66">
        <f>'M2'!E18-'M1'!E18</f>
        <v>0</v>
      </c>
      <c r="F18" s="66">
        <f>'M2'!F18-'M1'!F18</f>
        <v>0.50256599999999996</v>
      </c>
      <c r="G18" s="66">
        <f>'M2'!G18-'M1'!G18</f>
        <v>0</v>
      </c>
      <c r="H18" s="66">
        <f>'M2'!H18-'M1'!H18</f>
        <v>0.64560799999999996</v>
      </c>
    </row>
    <row r="19" spans="1:8">
      <c r="A19" s="66" t="s">
        <v>256</v>
      </c>
      <c r="B19" s="66">
        <f>'M2'!B19-'M1'!B19</f>
        <v>0.14560400000000001</v>
      </c>
      <c r="C19" s="66">
        <f>'M2'!C19-'M1'!C19</f>
        <v>2.0959200000000001E-2</v>
      </c>
      <c r="D19" s="66">
        <f>'M2'!D19-'M1'!D19</f>
        <v>3.5125799999999999E-2</v>
      </c>
      <c r="E19" s="66">
        <f>'M2'!E19-'M1'!E19</f>
        <v>0</v>
      </c>
      <c r="F19" s="66">
        <f>'M2'!F19-'M1'!F19</f>
        <v>0.57572900000000005</v>
      </c>
      <c r="G19" s="66">
        <f>'M2'!G19-'M1'!G19</f>
        <v>0</v>
      </c>
      <c r="H19" s="66">
        <f>'M2'!H19-'M1'!H19</f>
        <v>0.61764699999999995</v>
      </c>
    </row>
    <row r="20" spans="1:8">
      <c r="A20" s="66" t="s">
        <v>63</v>
      </c>
      <c r="B20" s="66">
        <f>'M2'!B20-'M1'!B20</f>
        <v>-4.1279999999999963E-4</v>
      </c>
      <c r="C20" s="66">
        <f>'M2'!C20-'M1'!C20</f>
        <v>0.28700490000000001</v>
      </c>
      <c r="D20" s="66">
        <f>'M2'!D20-'M1'!D20</f>
        <v>23.081529999999997</v>
      </c>
      <c r="E20" s="66">
        <f>'M2'!E20-'M1'!E20</f>
        <v>0</v>
      </c>
      <c r="F20" s="66">
        <f>'M2'!F20-'M1'!F20</f>
        <v>-4.62905E-3</v>
      </c>
      <c r="G20" s="66">
        <f>'M2'!G20-'M1'!G20</f>
        <v>0</v>
      </c>
      <c r="H20" s="66">
        <f>'M2'!H20-'M1'!H20</f>
        <v>2.3410470000000001</v>
      </c>
    </row>
    <row r="21" spans="1:8">
      <c r="A21" s="66" t="s">
        <v>64</v>
      </c>
      <c r="B21" s="66">
        <f>'M2'!B21-'M1'!B21</f>
        <v>0.10327900000000001</v>
      </c>
      <c r="C21" s="66">
        <f>'M2'!C21-'M1'!C21</f>
        <v>1.9228129999999999</v>
      </c>
      <c r="D21" s="66">
        <f>'M2'!D21-'M1'!D21</f>
        <v>6.3458199999999998</v>
      </c>
      <c r="E21" s="66">
        <f>'M2'!E21-'M1'!E21</f>
        <v>0</v>
      </c>
      <c r="F21" s="66">
        <f>'M2'!F21-'M1'!F21</f>
        <v>-1.0714699999999997E-3</v>
      </c>
      <c r="G21" s="66">
        <f>'M2'!G21-'M1'!G21</f>
        <v>0</v>
      </c>
      <c r="H21" s="66">
        <f>'M2'!H21-'M1'!H21</f>
        <v>11.424289999999999</v>
      </c>
    </row>
    <row r="22" spans="1:8">
      <c r="A22" s="66" t="s">
        <v>65</v>
      </c>
      <c r="B22" s="66">
        <f>'M2'!B22-'M1'!B22</f>
        <v>5.2013999999999996</v>
      </c>
      <c r="C22" s="66">
        <f>'M2'!C22-'M1'!C22</f>
        <v>36.861400000000003</v>
      </c>
      <c r="D22" s="66">
        <f>'M2'!D22-'M1'!D22</f>
        <v>0.79818100000000003</v>
      </c>
      <c r="E22" s="66">
        <f>'M2'!E22-'M1'!E22</f>
        <v>0</v>
      </c>
      <c r="F22" s="66">
        <f>'M2'!F22-'M1'!F22</f>
        <v>9.8595000000000006</v>
      </c>
      <c r="G22" s="66">
        <f>'M2'!G22-'M1'!G22</f>
        <v>0</v>
      </c>
      <c r="H22" s="66">
        <f>'M2'!H22-'M1'!H22</f>
        <v>165.00900000000001</v>
      </c>
    </row>
    <row r="23" spans="1:8">
      <c r="A23" s="66" t="s">
        <v>66</v>
      </c>
      <c r="B23" s="66">
        <f>'M2'!B23-'M1'!B23</f>
        <v>36.9253</v>
      </c>
      <c r="C23" s="66">
        <f>'M2'!C23-'M1'!C23</f>
        <v>11.900550000000001</v>
      </c>
      <c r="D23" s="66">
        <f>'M2'!D23-'M1'!D23</f>
        <v>5.0700999999999996E-2</v>
      </c>
      <c r="E23" s="66">
        <f>'M2'!E23-'M1'!E23</f>
        <v>0</v>
      </c>
      <c r="F23" s="66">
        <f>'M2'!F23-'M1'!F23</f>
        <v>8.2638500000000015</v>
      </c>
      <c r="G23" s="66">
        <f>'M2'!G23-'M1'!G23</f>
        <v>0</v>
      </c>
      <c r="H23" s="66">
        <f>'M2'!H23-'M1'!H23</f>
        <v>40.720599999999997</v>
      </c>
    </row>
    <row r="24" spans="1:8">
      <c r="A24" s="66" t="s">
        <v>67</v>
      </c>
      <c r="B24" s="66">
        <f>'M2'!B24-'M1'!B24</f>
        <v>6.4588000000000007E-3</v>
      </c>
      <c r="C24" s="66">
        <f>'M2'!C24-'M1'!C24</f>
        <v>0.25557099999999999</v>
      </c>
      <c r="D24" s="66">
        <f>'M2'!D24-'M1'!D24</f>
        <v>10.8941</v>
      </c>
      <c r="E24" s="66">
        <f>'M2'!E24-'M1'!E24</f>
        <v>0</v>
      </c>
      <c r="F24" s="66">
        <f>'M2'!F24-'M1'!F24</f>
        <v>-5.1241699999999999E-3</v>
      </c>
      <c r="G24" s="66">
        <f>'M2'!G24-'M1'!G24</f>
        <v>0</v>
      </c>
      <c r="H24" s="66">
        <f>'M2'!H24-'M1'!H24</f>
        <v>1.5718810999999999</v>
      </c>
    </row>
    <row r="25" spans="1:8">
      <c r="A25" s="66" t="s">
        <v>68</v>
      </c>
      <c r="B25" s="66">
        <f>'M2'!B25-'M1'!B25</f>
        <v>9.306600000000001E-2</v>
      </c>
      <c r="C25" s="66">
        <f>'M2'!C25-'M1'!C25</f>
        <v>1.654145</v>
      </c>
      <c r="D25" s="66">
        <f>'M2'!D25-'M1'!D25</f>
        <v>5.4756650000000002</v>
      </c>
      <c r="E25" s="66">
        <f>'M2'!E25-'M1'!E25</f>
        <v>0</v>
      </c>
      <c r="F25" s="66">
        <f>'M2'!F25-'M1'!F25</f>
        <v>6.5303200000000006E-2</v>
      </c>
      <c r="G25" s="66">
        <f>'M2'!G25-'M1'!G25</f>
        <v>0</v>
      </c>
      <c r="H25" s="66">
        <f>'M2'!H25-'M1'!H25</f>
        <v>6.5826130000000003</v>
      </c>
    </row>
    <row r="26" spans="1:8">
      <c r="A26" s="66" t="s">
        <v>69</v>
      </c>
      <c r="B26" s="66">
        <f>'M2'!B26-'M1'!B26</f>
        <v>2.7899999999999973E-5</v>
      </c>
      <c r="C26" s="66">
        <f>'M2'!C26-'M1'!C26</f>
        <v>2.6680880000000001E-2</v>
      </c>
      <c r="D26" s="66">
        <f>'M2'!D26-'M1'!D26</f>
        <v>10.334769999999999</v>
      </c>
      <c r="E26" s="66">
        <f>'M2'!E26-'M1'!E26</f>
        <v>0</v>
      </c>
      <c r="F26" s="66">
        <f>'M2'!F26-'M1'!F26</f>
        <v>-7.9438000000000002E-4</v>
      </c>
      <c r="G26" s="66">
        <f>'M2'!G26-'M1'!G26</f>
        <v>0</v>
      </c>
      <c r="H26" s="66">
        <f>'M2'!H26-'M1'!H26</f>
        <v>0.1527405</v>
      </c>
    </row>
    <row r="27" spans="1:8">
      <c r="A27" s="66" t="s">
        <v>70</v>
      </c>
      <c r="B27" s="66">
        <f>'M2'!B27-'M1'!B27</f>
        <v>-2.6260499999999997E-5</v>
      </c>
      <c r="C27" s="66">
        <f>'M2'!C27-'M1'!C27</f>
        <v>7.0655600000000002E-3</v>
      </c>
      <c r="D27" s="66">
        <f>'M2'!D27-'M1'!D27</f>
        <v>-90.24369999999999</v>
      </c>
      <c r="E27" s="66">
        <f>'M2'!E27-'M1'!E27</f>
        <v>0</v>
      </c>
      <c r="F27" s="66">
        <f>'M2'!F27-'M1'!F27</f>
        <v>-6.3875349999999997E-2</v>
      </c>
      <c r="G27" s="66">
        <f>'M2'!G27-'M1'!G27</f>
        <v>0</v>
      </c>
      <c r="H27" s="66">
        <f>'M2'!H27-'M1'!H27</f>
        <v>9.1038560000000004E-2</v>
      </c>
    </row>
    <row r="28" spans="1:8">
      <c r="A28" s="66" t="s">
        <v>71</v>
      </c>
      <c r="B28" s="66">
        <f>'M2'!B28-'M1'!B28</f>
        <v>8.8720999999999973E-3</v>
      </c>
      <c r="C28" s="66">
        <f>'M2'!C28-'M1'!C28</f>
        <v>6.14414E-2</v>
      </c>
      <c r="D28" s="66">
        <f>'M2'!D28-'M1'!D28</f>
        <v>1.4997100000000001</v>
      </c>
      <c r="E28" s="66">
        <f>'M2'!E28-'M1'!E28</f>
        <v>0</v>
      </c>
      <c r="F28" s="66">
        <f>'M2'!F28-'M1'!F28</f>
        <v>1.6602000000000023E-4</v>
      </c>
      <c r="G28" s="66">
        <f>'M2'!G28-'M1'!G28</f>
        <v>0</v>
      </c>
      <c r="H28" s="66">
        <f>'M2'!H28-'M1'!H28</f>
        <v>0.23176799999999997</v>
      </c>
    </row>
    <row r="29" spans="1:8">
      <c r="A29" s="66" t="s">
        <v>72</v>
      </c>
      <c r="B29" s="66">
        <f>'M2'!B29-'M1'!B29</f>
        <v>5.6522000000000077</v>
      </c>
      <c r="C29" s="66">
        <f>'M2'!C29-'M1'!C29</f>
        <v>12.880610000000001</v>
      </c>
      <c r="D29" s="66">
        <f>'M2'!D29-'M1'!D29</f>
        <v>0.16048199999999996</v>
      </c>
      <c r="E29" s="66">
        <f>'M2'!E29-'M1'!E29</f>
        <v>0</v>
      </c>
      <c r="F29" s="66">
        <f>'M2'!F29-'M1'!F29</f>
        <v>5.4008000000000038</v>
      </c>
      <c r="G29" s="66">
        <f>'M2'!G29-'M1'!G29</f>
        <v>0</v>
      </c>
      <c r="H29" s="66">
        <f>'M2'!H29-'M1'!H29</f>
        <v>54.224600000000009</v>
      </c>
    </row>
    <row r="30" spans="1:8">
      <c r="A30" s="66" t="s">
        <v>73</v>
      </c>
      <c r="B30" s="66">
        <f>'M2'!B30-'M1'!B30</f>
        <v>23.430699999999998</v>
      </c>
      <c r="C30" s="66">
        <f>'M2'!C30-'M1'!C30</f>
        <v>5.8313799999999993</v>
      </c>
      <c r="D30" s="66">
        <f>'M2'!D30-'M1'!D30</f>
        <v>2.6540999999999981E-2</v>
      </c>
      <c r="E30" s="66">
        <f>'M2'!E30-'M1'!E30</f>
        <v>0</v>
      </c>
      <c r="F30" s="66">
        <f>'M2'!F30-'M1'!F30</f>
        <v>9.7014999999999993</v>
      </c>
      <c r="G30" s="66">
        <f>'M2'!G30-'M1'!G30</f>
        <v>0</v>
      </c>
      <c r="H30" s="66">
        <f>'M2'!H30-'M1'!H30</f>
        <v>27.4817</v>
      </c>
    </row>
    <row r="31" spans="1:8">
      <c r="A31" s="66" t="s">
        <v>74</v>
      </c>
      <c r="B31" s="66">
        <f>'M2'!B31-'M1'!B31</f>
        <v>145.16699999999997</v>
      </c>
      <c r="C31" s="66">
        <f>'M2'!C31-'M1'!C31</f>
        <v>-65.685400000000001</v>
      </c>
      <c r="D31" s="66">
        <f>'M2'!D31-'M1'!D31</f>
        <v>-0.43061840000000007</v>
      </c>
      <c r="E31" s="66">
        <f>'M2'!E31-'M1'!E31</f>
        <v>0</v>
      </c>
      <c r="F31" s="66">
        <f>'M2'!F31-'M1'!F31</f>
        <v>181.99140000000003</v>
      </c>
      <c r="G31" s="66">
        <f>'M2'!G31-'M1'!G31</f>
        <v>0</v>
      </c>
      <c r="H31" s="66">
        <f>'M2'!H31-'M1'!H31</f>
        <v>19.341000000000008</v>
      </c>
    </row>
    <row r="32" spans="1:8">
      <c r="A32" s="66" t="s">
        <v>75</v>
      </c>
      <c r="B32" s="66">
        <f>'M2'!B32-'M1'!B32</f>
        <v>-4.8589999999999994E-2</v>
      </c>
      <c r="C32" s="66">
        <f>'M2'!C32-'M1'!C32</f>
        <v>2.8902799999999992E-2</v>
      </c>
      <c r="D32" s="66">
        <f>'M2'!D32-'M1'!D32</f>
        <v>0.15562700000000002</v>
      </c>
      <c r="E32" s="66">
        <f>'M2'!E32-'M1'!E32</f>
        <v>0</v>
      </c>
      <c r="F32" s="66">
        <f>'M2'!F32-'M1'!F32</f>
        <v>-0.10206979999999999</v>
      </c>
      <c r="G32" s="66">
        <f>'M2'!G32-'M1'!G32</f>
        <v>0</v>
      </c>
      <c r="H32" s="66">
        <f>'M2'!H32-'M1'!H32</f>
        <v>3.6510000000000153E-3</v>
      </c>
    </row>
    <row r="33" spans="1:8">
      <c r="A33" s="66" t="s">
        <v>76</v>
      </c>
      <c r="B33" s="66">
        <f>'M2'!B33-'M1'!B33</f>
        <v>-3.4082999999999974E-2</v>
      </c>
      <c r="C33" s="66">
        <f>'M2'!C33-'M1'!C33</f>
        <v>7.5151000000000003E-3</v>
      </c>
      <c r="D33" s="66">
        <f>'M2'!D33-'M1'!D33</f>
        <v>3.2906900000000003E-2</v>
      </c>
      <c r="E33" s="66">
        <f>'M2'!E33-'M1'!E33</f>
        <v>0</v>
      </c>
      <c r="F33" s="66">
        <f>'M2'!F33-'M1'!F33</f>
        <v>-7.1142999999999984E-2</v>
      </c>
      <c r="G33" s="66">
        <f>'M2'!G33-'M1'!G33</f>
        <v>0</v>
      </c>
      <c r="H33" s="66">
        <f>'M2'!H33-'M1'!H33</f>
        <v>-3.7139999999999951E-3</v>
      </c>
    </row>
    <row r="34" spans="1:8">
      <c r="A34" s="66" t="s">
        <v>77</v>
      </c>
      <c r="B34" s="66">
        <f>'M2'!B34-'M1'!B34</f>
        <v>1.8425999999999998E-2</v>
      </c>
      <c r="C34" s="66">
        <f>'M2'!C34-'M1'!C34</f>
        <v>5.7755999999999953E-3</v>
      </c>
      <c r="D34" s="66">
        <f>'M2'!D34-'M1'!D34</f>
        <v>1.5018000000000004E-2</v>
      </c>
      <c r="E34" s="66">
        <f>'M2'!E34-'M1'!E34</f>
        <v>0</v>
      </c>
      <c r="F34" s="66">
        <f>'M2'!F34-'M1'!F34</f>
        <v>2.5208999999999981E-2</v>
      </c>
      <c r="G34" s="66">
        <f>'M2'!G34-'M1'!G34</f>
        <v>0</v>
      </c>
      <c r="H34" s="66">
        <f>'M2'!H34-'M1'!H34</f>
        <v>6.0172000000000031E-2</v>
      </c>
    </row>
    <row r="35" spans="1:8">
      <c r="A35" s="66" t="s">
        <v>78</v>
      </c>
      <c r="B35" s="66">
        <f>'M2'!B35-'M1'!B35</f>
        <v>-2.4766999999999983E-3</v>
      </c>
      <c r="C35" s="66">
        <f>'M2'!C35-'M1'!C35</f>
        <v>-4.2646999999999997E-3</v>
      </c>
      <c r="D35" s="66">
        <f>'M2'!D35-'M1'!D35</f>
        <v>-4.9078999999999984E-2</v>
      </c>
      <c r="E35" s="66">
        <f>'M2'!E35-'M1'!E35</f>
        <v>0</v>
      </c>
      <c r="F35" s="66">
        <f>'M2'!F35-'M1'!F35</f>
        <v>8.2913000000000014E-3</v>
      </c>
      <c r="G35" s="66">
        <f>'M2'!G35-'M1'!G35</f>
        <v>0</v>
      </c>
      <c r="H35" s="66">
        <f>'M2'!H35-'M1'!H35</f>
        <v>-1.3065999999999994E-2</v>
      </c>
    </row>
    <row r="36" spans="1:8">
      <c r="A36" s="66" t="s">
        <v>79</v>
      </c>
      <c r="B36" s="66">
        <f>'M2'!B36-'M1'!B36</f>
        <v>2.3699999999999999E-2</v>
      </c>
      <c r="C36" s="66">
        <f>'M2'!C36-'M1'!C36</f>
        <v>-2.6280000000000747E-4</v>
      </c>
      <c r="D36" s="66">
        <f>'M2'!D36-'M1'!D36</f>
        <v>-7.2880999999999974E-2</v>
      </c>
      <c r="E36" s="66">
        <f>'M2'!E36-'M1'!E36</f>
        <v>0</v>
      </c>
      <c r="F36" s="66">
        <f>'M2'!F36-'M1'!F36</f>
        <v>1.4832199999999997E-2</v>
      </c>
      <c r="G36" s="66">
        <f>'M2'!G36-'M1'!G36</f>
        <v>0</v>
      </c>
      <c r="H36" s="66">
        <f>'M2'!H36-'M1'!H36</f>
        <v>4.2981000000000047E-2</v>
      </c>
    </row>
    <row r="37" spans="1:8">
      <c r="A37" s="66" t="s">
        <v>80</v>
      </c>
      <c r="B37" s="66">
        <f>'M2'!B37-'M1'!B37</f>
        <v>5.7755999999999974E-2</v>
      </c>
      <c r="C37" s="66">
        <f>'M2'!C37-'M1'!C37</f>
        <v>2.8484400000000007E-2</v>
      </c>
      <c r="D37" s="66">
        <f>'M2'!D37-'M1'!D37</f>
        <v>2.9826000000000019E-2</v>
      </c>
      <c r="E37" s="66">
        <f>'M2'!E37-'M1'!E37</f>
        <v>0</v>
      </c>
      <c r="F37" s="66">
        <f>'M2'!F37-'M1'!F37</f>
        <v>1.51506E-2</v>
      </c>
      <c r="G37" s="66">
        <f>'M2'!G37-'M1'!G37</f>
        <v>0</v>
      </c>
      <c r="H37" s="66">
        <f>'M2'!H37-'M1'!H37</f>
        <v>6.4383999999999997E-2</v>
      </c>
    </row>
    <row r="38" spans="1:8">
      <c r="A38" s="66" t="s">
        <v>81</v>
      </c>
      <c r="B38" s="66">
        <f>'M2'!B38-'M1'!B38</f>
        <v>4.0118000000000009</v>
      </c>
      <c r="C38" s="66">
        <f>'M2'!C38-'M1'!C38</f>
        <v>-9.2053999999999974</v>
      </c>
      <c r="D38" s="66">
        <f>'M2'!D38-'M1'!D38</f>
        <v>-1.0411100000000002</v>
      </c>
      <c r="E38" s="66">
        <f>'M2'!E38-'M1'!E38</f>
        <v>0</v>
      </c>
      <c r="F38" s="66">
        <f>'M2'!F38-'M1'!F38</f>
        <v>175.7176</v>
      </c>
      <c r="G38" s="66">
        <f>'M2'!G38-'M1'!G38</f>
        <v>0</v>
      </c>
      <c r="H38" s="66">
        <f>'M2'!H38-'M1'!H38</f>
        <v>-103.87100000000001</v>
      </c>
    </row>
    <row r="39" spans="1:8">
      <c r="A39" s="66" t="s">
        <v>82</v>
      </c>
      <c r="B39" s="66">
        <f>'M2'!B39-'M1'!B39</f>
        <v>2.5169899999999998</v>
      </c>
      <c r="C39" s="66">
        <f>'M2'!C39-'M1'!C39</f>
        <v>8.1623699999999992</v>
      </c>
      <c r="D39" s="66">
        <f>'M2'!D39-'M1'!D39</f>
        <v>0.74309199999999986</v>
      </c>
      <c r="E39" s="66">
        <f>'M2'!E39-'M1'!E39</f>
        <v>0</v>
      </c>
      <c r="F39" s="66">
        <f>'M2'!F39-'M1'!F39</f>
        <v>5.1845745000000001</v>
      </c>
      <c r="G39" s="66">
        <f>'M2'!G39-'M1'!G39</f>
        <v>0</v>
      </c>
      <c r="H39" s="66">
        <f>'M2'!H39-'M1'!H39</f>
        <v>27.353100000000005</v>
      </c>
    </row>
    <row r="40" spans="1:8">
      <c r="A40" s="66" t="s">
        <v>83</v>
      </c>
      <c r="B40" s="66">
        <f>'M2'!B40-'M1'!B40</f>
        <v>9.434470000000001</v>
      </c>
      <c r="C40" s="66">
        <f>'M2'!C40-'M1'!C40</f>
        <v>2.4734499999999997</v>
      </c>
      <c r="D40" s="66">
        <f>'M2'!D40-'M1'!D40</f>
        <v>-0.38817000000000002</v>
      </c>
      <c r="E40" s="66">
        <f>'M2'!E40-'M1'!E40</f>
        <v>0</v>
      </c>
      <c r="F40" s="66">
        <f>'M2'!F40-'M1'!F40</f>
        <v>2.0240969999999998</v>
      </c>
      <c r="G40" s="66">
        <f>'M2'!G40-'M1'!G40</f>
        <v>0</v>
      </c>
      <c r="H40" s="66">
        <f>'M2'!H40-'M1'!H40</f>
        <v>9.4797700000000003</v>
      </c>
    </row>
    <row r="41" spans="1:8">
      <c r="A41" s="66" t="s">
        <v>84</v>
      </c>
      <c r="B41" s="66">
        <f>'M2'!B41-'M1'!B41</f>
        <v>1.1940999999999979E-2</v>
      </c>
      <c r="C41" s="66">
        <f>'M2'!C41-'M1'!C41</f>
        <v>-0.10045300000000001</v>
      </c>
      <c r="D41" s="66">
        <f>'M2'!D41-'M1'!D41</f>
        <v>-0.86436999999999986</v>
      </c>
      <c r="E41" s="66">
        <f>'M2'!E41-'M1'!E41</f>
        <v>0</v>
      </c>
      <c r="F41" s="66">
        <f>'M2'!F41-'M1'!F41</f>
        <v>0.35432900000000001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-4.8190000000000011E-2</v>
      </c>
      <c r="C42" s="66">
        <f>'M2'!C42-'M1'!C42</f>
        <v>-1.3549599999999995E-2</v>
      </c>
      <c r="D42" s="66">
        <f>'M2'!D42-'M1'!D42</f>
        <v>3.5269999999999968E-2</v>
      </c>
      <c r="E42" s="66">
        <f>'M2'!E42-'M1'!E42</f>
        <v>0</v>
      </c>
      <c r="F42" s="66">
        <f>'M2'!F42-'M1'!F42</f>
        <v>-2.2728700000000004E-2</v>
      </c>
      <c r="G42" s="66">
        <f>'M2'!G42-'M1'!G42</f>
        <v>0</v>
      </c>
      <c r="H42" s="66">
        <f>'M2'!H42-'M1'!H42</f>
        <v>-7.4691999999999981E-2</v>
      </c>
    </row>
    <row r="43" spans="1:8">
      <c r="A43" s="66" t="s">
        <v>86</v>
      </c>
      <c r="B43" s="66">
        <f>'M2'!B43-'M1'!B43</f>
        <v>-3.5307000000000019E-2</v>
      </c>
      <c r="C43" s="66">
        <f>'M2'!C43-'M1'!C43</f>
        <v>-2.9938199999999998E-2</v>
      </c>
      <c r="D43" s="66">
        <f>'M2'!D43-'M1'!D43</f>
        <v>-0.153388</v>
      </c>
      <c r="E43" s="66">
        <f>'M2'!E43-'M1'!E43</f>
        <v>0</v>
      </c>
      <c r="F43" s="66">
        <f>'M2'!F43-'M1'!F43</f>
        <v>7.3068000000000022E-3</v>
      </c>
      <c r="G43" s="66">
        <f>'M2'!G43-'M1'!G43</f>
        <v>0</v>
      </c>
      <c r="H43" s="66">
        <f>'M2'!H43-'M1'!H43</f>
        <v>-7.0925000000000016E-2</v>
      </c>
    </row>
    <row r="44" spans="1:8">
      <c r="A44" s="66" t="s">
        <v>87</v>
      </c>
      <c r="B44" s="66">
        <f>'M2'!B44-'M1'!B44</f>
        <v>44.235300000000002</v>
      </c>
      <c r="C44" s="66">
        <f>'M2'!C44-'M1'!C44</f>
        <v>0.1097999999999999</v>
      </c>
      <c r="D44" s="66">
        <f>'M2'!D44-'M1'!D44</f>
        <v>-0.34036099999999997</v>
      </c>
      <c r="E44" s="66">
        <f>'M2'!E44-'M1'!E44</f>
        <v>0</v>
      </c>
      <c r="F44" s="66">
        <f>'M2'!F44-'M1'!F44</f>
        <v>27.455719999999999</v>
      </c>
      <c r="G44" s="66">
        <f>'M2'!G44-'M1'!G44</f>
        <v>0</v>
      </c>
      <c r="H44" s="66">
        <f>'M2'!H44-'M1'!H44</f>
        <v>40.837399999999995</v>
      </c>
    </row>
    <row r="45" spans="1:8">
      <c r="A45" s="66" t="s">
        <v>88</v>
      </c>
      <c r="B45" s="66">
        <f>'M2'!B45-'M1'!B45</f>
        <v>-3.7525999999999939</v>
      </c>
      <c r="C45" s="66">
        <f>'M2'!C45-'M1'!C45</f>
        <v>4.0125400000000004</v>
      </c>
      <c r="D45" s="66">
        <f>'M2'!D45-'M1'!D45</f>
        <v>0.10108879999999999</v>
      </c>
      <c r="E45" s="66">
        <f>'M2'!E45-'M1'!E45</f>
        <v>0</v>
      </c>
      <c r="F45" s="66">
        <f>'M2'!F45-'M1'!F45</f>
        <v>-16.171400000000002</v>
      </c>
      <c r="G45" s="66">
        <f>'M2'!G45-'M1'!G45</f>
        <v>0</v>
      </c>
      <c r="H45" s="66">
        <f>'M2'!H45-'M1'!H45</f>
        <v>4.0364000000000004</v>
      </c>
    </row>
    <row r="46" spans="1:8">
      <c r="A46" s="66" t="s">
        <v>89</v>
      </c>
      <c r="B46" s="66">
        <f>'M2'!B46-'M1'!B46</f>
        <v>-0.30369999999999919</v>
      </c>
      <c r="C46" s="66">
        <f>'M2'!C46-'M1'!C46</f>
        <v>-2.9890200000000005</v>
      </c>
      <c r="D46" s="66">
        <f>'M2'!D46-'M1'!D46</f>
        <v>-0.126919</v>
      </c>
      <c r="E46" s="66">
        <f>'M2'!E46-'M1'!E46</f>
        <v>0</v>
      </c>
      <c r="F46" s="66">
        <f>'M2'!F46-'M1'!F46</f>
        <v>6.6967000000000017</v>
      </c>
      <c r="G46" s="66">
        <f>'M2'!G46-'M1'!G46</f>
        <v>0</v>
      </c>
      <c r="H46" s="66">
        <f>'M2'!H46-'M1'!H46</f>
        <v>-2.2255000000000003</v>
      </c>
    </row>
    <row r="47" spans="1:8">
      <c r="A47" s="66" t="s">
        <v>90</v>
      </c>
      <c r="B47" s="66">
        <f>'M2'!B47-'M1'!B47</f>
        <v>0.35362000000000005</v>
      </c>
      <c r="C47" s="66">
        <f>'M2'!C47-'M1'!C47</f>
        <v>3.1661259999999998</v>
      </c>
      <c r="D47" s="66">
        <f>'M2'!D47-'M1'!D47</f>
        <v>1.8705099999999999</v>
      </c>
      <c r="E47" s="66">
        <f>'M2'!E47-'M1'!E47</f>
        <v>0</v>
      </c>
      <c r="F47" s="66">
        <f>'M2'!F47-'M1'!F47</f>
        <v>-0.20925299999999997</v>
      </c>
      <c r="G47" s="66">
        <f>'M2'!G47-'M1'!G47</f>
        <v>0</v>
      </c>
      <c r="H47" s="66">
        <f>'M2'!H47-'M1'!H47</f>
        <v>17.102869999999999</v>
      </c>
    </row>
    <row r="48" spans="1:8">
      <c r="A48" s="66" t="s">
        <v>91</v>
      </c>
      <c r="B48" s="66">
        <f>'M2'!B48-'M1'!B48</f>
        <v>0.29143999999999992</v>
      </c>
      <c r="C48" s="66">
        <f>'M2'!C48-'M1'!C48</f>
        <v>0.21818899999999999</v>
      </c>
      <c r="D48" s="66">
        <f>'M2'!D48-'M1'!D48</f>
        <v>0.11213599999999999</v>
      </c>
      <c r="E48" s="66">
        <f>'M2'!E48-'M1'!E48</f>
        <v>0</v>
      </c>
      <c r="F48" s="66">
        <f>'M2'!F48-'M1'!F48</f>
        <v>2.8465999999999991E-2</v>
      </c>
      <c r="G48" s="66">
        <f>'M2'!G48-'M1'!G48</f>
        <v>0</v>
      </c>
      <c r="H48" s="66">
        <f>'M2'!H48-'M1'!H48</f>
        <v>0.51715999999999984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31.737300000000001</v>
      </c>
      <c r="C5" s="66">
        <v>8.0797899999999991</v>
      </c>
      <c r="D5" s="66">
        <v>25.458300000000001</v>
      </c>
      <c r="E5" s="66">
        <v>20</v>
      </c>
      <c r="F5" s="66">
        <v>15.946199999999999</v>
      </c>
      <c r="G5" s="66">
        <v>50</v>
      </c>
      <c r="H5" s="66">
        <v>45.381700000000002</v>
      </c>
    </row>
    <row r="6" spans="1:8">
      <c r="A6" s="66" t="s">
        <v>358</v>
      </c>
      <c r="B6" s="66">
        <v>23.1797</v>
      </c>
      <c r="C6" s="66">
        <v>1.4359999999999999</v>
      </c>
      <c r="D6" s="66">
        <v>6.1950900000000004</v>
      </c>
      <c r="E6" s="66">
        <v>20</v>
      </c>
      <c r="F6" s="66">
        <v>21.698</v>
      </c>
      <c r="G6" s="66">
        <v>40</v>
      </c>
      <c r="H6" s="66">
        <v>26.5489</v>
      </c>
    </row>
    <row r="7" spans="1:8">
      <c r="A7" s="66" t="s">
        <v>359</v>
      </c>
      <c r="B7" s="66">
        <v>28.194900000000001</v>
      </c>
      <c r="C7" s="66">
        <v>4.3020500000000004</v>
      </c>
      <c r="D7" s="66">
        <v>15.2582</v>
      </c>
      <c r="E7" s="66">
        <v>15</v>
      </c>
      <c r="F7" s="66">
        <v>15.0831</v>
      </c>
      <c r="G7" s="66">
        <v>40</v>
      </c>
      <c r="H7" s="66">
        <v>34.930700000000002</v>
      </c>
    </row>
    <row r="8" spans="1:8">
      <c r="A8" s="66" t="s">
        <v>360</v>
      </c>
      <c r="B8" s="66">
        <v>28.058499999999999</v>
      </c>
      <c r="C8" s="66">
        <v>2.5094699999999999</v>
      </c>
      <c r="D8" s="66">
        <v>8.9437099999999994</v>
      </c>
      <c r="E8" s="66">
        <v>20</v>
      </c>
      <c r="F8" s="66">
        <v>22.3504</v>
      </c>
      <c r="G8" s="66">
        <v>50</v>
      </c>
      <c r="H8" s="66">
        <v>31.184200000000001</v>
      </c>
    </row>
    <row r="9" spans="1:8">
      <c r="A9" s="66" t="s">
        <v>361</v>
      </c>
      <c r="B9" s="66">
        <v>77.512699999999995</v>
      </c>
      <c r="C9" s="66">
        <v>3.26702</v>
      </c>
      <c r="D9" s="66">
        <v>4.2148199999999996</v>
      </c>
      <c r="E9" s="66">
        <v>50</v>
      </c>
      <c r="F9" s="66">
        <v>69.062600000000003</v>
      </c>
      <c r="G9" s="66">
        <v>100</v>
      </c>
      <c r="H9" s="66">
        <v>84.030699999999996</v>
      </c>
    </row>
    <row r="10" spans="1:8">
      <c r="A10" s="66" t="s">
        <v>362</v>
      </c>
      <c r="B10" s="66">
        <v>80</v>
      </c>
      <c r="C10" s="66">
        <v>1.76068</v>
      </c>
      <c r="D10" s="66">
        <v>2.20085</v>
      </c>
      <c r="E10" s="66">
        <v>40</v>
      </c>
      <c r="F10" s="66">
        <v>75.961399999999998</v>
      </c>
      <c r="G10" s="66">
        <v>100</v>
      </c>
      <c r="H10" s="66">
        <v>83.798400000000001</v>
      </c>
    </row>
    <row r="11" spans="1:8">
      <c r="A11" s="66" t="s">
        <v>363</v>
      </c>
      <c r="B11" s="66">
        <v>20.754300000000001</v>
      </c>
      <c r="C11" s="66">
        <v>6.2921800000000001</v>
      </c>
      <c r="D11" s="66">
        <v>30.317499999999999</v>
      </c>
      <c r="E11" s="66">
        <v>10</v>
      </c>
      <c r="F11" s="66">
        <v>10.5304</v>
      </c>
      <c r="G11" s="66">
        <v>50</v>
      </c>
      <c r="H11" s="66">
        <v>32.212699999999998</v>
      </c>
    </row>
    <row r="12" spans="1:8">
      <c r="A12" s="66" t="s">
        <v>364</v>
      </c>
      <c r="B12" s="66">
        <v>78.333299999999994</v>
      </c>
      <c r="C12" s="66">
        <v>2.2425099999999998</v>
      </c>
      <c r="D12" s="66">
        <v>2.8627799999999999</v>
      </c>
      <c r="E12" s="66">
        <v>50</v>
      </c>
      <c r="F12" s="66">
        <v>73.077100000000002</v>
      </c>
      <c r="G12" s="66">
        <v>100</v>
      </c>
      <c r="H12" s="66">
        <v>83.63</v>
      </c>
    </row>
    <row r="13" spans="1:8">
      <c r="A13" s="66" t="s">
        <v>365</v>
      </c>
      <c r="B13" s="66">
        <v>17.761900000000001</v>
      </c>
      <c r="C13" s="66">
        <v>2.7292999999999998</v>
      </c>
      <c r="D13" s="66">
        <v>15.366</v>
      </c>
      <c r="E13" s="66">
        <v>10</v>
      </c>
      <c r="F13" s="66">
        <v>12.6732</v>
      </c>
      <c r="G13" s="66">
        <v>25</v>
      </c>
      <c r="H13" s="66">
        <v>23.150700000000001</v>
      </c>
    </row>
    <row r="14" spans="1:8">
      <c r="A14" s="66" t="s">
        <v>366</v>
      </c>
      <c r="B14" s="66">
        <v>27.292999999999999</v>
      </c>
      <c r="C14" s="66">
        <v>8.79955</v>
      </c>
      <c r="D14" s="66">
        <v>32.241100000000003</v>
      </c>
      <c r="E14" s="66">
        <v>10</v>
      </c>
      <c r="F14" s="66">
        <v>1.89181</v>
      </c>
      <c r="G14" s="66">
        <v>50</v>
      </c>
      <c r="H14" s="66">
        <v>30.264500000000002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0.66845699999999997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0.45108399999999998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66">
        <v>1.28845E-2</v>
      </c>
      <c r="C20" s="66">
        <v>2.6887100000000001E-2</v>
      </c>
      <c r="D20" s="66">
        <v>2.08677</v>
      </c>
      <c r="E20" s="66">
        <v>0</v>
      </c>
      <c r="F20" s="66">
        <v>7.6763600000000001E-3</v>
      </c>
      <c r="G20" s="66">
        <v>0</v>
      </c>
      <c r="H20" s="66">
        <v>0.194163</v>
      </c>
    </row>
    <row r="21" spans="1:8">
      <c r="A21" s="66" t="s">
        <v>373</v>
      </c>
      <c r="B21" s="66">
        <v>0.17121700000000001</v>
      </c>
      <c r="C21" s="66">
        <v>0.29991699999999999</v>
      </c>
      <c r="D21" s="66">
        <v>1.7516799999999999</v>
      </c>
      <c r="E21" s="66">
        <v>0</v>
      </c>
      <c r="F21" s="66">
        <v>1.0474900000000001E-2</v>
      </c>
      <c r="G21" s="66">
        <v>0</v>
      </c>
      <c r="H21" s="66">
        <v>1.7153099999999999</v>
      </c>
    </row>
    <row r="22" spans="1:8">
      <c r="A22" s="66" t="s">
        <v>374</v>
      </c>
      <c r="B22" s="66">
        <v>39.008499999999998</v>
      </c>
      <c r="C22" s="66">
        <v>11.803900000000001</v>
      </c>
      <c r="D22" s="66">
        <v>0.30259900000000001</v>
      </c>
      <c r="E22" s="66">
        <v>0</v>
      </c>
      <c r="F22" s="66">
        <v>12.528700000000001</v>
      </c>
      <c r="G22" s="66">
        <v>0</v>
      </c>
      <c r="H22" s="66">
        <v>71.959999999999994</v>
      </c>
    </row>
    <row r="23" spans="1:8">
      <c r="A23" s="66" t="s">
        <v>375</v>
      </c>
      <c r="B23" s="66">
        <v>12.9206</v>
      </c>
      <c r="C23" s="66">
        <v>3.2798500000000002</v>
      </c>
      <c r="D23" s="66">
        <v>0.25384699999999999</v>
      </c>
      <c r="E23" s="66">
        <v>0</v>
      </c>
      <c r="F23" s="66">
        <v>9.5390499999999996</v>
      </c>
      <c r="G23" s="66">
        <v>0</v>
      </c>
      <c r="H23" s="66">
        <v>19.173200000000001</v>
      </c>
    </row>
    <row r="24" spans="1:8">
      <c r="A24" s="66" t="s">
        <v>376</v>
      </c>
      <c r="B24" s="66">
        <v>1.6377900000000001E-2</v>
      </c>
      <c r="C24" s="66">
        <v>1.7205000000000002E-2</v>
      </c>
      <c r="D24" s="66">
        <v>1.0505</v>
      </c>
      <c r="E24" s="66">
        <v>0</v>
      </c>
      <c r="F24" s="66">
        <v>9.19238E-3</v>
      </c>
      <c r="G24" s="66">
        <v>0</v>
      </c>
      <c r="H24" s="66">
        <v>9.0288900000000005E-2</v>
      </c>
    </row>
    <row r="25" spans="1:8">
      <c r="A25" s="66" t="s">
        <v>377</v>
      </c>
      <c r="B25" s="66">
        <v>0.19503000000000001</v>
      </c>
      <c r="C25" s="66">
        <v>0.16058500000000001</v>
      </c>
      <c r="D25" s="66">
        <v>0.82338500000000003</v>
      </c>
      <c r="E25" s="66">
        <v>0</v>
      </c>
      <c r="F25" s="66">
        <v>3.8485800000000001E-2</v>
      </c>
      <c r="G25" s="66">
        <v>0</v>
      </c>
      <c r="H25" s="66">
        <v>0.78092700000000004</v>
      </c>
    </row>
    <row r="26" spans="1:8">
      <c r="A26" s="66" t="s">
        <v>378</v>
      </c>
      <c r="B26" s="66">
        <v>2.55055E-3</v>
      </c>
      <c r="C26" s="66">
        <v>3.0291200000000002E-3</v>
      </c>
      <c r="D26" s="66">
        <v>1.18763</v>
      </c>
      <c r="E26" s="66">
        <v>0</v>
      </c>
      <c r="F26" s="66">
        <v>1.31959E-3</v>
      </c>
      <c r="G26" s="66">
        <v>0</v>
      </c>
      <c r="H26" s="66">
        <v>2.2728499999999999E-2</v>
      </c>
    </row>
    <row r="27" spans="1:8">
      <c r="A27" s="66" t="s">
        <v>379</v>
      </c>
      <c r="B27" s="196">
        <v>-4.1032000000000003E-5</v>
      </c>
      <c r="C27" s="66">
        <v>1.55131E-3</v>
      </c>
      <c r="D27" s="66">
        <v>-37.807299999999998</v>
      </c>
      <c r="E27" s="66">
        <v>0</v>
      </c>
      <c r="F27" s="66">
        <v>-9.2535499999999993E-3</v>
      </c>
      <c r="G27" s="66">
        <v>0</v>
      </c>
      <c r="H27" s="66">
        <v>7.2971399999999997E-3</v>
      </c>
    </row>
    <row r="28" spans="1:8">
      <c r="A28" s="66" t="s">
        <v>380</v>
      </c>
      <c r="B28" s="66">
        <v>2.55143E-2</v>
      </c>
      <c r="C28" s="66">
        <v>2.83898E-2</v>
      </c>
      <c r="D28" s="66">
        <v>1.1127</v>
      </c>
      <c r="E28" s="66">
        <v>0</v>
      </c>
      <c r="F28" s="66">
        <v>2.0279899999999999E-3</v>
      </c>
      <c r="G28" s="66">
        <v>0</v>
      </c>
      <c r="H28" s="66">
        <v>0.14959600000000001</v>
      </c>
    </row>
    <row r="29" spans="1:8">
      <c r="A29" s="66" t="s">
        <v>381</v>
      </c>
      <c r="B29" s="66">
        <v>70.362499999999997</v>
      </c>
      <c r="C29" s="66">
        <v>8.4860900000000008</v>
      </c>
      <c r="D29" s="66">
        <v>0.120605</v>
      </c>
      <c r="E29" s="66">
        <v>0</v>
      </c>
      <c r="F29" s="66">
        <v>47.914099999999998</v>
      </c>
      <c r="G29" s="66">
        <v>0</v>
      </c>
      <c r="H29" s="66">
        <v>90.080399999999997</v>
      </c>
    </row>
    <row r="30" spans="1:8">
      <c r="A30" s="66" t="s">
        <v>382</v>
      </c>
      <c r="B30" s="66">
        <v>23.6904</v>
      </c>
      <c r="C30" s="66">
        <v>4.6315200000000001</v>
      </c>
      <c r="D30" s="66">
        <v>0.19550200000000001</v>
      </c>
      <c r="E30" s="66">
        <v>0</v>
      </c>
      <c r="F30" s="66">
        <v>13.2485</v>
      </c>
      <c r="G30" s="66">
        <v>0</v>
      </c>
      <c r="H30" s="66">
        <v>29.587</v>
      </c>
    </row>
    <row r="31" spans="1:8">
      <c r="A31" s="66" t="s">
        <v>383</v>
      </c>
      <c r="B31" s="66">
        <v>176.34100000000001</v>
      </c>
      <c r="C31" s="66">
        <v>88.387299999999996</v>
      </c>
      <c r="D31" s="66">
        <v>0.50122900000000004</v>
      </c>
      <c r="E31" s="66">
        <v>0</v>
      </c>
      <c r="F31" s="66">
        <v>81.947599999999994</v>
      </c>
      <c r="G31" s="66">
        <v>0</v>
      </c>
      <c r="H31" s="66">
        <v>347.601</v>
      </c>
    </row>
    <row r="32" spans="1:8">
      <c r="A32" s="66" t="s">
        <v>384</v>
      </c>
      <c r="B32" s="66">
        <v>0.28194900000000001</v>
      </c>
      <c r="C32" s="66">
        <v>4.3020500000000003E-2</v>
      </c>
      <c r="D32" s="66">
        <v>0.152582</v>
      </c>
      <c r="E32" s="66">
        <v>0.15</v>
      </c>
      <c r="F32" s="66">
        <v>0.15083099999999999</v>
      </c>
      <c r="G32" s="66">
        <v>0.4</v>
      </c>
      <c r="H32" s="66">
        <v>0.34930699999999998</v>
      </c>
    </row>
    <row r="33" spans="1:8">
      <c r="A33" s="66" t="s">
        <v>385</v>
      </c>
      <c r="B33" s="66">
        <v>0.33140599999999998</v>
      </c>
      <c r="C33" s="66">
        <v>2.2061600000000001E-2</v>
      </c>
      <c r="D33" s="66">
        <v>6.6569799999999998E-2</v>
      </c>
      <c r="E33" s="66">
        <v>0</v>
      </c>
      <c r="F33" s="66">
        <v>0.29758699999999999</v>
      </c>
      <c r="G33" s="66">
        <v>0</v>
      </c>
      <c r="H33" s="66">
        <v>0.39285599999999998</v>
      </c>
    </row>
    <row r="34" spans="1:8">
      <c r="A34" s="66" t="s">
        <v>386</v>
      </c>
      <c r="B34" s="66">
        <v>0.177619</v>
      </c>
      <c r="C34" s="66">
        <v>2.7293000000000001E-2</v>
      </c>
      <c r="D34" s="66">
        <v>0.15365999999999999</v>
      </c>
      <c r="E34" s="66">
        <v>0.1</v>
      </c>
      <c r="F34" s="66">
        <v>0.12673200000000001</v>
      </c>
      <c r="G34" s="66">
        <v>0.25</v>
      </c>
      <c r="H34" s="66">
        <v>0.23150699999999999</v>
      </c>
    </row>
    <row r="35" spans="1:8">
      <c r="A35" s="66" t="s">
        <v>387</v>
      </c>
      <c r="B35" s="66">
        <v>7.3513999999999996E-2</v>
      </c>
      <c r="C35" s="66">
        <v>2.3102299999999999E-2</v>
      </c>
      <c r="D35" s="66">
        <v>0.31425700000000001</v>
      </c>
      <c r="E35" s="66">
        <v>0</v>
      </c>
      <c r="F35" s="66">
        <v>3.5362299999999999E-2</v>
      </c>
      <c r="G35" s="66">
        <v>0</v>
      </c>
      <c r="H35" s="66">
        <v>0.13892099999999999</v>
      </c>
    </row>
    <row r="36" spans="1:8">
      <c r="A36" s="66" t="s">
        <v>388</v>
      </c>
      <c r="B36" s="66">
        <v>0.158056</v>
      </c>
      <c r="C36" s="66">
        <v>8.6591100000000004E-2</v>
      </c>
      <c r="D36" s="66">
        <v>0.54785099999999998</v>
      </c>
      <c r="E36" s="66">
        <v>0</v>
      </c>
      <c r="F36" s="66">
        <v>3.9544000000000003E-2</v>
      </c>
      <c r="G36" s="66">
        <v>0</v>
      </c>
      <c r="H36" s="66">
        <v>0.45260499999999998</v>
      </c>
    </row>
    <row r="37" spans="1:8">
      <c r="A37" s="66" t="s">
        <v>389</v>
      </c>
      <c r="B37" s="66">
        <v>0.27293000000000001</v>
      </c>
      <c r="C37" s="66">
        <v>8.7995599999999993E-2</v>
      </c>
      <c r="D37" s="66">
        <v>0.322411</v>
      </c>
      <c r="E37" s="66">
        <v>0.1</v>
      </c>
      <c r="F37" s="66">
        <v>1.89181E-2</v>
      </c>
      <c r="G37" s="66">
        <v>0.5</v>
      </c>
      <c r="H37" s="66">
        <v>0.302645</v>
      </c>
    </row>
    <row r="38" spans="1:8">
      <c r="A38" s="66" t="s">
        <v>390</v>
      </c>
      <c r="B38" s="66">
        <v>16.979299999999999</v>
      </c>
      <c r="C38" s="66">
        <v>53.531999999999996</v>
      </c>
      <c r="D38" s="66">
        <v>3.15279</v>
      </c>
      <c r="E38" s="66">
        <v>0</v>
      </c>
      <c r="F38" s="66">
        <v>-234.19900000000001</v>
      </c>
      <c r="G38" s="66">
        <v>0</v>
      </c>
      <c r="H38" s="66">
        <v>343.85</v>
      </c>
    </row>
    <row r="39" spans="1:8">
      <c r="A39" s="66" t="s">
        <v>391</v>
      </c>
      <c r="B39" s="66">
        <v>6.2846799999999998</v>
      </c>
      <c r="C39" s="66">
        <v>4.04983</v>
      </c>
      <c r="D39" s="66">
        <v>0.64439800000000003</v>
      </c>
      <c r="E39" s="66">
        <v>0</v>
      </c>
      <c r="F39" s="66">
        <v>-5.1062700000000003</v>
      </c>
      <c r="G39" s="66">
        <v>0</v>
      </c>
      <c r="H39" s="66">
        <v>23.063099999999999</v>
      </c>
    </row>
    <row r="40" spans="1:8">
      <c r="A40" s="66" t="s">
        <v>392</v>
      </c>
      <c r="B40" s="66">
        <v>1.67723</v>
      </c>
      <c r="C40" s="66">
        <v>1.20651</v>
      </c>
      <c r="D40" s="66">
        <v>0.71934799999999999</v>
      </c>
      <c r="E40" s="66">
        <v>0</v>
      </c>
      <c r="F40" s="66">
        <v>0.70988300000000004</v>
      </c>
      <c r="G40" s="66">
        <v>0</v>
      </c>
      <c r="H40" s="66">
        <v>4.69693</v>
      </c>
    </row>
    <row r="41" spans="1:8">
      <c r="A41" s="66" t="s">
        <v>393</v>
      </c>
      <c r="B41" s="66">
        <v>0.13642000000000001</v>
      </c>
      <c r="C41" s="66">
        <v>0.31741000000000003</v>
      </c>
      <c r="D41" s="66">
        <v>2.3267199999999999</v>
      </c>
      <c r="E41" s="66">
        <v>0</v>
      </c>
      <c r="F41" s="66">
        <v>-0.87368400000000002</v>
      </c>
      <c r="G41" s="66">
        <v>0</v>
      </c>
      <c r="H41" s="66">
        <v>1</v>
      </c>
    </row>
    <row r="42" spans="1:8">
      <c r="A42" s="66" t="s">
        <v>394</v>
      </c>
      <c r="B42" s="66">
        <v>0.208257</v>
      </c>
      <c r="C42" s="66">
        <v>8.2954399999999998E-2</v>
      </c>
      <c r="D42" s="66">
        <v>0.39832800000000002</v>
      </c>
      <c r="E42" s="66">
        <v>0</v>
      </c>
      <c r="F42" s="66">
        <v>5.8783500000000002E-2</v>
      </c>
      <c r="G42" s="66">
        <v>0</v>
      </c>
      <c r="H42" s="66">
        <v>0.417545</v>
      </c>
    </row>
    <row r="43" spans="1:8">
      <c r="A43" s="66" t="s">
        <v>395</v>
      </c>
      <c r="B43" s="66">
        <v>0.15182300000000001</v>
      </c>
      <c r="C43" s="66">
        <v>5.1884899999999998E-2</v>
      </c>
      <c r="D43" s="66">
        <v>0.34174599999999999</v>
      </c>
      <c r="E43" s="66">
        <v>0</v>
      </c>
      <c r="F43" s="66">
        <v>7.1856500000000004E-2</v>
      </c>
      <c r="G43" s="66">
        <v>0</v>
      </c>
      <c r="H43" s="66">
        <v>0.29089300000000001</v>
      </c>
    </row>
    <row r="44" spans="1:8">
      <c r="A44" s="66" t="s">
        <v>396</v>
      </c>
      <c r="B44" s="66">
        <v>29.8705</v>
      </c>
      <c r="C44" s="66">
        <v>17.106100000000001</v>
      </c>
      <c r="D44" s="66">
        <v>0.57267599999999996</v>
      </c>
      <c r="E44" s="66">
        <v>0</v>
      </c>
      <c r="F44" s="66">
        <v>5.3079799999999997</v>
      </c>
      <c r="G44" s="66">
        <v>0</v>
      </c>
      <c r="H44" s="66">
        <v>59.256599999999999</v>
      </c>
    </row>
    <row r="45" spans="1:8">
      <c r="A45" s="66" t="s">
        <v>397</v>
      </c>
      <c r="B45" s="66">
        <v>46.91</v>
      </c>
      <c r="C45" s="66">
        <v>4.3776599999999997</v>
      </c>
      <c r="D45" s="66">
        <v>9.3320200000000006E-2</v>
      </c>
      <c r="E45" s="66">
        <v>0</v>
      </c>
      <c r="F45" s="66">
        <v>37.061300000000003</v>
      </c>
      <c r="G45" s="66">
        <v>0</v>
      </c>
      <c r="H45" s="66">
        <v>56.517200000000003</v>
      </c>
    </row>
    <row r="46" spans="1:8">
      <c r="A46" s="66" t="s">
        <v>398</v>
      </c>
      <c r="B46" s="66">
        <v>23.306899999999999</v>
      </c>
      <c r="C46" s="66">
        <v>5.3310500000000003</v>
      </c>
      <c r="D46" s="66">
        <v>0.22873199999999999</v>
      </c>
      <c r="E46" s="66">
        <v>0</v>
      </c>
      <c r="F46" s="66">
        <v>12.8971</v>
      </c>
      <c r="G46" s="66">
        <v>0</v>
      </c>
      <c r="H46" s="66">
        <v>30.587900000000001</v>
      </c>
    </row>
    <row r="47" spans="1:8">
      <c r="A47" s="66" t="s">
        <v>399</v>
      </c>
      <c r="B47" s="66">
        <v>1.2585500000000001</v>
      </c>
      <c r="C47" s="66">
        <v>0.53585400000000005</v>
      </c>
      <c r="D47" s="66">
        <v>0.42576999999999998</v>
      </c>
      <c r="E47" s="66">
        <v>0</v>
      </c>
      <c r="F47" s="66">
        <v>0.59809299999999999</v>
      </c>
      <c r="G47" s="66">
        <v>0</v>
      </c>
      <c r="H47" s="66">
        <v>3.40503</v>
      </c>
    </row>
    <row r="48" spans="1:8">
      <c r="A48" s="66" t="s">
        <v>400</v>
      </c>
      <c r="B48" s="66">
        <v>1.2203900000000001</v>
      </c>
      <c r="C48" s="66">
        <v>0.203761</v>
      </c>
      <c r="D48" s="66">
        <v>0.166963</v>
      </c>
      <c r="E48" s="66">
        <v>0</v>
      </c>
      <c r="F48" s="66">
        <v>0.83648900000000004</v>
      </c>
      <c r="G48" s="66">
        <v>0</v>
      </c>
      <c r="H48" s="66">
        <v>1.6550100000000001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401</v>
      </c>
      <c r="D1" s="66" t="s">
        <v>402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40.345100000000002</v>
      </c>
      <c r="C5" s="66">
        <v>3.77135</v>
      </c>
      <c r="D5" s="66">
        <v>9.3477300000000003</v>
      </c>
      <c r="E5" s="66">
        <v>20</v>
      </c>
      <c r="F5" s="66">
        <v>32.660600000000002</v>
      </c>
      <c r="G5" s="66">
        <v>50</v>
      </c>
      <c r="H5" s="66">
        <v>47.061300000000003</v>
      </c>
    </row>
    <row r="6" spans="1:8">
      <c r="A6" s="66" t="s">
        <v>358</v>
      </c>
      <c r="B6" s="66">
        <v>19.6084</v>
      </c>
      <c r="C6" s="66">
        <v>2.3159900000000002</v>
      </c>
      <c r="D6" s="66">
        <v>11.811299999999999</v>
      </c>
      <c r="E6" s="66">
        <v>20</v>
      </c>
      <c r="F6" s="66">
        <v>17.961300000000001</v>
      </c>
      <c r="G6" s="66">
        <v>40</v>
      </c>
      <c r="H6" s="66">
        <v>26.648900000000001</v>
      </c>
    </row>
    <row r="7" spans="1:8">
      <c r="A7" s="66" t="s">
        <v>359</v>
      </c>
      <c r="B7" s="66">
        <v>23.335899999999999</v>
      </c>
      <c r="C7" s="66">
        <v>7.1923300000000001</v>
      </c>
      <c r="D7" s="66">
        <v>30.820900000000002</v>
      </c>
      <c r="E7" s="66">
        <v>15</v>
      </c>
      <c r="F7" s="66">
        <v>4.8761200000000002</v>
      </c>
      <c r="G7" s="66">
        <v>40</v>
      </c>
      <c r="H7" s="66">
        <v>35.2958</v>
      </c>
    </row>
    <row r="8" spans="1:8">
      <c r="A8" s="66" t="s">
        <v>360</v>
      </c>
      <c r="B8" s="66">
        <v>27.841899999999999</v>
      </c>
      <c r="C8" s="66">
        <v>1.81551</v>
      </c>
      <c r="D8" s="66">
        <v>6.5208000000000004</v>
      </c>
      <c r="E8" s="66">
        <v>20</v>
      </c>
      <c r="F8" s="66">
        <v>23.5762</v>
      </c>
      <c r="G8" s="66">
        <v>50</v>
      </c>
      <c r="H8" s="66">
        <v>30.77</v>
      </c>
    </row>
    <row r="9" spans="1:8">
      <c r="A9" s="66" t="s">
        <v>361</v>
      </c>
      <c r="B9" s="66">
        <v>72.561899999999994</v>
      </c>
      <c r="C9" s="66">
        <v>4.8064900000000002</v>
      </c>
      <c r="D9" s="66">
        <v>6.6239800000000004</v>
      </c>
      <c r="E9" s="66">
        <v>50</v>
      </c>
      <c r="F9" s="66">
        <v>61.462000000000003</v>
      </c>
      <c r="G9" s="66">
        <v>100</v>
      </c>
      <c r="H9" s="66">
        <v>82.893000000000001</v>
      </c>
    </row>
    <row r="10" spans="1:8">
      <c r="A10" s="66" t="s">
        <v>362</v>
      </c>
      <c r="B10" s="66">
        <v>78.496099999999998</v>
      </c>
      <c r="C10" s="66">
        <v>1.45357</v>
      </c>
      <c r="D10" s="66">
        <v>1.8517699999999999</v>
      </c>
      <c r="E10" s="66">
        <v>40</v>
      </c>
      <c r="F10" s="66">
        <v>75.582400000000007</v>
      </c>
      <c r="G10" s="66">
        <v>100</v>
      </c>
      <c r="H10" s="66">
        <v>81.862200000000001</v>
      </c>
    </row>
    <row r="11" spans="1:8">
      <c r="A11" s="66" t="s">
        <v>363</v>
      </c>
      <c r="B11" s="66">
        <v>35.502899999999997</v>
      </c>
      <c r="C11" s="66">
        <v>6.40069</v>
      </c>
      <c r="D11" s="66">
        <v>18.028600000000001</v>
      </c>
      <c r="E11" s="66">
        <v>10</v>
      </c>
      <c r="F11" s="66">
        <v>24.5931</v>
      </c>
      <c r="G11" s="66">
        <v>50</v>
      </c>
      <c r="H11" s="66">
        <v>46.401899999999998</v>
      </c>
    </row>
    <row r="12" spans="1:8">
      <c r="A12" s="66" t="s">
        <v>364</v>
      </c>
      <c r="B12" s="66">
        <v>75.766900000000007</v>
      </c>
      <c r="C12" s="66">
        <v>2.9023500000000002</v>
      </c>
      <c r="D12" s="66">
        <v>3.8306300000000002</v>
      </c>
      <c r="E12" s="66">
        <v>50</v>
      </c>
      <c r="F12" s="66">
        <v>69.285899999999998</v>
      </c>
      <c r="G12" s="66">
        <v>100</v>
      </c>
      <c r="H12" s="66">
        <v>81.931299999999993</v>
      </c>
    </row>
    <row r="13" spans="1:8">
      <c r="A13" s="66" t="s">
        <v>365</v>
      </c>
      <c r="B13" s="66">
        <v>19.604500000000002</v>
      </c>
      <c r="C13" s="66">
        <v>3.3068599999999999</v>
      </c>
      <c r="D13" s="66">
        <v>16.867799999999999</v>
      </c>
      <c r="E13" s="66">
        <v>10</v>
      </c>
      <c r="F13" s="66">
        <v>15.194100000000001</v>
      </c>
      <c r="G13" s="66">
        <v>25</v>
      </c>
      <c r="H13" s="66">
        <v>29.167899999999999</v>
      </c>
    </row>
    <row r="14" spans="1:8">
      <c r="A14" s="66" t="s">
        <v>366</v>
      </c>
      <c r="B14" s="66">
        <v>33.068600000000004</v>
      </c>
      <c r="C14" s="66">
        <v>11.648</v>
      </c>
      <c r="D14" s="66">
        <v>35.223700000000001</v>
      </c>
      <c r="E14" s="66">
        <v>10</v>
      </c>
      <c r="F14" s="66">
        <v>3.4068700000000001</v>
      </c>
      <c r="G14" s="66">
        <v>50</v>
      </c>
      <c r="H14" s="66">
        <v>36.7029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0.57408700000000001</v>
      </c>
      <c r="C18" s="66">
        <v>7.1521500000000002E-2</v>
      </c>
      <c r="D18" s="66">
        <v>0.124583</v>
      </c>
      <c r="E18" s="66">
        <v>0</v>
      </c>
      <c r="F18" s="66">
        <v>0.50256599999999996</v>
      </c>
      <c r="G18" s="66">
        <v>0</v>
      </c>
      <c r="H18" s="66">
        <v>0.64560799999999996</v>
      </c>
    </row>
    <row r="19" spans="1:8">
      <c r="A19" s="66" t="s">
        <v>371</v>
      </c>
      <c r="B19" s="66">
        <v>0.596688</v>
      </c>
      <c r="C19" s="66">
        <v>2.0959200000000001E-2</v>
      </c>
      <c r="D19" s="66">
        <v>3.5125799999999999E-2</v>
      </c>
      <c r="E19" s="66">
        <v>0</v>
      </c>
      <c r="F19" s="66">
        <v>0.57572900000000005</v>
      </c>
      <c r="G19" s="66">
        <v>0</v>
      </c>
      <c r="H19" s="66">
        <v>0.61764699999999995</v>
      </c>
    </row>
    <row r="20" spans="1:8">
      <c r="A20" s="66" t="s">
        <v>403</v>
      </c>
      <c r="B20" s="66">
        <v>1.24717E-2</v>
      </c>
      <c r="C20" s="66">
        <v>0.313892</v>
      </c>
      <c r="D20" s="66">
        <v>25.168299999999999</v>
      </c>
      <c r="E20" s="66">
        <v>0</v>
      </c>
      <c r="F20" s="66">
        <v>3.0473100000000001E-3</v>
      </c>
      <c r="G20" s="66">
        <v>0</v>
      </c>
      <c r="H20" s="66">
        <v>2.5352100000000002</v>
      </c>
    </row>
    <row r="21" spans="1:8">
      <c r="A21" s="66" t="s">
        <v>373</v>
      </c>
      <c r="B21" s="66">
        <v>0.27449600000000002</v>
      </c>
      <c r="C21" s="66">
        <v>2.2227299999999999</v>
      </c>
      <c r="D21" s="66">
        <v>8.0975000000000001</v>
      </c>
      <c r="E21" s="66">
        <v>0</v>
      </c>
      <c r="F21" s="66">
        <v>9.4034300000000008E-3</v>
      </c>
      <c r="G21" s="66">
        <v>0</v>
      </c>
      <c r="H21" s="66">
        <v>13.1396</v>
      </c>
    </row>
    <row r="22" spans="1:8">
      <c r="A22" s="66" t="s">
        <v>374</v>
      </c>
      <c r="B22" s="66">
        <v>44.209899999999998</v>
      </c>
      <c r="C22" s="66">
        <v>48.665300000000002</v>
      </c>
      <c r="D22" s="66">
        <v>1.1007800000000001</v>
      </c>
      <c r="E22" s="66">
        <v>0</v>
      </c>
      <c r="F22" s="66">
        <v>22.388200000000001</v>
      </c>
      <c r="G22" s="66">
        <v>0</v>
      </c>
      <c r="H22" s="66">
        <v>236.96899999999999</v>
      </c>
    </row>
    <row r="23" spans="1:8">
      <c r="A23" s="66" t="s">
        <v>375</v>
      </c>
      <c r="B23" s="66">
        <v>49.8459</v>
      </c>
      <c r="C23" s="66">
        <v>15.180400000000001</v>
      </c>
      <c r="D23" s="66">
        <v>0.30454799999999999</v>
      </c>
      <c r="E23" s="66">
        <v>0</v>
      </c>
      <c r="F23" s="66">
        <v>17.802900000000001</v>
      </c>
      <c r="G23" s="66">
        <v>0</v>
      </c>
      <c r="H23" s="66">
        <v>59.893799999999999</v>
      </c>
    </row>
    <row r="24" spans="1:8">
      <c r="A24" s="66" t="s">
        <v>376</v>
      </c>
      <c r="B24" s="66">
        <v>2.2836700000000001E-2</v>
      </c>
      <c r="C24" s="66">
        <v>0.27277600000000002</v>
      </c>
      <c r="D24" s="66">
        <v>11.944599999999999</v>
      </c>
      <c r="E24" s="66">
        <v>0</v>
      </c>
      <c r="F24" s="66">
        <v>4.0682100000000001E-3</v>
      </c>
      <c r="G24" s="66">
        <v>0</v>
      </c>
      <c r="H24" s="66">
        <v>1.6621699999999999</v>
      </c>
    </row>
    <row r="25" spans="1:8">
      <c r="A25" s="66" t="s">
        <v>377</v>
      </c>
      <c r="B25" s="66">
        <v>0.28809600000000002</v>
      </c>
      <c r="C25" s="66">
        <v>1.81473</v>
      </c>
      <c r="D25" s="66">
        <v>6.2990500000000003</v>
      </c>
      <c r="E25" s="66">
        <v>0</v>
      </c>
      <c r="F25" s="66">
        <v>0.10378900000000001</v>
      </c>
      <c r="G25" s="66">
        <v>0</v>
      </c>
      <c r="H25" s="66">
        <v>7.3635400000000004</v>
      </c>
    </row>
    <row r="26" spans="1:8">
      <c r="A26" s="66" t="s">
        <v>378</v>
      </c>
      <c r="B26" s="66">
        <v>2.5784499999999999E-3</v>
      </c>
      <c r="C26" s="66">
        <v>2.971E-2</v>
      </c>
      <c r="D26" s="66">
        <v>11.522399999999999</v>
      </c>
      <c r="E26" s="66">
        <v>0</v>
      </c>
      <c r="F26" s="66">
        <v>5.2521000000000002E-4</v>
      </c>
      <c r="G26" s="66">
        <v>0</v>
      </c>
      <c r="H26" s="66">
        <v>0.17546900000000001</v>
      </c>
    </row>
    <row r="27" spans="1:8">
      <c r="A27" s="66" t="s">
        <v>379</v>
      </c>
      <c r="B27" s="196">
        <v>-6.72925E-5</v>
      </c>
      <c r="C27" s="66">
        <v>8.6168700000000004E-3</v>
      </c>
      <c r="D27" s="66">
        <v>-128.05099999999999</v>
      </c>
      <c r="E27" s="66">
        <v>0</v>
      </c>
      <c r="F27" s="66">
        <v>-7.3128899999999997E-2</v>
      </c>
      <c r="G27" s="66">
        <v>0</v>
      </c>
      <c r="H27" s="66">
        <v>9.8335699999999998E-2</v>
      </c>
    </row>
    <row r="28" spans="1:8">
      <c r="A28" s="66" t="s">
        <v>380</v>
      </c>
      <c r="B28" s="66">
        <v>3.4386399999999998E-2</v>
      </c>
      <c r="C28" s="66">
        <v>8.98312E-2</v>
      </c>
      <c r="D28" s="66">
        <v>2.6124100000000001</v>
      </c>
      <c r="E28" s="66">
        <v>0</v>
      </c>
      <c r="F28" s="66">
        <v>2.1940100000000001E-3</v>
      </c>
      <c r="G28" s="66">
        <v>0</v>
      </c>
      <c r="H28" s="66">
        <v>0.38136399999999998</v>
      </c>
    </row>
    <row r="29" spans="1:8">
      <c r="A29" s="66" t="s">
        <v>381</v>
      </c>
      <c r="B29" s="66">
        <v>76.014700000000005</v>
      </c>
      <c r="C29" s="66">
        <v>21.366700000000002</v>
      </c>
      <c r="D29" s="66">
        <v>0.28108699999999998</v>
      </c>
      <c r="E29" s="66">
        <v>0</v>
      </c>
      <c r="F29" s="66">
        <v>53.314900000000002</v>
      </c>
      <c r="G29" s="66">
        <v>0</v>
      </c>
      <c r="H29" s="66">
        <v>144.30500000000001</v>
      </c>
    </row>
    <row r="30" spans="1:8">
      <c r="A30" s="66" t="s">
        <v>382</v>
      </c>
      <c r="B30" s="66">
        <v>47.121099999999998</v>
      </c>
      <c r="C30" s="66">
        <v>10.462899999999999</v>
      </c>
      <c r="D30" s="66">
        <v>0.22204299999999999</v>
      </c>
      <c r="E30" s="66">
        <v>0</v>
      </c>
      <c r="F30" s="66">
        <v>22.95</v>
      </c>
      <c r="G30" s="66">
        <v>0</v>
      </c>
      <c r="H30" s="66">
        <v>57.0687</v>
      </c>
    </row>
    <row r="31" spans="1:8">
      <c r="A31" s="66" t="s">
        <v>383</v>
      </c>
      <c r="B31" s="66">
        <v>321.50799999999998</v>
      </c>
      <c r="C31" s="66">
        <v>22.701899999999998</v>
      </c>
      <c r="D31" s="66">
        <v>7.0610599999999996E-2</v>
      </c>
      <c r="E31" s="66">
        <v>0</v>
      </c>
      <c r="F31" s="66">
        <v>263.93900000000002</v>
      </c>
      <c r="G31" s="66">
        <v>0</v>
      </c>
      <c r="H31" s="66">
        <v>366.94200000000001</v>
      </c>
    </row>
    <row r="32" spans="1:8">
      <c r="A32" s="66" t="s">
        <v>384</v>
      </c>
      <c r="B32" s="66">
        <v>0.23335900000000001</v>
      </c>
      <c r="C32" s="66">
        <v>7.1923299999999996E-2</v>
      </c>
      <c r="D32" s="66">
        <v>0.30820900000000001</v>
      </c>
      <c r="E32" s="66">
        <v>0.15</v>
      </c>
      <c r="F32" s="66">
        <v>4.8761199999999998E-2</v>
      </c>
      <c r="G32" s="66">
        <v>0.4</v>
      </c>
      <c r="H32" s="66">
        <v>0.35295799999999999</v>
      </c>
    </row>
    <row r="33" spans="1:8">
      <c r="A33" s="66" t="s">
        <v>385</v>
      </c>
      <c r="B33" s="66">
        <v>0.297323</v>
      </c>
      <c r="C33" s="66">
        <v>2.9576700000000001E-2</v>
      </c>
      <c r="D33" s="66">
        <v>9.9476700000000001E-2</v>
      </c>
      <c r="E33" s="66">
        <v>0</v>
      </c>
      <c r="F33" s="66">
        <v>0.22644400000000001</v>
      </c>
      <c r="G33" s="66">
        <v>0</v>
      </c>
      <c r="H33" s="66">
        <v>0.38914199999999999</v>
      </c>
    </row>
    <row r="34" spans="1:8">
      <c r="A34" s="66" t="s">
        <v>386</v>
      </c>
      <c r="B34" s="66">
        <v>0.196045</v>
      </c>
      <c r="C34" s="66">
        <v>3.3068599999999997E-2</v>
      </c>
      <c r="D34" s="66">
        <v>0.16867799999999999</v>
      </c>
      <c r="E34" s="66">
        <v>0.1</v>
      </c>
      <c r="F34" s="66">
        <v>0.15194099999999999</v>
      </c>
      <c r="G34" s="66">
        <v>0.25</v>
      </c>
      <c r="H34" s="66">
        <v>0.29167900000000002</v>
      </c>
    </row>
    <row r="35" spans="1:8">
      <c r="A35" s="66" t="s">
        <v>387</v>
      </c>
      <c r="B35" s="66">
        <v>7.1037299999999998E-2</v>
      </c>
      <c r="C35" s="66">
        <v>1.8837599999999999E-2</v>
      </c>
      <c r="D35" s="66">
        <v>0.26517800000000002</v>
      </c>
      <c r="E35" s="66">
        <v>0</v>
      </c>
      <c r="F35" s="66">
        <v>4.3653600000000001E-2</v>
      </c>
      <c r="G35" s="66">
        <v>0</v>
      </c>
      <c r="H35" s="66">
        <v>0.12585499999999999</v>
      </c>
    </row>
    <row r="36" spans="1:8">
      <c r="A36" s="66" t="s">
        <v>388</v>
      </c>
      <c r="B36" s="66">
        <v>0.181756</v>
      </c>
      <c r="C36" s="66">
        <v>8.6328299999999997E-2</v>
      </c>
      <c r="D36" s="66">
        <v>0.47497</v>
      </c>
      <c r="E36" s="66">
        <v>0</v>
      </c>
      <c r="F36" s="66">
        <v>5.43762E-2</v>
      </c>
      <c r="G36" s="66">
        <v>0</v>
      </c>
      <c r="H36" s="66">
        <v>0.49558600000000003</v>
      </c>
    </row>
    <row r="37" spans="1:8">
      <c r="A37" s="66" t="s">
        <v>389</v>
      </c>
      <c r="B37" s="66">
        <v>0.33068599999999998</v>
      </c>
      <c r="C37" s="66">
        <v>0.11648</v>
      </c>
      <c r="D37" s="66">
        <v>0.35223700000000002</v>
      </c>
      <c r="E37" s="66">
        <v>0.1</v>
      </c>
      <c r="F37" s="66">
        <v>3.40687E-2</v>
      </c>
      <c r="G37" s="66">
        <v>0.5</v>
      </c>
      <c r="H37" s="66">
        <v>0.36702899999999999</v>
      </c>
    </row>
    <row r="38" spans="1:8">
      <c r="A38" s="66" t="s">
        <v>390</v>
      </c>
      <c r="B38" s="66">
        <v>20.991099999999999</v>
      </c>
      <c r="C38" s="66">
        <v>44.326599999999999</v>
      </c>
      <c r="D38" s="66">
        <v>2.1116799999999998</v>
      </c>
      <c r="E38" s="66">
        <v>0</v>
      </c>
      <c r="F38" s="66">
        <v>-58.481400000000001</v>
      </c>
      <c r="G38" s="66">
        <v>0</v>
      </c>
      <c r="H38" s="66">
        <v>239.97900000000001</v>
      </c>
    </row>
    <row r="39" spans="1:8">
      <c r="A39" s="66" t="s">
        <v>391</v>
      </c>
      <c r="B39" s="66">
        <v>8.8016699999999997</v>
      </c>
      <c r="C39" s="66">
        <v>12.212199999999999</v>
      </c>
      <c r="D39" s="66">
        <v>1.3874899999999999</v>
      </c>
      <c r="E39" s="66">
        <v>0</v>
      </c>
      <c r="F39" s="66">
        <v>7.8304499999999999E-2</v>
      </c>
      <c r="G39" s="66">
        <v>0</v>
      </c>
      <c r="H39" s="66">
        <v>50.416200000000003</v>
      </c>
    </row>
    <row r="40" spans="1:8">
      <c r="A40" s="66" t="s">
        <v>392</v>
      </c>
      <c r="B40" s="66">
        <v>11.111700000000001</v>
      </c>
      <c r="C40" s="66">
        <v>3.6799599999999999</v>
      </c>
      <c r="D40" s="66">
        <v>0.33117799999999997</v>
      </c>
      <c r="E40" s="66">
        <v>0</v>
      </c>
      <c r="F40" s="66">
        <v>2.7339799999999999</v>
      </c>
      <c r="G40" s="66">
        <v>0</v>
      </c>
      <c r="H40" s="66">
        <v>14.1767</v>
      </c>
    </row>
    <row r="41" spans="1:8">
      <c r="A41" s="66" t="s">
        <v>393</v>
      </c>
      <c r="B41" s="66">
        <v>0.14836099999999999</v>
      </c>
      <c r="C41" s="66">
        <v>0.21695700000000001</v>
      </c>
      <c r="D41" s="66">
        <v>1.46235</v>
      </c>
      <c r="E41" s="66">
        <v>0</v>
      </c>
      <c r="F41" s="66">
        <v>-0.51935500000000001</v>
      </c>
      <c r="G41" s="66">
        <v>0</v>
      </c>
      <c r="H41" s="66">
        <v>1</v>
      </c>
    </row>
    <row r="42" spans="1:8">
      <c r="A42" s="66" t="s">
        <v>394</v>
      </c>
      <c r="B42" s="66">
        <v>0.16006699999999999</v>
      </c>
      <c r="C42" s="66">
        <v>6.9404800000000003E-2</v>
      </c>
      <c r="D42" s="66">
        <v>0.43359799999999998</v>
      </c>
      <c r="E42" s="66">
        <v>0</v>
      </c>
      <c r="F42" s="66">
        <v>3.6054799999999998E-2</v>
      </c>
      <c r="G42" s="66">
        <v>0</v>
      </c>
      <c r="H42" s="66">
        <v>0.34285300000000002</v>
      </c>
    </row>
    <row r="43" spans="1:8">
      <c r="A43" s="66" t="s">
        <v>395</v>
      </c>
      <c r="B43" s="66">
        <v>0.11651599999999999</v>
      </c>
      <c r="C43" s="66">
        <v>2.19467E-2</v>
      </c>
      <c r="D43" s="66">
        <v>0.188358</v>
      </c>
      <c r="E43" s="66">
        <v>0</v>
      </c>
      <c r="F43" s="66">
        <v>7.9163300000000006E-2</v>
      </c>
      <c r="G43" s="66">
        <v>0</v>
      </c>
      <c r="H43" s="66">
        <v>0.219968</v>
      </c>
    </row>
    <row r="44" spans="1:8">
      <c r="A44" s="66" t="s">
        <v>396</v>
      </c>
      <c r="B44" s="66">
        <v>74.105800000000002</v>
      </c>
      <c r="C44" s="66">
        <v>17.215900000000001</v>
      </c>
      <c r="D44" s="66">
        <v>0.23231499999999999</v>
      </c>
      <c r="E44" s="66">
        <v>0</v>
      </c>
      <c r="F44" s="66">
        <v>32.7637</v>
      </c>
      <c r="G44" s="66">
        <v>0</v>
      </c>
      <c r="H44" s="66">
        <v>100.09399999999999</v>
      </c>
    </row>
    <row r="45" spans="1:8">
      <c r="A45" s="66" t="s">
        <v>397</v>
      </c>
      <c r="B45" s="66">
        <v>43.157400000000003</v>
      </c>
      <c r="C45" s="66">
        <v>8.3902000000000001</v>
      </c>
      <c r="D45" s="66">
        <v>0.194409</v>
      </c>
      <c r="E45" s="66">
        <v>0</v>
      </c>
      <c r="F45" s="66">
        <v>20.889900000000001</v>
      </c>
      <c r="G45" s="66">
        <v>0</v>
      </c>
      <c r="H45" s="66">
        <v>60.553600000000003</v>
      </c>
    </row>
    <row r="46" spans="1:8">
      <c r="A46" s="66" t="s">
        <v>398</v>
      </c>
      <c r="B46" s="66">
        <v>23.0032</v>
      </c>
      <c r="C46" s="66">
        <v>2.3420299999999998</v>
      </c>
      <c r="D46" s="66">
        <v>0.101813</v>
      </c>
      <c r="E46" s="66">
        <v>0</v>
      </c>
      <c r="F46" s="66">
        <v>19.593800000000002</v>
      </c>
      <c r="G46" s="66">
        <v>0</v>
      </c>
      <c r="H46" s="66">
        <v>28.362400000000001</v>
      </c>
    </row>
    <row r="47" spans="1:8">
      <c r="A47" s="66" t="s">
        <v>399</v>
      </c>
      <c r="B47" s="66">
        <v>1.6121700000000001</v>
      </c>
      <c r="C47" s="66">
        <v>3.7019799999999998</v>
      </c>
      <c r="D47" s="66">
        <v>2.2962799999999999</v>
      </c>
      <c r="E47" s="66">
        <v>0</v>
      </c>
      <c r="F47" s="66">
        <v>0.38884000000000002</v>
      </c>
      <c r="G47" s="66">
        <v>0</v>
      </c>
      <c r="H47" s="66">
        <v>20.507899999999999</v>
      </c>
    </row>
    <row r="48" spans="1:8">
      <c r="A48" s="66" t="s">
        <v>400</v>
      </c>
      <c r="B48" s="66">
        <v>1.51183</v>
      </c>
      <c r="C48" s="66">
        <v>0.42194999999999999</v>
      </c>
      <c r="D48" s="66">
        <v>0.27909899999999999</v>
      </c>
      <c r="E48" s="66">
        <v>0</v>
      </c>
      <c r="F48" s="66">
        <v>0.86495500000000003</v>
      </c>
      <c r="G48" s="66">
        <v>0</v>
      </c>
      <c r="H48" s="66">
        <v>2.1721699999999999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404</v>
      </c>
      <c r="B1" s="60" t="s">
        <v>405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105.16179549608343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2.0304103355426357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0.62896823684130365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149</v>
      </c>
      <c r="B8" s="66">
        <v>149</v>
      </c>
      <c r="D8">
        <f t="shared" si="0"/>
        <v>5.43244445416694E-4</v>
      </c>
      <c r="E8">
        <f t="shared" si="0"/>
        <v>5.43244445416694E-4</v>
      </c>
      <c r="G8">
        <f t="shared" ca="1" si="1"/>
        <v>6</v>
      </c>
      <c r="H8">
        <f t="shared" ca="1" si="2"/>
        <v>3.259466672500164E-3</v>
      </c>
      <c r="I8">
        <f t="shared" ca="1" si="3"/>
        <v>5.341756142363054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286</v>
      </c>
      <c r="B10" s="66">
        <v>286</v>
      </c>
      <c r="D10">
        <f t="shared" si="0"/>
        <v>1.0427376603300302E-3</v>
      </c>
      <c r="E10">
        <f t="shared" si="0"/>
        <v>1.0427376603300302E-3</v>
      </c>
      <c r="G10">
        <f t="shared" ca="1" si="1"/>
        <v>8</v>
      </c>
      <c r="H10">
        <f t="shared" ca="1" si="2"/>
        <v>8.3419012826402416E-3</v>
      </c>
      <c r="I10">
        <f t="shared" ca="1" si="3"/>
        <v>9.8438757324703516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393</v>
      </c>
      <c r="B13" s="66">
        <v>393</v>
      </c>
      <c r="D13">
        <f t="shared" si="0"/>
        <v>1.4328527989849714E-3</v>
      </c>
      <c r="E13">
        <f t="shared" si="0"/>
        <v>1.4328527989849714E-3</v>
      </c>
      <c r="G13">
        <f t="shared" ca="1" si="1"/>
        <v>11</v>
      </c>
      <c r="H13">
        <f t="shared" ca="1" si="2"/>
        <v>1.5761380788834684E-2</v>
      </c>
      <c r="I13">
        <f t="shared" ca="1" si="3"/>
        <v>12.704308717072355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1263</v>
      </c>
      <c r="B15" s="66">
        <v>1263</v>
      </c>
      <c r="D15">
        <f t="shared" si="0"/>
        <v>4.60481701047842E-3</v>
      </c>
      <c r="E15">
        <f t="shared" si="0"/>
        <v>4.60481701047842E-3</v>
      </c>
      <c r="G15">
        <f t="shared" ca="1" si="1"/>
        <v>13</v>
      </c>
      <c r="H15">
        <f t="shared" ca="1" si="2"/>
        <v>5.9862621136219457E-2</v>
      </c>
      <c r="I15">
        <f t="shared" ca="1" si="3"/>
        <v>39.112378832663161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5488</v>
      </c>
      <c r="B18" s="66">
        <v>5488</v>
      </c>
      <c r="D18">
        <f t="shared" si="0"/>
        <v>2.0008896083535684E-2</v>
      </c>
      <c r="E18">
        <f t="shared" si="0"/>
        <v>2.0008896083535684E-2</v>
      </c>
      <c r="G18">
        <f t="shared" ca="1" si="1"/>
        <v>16</v>
      </c>
      <c r="H18">
        <f t="shared" ca="1" si="2"/>
        <v>0.32014233733657094</v>
      </c>
      <c r="I18">
        <f t="shared" ca="1" si="3"/>
        <v>159.06723783590624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5964</v>
      </c>
      <c r="B21" s="66">
        <v>5964</v>
      </c>
      <c r="D21">
        <f t="shared" si="0"/>
        <v>2.174436156016888E-2</v>
      </c>
      <c r="E21">
        <f t="shared" si="0"/>
        <v>2.174436156016888E-2</v>
      </c>
      <c r="G21">
        <f t="shared" ca="1" si="1"/>
        <v>19</v>
      </c>
      <c r="H21">
        <f t="shared" ca="1" si="2"/>
        <v>0.41314286964320873</v>
      </c>
      <c r="I21">
        <f t="shared" ca="1" si="3"/>
        <v>161.42698735786865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7676</v>
      </c>
      <c r="B23" s="66">
        <v>7676</v>
      </c>
      <c r="D23">
        <f t="shared" si="0"/>
        <v>2.7986203778647942E-2</v>
      </c>
      <c r="E23">
        <f t="shared" si="0"/>
        <v>2.7986203778647942E-2</v>
      </c>
      <c r="G23">
        <f t="shared" ca="1" si="1"/>
        <v>21</v>
      </c>
      <c r="H23">
        <f t="shared" ca="1" si="2"/>
        <v>0.5877102793516068</v>
      </c>
      <c r="I23">
        <f t="shared" ca="1" si="3"/>
        <v>198.23209748850508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11286</v>
      </c>
      <c r="B26" s="66">
        <v>11286</v>
      </c>
      <c r="D26">
        <f t="shared" si="0"/>
        <v>4.1148032288408111E-2</v>
      </c>
      <c r="E26">
        <f t="shared" si="0"/>
        <v>4.1148032288408111E-2</v>
      </c>
      <c r="G26">
        <f t="shared" ca="1" si="1"/>
        <v>24</v>
      </c>
      <c r="H26">
        <f t="shared" ca="1" si="2"/>
        <v>0.98755277492179472</v>
      </c>
      <c r="I26">
        <f t="shared" ca="1" si="3"/>
        <v>271.05184274859488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16475</v>
      </c>
      <c r="B28" s="66">
        <v>16475</v>
      </c>
      <c r="D28">
        <f t="shared" si="0"/>
        <v>6.0066793545235128E-2</v>
      </c>
      <c r="E28">
        <f t="shared" si="0"/>
        <v>6.0066793545235128E-2</v>
      </c>
      <c r="G28">
        <f t="shared" ca="1" si="1"/>
        <v>26</v>
      </c>
      <c r="H28">
        <f t="shared" ca="1" si="2"/>
        <v>1.5617366321761132</v>
      </c>
      <c r="I28">
        <f t="shared" ca="1" si="3"/>
        <v>376.41395972351967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18996</v>
      </c>
      <c r="B31" s="66">
        <v>18996</v>
      </c>
      <c r="D31">
        <f t="shared" si="0"/>
        <v>6.9258197886815573E-2</v>
      </c>
      <c r="E31">
        <f t="shared" si="0"/>
        <v>6.9258197886815573E-2</v>
      </c>
      <c r="G31">
        <f t="shared" ca="1" si="1"/>
        <v>29</v>
      </c>
      <c r="H31">
        <f t="shared" ca="1" si="2"/>
        <v>2.0084877387176516</v>
      </c>
      <c r="I31">
        <f t="shared" ca="1" si="3"/>
        <v>401.74042502200217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23989</v>
      </c>
      <c r="B33" s="66">
        <v>23989</v>
      </c>
      <c r="D33">
        <f t="shared" si="0"/>
        <v>8.7462355712087742E-2</v>
      </c>
      <c r="E33">
        <f t="shared" si="0"/>
        <v>8.7462355712087742E-2</v>
      </c>
      <c r="G33">
        <f t="shared" ca="1" si="1"/>
        <v>31</v>
      </c>
      <c r="H33">
        <f t="shared" ca="1" si="2"/>
        <v>2.71133302707472</v>
      </c>
      <c r="I33">
        <f t="shared" ca="1" si="3"/>
        <v>481.04049970411916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32648</v>
      </c>
      <c r="B36" s="66">
        <v>32648</v>
      </c>
      <c r="D36">
        <f t="shared" si="0"/>
        <v>0.11903251445613575</v>
      </c>
      <c r="E36">
        <f t="shared" si="0"/>
        <v>0.11903251445613575</v>
      </c>
      <c r="G36">
        <f t="shared" ca="1" si="1"/>
        <v>34</v>
      </c>
      <c r="H36">
        <f t="shared" ca="1" si="2"/>
        <v>4.0471054915086153</v>
      </c>
      <c r="I36">
        <f t="shared" ca="1" si="3"/>
        <v>602.78078869182184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43662</v>
      </c>
      <c r="B39" s="66">
        <v>43662</v>
      </c>
      <c r="D39">
        <f t="shared" si="0"/>
        <v>0.15918885218646775</v>
      </c>
      <c r="E39">
        <f t="shared" si="0"/>
        <v>0.15918885218646775</v>
      </c>
      <c r="G39">
        <f t="shared" ca="1" si="1"/>
        <v>37</v>
      </c>
      <c r="H39">
        <f t="shared" ca="1" si="2"/>
        <v>5.8899875308993064</v>
      </c>
      <c r="I39">
        <f t="shared" ca="1" si="3"/>
        <v>739.59624106760691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51780</v>
      </c>
      <c r="B41" s="66">
        <v>51780</v>
      </c>
      <c r="D41">
        <f t="shared" si="0"/>
        <v>0.18878655962198937</v>
      </c>
      <c r="E41">
        <f t="shared" si="0"/>
        <v>0.18878655962198937</v>
      </c>
      <c r="G41">
        <f t="shared" ca="1" si="1"/>
        <v>39</v>
      </c>
      <c r="H41">
        <f t="shared" ca="1" si="2"/>
        <v>7.3626758252575852</v>
      </c>
      <c r="I41">
        <f t="shared" ca="1" si="3"/>
        <v>826.39111131585821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69714</v>
      </c>
      <c r="B44" s="66">
        <v>69714</v>
      </c>
      <c r="D44">
        <f t="shared" si="0"/>
        <v>0.25417277360925777</v>
      </c>
      <c r="E44">
        <f t="shared" si="0"/>
        <v>0.25417277360925777</v>
      </c>
      <c r="G44">
        <f t="shared" ca="1" si="1"/>
        <v>42</v>
      </c>
      <c r="H44">
        <f t="shared" ca="1" si="2"/>
        <v>10.675256491588826</v>
      </c>
      <c r="I44">
        <f t="shared" ca="1" si="3"/>
        <v>1014.000017394366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73403</v>
      </c>
      <c r="B46" s="66">
        <v>73403</v>
      </c>
      <c r="D46">
        <f t="shared" si="0"/>
        <v>0.26762263105316503</v>
      </c>
      <c r="E46">
        <f t="shared" si="0"/>
        <v>0.26762263105316503</v>
      </c>
      <c r="G46">
        <f t="shared" ca="1" si="1"/>
        <v>44</v>
      </c>
      <c r="H46">
        <f t="shared" ca="1" si="2"/>
        <v>11.775395766339262</v>
      </c>
      <c r="I46">
        <f t="shared" ca="1" si="3"/>
        <v>1001.1134325511057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74469</v>
      </c>
      <c r="B49" s="66">
        <v>74469</v>
      </c>
      <c r="D49">
        <f t="shared" si="0"/>
        <v>0.27150919869621332</v>
      </c>
      <c r="E49">
        <f t="shared" si="0"/>
        <v>0.27150919869621332</v>
      </c>
      <c r="G49">
        <f t="shared" ca="1" si="1"/>
        <v>47</v>
      </c>
      <c r="H49">
        <f t="shared" ca="1" si="2"/>
        <v>12.760932338722025</v>
      </c>
      <c r="I49">
        <f t="shared" ca="1" si="3"/>
        <v>918.4598119201612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81802</v>
      </c>
      <c r="B51" s="66">
        <v>81802</v>
      </c>
      <c r="D51">
        <f t="shared" si="0"/>
        <v>0.29824484646964028</v>
      </c>
      <c r="E51">
        <f t="shared" si="0"/>
        <v>0.29824484646964028</v>
      </c>
      <c r="G51">
        <f t="shared" ca="1" si="1"/>
        <v>49</v>
      </c>
      <c r="H51">
        <f t="shared" ca="1" si="2"/>
        <v>14.613997477012374</v>
      </c>
      <c r="I51">
        <f t="shared" ca="1" si="3"/>
        <v>940.70816928108502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86750</v>
      </c>
      <c r="B54" s="66">
        <v>86750</v>
      </c>
      <c r="D54">
        <f t="shared" si="0"/>
        <v>0.31628493718052486</v>
      </c>
      <c r="E54">
        <f t="shared" si="0"/>
        <v>0.31628493718052486</v>
      </c>
      <c r="G54">
        <f t="shared" ca="1" si="1"/>
        <v>52</v>
      </c>
      <c r="H54">
        <f t="shared" ca="1" si="2"/>
        <v>16.446816733387294</v>
      </c>
      <c r="I54">
        <f t="shared" ca="1" si="3"/>
        <v>893.87705687977757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95359</v>
      </c>
      <c r="B57" s="66">
        <v>95359</v>
      </c>
      <c r="D57">
        <f t="shared" si="0"/>
        <v>0.3476727991308089</v>
      </c>
      <c r="E57">
        <f t="shared" si="0"/>
        <v>0.3476727991308089</v>
      </c>
      <c r="G57">
        <f t="shared" ca="1" si="1"/>
        <v>55</v>
      </c>
      <c r="H57">
        <f t="shared" ca="1" si="2"/>
        <v>19.12200395219449</v>
      </c>
      <c r="I57">
        <f t="shared" ca="1" si="3"/>
        <v>874.81628843096587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103427</v>
      </c>
      <c r="B59" s="66">
        <v>103427</v>
      </c>
      <c r="D59">
        <f t="shared" si="0"/>
        <v>0.37708820977256652</v>
      </c>
      <c r="E59">
        <f t="shared" si="0"/>
        <v>0.37708820977256652</v>
      </c>
      <c r="G59">
        <f t="shared" ca="1" si="1"/>
        <v>57</v>
      </c>
      <c r="H59">
        <f t="shared" ca="1" si="2"/>
        <v>21.494027957036291</v>
      </c>
      <c r="I59">
        <f t="shared" ca="1" si="3"/>
        <v>874.67817935001904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115979</v>
      </c>
      <c r="B62" s="66">
        <v>115979</v>
      </c>
      <c r="D62">
        <f t="shared" si="0"/>
        <v>0.42285199687907887</v>
      </c>
      <c r="E62">
        <f t="shared" si="0"/>
        <v>0.42285199687907887</v>
      </c>
      <c r="G62">
        <f t="shared" ca="1" si="1"/>
        <v>60</v>
      </c>
      <c r="H62">
        <f t="shared" ca="1" si="2"/>
        <v>25.371119812744734</v>
      </c>
      <c r="I62">
        <f t="shared" ca="1" si="3"/>
        <v>862.44376238220377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124941</v>
      </c>
      <c r="B64" s="66">
        <v>124941</v>
      </c>
      <c r="D64">
        <f t="shared" si="0"/>
        <v>0.45552687419333671</v>
      </c>
      <c r="E64">
        <f t="shared" si="0"/>
        <v>0.45552687419333671</v>
      </c>
      <c r="G64">
        <f t="shared" ca="1" si="1"/>
        <v>62</v>
      </c>
      <c r="H64">
        <f t="shared" ca="1" si="2"/>
        <v>28.242666199986875</v>
      </c>
      <c r="I64">
        <f t="shared" ca="1" si="3"/>
        <v>848.61950397363148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128101</v>
      </c>
      <c r="B67" s="66">
        <v>128101</v>
      </c>
      <c r="D67">
        <f t="shared" ref="D67:E130" si="4">IFERROR( A67/MAX(A$2:A$257), 0 )</f>
        <v>0.46704803155922092</v>
      </c>
      <c r="E67">
        <f t="shared" si="4"/>
        <v>0.46704803155922092</v>
      </c>
      <c r="G67">
        <f t="shared" ref="G67:G130" ca="1" si="5">CELL("row",D67)-2</f>
        <v>65</v>
      </c>
      <c r="H67">
        <f t="shared" ref="H67:H130" ca="1" si="6">D67*G67</f>
        <v>30.358122051349358</v>
      </c>
      <c r="I67">
        <f t="shared" ref="I67:I130" ca="1" si="7">D67*((G67-$L$1)^2)</f>
        <v>753.33437821343841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137565</v>
      </c>
      <c r="B69" s="66">
        <v>137565</v>
      </c>
      <c r="D69">
        <f t="shared" si="4"/>
        <v>0.50155316868286925</v>
      </c>
      <c r="E69">
        <f t="shared" si="4"/>
        <v>0.50155316868286925</v>
      </c>
      <c r="G69">
        <f t="shared" ca="1" si="5"/>
        <v>67</v>
      </c>
      <c r="H69">
        <f t="shared" ca="1" si="6"/>
        <v>33.604062301752244</v>
      </c>
      <c r="I69">
        <f t="shared" ca="1" si="7"/>
        <v>730.42323245203545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140599</v>
      </c>
      <c r="B72" s="66">
        <v>140599</v>
      </c>
      <c r="D72">
        <f t="shared" si="4"/>
        <v>0.51261493812846814</v>
      </c>
      <c r="E72">
        <f t="shared" si="4"/>
        <v>0.51261493812846814</v>
      </c>
      <c r="G72">
        <f t="shared" ca="1" si="5"/>
        <v>70</v>
      </c>
      <c r="H72">
        <f t="shared" ca="1" si="6"/>
        <v>35.883045668992771</v>
      </c>
      <c r="I72">
        <f t="shared" ca="1" si="7"/>
        <v>633.77243350475624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155086</v>
      </c>
      <c r="B75" s="66">
        <v>155086</v>
      </c>
      <c r="D75">
        <f t="shared" si="4"/>
        <v>0.56543361115364699</v>
      </c>
      <c r="E75">
        <f t="shared" si="4"/>
        <v>0.56543361115364699</v>
      </c>
      <c r="G75">
        <f t="shared" ca="1" si="5"/>
        <v>73</v>
      </c>
      <c r="H75">
        <f t="shared" ca="1" si="6"/>
        <v>41.276653614216229</v>
      </c>
      <c r="I75">
        <f t="shared" ca="1" si="7"/>
        <v>584.87383476306172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171257</v>
      </c>
      <c r="B77" s="66">
        <v>171257</v>
      </c>
      <c r="D77">
        <f t="shared" si="4"/>
        <v>0.62439204019279704</v>
      </c>
      <c r="E77">
        <f t="shared" si="4"/>
        <v>0.62439204019279704</v>
      </c>
      <c r="G77">
        <f t="shared" ca="1" si="5"/>
        <v>75</v>
      </c>
      <c r="H77">
        <f t="shared" ca="1" si="6"/>
        <v>46.829403014459778</v>
      </c>
      <c r="I77">
        <f t="shared" ca="1" si="7"/>
        <v>568.03061056618549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180033</v>
      </c>
      <c r="B80" s="66">
        <v>180033</v>
      </c>
      <c r="D80">
        <f t="shared" si="4"/>
        <v>0.65638877343425284</v>
      </c>
      <c r="E80">
        <f t="shared" si="4"/>
        <v>0.65638877343425284</v>
      </c>
      <c r="G80">
        <f t="shared" ca="1" si="5"/>
        <v>78</v>
      </c>
      <c r="H80">
        <f t="shared" ca="1" si="6"/>
        <v>51.198324327871724</v>
      </c>
      <c r="I80">
        <f t="shared" ca="1" si="7"/>
        <v>484.25943898610637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186907</v>
      </c>
      <c r="B82" s="66">
        <v>186907</v>
      </c>
      <c r="D82">
        <f t="shared" si="4"/>
        <v>0.68145093664092637</v>
      </c>
      <c r="E82">
        <f t="shared" si="4"/>
        <v>0.68145093664092637</v>
      </c>
      <c r="G82">
        <f t="shared" ca="1" si="5"/>
        <v>80</v>
      </c>
      <c r="H82">
        <f t="shared" ca="1" si="6"/>
        <v>54.516074931274112</v>
      </c>
      <c r="I82">
        <f t="shared" ca="1" si="7"/>
        <v>431.43745889253563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201139</v>
      </c>
      <c r="B85" s="66">
        <v>201139</v>
      </c>
      <c r="D85">
        <f t="shared" si="4"/>
        <v>0.73333989601790883</v>
      </c>
      <c r="E85">
        <f t="shared" si="4"/>
        <v>0.73333989601790883</v>
      </c>
      <c r="G85">
        <f t="shared" ca="1" si="5"/>
        <v>83</v>
      </c>
      <c r="H85">
        <f t="shared" ca="1" si="6"/>
        <v>60.867211369486434</v>
      </c>
      <c r="I85">
        <f t="shared" ca="1" si="7"/>
        <v>360.17635494505862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215234</v>
      </c>
      <c r="B88" s="66">
        <v>215234</v>
      </c>
      <c r="D88">
        <f t="shared" si="4"/>
        <v>0.78472936217997802</v>
      </c>
      <c r="E88">
        <f t="shared" si="4"/>
        <v>0.78472936217997802</v>
      </c>
      <c r="G88">
        <f t="shared" ca="1" si="5"/>
        <v>86</v>
      </c>
      <c r="H88">
        <f t="shared" ca="1" si="6"/>
        <v>67.486725147478111</v>
      </c>
      <c r="I88">
        <f t="shared" ca="1" si="7"/>
        <v>288.13253792649346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231432</v>
      </c>
      <c r="B90" s="66">
        <v>231432</v>
      </c>
      <c r="D90">
        <f t="shared" si="4"/>
        <v>0.84378623148776055</v>
      </c>
      <c r="E90">
        <f t="shared" si="4"/>
        <v>0.84378623148776055</v>
      </c>
      <c r="G90">
        <f t="shared" ca="1" si="5"/>
        <v>88</v>
      </c>
      <c r="H90">
        <f t="shared" ca="1" si="6"/>
        <v>74.253188370922928</v>
      </c>
      <c r="I90">
        <f t="shared" ca="1" si="7"/>
        <v>248.51801695745738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227765</v>
      </c>
      <c r="B93" s="66">
        <v>227765</v>
      </c>
      <c r="D93">
        <f t="shared" si="4"/>
        <v>0.83041658463310952</v>
      </c>
      <c r="E93">
        <f t="shared" si="4"/>
        <v>0.83041658463310952</v>
      </c>
      <c r="G93">
        <f t="shared" ca="1" si="5"/>
        <v>91</v>
      </c>
      <c r="H93">
        <f t="shared" ca="1" si="6"/>
        <v>75.567909201612963</v>
      </c>
      <c r="I93">
        <f t="shared" ca="1" si="7"/>
        <v>166.54540362433565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253232</v>
      </c>
      <c r="B95" s="66">
        <v>253232</v>
      </c>
      <c r="D95">
        <f t="shared" si="4"/>
        <v>0.92326763356886077</v>
      </c>
      <c r="E95">
        <f t="shared" si="4"/>
        <v>0.92326763356886077</v>
      </c>
      <c r="G95">
        <f t="shared" ca="1" si="5"/>
        <v>93</v>
      </c>
      <c r="H95">
        <f t="shared" ca="1" si="6"/>
        <v>85.863889921904047</v>
      </c>
      <c r="I95">
        <f t="shared" ca="1" si="7"/>
        <v>136.55984140825075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242790</v>
      </c>
      <c r="B98" s="66">
        <v>242790</v>
      </c>
      <c r="D98">
        <f t="shared" si="4"/>
        <v>0.88519677115918882</v>
      </c>
      <c r="E98">
        <f t="shared" si="4"/>
        <v>0.88519677115918882</v>
      </c>
      <c r="G98">
        <f t="shared" ca="1" si="5"/>
        <v>96</v>
      </c>
      <c r="H98">
        <f t="shared" ca="1" si="6"/>
        <v>84.978890031282134</v>
      </c>
      <c r="I98">
        <f t="shared" ca="1" si="7"/>
        <v>74.302086265466912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260520</v>
      </c>
      <c r="B100" s="66">
        <v>260520</v>
      </c>
      <c r="D100">
        <f t="shared" si="4"/>
        <v>0.94983921422790019</v>
      </c>
      <c r="E100">
        <f t="shared" si="4"/>
        <v>0.94983921422790019</v>
      </c>
      <c r="G100">
        <f t="shared" ca="1" si="5"/>
        <v>98</v>
      </c>
      <c r="H100">
        <f t="shared" ca="1" si="6"/>
        <v>93.084242994334218</v>
      </c>
      <c r="I100">
        <f t="shared" ca="1" si="7"/>
        <v>48.718502077694325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240306</v>
      </c>
      <c r="B103" s="66">
        <v>240306</v>
      </c>
      <c r="D103">
        <f t="shared" si="4"/>
        <v>0.87614026644499376</v>
      </c>
      <c r="E103">
        <f t="shared" si="4"/>
        <v>0.87614026644499376</v>
      </c>
      <c r="G103">
        <f t="shared" ca="1" si="5"/>
        <v>101</v>
      </c>
      <c r="H103">
        <f t="shared" ca="1" si="6"/>
        <v>88.490166910944367</v>
      </c>
      <c r="I103">
        <f t="shared" ca="1" si="7"/>
        <v>15.1752240648858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255642</v>
      </c>
      <c r="B106" s="66">
        <v>255642</v>
      </c>
      <c r="D106">
        <f t="shared" si="4"/>
        <v>0.93205433902828516</v>
      </c>
      <c r="E106">
        <f t="shared" si="4"/>
        <v>0.93205433902828516</v>
      </c>
      <c r="G106">
        <f t="shared" ca="1" si="5"/>
        <v>104</v>
      </c>
      <c r="H106">
        <f t="shared" ca="1" si="6"/>
        <v>96.933651258941651</v>
      </c>
      <c r="I106">
        <f t="shared" ca="1" si="7"/>
        <v>1.2580578431624247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260886</v>
      </c>
      <c r="B108" s="66">
        <v>260886</v>
      </c>
      <c r="D108">
        <f t="shared" si="4"/>
        <v>0.95117362675825257</v>
      </c>
      <c r="E108">
        <f t="shared" si="4"/>
        <v>0.95117362675825257</v>
      </c>
      <c r="G108">
        <f t="shared" ca="1" si="5"/>
        <v>106</v>
      </c>
      <c r="H108">
        <f t="shared" ca="1" si="6"/>
        <v>100.82440443637478</v>
      </c>
      <c r="I108">
        <f t="shared" ca="1" si="7"/>
        <v>0.66828202552391669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274278</v>
      </c>
      <c r="B111" s="66">
        <v>274278</v>
      </c>
      <c r="D111">
        <f t="shared" si="4"/>
        <v>1</v>
      </c>
      <c r="E111">
        <f t="shared" si="4"/>
        <v>1</v>
      </c>
      <c r="G111">
        <f t="shared" ca="1" si="5"/>
        <v>109</v>
      </c>
      <c r="H111">
        <f t="shared" ca="1" si="6"/>
        <v>109</v>
      </c>
      <c r="I111">
        <f t="shared" ca="1" si="7"/>
        <v>14.731813813885458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262726</v>
      </c>
      <c r="B113" s="66">
        <v>262726</v>
      </c>
      <c r="D113">
        <f t="shared" si="4"/>
        <v>0.95788214876876743</v>
      </c>
      <c r="E113">
        <f t="shared" si="4"/>
        <v>0.95788214876876743</v>
      </c>
      <c r="G113">
        <f t="shared" ca="1" si="5"/>
        <v>111</v>
      </c>
      <c r="H113">
        <f t="shared" ca="1" si="6"/>
        <v>106.32491851333319</v>
      </c>
      <c r="I113">
        <f t="shared" ca="1" si="7"/>
        <v>32.649060376883348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269146</v>
      </c>
      <c r="B116" s="66">
        <v>269146</v>
      </c>
      <c r="D116">
        <f t="shared" si="4"/>
        <v>0.98128905708806391</v>
      </c>
      <c r="E116">
        <f t="shared" si="4"/>
        <v>0.98128905708806391</v>
      </c>
      <c r="G116">
        <f t="shared" ca="1" si="5"/>
        <v>114</v>
      </c>
      <c r="H116">
        <f t="shared" ca="1" si="6"/>
        <v>111.86695250803929</v>
      </c>
      <c r="I116">
        <f t="shared" ca="1" si="7"/>
        <v>76.652274899420689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260089</v>
      </c>
      <c r="B118" s="66">
        <v>260089</v>
      </c>
      <c r="D118">
        <f t="shared" si="4"/>
        <v>0.94826781586565456</v>
      </c>
      <c r="E118">
        <f t="shared" si="4"/>
        <v>0.94826781586565456</v>
      </c>
      <c r="G118">
        <f t="shared" ca="1" si="5"/>
        <v>116</v>
      </c>
      <c r="H118">
        <f t="shared" ca="1" si="6"/>
        <v>109.99906664041593</v>
      </c>
      <c r="I118">
        <f t="shared" ca="1" si="7"/>
        <v>111.38986911129531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249304</v>
      </c>
      <c r="B121" s="66">
        <v>249304</v>
      </c>
      <c r="D121">
        <f t="shared" si="4"/>
        <v>0.90894639745076167</v>
      </c>
      <c r="E121">
        <f t="shared" si="4"/>
        <v>0.90894639745076167</v>
      </c>
      <c r="G121">
        <f t="shared" ca="1" si="5"/>
        <v>119</v>
      </c>
      <c r="H121">
        <f t="shared" ca="1" si="6"/>
        <v>108.16462129664063</v>
      </c>
      <c r="I121">
        <f t="shared" ca="1" si="7"/>
        <v>174.05951196940782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262287</v>
      </c>
      <c r="B124" s="66">
        <v>262287</v>
      </c>
      <c r="D124">
        <f t="shared" si="4"/>
        <v>0.95628158291951959</v>
      </c>
      <c r="E124">
        <f t="shared" si="4"/>
        <v>0.95628158291951959</v>
      </c>
      <c r="G124">
        <f t="shared" ca="1" si="5"/>
        <v>122</v>
      </c>
      <c r="H124">
        <f t="shared" ca="1" si="6"/>
        <v>116.66635311618138</v>
      </c>
      <c r="I124">
        <f t="shared" ca="1" si="7"/>
        <v>271.12986098954519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250111</v>
      </c>
      <c r="B126" s="66">
        <v>250111</v>
      </c>
      <c r="D126">
        <f t="shared" si="4"/>
        <v>0.91188866770211241</v>
      </c>
      <c r="E126">
        <f t="shared" si="4"/>
        <v>0.91188866770211241</v>
      </c>
      <c r="G126">
        <f t="shared" ca="1" si="5"/>
        <v>124</v>
      </c>
      <c r="H126">
        <f t="shared" ca="1" si="6"/>
        <v>113.07419479506194</v>
      </c>
      <c r="I126">
        <f t="shared" ca="1" si="7"/>
        <v>323.60918004789676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237941</v>
      </c>
      <c r="B129" s="66">
        <v>237941</v>
      </c>
      <c r="D129">
        <f t="shared" si="4"/>
        <v>0.86751762809995703</v>
      </c>
      <c r="E129">
        <f t="shared" si="4"/>
        <v>0.86751762809995703</v>
      </c>
      <c r="G129">
        <f t="shared" ca="1" si="5"/>
        <v>127</v>
      </c>
      <c r="H129">
        <f t="shared" ca="1" si="6"/>
        <v>110.17473876869454</v>
      </c>
      <c r="I129">
        <f t="shared" ca="1" si="7"/>
        <v>413.72538210822813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235744</v>
      </c>
      <c r="B131" s="66">
        <v>235744</v>
      </c>
      <c r="D131">
        <f t="shared" ref="D131:E194" si="8">IFERROR( A131/MAX(A$2:A$257), 0 )</f>
        <v>0.85950750698196721</v>
      </c>
      <c r="E131">
        <f t="shared" si="8"/>
        <v>0.85950750698196721</v>
      </c>
      <c r="G131">
        <f t="shared" ref="G131:G194" ca="1" si="9">CELL("row",D131)-2</f>
        <v>129</v>
      </c>
      <c r="H131">
        <f t="shared" ref="H131:H194" ca="1" si="10">D131*G131</f>
        <v>110.87646840067377</v>
      </c>
      <c r="I131">
        <f t="shared" ref="I131:I194" ca="1" si="11">D131*((G131-$L$1)^2)</f>
        <v>488.42373073521367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232230</v>
      </c>
      <c r="B134" s="66">
        <v>232230</v>
      </c>
      <c r="D134">
        <f t="shared" si="8"/>
        <v>0.84669568831623387</v>
      </c>
      <c r="E134">
        <f t="shared" si="8"/>
        <v>0.84669568831623387</v>
      </c>
      <c r="G134">
        <f t="shared" ca="1" si="9"/>
        <v>132</v>
      </c>
      <c r="H134">
        <f t="shared" ca="1" si="10"/>
        <v>111.76383085774287</v>
      </c>
      <c r="I134">
        <f t="shared" ca="1" si="11"/>
        <v>609.86577775631918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216514</v>
      </c>
      <c r="B136" s="66">
        <v>216514</v>
      </c>
      <c r="D136">
        <f t="shared" si="8"/>
        <v>0.7893961601003362</v>
      </c>
      <c r="E136">
        <f t="shared" si="8"/>
        <v>0.7893961601003362</v>
      </c>
      <c r="G136">
        <f t="shared" ca="1" si="9"/>
        <v>134</v>
      </c>
      <c r="H136">
        <f t="shared" ca="1" si="10"/>
        <v>105.77908545344505</v>
      </c>
      <c r="I136">
        <f t="shared" ca="1" si="11"/>
        <v>656.49503217228232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201460</v>
      </c>
      <c r="B139" s="66">
        <v>201460</v>
      </c>
      <c r="D139">
        <f t="shared" si="8"/>
        <v>0.73451024143387367</v>
      </c>
      <c r="E139">
        <f t="shared" si="8"/>
        <v>0.73451024143387367</v>
      </c>
      <c r="G139">
        <f t="shared" ca="1" si="9"/>
        <v>137</v>
      </c>
      <c r="H139">
        <f t="shared" ca="1" si="10"/>
        <v>100.62790307644069</v>
      </c>
      <c r="I139">
        <f t="shared" ca="1" si="11"/>
        <v>744.55192634863602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207243</v>
      </c>
      <c r="B142" s="66">
        <v>207243</v>
      </c>
      <c r="D142">
        <f t="shared" si="8"/>
        <v>0.75559468860061685</v>
      </c>
      <c r="E142">
        <f t="shared" si="8"/>
        <v>0.75559468860061685</v>
      </c>
      <c r="G142">
        <f t="shared" ca="1" si="9"/>
        <v>140</v>
      </c>
      <c r="H142">
        <f t="shared" ca="1" si="10"/>
        <v>105.78325640408636</v>
      </c>
      <c r="I142">
        <f t="shared" ca="1" si="11"/>
        <v>917.06564610560213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183145</v>
      </c>
      <c r="B144" s="66">
        <v>183145</v>
      </c>
      <c r="D144">
        <f t="shared" si="8"/>
        <v>0.66773492587812366</v>
      </c>
      <c r="E144">
        <f t="shared" si="8"/>
        <v>0.66773492587812366</v>
      </c>
      <c r="G144">
        <f t="shared" ca="1" si="9"/>
        <v>142</v>
      </c>
      <c r="H144">
        <f t="shared" ca="1" si="10"/>
        <v>94.818359474693565</v>
      </c>
      <c r="I144">
        <f t="shared" ca="1" si="11"/>
        <v>906.15189208157744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159992</v>
      </c>
      <c r="B147" s="66">
        <v>159992</v>
      </c>
      <c r="D147">
        <f t="shared" si="8"/>
        <v>0.58332057255776981</v>
      </c>
      <c r="E147">
        <f t="shared" si="8"/>
        <v>0.58332057255776981</v>
      </c>
      <c r="G147">
        <f t="shared" ca="1" si="9"/>
        <v>145</v>
      </c>
      <c r="H147">
        <f t="shared" ca="1" si="10"/>
        <v>84.581483020876618</v>
      </c>
      <c r="I147">
        <f t="shared" ca="1" si="11"/>
        <v>925.77789481852642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140820</v>
      </c>
      <c r="B149" s="66">
        <v>140820</v>
      </c>
      <c r="D149">
        <f t="shared" si="8"/>
        <v>0.51342068995690504</v>
      </c>
      <c r="E149">
        <f t="shared" si="8"/>
        <v>0.51342068995690504</v>
      </c>
      <c r="G149">
        <f t="shared" ca="1" si="9"/>
        <v>147</v>
      </c>
      <c r="H149">
        <f t="shared" ca="1" si="10"/>
        <v>75.472841423665045</v>
      </c>
      <c r="I149">
        <f t="shared" ca="1" si="11"/>
        <v>898.70972825975014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123905</v>
      </c>
      <c r="B152" s="66">
        <v>123905</v>
      </c>
      <c r="D152">
        <f t="shared" si="8"/>
        <v>0.4517496846265468</v>
      </c>
      <c r="E152">
        <f t="shared" si="8"/>
        <v>0.4517496846265468</v>
      </c>
      <c r="G152">
        <f t="shared" ca="1" si="9"/>
        <v>150</v>
      </c>
      <c r="H152">
        <f t="shared" ca="1" si="10"/>
        <v>67.762452693982013</v>
      </c>
      <c r="I152">
        <f t="shared" ca="1" si="11"/>
        <v>908.2267413840982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95297</v>
      </c>
      <c r="B154" s="66">
        <v>95297</v>
      </c>
      <c r="D154">
        <f t="shared" si="8"/>
        <v>0.34744675110654155</v>
      </c>
      <c r="E154">
        <f t="shared" si="8"/>
        <v>0.34744675110654155</v>
      </c>
      <c r="G154">
        <f t="shared" ca="1" si="9"/>
        <v>152</v>
      </c>
      <c r="H154">
        <f t="shared" ca="1" si="10"/>
        <v>52.811906168194312</v>
      </c>
      <c r="I154">
        <f t="shared" ca="1" si="11"/>
        <v>762.23472855081081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83652</v>
      </c>
      <c r="B157" s="66">
        <v>83652</v>
      </c>
      <c r="D157">
        <f t="shared" si="8"/>
        <v>0.30498982783890799</v>
      </c>
      <c r="E157">
        <f t="shared" si="8"/>
        <v>0.30498982783890799</v>
      </c>
      <c r="G157">
        <f t="shared" ca="1" si="9"/>
        <v>155</v>
      </c>
      <c r="H157">
        <f t="shared" ca="1" si="10"/>
        <v>47.27342331503074</v>
      </c>
      <c r="I157">
        <f t="shared" ca="1" si="11"/>
        <v>757.54795550510437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69341</v>
      </c>
      <c r="B160" s="66">
        <v>69341</v>
      </c>
      <c r="D160">
        <f t="shared" si="8"/>
        <v>0.25281283952777839</v>
      </c>
      <c r="E160">
        <f t="shared" si="8"/>
        <v>0.25281283952777839</v>
      </c>
      <c r="G160">
        <f t="shared" ca="1" si="9"/>
        <v>158</v>
      </c>
      <c r="H160">
        <f t="shared" ca="1" si="10"/>
        <v>39.944428645388989</v>
      </c>
      <c r="I160">
        <f t="shared" ca="1" si="11"/>
        <v>705.82206256157758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62153</v>
      </c>
      <c r="B162" s="66">
        <v>62153</v>
      </c>
      <c r="D162">
        <f t="shared" si="8"/>
        <v>0.22660585245626699</v>
      </c>
      <c r="E162">
        <f t="shared" si="8"/>
        <v>0.22660585245626699</v>
      </c>
      <c r="G162">
        <f t="shared" ca="1" si="9"/>
        <v>160</v>
      </c>
      <c r="H162">
        <f t="shared" ca="1" si="10"/>
        <v>36.256936393002718</v>
      </c>
      <c r="I162">
        <f t="shared" ca="1" si="11"/>
        <v>681.45561702444581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48805</v>
      </c>
      <c r="B165" s="66">
        <v>48805</v>
      </c>
      <c r="D165">
        <f t="shared" si="8"/>
        <v>0.1779399003930319</v>
      </c>
      <c r="E165">
        <f t="shared" si="8"/>
        <v>0.1779399003930319</v>
      </c>
      <c r="G165">
        <f t="shared" ca="1" si="9"/>
        <v>163</v>
      </c>
      <c r="H165">
        <f t="shared" ca="1" si="10"/>
        <v>29.004203764064201</v>
      </c>
      <c r="I165">
        <f t="shared" ca="1" si="11"/>
        <v>595.2548575571526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45006</v>
      </c>
      <c r="B167" s="66">
        <v>45006</v>
      </c>
      <c r="D167">
        <f t="shared" si="8"/>
        <v>0.16408899000284383</v>
      </c>
      <c r="E167">
        <f t="shared" si="8"/>
        <v>0.16408899000284383</v>
      </c>
      <c r="G167">
        <f t="shared" ca="1" si="9"/>
        <v>165</v>
      </c>
      <c r="H167">
        <f t="shared" ca="1" si="10"/>
        <v>27.074683350469233</v>
      </c>
      <c r="I167">
        <f t="shared" ca="1" si="11"/>
        <v>587.53879635141675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42037</v>
      </c>
      <c r="B170" s="66">
        <v>42037</v>
      </c>
      <c r="D170">
        <f t="shared" si="8"/>
        <v>0.15326420638913804</v>
      </c>
      <c r="E170">
        <f t="shared" si="8"/>
        <v>0.15326420638913804</v>
      </c>
      <c r="G170">
        <f t="shared" ca="1" si="9"/>
        <v>168</v>
      </c>
      <c r="H170">
        <f t="shared" ca="1" si="10"/>
        <v>25.74838667337519</v>
      </c>
      <c r="I170">
        <f t="shared" ca="1" si="11"/>
        <v>605.18516752918185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38044</v>
      </c>
      <c r="B173" s="66">
        <v>38044</v>
      </c>
      <c r="D173">
        <f t="shared" si="8"/>
        <v>0.1387059844391457</v>
      </c>
      <c r="E173">
        <f t="shared" si="8"/>
        <v>0.1387059844391457</v>
      </c>
      <c r="G173">
        <f t="shared" ca="1" si="9"/>
        <v>171</v>
      </c>
      <c r="H173">
        <f t="shared" ca="1" si="10"/>
        <v>23.718723339093913</v>
      </c>
      <c r="I173">
        <f t="shared" ca="1" si="11"/>
        <v>601.24455476182459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28842</v>
      </c>
      <c r="B175" s="66">
        <v>28842</v>
      </c>
      <c r="D175">
        <f t="shared" si="8"/>
        <v>0.10515608251482073</v>
      </c>
      <c r="E175">
        <f t="shared" si="8"/>
        <v>0.10515608251482073</v>
      </c>
      <c r="G175">
        <f t="shared" ca="1" si="9"/>
        <v>173</v>
      </c>
      <c r="H175">
        <f t="shared" ca="1" si="10"/>
        <v>18.192002275063984</v>
      </c>
      <c r="I175">
        <f t="shared" ca="1" si="11"/>
        <v>483.93060414860537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22466</v>
      </c>
      <c r="B178" s="66">
        <v>22466</v>
      </c>
      <c r="D178">
        <f t="shared" si="8"/>
        <v>8.1909595374036567E-2</v>
      </c>
      <c r="E178">
        <f t="shared" si="8"/>
        <v>8.1909595374036567E-2</v>
      </c>
      <c r="G178">
        <f t="shared" ca="1" si="9"/>
        <v>176</v>
      </c>
      <c r="H178">
        <f t="shared" ca="1" si="10"/>
        <v>14.416088785830436</v>
      </c>
      <c r="I178">
        <f t="shared" ca="1" si="11"/>
        <v>411.02654477840503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17333</v>
      </c>
      <c r="B180" s="66">
        <v>17333</v>
      </c>
      <c r="D180">
        <f t="shared" si="8"/>
        <v>6.3195006526225214E-2</v>
      </c>
      <c r="E180">
        <f t="shared" si="8"/>
        <v>6.3195006526225214E-2</v>
      </c>
      <c r="G180">
        <f t="shared" ca="1" si="9"/>
        <v>178</v>
      </c>
      <c r="H180">
        <f t="shared" ca="1" si="10"/>
        <v>11.248711161668089</v>
      </c>
      <c r="I180">
        <f t="shared" ca="1" si="11"/>
        <v>335.27504263848112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15467</v>
      </c>
      <c r="B183" s="66">
        <v>15467</v>
      </c>
      <c r="D183">
        <f t="shared" si="8"/>
        <v>5.6391690182953064E-2</v>
      </c>
      <c r="E183">
        <f t="shared" si="8"/>
        <v>5.6391690182953064E-2</v>
      </c>
      <c r="G183">
        <f t="shared" ca="1" si="9"/>
        <v>181</v>
      </c>
      <c r="H183">
        <f t="shared" ca="1" si="10"/>
        <v>10.206895923114505</v>
      </c>
      <c r="I183">
        <f t="shared" ca="1" si="11"/>
        <v>324.33304263994393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13833</v>
      </c>
      <c r="B185" s="66">
        <v>13833</v>
      </c>
      <c r="D185">
        <f t="shared" si="8"/>
        <v>5.0434230962745824E-2</v>
      </c>
      <c r="E185">
        <f t="shared" si="8"/>
        <v>5.0434230962745824E-2</v>
      </c>
      <c r="G185">
        <f t="shared" ca="1" si="9"/>
        <v>183</v>
      </c>
      <c r="H185">
        <f t="shared" ca="1" si="10"/>
        <v>9.2294642661824859</v>
      </c>
      <c r="I185">
        <f t="shared" ca="1" si="11"/>
        <v>305.5702165324372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12609</v>
      </c>
      <c r="B188" s="66">
        <v>12609</v>
      </c>
      <c r="D188">
        <f t="shared" si="8"/>
        <v>4.5971605451403323E-2</v>
      </c>
      <c r="E188">
        <f t="shared" si="8"/>
        <v>4.5971605451403323E-2</v>
      </c>
      <c r="G188">
        <f t="shared" ca="1" si="9"/>
        <v>186</v>
      </c>
      <c r="H188">
        <f t="shared" ca="1" si="10"/>
        <v>8.5507186139610187</v>
      </c>
      <c r="I188">
        <f t="shared" ca="1" si="11"/>
        <v>300.415951010367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6335</v>
      </c>
      <c r="B191" s="66">
        <v>6335</v>
      </c>
      <c r="D191">
        <f t="shared" si="8"/>
        <v>2.3097003769897696E-2</v>
      </c>
      <c r="E191">
        <f t="shared" si="8"/>
        <v>2.3097003769897696E-2</v>
      </c>
      <c r="G191">
        <f t="shared" ca="1" si="9"/>
        <v>189</v>
      </c>
      <c r="H191">
        <f t="shared" ca="1" si="10"/>
        <v>4.3653337125106644</v>
      </c>
      <c r="I191">
        <f t="shared" ca="1" si="11"/>
        <v>162.34524870999789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5057</v>
      </c>
      <c r="B193" s="66">
        <v>5057</v>
      </c>
      <c r="D193">
        <f t="shared" si="8"/>
        <v>1.8437497721290077E-2</v>
      </c>
      <c r="E193">
        <f t="shared" si="8"/>
        <v>1.8437497721290077E-2</v>
      </c>
      <c r="G193">
        <f t="shared" ca="1" si="9"/>
        <v>191</v>
      </c>
      <c r="H193">
        <f t="shared" ca="1" si="10"/>
        <v>3.5215620647664045</v>
      </c>
      <c r="I193">
        <f t="shared" ca="1" si="11"/>
        <v>135.85112189592684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3817</v>
      </c>
      <c r="B196" s="66">
        <v>3817</v>
      </c>
      <c r="D196">
        <f t="shared" si="12"/>
        <v>1.3916537235943095E-2</v>
      </c>
      <c r="E196">
        <f t="shared" si="12"/>
        <v>1.3916537235943095E-2</v>
      </c>
      <c r="G196">
        <f t="shared" ca="1" si="13"/>
        <v>194</v>
      </c>
      <c r="H196">
        <f t="shared" ca="1" si="14"/>
        <v>2.6998082237729601</v>
      </c>
      <c r="I196">
        <f t="shared" ca="1" si="15"/>
        <v>109.83246506782909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2284</v>
      </c>
      <c r="B198" s="66">
        <v>2284</v>
      </c>
      <c r="D198">
        <f t="shared" si="12"/>
        <v>8.3273175391391212E-3</v>
      </c>
      <c r="E198">
        <f t="shared" si="12"/>
        <v>8.3273175391391212E-3</v>
      </c>
      <c r="G198">
        <f t="shared" ca="1" si="13"/>
        <v>196</v>
      </c>
      <c r="H198">
        <f t="shared" ca="1" si="14"/>
        <v>1.6321542376712677</v>
      </c>
      <c r="I198">
        <f t="shared" ca="1" si="15"/>
        <v>68.713521842362212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1094</v>
      </c>
      <c r="B201" s="66">
        <v>1094</v>
      </c>
      <c r="D201">
        <f t="shared" si="12"/>
        <v>3.9886538475561294E-3</v>
      </c>
      <c r="E201">
        <f t="shared" si="12"/>
        <v>3.9886538475561294E-3</v>
      </c>
      <c r="G201">
        <f t="shared" ca="1" si="13"/>
        <v>199</v>
      </c>
      <c r="H201">
        <f t="shared" ca="1" si="14"/>
        <v>0.79374211566366981</v>
      </c>
      <c r="I201">
        <f t="shared" ca="1" si="15"/>
        <v>35.122524720260621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374</v>
      </c>
      <c r="B203" s="66">
        <v>374</v>
      </c>
      <c r="D203">
        <f t="shared" si="12"/>
        <v>1.3635800173546547E-3</v>
      </c>
      <c r="E203">
        <f t="shared" si="12"/>
        <v>1.3635800173546547E-3</v>
      </c>
      <c r="G203">
        <f t="shared" ca="1" si="13"/>
        <v>201</v>
      </c>
      <c r="H203">
        <f t="shared" ca="1" si="14"/>
        <v>0.27407958348828559</v>
      </c>
      <c r="I203">
        <f t="shared" ca="1" si="15"/>
        <v>12.524429883213076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404</v>
      </c>
      <c r="B1" s="66" t="s">
        <v>405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82.084552647081253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1.5848466954830049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0.58862444885824283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60</v>
      </c>
      <c r="B8" s="66">
        <v>60</v>
      </c>
      <c r="D8">
        <f t="shared" si="0"/>
        <v>6.3399480124262983E-2</v>
      </c>
      <c r="E8">
        <f t="shared" si="1"/>
        <v>6.3399480124262983E-2</v>
      </c>
      <c r="G8">
        <f t="shared" ca="1" si="2"/>
        <v>6</v>
      </c>
      <c r="H8">
        <f t="shared" ca="1" si="3"/>
        <v>0.38039688074557787</v>
      </c>
      <c r="I8">
        <f t="shared" ca="1" si="4"/>
        <v>367.01066071809288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202</v>
      </c>
      <c r="B10" s="66">
        <v>202</v>
      </c>
      <c r="D10">
        <f t="shared" si="0"/>
        <v>0.21344491641835203</v>
      </c>
      <c r="E10">
        <f t="shared" si="1"/>
        <v>0.21344491641835203</v>
      </c>
      <c r="G10">
        <f t="shared" ca="1" si="2"/>
        <v>8</v>
      </c>
      <c r="H10">
        <f t="shared" ca="1" si="3"/>
        <v>1.7075593313468163</v>
      </c>
      <c r="I10">
        <f t="shared" ca="1" si="4"/>
        <v>1171.4968934946503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341</v>
      </c>
      <c r="B13" s="66">
        <v>341</v>
      </c>
      <c r="D13">
        <f t="shared" si="0"/>
        <v>0.36032037870622796</v>
      </c>
      <c r="E13">
        <f t="shared" si="1"/>
        <v>0.36032037870622796</v>
      </c>
      <c r="G13">
        <f t="shared" ca="1" si="2"/>
        <v>11</v>
      </c>
      <c r="H13">
        <f t="shared" ca="1" si="3"/>
        <v>3.9635241657685074</v>
      </c>
      <c r="I13">
        <f t="shared" ca="1" si="4"/>
        <v>1820.7037829805811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1201</v>
      </c>
      <c r="B15" s="66">
        <v>1201</v>
      </c>
      <c r="D15">
        <f t="shared" si="0"/>
        <v>1.2690462604873307</v>
      </c>
      <c r="E15">
        <f t="shared" si="1"/>
        <v>1.2690462604873307</v>
      </c>
      <c r="G15">
        <f t="shared" ca="1" si="2"/>
        <v>13</v>
      </c>
      <c r="H15">
        <f t="shared" ca="1" si="3"/>
        <v>16.497601386335297</v>
      </c>
      <c r="I15">
        <f t="shared" ca="1" si="4"/>
        <v>6056.7458872242205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5380</v>
      </c>
      <c r="B18" s="66">
        <v>5380</v>
      </c>
      <c r="D18">
        <f t="shared" si="0"/>
        <v>5.6848200511422471</v>
      </c>
      <c r="E18">
        <f t="shared" si="1"/>
        <v>5.6848200511422471</v>
      </c>
      <c r="G18">
        <f t="shared" ca="1" si="2"/>
        <v>16</v>
      </c>
      <c r="H18">
        <f t="shared" ca="1" si="3"/>
        <v>90.957120818275953</v>
      </c>
      <c r="I18">
        <f t="shared" ca="1" si="4"/>
        <v>24826.56477343024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5707</v>
      </c>
      <c r="B21" s="66">
        <v>5707</v>
      </c>
      <c r="D21">
        <f t="shared" si="0"/>
        <v>6.0303472178194806</v>
      </c>
      <c r="E21">
        <f t="shared" si="1"/>
        <v>6.0303472178194806</v>
      </c>
      <c r="G21">
        <f t="shared" ca="1" si="2"/>
        <v>19</v>
      </c>
      <c r="H21">
        <f t="shared" ca="1" si="3"/>
        <v>114.57659713857014</v>
      </c>
      <c r="I21">
        <f t="shared" ca="1" si="4"/>
        <v>23998.736328713905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7582</v>
      </c>
      <c r="B23" s="66">
        <v>7582</v>
      </c>
      <c r="D23">
        <f t="shared" si="0"/>
        <v>8.0115809717026991</v>
      </c>
      <c r="E23">
        <f t="shared" si="1"/>
        <v>8.0115809717026991</v>
      </c>
      <c r="G23">
        <f t="shared" ca="1" si="2"/>
        <v>21</v>
      </c>
      <c r="H23">
        <f t="shared" ca="1" si="3"/>
        <v>168.24320040575668</v>
      </c>
      <c r="I23">
        <f t="shared" ca="1" si="4"/>
        <v>29893.792917873394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10131</v>
      </c>
      <c r="B26" s="66">
        <v>10131</v>
      </c>
      <c r="D26">
        <f t="shared" si="0"/>
        <v>10.705002218981804</v>
      </c>
      <c r="E26">
        <f t="shared" si="1"/>
        <v>10.705002218981804</v>
      </c>
      <c r="G26">
        <f t="shared" ca="1" si="2"/>
        <v>24</v>
      </c>
      <c r="H26">
        <f t="shared" ca="1" si="3"/>
        <v>256.92005325556329</v>
      </c>
      <c r="I26">
        <f t="shared" ca="1" si="4"/>
        <v>36116.699804179349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15783</v>
      </c>
      <c r="B28" s="66">
        <v>15783</v>
      </c>
      <c r="D28">
        <f t="shared" si="0"/>
        <v>16.677233246687376</v>
      </c>
      <c r="E28">
        <f t="shared" si="1"/>
        <v>16.677233246687376</v>
      </c>
      <c r="G28">
        <f t="shared" ca="1" si="2"/>
        <v>26</v>
      </c>
      <c r="H28">
        <f t="shared" ca="1" si="3"/>
        <v>433.60806441387177</v>
      </c>
      <c r="I28">
        <f t="shared" ca="1" si="4"/>
        <v>52457.854361959689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17746</v>
      </c>
      <c r="B31" s="66">
        <v>17746</v>
      </c>
      <c r="D31">
        <f t="shared" si="0"/>
        <v>18.751452904752849</v>
      </c>
      <c r="E31">
        <f t="shared" si="1"/>
        <v>18.751452904752849</v>
      </c>
      <c r="G31">
        <f t="shared" ca="1" si="2"/>
        <v>29</v>
      </c>
      <c r="H31">
        <f t="shared" ca="1" si="3"/>
        <v>543.79213423783267</v>
      </c>
      <c r="I31">
        <f t="shared" ca="1" si="4"/>
        <v>52841.026674252622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22682</v>
      </c>
      <c r="B33" s="66">
        <v>22682</v>
      </c>
      <c r="D33">
        <f t="shared" si="0"/>
        <v>23.96711680297555</v>
      </c>
      <c r="E33">
        <f t="shared" si="1"/>
        <v>23.96711680297555</v>
      </c>
      <c r="G33">
        <f t="shared" ca="1" si="2"/>
        <v>31</v>
      </c>
      <c r="H33">
        <f t="shared" ca="1" si="3"/>
        <v>742.98062089224209</v>
      </c>
      <c r="I33">
        <f t="shared" ca="1" si="4"/>
        <v>62545.343432252484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30350</v>
      </c>
      <c r="B36" s="66">
        <v>30350</v>
      </c>
      <c r="D36">
        <f t="shared" si="0"/>
        <v>32.069570362856361</v>
      </c>
      <c r="E36">
        <f t="shared" si="1"/>
        <v>32.069570362856361</v>
      </c>
      <c r="G36">
        <f t="shared" ca="1" si="2"/>
        <v>34</v>
      </c>
      <c r="H36">
        <f t="shared" ca="1" si="3"/>
        <v>1090.3653923371162</v>
      </c>
      <c r="I36">
        <f t="shared" ca="1" si="4"/>
        <v>74148.82982442819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40926</v>
      </c>
      <c r="B39" s="66">
        <v>40926</v>
      </c>
      <c r="D39">
        <f t="shared" si="0"/>
        <v>43.244785392759781</v>
      </c>
      <c r="E39">
        <f t="shared" si="1"/>
        <v>43.244785392759781</v>
      </c>
      <c r="G39">
        <f t="shared" ca="1" si="2"/>
        <v>37</v>
      </c>
      <c r="H39">
        <f t="shared" ca="1" si="3"/>
        <v>1600.0570595321119</v>
      </c>
      <c r="I39">
        <f t="shared" ca="1" si="4"/>
        <v>87900.081080769276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47857</v>
      </c>
      <c r="B41" s="66">
        <v>47857</v>
      </c>
      <c r="D41">
        <f t="shared" si="0"/>
        <v>50.568482005114227</v>
      </c>
      <c r="E41">
        <f t="shared" si="1"/>
        <v>50.568482005114227</v>
      </c>
      <c r="G41">
        <f t="shared" ca="1" si="2"/>
        <v>39</v>
      </c>
      <c r="H41">
        <f t="shared" ca="1" si="3"/>
        <v>1972.1707981994548</v>
      </c>
      <c r="I41">
        <f t="shared" ca="1" si="4"/>
        <v>93869.194864193356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65707</v>
      </c>
      <c r="B44" s="66">
        <v>65707</v>
      </c>
      <c r="D44">
        <f t="shared" si="0"/>
        <v>69.429827342082461</v>
      </c>
      <c r="E44">
        <f t="shared" si="1"/>
        <v>69.429827342082461</v>
      </c>
      <c r="G44">
        <f t="shared" ca="1" si="2"/>
        <v>42</v>
      </c>
      <c r="H44">
        <f t="shared" ca="1" si="3"/>
        <v>2916.0527483674632</v>
      </c>
      <c r="I44">
        <f t="shared" ca="1" si="4"/>
        <v>111557.85816664439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68807</v>
      </c>
      <c r="B46" s="66">
        <v>68807</v>
      </c>
      <c r="D46">
        <f t="shared" si="0"/>
        <v>72.70546714850272</v>
      </c>
      <c r="E46">
        <f t="shared" si="1"/>
        <v>72.70546714850272</v>
      </c>
      <c r="G46">
        <f t="shared" ca="1" si="2"/>
        <v>44</v>
      </c>
      <c r="H46">
        <f t="shared" ca="1" si="3"/>
        <v>3199.0405545341196</v>
      </c>
      <c r="I46">
        <f t="shared" ca="1" si="4"/>
        <v>105454.41976229379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68813</v>
      </c>
      <c r="B49" s="66">
        <v>68813</v>
      </c>
      <c r="D49">
        <f t="shared" si="0"/>
        <v>72.711807096515145</v>
      </c>
      <c r="E49">
        <f t="shared" si="1"/>
        <v>72.711807096515145</v>
      </c>
      <c r="G49">
        <f t="shared" ca="1" si="2"/>
        <v>47</v>
      </c>
      <c r="H49">
        <f t="shared" ca="1" si="3"/>
        <v>3417.4549335362117</v>
      </c>
      <c r="I49">
        <f t="shared" ca="1" si="4"/>
        <v>89502.841824341129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73351</v>
      </c>
      <c r="B51" s="66">
        <v>73351</v>
      </c>
      <c r="D51">
        <f t="shared" si="0"/>
        <v>77.506921109913563</v>
      </c>
      <c r="E51">
        <f t="shared" si="1"/>
        <v>77.506921109913563</v>
      </c>
      <c r="G51">
        <f t="shared" ca="1" si="2"/>
        <v>49</v>
      </c>
      <c r="H51">
        <f t="shared" ca="1" si="3"/>
        <v>3797.8391343857647</v>
      </c>
      <c r="I51">
        <f t="shared" ca="1" si="4"/>
        <v>84838.116610210302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75292</v>
      </c>
      <c r="B54" s="66">
        <v>75292</v>
      </c>
      <c r="D54">
        <f t="shared" si="0"/>
        <v>79.557894291933479</v>
      </c>
      <c r="E54">
        <f t="shared" si="1"/>
        <v>79.557894291933479</v>
      </c>
      <c r="G54">
        <f t="shared" ca="1" si="2"/>
        <v>52</v>
      </c>
      <c r="H54">
        <f t="shared" ca="1" si="3"/>
        <v>4137.0105031805406</v>
      </c>
      <c r="I54">
        <f t="shared" ca="1" si="4"/>
        <v>72006.283467585934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80464</v>
      </c>
      <c r="B57" s="66">
        <v>80464</v>
      </c>
      <c r="D57">
        <f t="shared" si="0"/>
        <v>85.02292947864494</v>
      </c>
      <c r="E57">
        <f t="shared" si="1"/>
        <v>85.02292947864494</v>
      </c>
      <c r="G57">
        <f t="shared" ca="1" si="2"/>
        <v>55</v>
      </c>
      <c r="H57">
        <f t="shared" ca="1" si="3"/>
        <v>4676.2611213254713</v>
      </c>
      <c r="I57">
        <f t="shared" ca="1" si="4"/>
        <v>62370.524774120553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85723</v>
      </c>
      <c r="B59" s="66">
        <v>85723</v>
      </c>
      <c r="D59">
        <f t="shared" si="0"/>
        <v>90.579893911536587</v>
      </c>
      <c r="E59">
        <f t="shared" si="1"/>
        <v>90.579893911536587</v>
      </c>
      <c r="G59">
        <f t="shared" ca="1" si="2"/>
        <v>57</v>
      </c>
      <c r="H59">
        <f t="shared" ca="1" si="3"/>
        <v>5163.0539529575854</v>
      </c>
      <c r="I59">
        <f t="shared" ca="1" si="4"/>
        <v>56996.019754098539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90393</v>
      </c>
      <c r="B62" s="66">
        <v>90393</v>
      </c>
      <c r="D62">
        <f t="shared" si="0"/>
        <v>95.51448678120839</v>
      </c>
      <c r="E62">
        <f t="shared" si="1"/>
        <v>95.51448678120839</v>
      </c>
      <c r="G62">
        <f t="shared" ca="1" si="2"/>
        <v>60</v>
      </c>
      <c r="H62">
        <f t="shared" ca="1" si="3"/>
        <v>5730.8692068725031</v>
      </c>
      <c r="I62">
        <f t="shared" ca="1" si="4"/>
        <v>46585.038567956479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93736</v>
      </c>
      <c r="B64" s="66">
        <v>93736</v>
      </c>
      <c r="D64">
        <f t="shared" si="0"/>
        <v>99.046894482131918</v>
      </c>
      <c r="E64">
        <f t="shared" si="1"/>
        <v>99.046894482131918</v>
      </c>
      <c r="G64">
        <f t="shared" ca="1" si="2"/>
        <v>62</v>
      </c>
      <c r="H64">
        <f t="shared" ca="1" si="3"/>
        <v>6140.9074578921791</v>
      </c>
      <c r="I64">
        <f t="shared" ca="1" si="4"/>
        <v>39954.452978516849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91326</v>
      </c>
      <c r="B67" s="66">
        <v>91326</v>
      </c>
      <c r="D67">
        <f t="shared" ref="D67:D130" si="5">IFERROR( 100*A67/MAX(A$2:A$257), 0 )</f>
        <v>96.50034869714068</v>
      </c>
      <c r="E67">
        <f t="shared" ref="E67:E130" si="6">IFERROR( 100*B67/MAX(B$2:B$257), 0 )</f>
        <v>96.50034869714068</v>
      </c>
      <c r="G67">
        <f t="shared" ref="G67:G130" ca="1" si="7">CELL("row",D67)-2</f>
        <v>65</v>
      </c>
      <c r="H67">
        <f t="shared" ref="H67:H130" ca="1" si="8">D67*G67</f>
        <v>6272.5226653141444</v>
      </c>
      <c r="I67">
        <f t="shared" ref="I67:I130" ca="1" si="9">D67*((G67-$L$1)^2)</f>
        <v>28166.708906458585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88808</v>
      </c>
      <c r="B69" s="66">
        <v>88808</v>
      </c>
      <c r="D69">
        <f t="shared" si="5"/>
        <v>93.839683847925784</v>
      </c>
      <c r="E69">
        <f t="shared" si="6"/>
        <v>93.839683847925784</v>
      </c>
      <c r="G69">
        <f t="shared" ca="1" si="7"/>
        <v>67</v>
      </c>
      <c r="H69">
        <f t="shared" ca="1" si="8"/>
        <v>6287.2588178110273</v>
      </c>
      <c r="I69">
        <f t="shared" ca="1" si="9"/>
        <v>21352.631549889436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83050</v>
      </c>
      <c r="B72" s="66">
        <v>83050</v>
      </c>
      <c r="D72">
        <f t="shared" si="5"/>
        <v>87.755447072000678</v>
      </c>
      <c r="E72">
        <f t="shared" si="6"/>
        <v>87.755447072000678</v>
      </c>
      <c r="G72">
        <f t="shared" ca="1" si="7"/>
        <v>70</v>
      </c>
      <c r="H72">
        <f t="shared" ca="1" si="8"/>
        <v>6142.881295040047</v>
      </c>
      <c r="I72">
        <f t="shared" ca="1" si="9"/>
        <v>12815.490683531478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85252</v>
      </c>
      <c r="B75" s="66">
        <v>85252</v>
      </c>
      <c r="D75">
        <f t="shared" si="5"/>
        <v>90.082207992561123</v>
      </c>
      <c r="E75">
        <f t="shared" si="6"/>
        <v>90.082207992561123</v>
      </c>
      <c r="G75">
        <f t="shared" ca="1" si="7"/>
        <v>73</v>
      </c>
      <c r="H75">
        <f t="shared" ca="1" si="8"/>
        <v>6576.0011834569623</v>
      </c>
      <c r="I75">
        <f t="shared" ca="1" si="9"/>
        <v>7434.4032631588025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92681</v>
      </c>
      <c r="B77" s="66">
        <v>92681</v>
      </c>
      <c r="D77">
        <f t="shared" si="5"/>
        <v>97.932120289946951</v>
      </c>
      <c r="E77">
        <f t="shared" si="6"/>
        <v>97.932120289946951</v>
      </c>
      <c r="G77">
        <f t="shared" ca="1" si="7"/>
        <v>75</v>
      </c>
      <c r="H77">
        <f t="shared" ca="1" si="8"/>
        <v>7344.9090217460216</v>
      </c>
      <c r="I77">
        <f t="shared" ca="1" si="9"/>
        <v>4915.2999057048764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94638</v>
      </c>
      <c r="B80" s="66">
        <v>94638</v>
      </c>
      <c r="D80">
        <f t="shared" si="5"/>
        <v>100</v>
      </c>
      <c r="E80">
        <f t="shared" si="6"/>
        <v>100</v>
      </c>
      <c r="G80">
        <f t="shared" ca="1" si="7"/>
        <v>78</v>
      </c>
      <c r="H80">
        <f t="shared" ca="1" si="8"/>
        <v>7800</v>
      </c>
      <c r="I80">
        <f t="shared" ca="1" si="9"/>
        <v>1668.3570326778472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87469</v>
      </c>
      <c r="B82" s="66">
        <v>87469</v>
      </c>
      <c r="D82">
        <f t="shared" si="5"/>
        <v>92.424818783152645</v>
      </c>
      <c r="E82">
        <f t="shared" si="6"/>
        <v>92.424818783152645</v>
      </c>
      <c r="G82">
        <f t="shared" ca="1" si="7"/>
        <v>80</v>
      </c>
      <c r="H82">
        <f t="shared" ca="1" si="8"/>
        <v>7393.9855026522118</v>
      </c>
      <c r="I82">
        <f t="shared" ca="1" si="9"/>
        <v>401.61908637416849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89505</v>
      </c>
      <c r="B85" s="66">
        <v>89505</v>
      </c>
      <c r="D85">
        <f t="shared" si="5"/>
        <v>94.576174475369299</v>
      </c>
      <c r="E85">
        <f t="shared" si="6"/>
        <v>94.576174475369299</v>
      </c>
      <c r="G85">
        <f t="shared" ca="1" si="7"/>
        <v>83</v>
      </c>
      <c r="H85">
        <f t="shared" ca="1" si="8"/>
        <v>7849.8224814556515</v>
      </c>
      <c r="I85">
        <f t="shared" ca="1" si="9"/>
        <v>79.258981939846095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86421</v>
      </c>
      <c r="B88" s="66">
        <v>86421</v>
      </c>
      <c r="D88">
        <f t="shared" si="5"/>
        <v>91.317441196982188</v>
      </c>
      <c r="E88">
        <f t="shared" si="6"/>
        <v>91.317441196982188</v>
      </c>
      <c r="G88">
        <f t="shared" ca="1" si="7"/>
        <v>86</v>
      </c>
      <c r="H88">
        <f t="shared" ca="1" si="8"/>
        <v>7853.2999429404681</v>
      </c>
      <c r="I88">
        <f t="shared" ca="1" si="9"/>
        <v>1399.9628502250457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85143</v>
      </c>
      <c r="B90" s="66">
        <v>85143</v>
      </c>
      <c r="D90">
        <f t="shared" si="5"/>
        <v>89.96703227033538</v>
      </c>
      <c r="E90">
        <f t="shared" si="6"/>
        <v>89.96703227033538</v>
      </c>
      <c r="G90">
        <f t="shared" ca="1" si="7"/>
        <v>88</v>
      </c>
      <c r="H90">
        <f t="shared" ca="1" si="8"/>
        <v>7917.0988397895135</v>
      </c>
      <c r="I90">
        <f t="shared" ca="1" si="9"/>
        <v>3148.1729408103688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77274</v>
      </c>
      <c r="B93" s="66">
        <v>77274</v>
      </c>
      <c r="D93">
        <f t="shared" si="5"/>
        <v>81.652190452038298</v>
      </c>
      <c r="E93">
        <f t="shared" si="6"/>
        <v>81.652190452038298</v>
      </c>
      <c r="G93">
        <f t="shared" ca="1" si="7"/>
        <v>91</v>
      </c>
      <c r="H93">
        <f t="shared" ca="1" si="8"/>
        <v>7430.349331135485</v>
      </c>
      <c r="I93">
        <f t="shared" ca="1" si="9"/>
        <v>6490.1408112143154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83777</v>
      </c>
      <c r="B95" s="66">
        <v>83777</v>
      </c>
      <c r="D95">
        <f t="shared" si="5"/>
        <v>88.523637439506331</v>
      </c>
      <c r="E95">
        <f t="shared" si="6"/>
        <v>88.523637439506331</v>
      </c>
      <c r="G95">
        <f t="shared" ca="1" si="7"/>
        <v>93</v>
      </c>
      <c r="H95">
        <f t="shared" ca="1" si="8"/>
        <v>8232.6982818740889</v>
      </c>
      <c r="I95">
        <f t="shared" ca="1" si="9"/>
        <v>10547.325025709266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74142</v>
      </c>
      <c r="B98" s="66">
        <v>74142</v>
      </c>
      <c r="D98">
        <f t="shared" si="5"/>
        <v>78.34273758955176</v>
      </c>
      <c r="E98">
        <f t="shared" si="6"/>
        <v>78.34273758955176</v>
      </c>
      <c r="G98">
        <f t="shared" ca="1" si="7"/>
        <v>96</v>
      </c>
      <c r="H98">
        <f t="shared" ca="1" si="8"/>
        <v>7520.9028085969694</v>
      </c>
      <c r="I98">
        <f t="shared" ca="1" si="9"/>
        <v>15170.262247946566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72345</v>
      </c>
      <c r="B100" s="66">
        <v>72345</v>
      </c>
      <c r="D100">
        <f t="shared" si="5"/>
        <v>76.443923159830092</v>
      </c>
      <c r="E100">
        <f t="shared" si="6"/>
        <v>76.443923159830092</v>
      </c>
      <c r="G100">
        <f t="shared" ca="1" si="7"/>
        <v>98</v>
      </c>
      <c r="H100">
        <f t="shared" ca="1" si="8"/>
        <v>7491.5044696633486</v>
      </c>
      <c r="I100">
        <f t="shared" ca="1" si="9"/>
        <v>19363.357684193514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67171</v>
      </c>
      <c r="B103" s="66">
        <v>67171</v>
      </c>
      <c r="D103">
        <f t="shared" si="5"/>
        <v>70.976774657114476</v>
      </c>
      <c r="E103">
        <f t="shared" si="6"/>
        <v>70.976774657114476</v>
      </c>
      <c r="G103">
        <f t="shared" ca="1" si="7"/>
        <v>101</v>
      </c>
      <c r="H103">
        <f t="shared" ca="1" si="8"/>
        <v>7168.6542403685617</v>
      </c>
      <c r="I103">
        <f t="shared" ca="1" si="9"/>
        <v>25395.074656051136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67217</v>
      </c>
      <c r="B106" s="66">
        <v>67217</v>
      </c>
      <c r="D106">
        <f t="shared" si="5"/>
        <v>71.025380925209745</v>
      </c>
      <c r="E106">
        <f t="shared" si="6"/>
        <v>71.025380925209745</v>
      </c>
      <c r="G106">
        <f t="shared" ca="1" si="7"/>
        <v>104</v>
      </c>
      <c r="H106">
        <f t="shared" ca="1" si="8"/>
        <v>7386.6396162218134</v>
      </c>
      <c r="I106">
        <f t="shared" ca="1" si="9"/>
        <v>34112.555244356729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67530</v>
      </c>
      <c r="B108" s="66">
        <v>67530</v>
      </c>
      <c r="D108">
        <f t="shared" si="5"/>
        <v>71.356114879857984</v>
      </c>
      <c r="E108">
        <f t="shared" si="6"/>
        <v>71.356114879857984</v>
      </c>
      <c r="G108">
        <f t="shared" ca="1" si="7"/>
        <v>106</v>
      </c>
      <c r="H108">
        <f t="shared" ca="1" si="8"/>
        <v>7563.7481772649462</v>
      </c>
      <c r="I108">
        <f t="shared" ca="1" si="9"/>
        <v>40812.031583246811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67696</v>
      </c>
      <c r="B111" s="66">
        <v>67696</v>
      </c>
      <c r="D111">
        <f t="shared" si="5"/>
        <v>71.531520108201775</v>
      </c>
      <c r="E111">
        <f t="shared" si="6"/>
        <v>71.531520108201775</v>
      </c>
      <c r="G111">
        <f t="shared" ca="1" si="7"/>
        <v>109</v>
      </c>
      <c r="H111">
        <f t="shared" ca="1" si="8"/>
        <v>7796.9356917939931</v>
      </c>
      <c r="I111">
        <f t="shared" ca="1" si="9"/>
        <v>51820.38786221097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65839</v>
      </c>
      <c r="B113" s="66">
        <v>65839</v>
      </c>
      <c r="D113">
        <f t="shared" si="5"/>
        <v>69.569306198355847</v>
      </c>
      <c r="E113">
        <f t="shared" si="6"/>
        <v>69.569306198355847</v>
      </c>
      <c r="G113">
        <f t="shared" ca="1" si="7"/>
        <v>111</v>
      </c>
      <c r="H113">
        <f t="shared" ca="1" si="8"/>
        <v>7722.1929880174994</v>
      </c>
      <c r="I113">
        <f t="shared" ca="1" si="9"/>
        <v>58167.112272540333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55394</v>
      </c>
      <c r="B116" s="66">
        <v>55394</v>
      </c>
      <c r="D116">
        <f t="shared" si="5"/>
        <v>58.532513366723727</v>
      </c>
      <c r="E116">
        <f t="shared" si="6"/>
        <v>58.532513366723727</v>
      </c>
      <c r="G116">
        <f t="shared" ca="1" si="7"/>
        <v>114</v>
      </c>
      <c r="H116">
        <f t="shared" ca="1" si="8"/>
        <v>6672.7065238065052</v>
      </c>
      <c r="I116">
        <f t="shared" ca="1" si="9"/>
        <v>59620.971092740132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49225</v>
      </c>
      <c r="B118" s="66">
        <v>49225</v>
      </c>
      <c r="D118">
        <f t="shared" si="5"/>
        <v>52.013990151947418</v>
      </c>
      <c r="E118">
        <f t="shared" si="6"/>
        <v>52.013990151947418</v>
      </c>
      <c r="G118">
        <f t="shared" ca="1" si="7"/>
        <v>116</v>
      </c>
      <c r="H118">
        <f t="shared" ca="1" si="8"/>
        <v>6033.6228576259009</v>
      </c>
      <c r="I118">
        <f t="shared" ca="1" si="9"/>
        <v>59829.485873898433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44160</v>
      </c>
      <c r="B121" s="66">
        <v>44160</v>
      </c>
      <c r="D121">
        <f t="shared" si="5"/>
        <v>46.662017371457551</v>
      </c>
      <c r="E121">
        <f t="shared" si="6"/>
        <v>46.662017371457551</v>
      </c>
      <c r="G121">
        <f t="shared" ca="1" si="7"/>
        <v>119</v>
      </c>
      <c r="H121">
        <f t="shared" ca="1" si="8"/>
        <v>5552.7800672034482</v>
      </c>
      <c r="I121">
        <f t="shared" ca="1" si="9"/>
        <v>63588.675990861673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42668</v>
      </c>
      <c r="B124" s="66">
        <v>42668</v>
      </c>
      <c r="D124">
        <f t="shared" si="5"/>
        <v>45.085483632367549</v>
      </c>
      <c r="E124">
        <f t="shared" si="6"/>
        <v>45.085483632367549</v>
      </c>
      <c r="G124">
        <f t="shared" ca="1" si="7"/>
        <v>122</v>
      </c>
      <c r="H124">
        <f t="shared" ca="1" si="8"/>
        <v>5500.4290031488408</v>
      </c>
      <c r="I124">
        <f t="shared" ca="1" si="9"/>
        <v>71832.128375794768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39235</v>
      </c>
      <c r="B126" s="66">
        <v>39235</v>
      </c>
      <c r="D126">
        <f t="shared" si="5"/>
        <v>41.457976711257636</v>
      </c>
      <c r="E126">
        <f t="shared" si="6"/>
        <v>41.457976711257636</v>
      </c>
      <c r="G126">
        <f t="shared" ca="1" si="7"/>
        <v>124</v>
      </c>
      <c r="H126">
        <f t="shared" ca="1" si="8"/>
        <v>5140.7891121959465</v>
      </c>
      <c r="I126">
        <f t="shared" ca="1" si="9"/>
        <v>72837.715247378146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34188</v>
      </c>
      <c r="B129" s="66">
        <v>34188</v>
      </c>
      <c r="D129">
        <f t="shared" si="5"/>
        <v>36.125023774805044</v>
      </c>
      <c r="E129">
        <f t="shared" si="6"/>
        <v>36.125023774805044</v>
      </c>
      <c r="G129">
        <f t="shared" ca="1" si="7"/>
        <v>127</v>
      </c>
      <c r="H129">
        <f t="shared" ca="1" si="8"/>
        <v>4587.8780194002402</v>
      </c>
      <c r="I129">
        <f t="shared" ca="1" si="9"/>
        <v>72878.529432455616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29153</v>
      </c>
      <c r="B131" s="66">
        <v>29153</v>
      </c>
      <c r="D131">
        <f t="shared" ref="D131:D194" si="10">IFERROR( 100*A131/MAX(A$2:A$257), 0 )</f>
        <v>30.804750734377311</v>
      </c>
      <c r="E131">
        <f t="shared" ref="E131:E194" si="11">IFERROR( 100*B131/MAX(B$2:B$257), 0 )</f>
        <v>30.804750734377311</v>
      </c>
      <c r="G131">
        <f t="shared" ref="G131:G194" ca="1" si="12">CELL("row",D131)-2</f>
        <v>129</v>
      </c>
      <c r="H131">
        <f t="shared" ref="H131:H194" ca="1" si="13">D131*G131</f>
        <v>3973.812844734673</v>
      </c>
      <c r="I131">
        <f t="shared" ref="I131:I194" ca="1" si="14">D131*((G131-$L$1)^2)</f>
        <v>67803.080017603788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27478</v>
      </c>
      <c r="B134" s="66">
        <v>27478</v>
      </c>
      <c r="D134">
        <f t="shared" si="10"/>
        <v>29.034848580908303</v>
      </c>
      <c r="E134">
        <f t="shared" si="11"/>
        <v>29.034848580908303</v>
      </c>
      <c r="G134">
        <f t="shared" ca="1" si="12"/>
        <v>132</v>
      </c>
      <c r="H134">
        <f t="shared" ca="1" si="13"/>
        <v>3832.6000126798958</v>
      </c>
      <c r="I134">
        <f t="shared" ca="1" si="14"/>
        <v>72341.831696250301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28774</v>
      </c>
      <c r="B136" s="66">
        <v>28774</v>
      </c>
      <c r="D136">
        <f t="shared" si="10"/>
        <v>30.404277351592384</v>
      </c>
      <c r="E136">
        <f t="shared" si="11"/>
        <v>30.404277351592384</v>
      </c>
      <c r="G136">
        <f t="shared" ca="1" si="12"/>
        <v>134</v>
      </c>
      <c r="H136">
        <f t="shared" ca="1" si="13"/>
        <v>4074.1731651133796</v>
      </c>
      <c r="I136">
        <f t="shared" ca="1" si="14"/>
        <v>81946.024061651493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22542</v>
      </c>
      <c r="B139" s="66">
        <v>22542</v>
      </c>
      <c r="D139">
        <f t="shared" si="10"/>
        <v>23.819184682685602</v>
      </c>
      <c r="E139">
        <f t="shared" si="11"/>
        <v>23.819184682685602</v>
      </c>
      <c r="G139">
        <f t="shared" ca="1" si="12"/>
        <v>137</v>
      </c>
      <c r="H139">
        <f t="shared" ca="1" si="13"/>
        <v>3263.2283015279277</v>
      </c>
      <c r="I139">
        <f t="shared" ca="1" si="14"/>
        <v>71831.666689264966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23293</v>
      </c>
      <c r="B142" s="66">
        <v>23293</v>
      </c>
      <c r="D142">
        <f t="shared" si="10"/>
        <v>24.612734842240961</v>
      </c>
      <c r="E142">
        <f t="shared" si="11"/>
        <v>24.612734842240961</v>
      </c>
      <c r="G142">
        <f t="shared" ca="1" si="12"/>
        <v>140</v>
      </c>
      <c r="H142">
        <f t="shared" ca="1" si="13"/>
        <v>3445.7828779137344</v>
      </c>
      <c r="I142">
        <f t="shared" ca="1" si="14"/>
        <v>82556.011631027883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17915</v>
      </c>
      <c r="B144" s="66">
        <v>17915</v>
      </c>
      <c r="D144">
        <f t="shared" si="10"/>
        <v>18.930028107102856</v>
      </c>
      <c r="E144">
        <f t="shared" si="11"/>
        <v>18.930028107102856</v>
      </c>
      <c r="G144">
        <f t="shared" ca="1" si="12"/>
        <v>142</v>
      </c>
      <c r="H144">
        <f t="shared" ca="1" si="13"/>
        <v>2688.0639912086058</v>
      </c>
      <c r="I144">
        <f t="shared" ca="1" si="14"/>
        <v>67956.166440889792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15899</v>
      </c>
      <c r="B147" s="66">
        <v>15899</v>
      </c>
      <c r="D147">
        <f t="shared" si="10"/>
        <v>16.799805574927618</v>
      </c>
      <c r="E147">
        <f t="shared" si="11"/>
        <v>16.799805574927618</v>
      </c>
      <c r="G147">
        <f t="shared" ca="1" si="12"/>
        <v>145</v>
      </c>
      <c r="H147">
        <f t="shared" ca="1" si="13"/>
        <v>2435.9718083645043</v>
      </c>
      <c r="I147">
        <f t="shared" ca="1" si="14"/>
        <v>66499.569459211765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13672</v>
      </c>
      <c r="B149" s="66">
        <v>13672</v>
      </c>
      <c r="D149">
        <f t="shared" si="10"/>
        <v>14.446628204315392</v>
      </c>
      <c r="E149">
        <f t="shared" si="11"/>
        <v>14.446628204315392</v>
      </c>
      <c r="G149">
        <f t="shared" ca="1" si="12"/>
        <v>147</v>
      </c>
      <c r="H149">
        <f t="shared" ca="1" si="13"/>
        <v>2123.6543460343628</v>
      </c>
      <c r="I149">
        <f t="shared" ca="1" si="14"/>
        <v>60878.31235905685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12130</v>
      </c>
      <c r="B152" s="66">
        <v>12130</v>
      </c>
      <c r="D152">
        <f t="shared" si="10"/>
        <v>12.817261565121832</v>
      </c>
      <c r="E152">
        <f t="shared" si="11"/>
        <v>12.817261565121832</v>
      </c>
      <c r="G152">
        <f t="shared" ca="1" si="12"/>
        <v>150</v>
      </c>
      <c r="H152">
        <f t="shared" ca="1" si="13"/>
        <v>1922.5892347682748</v>
      </c>
      <c r="I152">
        <f t="shared" ca="1" si="14"/>
        <v>59119.72136811223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8382</v>
      </c>
      <c r="B154" s="66">
        <v>8382</v>
      </c>
      <c r="D154">
        <f t="shared" si="10"/>
        <v>8.8569073733595385</v>
      </c>
      <c r="E154">
        <f t="shared" si="11"/>
        <v>8.8569073733595385</v>
      </c>
      <c r="G154">
        <f t="shared" ca="1" si="12"/>
        <v>152</v>
      </c>
      <c r="H154">
        <f t="shared" ca="1" si="13"/>
        <v>1346.2499207506498</v>
      </c>
      <c r="I154">
        <f t="shared" ca="1" si="14"/>
        <v>43294.066953950285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7448</v>
      </c>
      <c r="B157" s="66">
        <v>7448</v>
      </c>
      <c r="D157">
        <f t="shared" si="10"/>
        <v>7.8699887994251778</v>
      </c>
      <c r="E157">
        <f t="shared" si="11"/>
        <v>7.8699887994251778</v>
      </c>
      <c r="G157">
        <f t="shared" ca="1" si="12"/>
        <v>155</v>
      </c>
      <c r="H157">
        <f t="shared" ca="1" si="13"/>
        <v>1219.8482639109025</v>
      </c>
      <c r="I157">
        <f t="shared" ca="1" si="14"/>
        <v>41842.074031586497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5820</v>
      </c>
      <c r="B160" s="66">
        <v>5820</v>
      </c>
      <c r="D160">
        <f t="shared" si="10"/>
        <v>6.1497495720535094</v>
      </c>
      <c r="E160">
        <f t="shared" si="11"/>
        <v>6.1497495720535094</v>
      </c>
      <c r="G160">
        <f t="shared" ca="1" si="12"/>
        <v>158</v>
      </c>
      <c r="H160">
        <f t="shared" ca="1" si="13"/>
        <v>971.66043238445445</v>
      </c>
      <c r="I160">
        <f t="shared" ca="1" si="14"/>
        <v>35441.960897673016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3854</v>
      </c>
      <c r="B162" s="66">
        <v>3854</v>
      </c>
      <c r="D162">
        <f t="shared" si="10"/>
        <v>4.0723599399818253</v>
      </c>
      <c r="E162">
        <f t="shared" si="11"/>
        <v>4.0723599399818253</v>
      </c>
      <c r="G162">
        <f t="shared" ca="1" si="12"/>
        <v>160</v>
      </c>
      <c r="H162">
        <f t="shared" ca="1" si="13"/>
        <v>651.57759039709208</v>
      </c>
      <c r="I162">
        <f t="shared" ca="1" si="14"/>
        <v>24722.551693966288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2879</v>
      </c>
      <c r="B165" s="66">
        <v>2879</v>
      </c>
      <c r="D165">
        <f t="shared" si="10"/>
        <v>3.0421183879625522</v>
      </c>
      <c r="E165">
        <f t="shared" si="11"/>
        <v>3.0421183879625522</v>
      </c>
      <c r="G165">
        <f t="shared" ca="1" si="12"/>
        <v>163</v>
      </c>
      <c r="H165">
        <f t="shared" ca="1" si="13"/>
        <v>495.86529723789602</v>
      </c>
      <c r="I165">
        <f t="shared" ca="1" si="14"/>
        <v>19917.690987668608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1515</v>
      </c>
      <c r="B167" s="66">
        <v>1515</v>
      </c>
      <c r="D167">
        <f t="shared" si="10"/>
        <v>1.6008368731376403</v>
      </c>
      <c r="E167">
        <f t="shared" si="11"/>
        <v>1.6008368731376403</v>
      </c>
      <c r="G167">
        <f t="shared" ca="1" si="12"/>
        <v>165</v>
      </c>
      <c r="H167">
        <f t="shared" ca="1" si="13"/>
        <v>264.13808406771068</v>
      </c>
      <c r="I167">
        <f t="shared" ca="1" si="14"/>
        <v>11005.707734470278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1933</v>
      </c>
      <c r="B170" s="66">
        <v>1933</v>
      </c>
      <c r="D170">
        <f t="shared" si="10"/>
        <v>2.0425199180033391</v>
      </c>
      <c r="E170">
        <f t="shared" si="11"/>
        <v>2.0425199180033391</v>
      </c>
      <c r="G170">
        <f t="shared" ca="1" si="12"/>
        <v>168</v>
      </c>
      <c r="H170">
        <f t="shared" ca="1" si="13"/>
        <v>343.14334622456096</v>
      </c>
      <c r="I170">
        <f t="shared" ca="1" si="14"/>
        <v>15076.787435719492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2565</v>
      </c>
      <c r="B173" s="66">
        <v>2565</v>
      </c>
      <c r="D173">
        <f t="shared" si="10"/>
        <v>2.7103277753122423</v>
      </c>
      <c r="E173">
        <f t="shared" si="11"/>
        <v>2.7103277753122423</v>
      </c>
      <c r="G173">
        <f t="shared" ca="1" si="12"/>
        <v>171</v>
      </c>
      <c r="H173">
        <f t="shared" ca="1" si="13"/>
        <v>463.46604957839344</v>
      </c>
      <c r="I173">
        <f t="shared" ca="1" si="14"/>
        <v>21427.734245749267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1740</v>
      </c>
      <c r="B175" s="66">
        <v>1740</v>
      </c>
      <c r="D175">
        <f t="shared" si="10"/>
        <v>1.8385849236036265</v>
      </c>
      <c r="E175">
        <f t="shared" si="11"/>
        <v>1.8385849236036265</v>
      </c>
      <c r="G175">
        <f t="shared" ca="1" si="12"/>
        <v>173</v>
      </c>
      <c r="H175">
        <f t="shared" ca="1" si="13"/>
        <v>318.07519178342739</v>
      </c>
      <c r="I175">
        <f t="shared" ca="1" si="14"/>
        <v>15197.041682245537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1540</v>
      </c>
      <c r="B178" s="66">
        <v>1540</v>
      </c>
      <c r="D178">
        <f t="shared" si="10"/>
        <v>1.6272533231894166</v>
      </c>
      <c r="E178">
        <f t="shared" si="11"/>
        <v>1.6272533231894166</v>
      </c>
      <c r="G178">
        <f t="shared" ca="1" si="12"/>
        <v>176</v>
      </c>
      <c r="H178">
        <f t="shared" ca="1" si="13"/>
        <v>286.39658488133733</v>
      </c>
      <c r="I178">
        <f t="shared" ca="1" si="14"/>
        <v>14352.555344901872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1237</v>
      </c>
      <c r="B180" s="66">
        <v>1237</v>
      </c>
      <c r="D180">
        <f t="shared" si="10"/>
        <v>1.3070859485618884</v>
      </c>
      <c r="E180">
        <f t="shared" si="11"/>
        <v>1.3070859485618884</v>
      </c>
      <c r="G180">
        <f t="shared" ca="1" si="12"/>
        <v>178</v>
      </c>
      <c r="H180">
        <f t="shared" ca="1" si="13"/>
        <v>232.66129884401613</v>
      </c>
      <c r="I180">
        <f t="shared" ca="1" si="14"/>
        <v>12024.894071732626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1125</v>
      </c>
      <c r="B183" s="66">
        <v>1125</v>
      </c>
      <c r="D183">
        <f t="shared" si="10"/>
        <v>1.1887402523299309</v>
      </c>
      <c r="E183">
        <f t="shared" si="11"/>
        <v>1.1887402523299309</v>
      </c>
      <c r="G183">
        <f t="shared" ca="1" si="12"/>
        <v>181</v>
      </c>
      <c r="H183">
        <f t="shared" ca="1" si="13"/>
        <v>215.16198567171747</v>
      </c>
      <c r="I183">
        <f t="shared" ca="1" si="14"/>
        <v>11630.950506832927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1139</v>
      </c>
      <c r="B185" s="66">
        <v>1139</v>
      </c>
      <c r="D185">
        <f t="shared" si="10"/>
        <v>1.2035334643589255</v>
      </c>
      <c r="E185">
        <f t="shared" si="11"/>
        <v>1.2035334643589255</v>
      </c>
      <c r="G185">
        <f t="shared" ca="1" si="12"/>
        <v>183</v>
      </c>
      <c r="H185">
        <f t="shared" ca="1" si="13"/>
        <v>220.24662397768336</v>
      </c>
      <c r="I185">
        <f t="shared" ca="1" si="14"/>
        <v>12256.697562233812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804</v>
      </c>
      <c r="B188" s="66">
        <v>804</v>
      </c>
      <c r="D188">
        <f t="shared" si="10"/>
        <v>0.84955303366512391</v>
      </c>
      <c r="E188">
        <f t="shared" si="11"/>
        <v>0.84955303366512391</v>
      </c>
      <c r="G188">
        <f t="shared" ca="1" si="12"/>
        <v>186</v>
      </c>
      <c r="H188">
        <f t="shared" ca="1" si="13"/>
        <v>158.01686426171304</v>
      </c>
      <c r="I188">
        <f t="shared" ca="1" si="14"/>
        <v>9173.8306384750413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119</v>
      </c>
      <c r="B191" s="66">
        <v>119</v>
      </c>
      <c r="D191">
        <f t="shared" si="10"/>
        <v>0.12574230224645491</v>
      </c>
      <c r="E191">
        <f t="shared" si="11"/>
        <v>0.12574230224645491</v>
      </c>
      <c r="G191">
        <f t="shared" ca="1" si="12"/>
        <v>189</v>
      </c>
      <c r="H191">
        <f t="shared" ca="1" si="13"/>
        <v>23.765295124579978</v>
      </c>
      <c r="I191">
        <f t="shared" ca="1" si="14"/>
        <v>1437.3493026461824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404</v>
      </c>
      <c r="B1" s="66" t="s">
        <v>405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116.18636235480567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2.2432670520834264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0.52623805645489918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89</v>
      </c>
      <c r="B8" s="66">
        <v>89</v>
      </c>
      <c r="D8">
        <f t="shared" si="0"/>
        <v>4.0116653820322465E-2</v>
      </c>
      <c r="E8">
        <f t="shared" si="1"/>
        <v>4.0116653820322465E-2</v>
      </c>
      <c r="G8">
        <f t="shared" ca="1" si="2"/>
        <v>6</v>
      </c>
      <c r="H8">
        <f t="shared" ca="1" si="3"/>
        <v>0.24069992292193479</v>
      </c>
      <c r="I8">
        <f t="shared" ca="1" si="4"/>
        <v>487.05767601052213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84</v>
      </c>
      <c r="B10" s="66">
        <v>84</v>
      </c>
      <c r="D10">
        <f t="shared" si="0"/>
        <v>3.7862909223675134E-2</v>
      </c>
      <c r="E10">
        <f t="shared" si="1"/>
        <v>3.7862909223675134E-2</v>
      </c>
      <c r="G10">
        <f t="shared" ca="1" si="2"/>
        <v>8</v>
      </c>
      <c r="H10">
        <f t="shared" ca="1" si="3"/>
        <v>0.30290327378940107</v>
      </c>
      <c r="I10">
        <f t="shared" ca="1" si="4"/>
        <v>443.1584319182009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52</v>
      </c>
      <c r="B13" s="66">
        <v>52</v>
      </c>
      <c r="D13">
        <f t="shared" si="0"/>
        <v>2.3438943805132229E-2</v>
      </c>
      <c r="E13">
        <f t="shared" si="1"/>
        <v>2.3438943805132229E-2</v>
      </c>
      <c r="G13">
        <f t="shared" ca="1" si="2"/>
        <v>11</v>
      </c>
      <c r="H13">
        <f t="shared" ca="1" si="3"/>
        <v>0.25782838185645451</v>
      </c>
      <c r="I13">
        <f t="shared" ca="1" si="4"/>
        <v>259.33247822778907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62</v>
      </c>
      <c r="B15" s="66">
        <v>62</v>
      </c>
      <c r="D15">
        <f t="shared" si="0"/>
        <v>2.7946432998426887E-2</v>
      </c>
      <c r="E15">
        <f t="shared" si="1"/>
        <v>2.7946432998426887E-2</v>
      </c>
      <c r="G15">
        <f t="shared" ca="1" si="2"/>
        <v>13</v>
      </c>
      <c r="H15">
        <f t="shared" ca="1" si="3"/>
        <v>0.36330362897954954</v>
      </c>
      <c r="I15">
        <f t="shared" ca="1" si="4"/>
        <v>297.55755987661644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108</v>
      </c>
      <c r="B18" s="66">
        <v>108</v>
      </c>
      <c r="D18">
        <f t="shared" si="0"/>
        <v>4.868088328758232E-2</v>
      </c>
      <c r="E18">
        <f t="shared" si="1"/>
        <v>4.868088328758232E-2</v>
      </c>
      <c r="G18">
        <f t="shared" ca="1" si="2"/>
        <v>16</v>
      </c>
      <c r="H18">
        <f t="shared" ca="1" si="3"/>
        <v>0.77889413260131712</v>
      </c>
      <c r="I18">
        <f t="shared" ca="1" si="4"/>
        <v>488.62498041673973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257</v>
      </c>
      <c r="B21" s="66">
        <v>257</v>
      </c>
      <c r="D21">
        <f t="shared" si="0"/>
        <v>0.11584247226767273</v>
      </c>
      <c r="E21">
        <f t="shared" si="1"/>
        <v>0.11584247226767273</v>
      </c>
      <c r="G21">
        <f t="shared" ca="1" si="2"/>
        <v>19</v>
      </c>
      <c r="H21">
        <f t="shared" ca="1" si="3"/>
        <v>2.2010069730857817</v>
      </c>
      <c r="I21">
        <f t="shared" ca="1" si="4"/>
        <v>1094.1540480111669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94</v>
      </c>
      <c r="B23" s="66">
        <v>94</v>
      </c>
      <c r="D23">
        <f t="shared" si="0"/>
        <v>4.2370398416969796E-2</v>
      </c>
      <c r="E23">
        <f t="shared" si="1"/>
        <v>4.2370398416969796E-2</v>
      </c>
      <c r="G23">
        <f t="shared" ca="1" si="2"/>
        <v>21</v>
      </c>
      <c r="H23">
        <f t="shared" ca="1" si="3"/>
        <v>0.88977836675636568</v>
      </c>
      <c r="I23">
        <f t="shared" ca="1" si="4"/>
        <v>383.89460424875682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1193</v>
      </c>
      <c r="B26" s="66">
        <v>1193</v>
      </c>
      <c r="D26">
        <f t="shared" si="0"/>
        <v>0.53774346076005286</v>
      </c>
      <c r="E26">
        <f t="shared" si="1"/>
        <v>0.53774346076005286</v>
      </c>
      <c r="G26">
        <f t="shared" ca="1" si="2"/>
        <v>24</v>
      </c>
      <c r="H26">
        <f t="shared" ca="1" si="3"/>
        <v>12.905843058241269</v>
      </c>
      <c r="I26">
        <f t="shared" ca="1" si="4"/>
        <v>4569.9189135257839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771</v>
      </c>
      <c r="B28" s="66">
        <v>771</v>
      </c>
      <c r="D28">
        <f t="shared" si="0"/>
        <v>0.34752741680301824</v>
      </c>
      <c r="E28">
        <f t="shared" si="1"/>
        <v>0.34752741680301824</v>
      </c>
      <c r="G28">
        <f t="shared" ca="1" si="2"/>
        <v>26</v>
      </c>
      <c r="H28">
        <f t="shared" ca="1" si="3"/>
        <v>9.0357128368784743</v>
      </c>
      <c r="I28">
        <f t="shared" ca="1" si="4"/>
        <v>2826.6420310497811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1393</v>
      </c>
      <c r="B31" s="66">
        <v>1393</v>
      </c>
      <c r="D31">
        <f t="shared" si="0"/>
        <v>0.62789324462594598</v>
      </c>
      <c r="E31">
        <f t="shared" si="1"/>
        <v>0.62789324462594598</v>
      </c>
      <c r="G31">
        <f t="shared" ca="1" si="2"/>
        <v>29</v>
      </c>
      <c r="H31">
        <f t="shared" ca="1" si="3"/>
        <v>18.208904094152434</v>
      </c>
      <c r="I31">
        <f t="shared" ca="1" si="4"/>
        <v>4772.9065013609106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1670</v>
      </c>
      <c r="B33" s="66">
        <v>1670</v>
      </c>
      <c r="D33">
        <f t="shared" si="0"/>
        <v>0.7527506952802081</v>
      </c>
      <c r="E33">
        <f t="shared" si="1"/>
        <v>0.7527506952802081</v>
      </c>
      <c r="G33">
        <f t="shared" ca="1" si="2"/>
        <v>31</v>
      </c>
      <c r="H33">
        <f t="shared" ca="1" si="3"/>
        <v>23.33527155368645</v>
      </c>
      <c r="I33">
        <f t="shared" ca="1" si="4"/>
        <v>5462.4982637953517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2426</v>
      </c>
      <c r="B36" s="66">
        <v>2426</v>
      </c>
      <c r="D36">
        <f t="shared" si="0"/>
        <v>1.0935168782932843</v>
      </c>
      <c r="E36">
        <f t="shared" si="1"/>
        <v>1.0935168782932843</v>
      </c>
      <c r="G36">
        <f t="shared" ca="1" si="2"/>
        <v>34</v>
      </c>
      <c r="H36">
        <f t="shared" ca="1" si="3"/>
        <v>37.179573861971662</v>
      </c>
      <c r="I36">
        <f t="shared" ca="1" si="4"/>
        <v>7386.2670908944228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3069</v>
      </c>
      <c r="B39" s="66">
        <v>3069</v>
      </c>
      <c r="D39">
        <f t="shared" si="0"/>
        <v>1.3833484334221309</v>
      </c>
      <c r="E39">
        <f t="shared" si="1"/>
        <v>1.3833484334221309</v>
      </c>
      <c r="G39">
        <f t="shared" ca="1" si="2"/>
        <v>37</v>
      </c>
      <c r="H39">
        <f t="shared" ca="1" si="3"/>
        <v>51.183892036618843</v>
      </c>
      <c r="I39">
        <f t="shared" ca="1" si="4"/>
        <v>8674.2586612693212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4187</v>
      </c>
      <c r="B41" s="66">
        <v>4187</v>
      </c>
      <c r="D41">
        <f t="shared" si="0"/>
        <v>1.8872857252324737</v>
      </c>
      <c r="E41">
        <f t="shared" si="1"/>
        <v>1.8872857252324737</v>
      </c>
      <c r="G41">
        <f t="shared" ca="1" si="2"/>
        <v>39</v>
      </c>
      <c r="H41">
        <f t="shared" ca="1" si="3"/>
        <v>73.604143284066481</v>
      </c>
      <c r="I41">
        <f t="shared" ca="1" si="4"/>
        <v>11243.947339926232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4366</v>
      </c>
      <c r="B44" s="66">
        <v>4366</v>
      </c>
      <c r="D44">
        <f t="shared" si="0"/>
        <v>1.9679697817924482</v>
      </c>
      <c r="E44">
        <f t="shared" si="1"/>
        <v>1.9679697817924482</v>
      </c>
      <c r="G44">
        <f t="shared" ca="1" si="2"/>
        <v>42</v>
      </c>
      <c r="H44">
        <f t="shared" ca="1" si="3"/>
        <v>82.65473083528282</v>
      </c>
      <c r="I44">
        <f t="shared" ca="1" si="4"/>
        <v>10830.950685953587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5023</v>
      </c>
      <c r="B46" s="66">
        <v>5023</v>
      </c>
      <c r="D46">
        <f t="shared" si="0"/>
        <v>2.2641118217919072</v>
      </c>
      <c r="E46">
        <f t="shared" si="1"/>
        <v>2.2641118217919072</v>
      </c>
      <c r="G46">
        <f t="shared" ca="1" si="2"/>
        <v>44</v>
      </c>
      <c r="H46">
        <f t="shared" ca="1" si="3"/>
        <v>99.620920158843916</v>
      </c>
      <c r="I46">
        <f t="shared" ca="1" si="4"/>
        <v>11797.994429206261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6021</v>
      </c>
      <c r="B49" s="66">
        <v>6021</v>
      </c>
      <c r="D49">
        <f t="shared" si="0"/>
        <v>2.7139592432827144</v>
      </c>
      <c r="E49">
        <f t="shared" si="1"/>
        <v>2.7139592432827144</v>
      </c>
      <c r="G49">
        <f t="shared" ca="1" si="2"/>
        <v>47</v>
      </c>
      <c r="H49">
        <f t="shared" ca="1" si="3"/>
        <v>127.55608443428758</v>
      </c>
      <c r="I49">
        <f t="shared" ca="1" si="4"/>
        <v>12991.051832878766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9098</v>
      </c>
      <c r="B51" s="66">
        <v>9098</v>
      </c>
      <c r="D51">
        <f t="shared" si="0"/>
        <v>4.1009136680594809</v>
      </c>
      <c r="E51">
        <f t="shared" si="1"/>
        <v>4.1009136680594809</v>
      </c>
      <c r="G51">
        <f t="shared" ca="1" si="2"/>
        <v>49</v>
      </c>
      <c r="H51">
        <f t="shared" ca="1" si="3"/>
        <v>200.94476973491456</v>
      </c>
      <c r="I51">
        <f t="shared" ca="1" si="4"/>
        <v>18511.554178810031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12013</v>
      </c>
      <c r="B54" s="66">
        <v>12013</v>
      </c>
      <c r="D54">
        <f t="shared" si="0"/>
        <v>5.4148467679048737</v>
      </c>
      <c r="E54">
        <f t="shared" si="1"/>
        <v>5.4148467679048737</v>
      </c>
      <c r="G54">
        <f t="shared" ca="1" si="2"/>
        <v>52</v>
      </c>
      <c r="H54">
        <f t="shared" ca="1" si="3"/>
        <v>281.57203193105346</v>
      </c>
      <c r="I54">
        <f t="shared" ca="1" si="4"/>
        <v>22308.568244093796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15981</v>
      </c>
      <c r="B57" s="66">
        <v>15981</v>
      </c>
      <c r="D57">
        <f t="shared" si="0"/>
        <v>7.2034184798041947</v>
      </c>
      <c r="E57">
        <f t="shared" si="1"/>
        <v>7.2034184798041947</v>
      </c>
      <c r="G57">
        <f t="shared" ca="1" si="2"/>
        <v>55</v>
      </c>
      <c r="H57">
        <f t="shared" ca="1" si="3"/>
        <v>396.18801638923071</v>
      </c>
      <c r="I57">
        <f t="shared" ca="1" si="4"/>
        <v>26967.948760481591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18580</v>
      </c>
      <c r="B59" s="66">
        <v>18580</v>
      </c>
      <c r="D59">
        <f t="shared" si="0"/>
        <v>8.3749149211414764</v>
      </c>
      <c r="E59">
        <f t="shared" si="1"/>
        <v>8.3749149211414764</v>
      </c>
      <c r="G59">
        <f t="shared" ca="1" si="2"/>
        <v>57</v>
      </c>
      <c r="H59">
        <f t="shared" ca="1" si="3"/>
        <v>477.37015050506415</v>
      </c>
      <c r="I59">
        <f t="shared" ca="1" si="4"/>
        <v>29337.540435242779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27062</v>
      </c>
      <c r="B62" s="66">
        <v>27062</v>
      </c>
      <c r="D62">
        <f t="shared" si="0"/>
        <v>12.198167254894006</v>
      </c>
      <c r="E62">
        <f t="shared" si="1"/>
        <v>12.198167254894006</v>
      </c>
      <c r="G62">
        <f t="shared" ca="1" si="2"/>
        <v>60</v>
      </c>
      <c r="H62">
        <f t="shared" ca="1" si="3"/>
        <v>731.89003529364038</v>
      </c>
      <c r="I62">
        <f t="shared" ca="1" si="4"/>
        <v>38508.483432488356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32624</v>
      </c>
      <c r="B64" s="66">
        <v>32624</v>
      </c>
      <c r="D64">
        <f t="shared" si="0"/>
        <v>14.705232744204496</v>
      </c>
      <c r="E64">
        <f t="shared" si="1"/>
        <v>14.705232744204496</v>
      </c>
      <c r="G64">
        <f t="shared" ca="1" si="2"/>
        <v>62</v>
      </c>
      <c r="H64">
        <f t="shared" ca="1" si="3"/>
        <v>911.72443014067869</v>
      </c>
      <c r="I64">
        <f t="shared" ca="1" si="4"/>
        <v>43176.943603104453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38292</v>
      </c>
      <c r="B67" s="66">
        <v>38292</v>
      </c>
      <c r="D67">
        <f t="shared" ref="D67:D130" si="5">IFERROR(100*A67/MAX(A$2:A$257), 0 )</f>
        <v>17.260077618963908</v>
      </c>
      <c r="E67">
        <f t="shared" ref="E67:E130" si="6">IFERROR(100*B67/MAX(B$2:B$257), 0 )</f>
        <v>17.260077618963908</v>
      </c>
      <c r="G67">
        <f t="shared" ref="G67:G130" ca="1" si="7">CELL("row",D67)-2</f>
        <v>65</v>
      </c>
      <c r="H67">
        <f t="shared" ref="H67:H130" ca="1" si="8">D67*G67</f>
        <v>1121.9050452326539</v>
      </c>
      <c r="I67">
        <f t="shared" ref="I67:I130" ca="1" si="9">D67*((G67-$L$1)^2)</f>
        <v>45222.157473764171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50480</v>
      </c>
      <c r="B69" s="66">
        <v>50480</v>
      </c>
      <c r="D69">
        <f t="shared" si="5"/>
        <v>22.753805447751439</v>
      </c>
      <c r="E69">
        <f t="shared" si="6"/>
        <v>22.753805447751439</v>
      </c>
      <c r="G69">
        <f t="shared" ca="1" si="7"/>
        <v>67</v>
      </c>
      <c r="H69">
        <f t="shared" ca="1" si="8"/>
        <v>1524.5049649993464</v>
      </c>
      <c r="I69">
        <f t="shared" ca="1" si="9"/>
        <v>55048.241511688982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59467</v>
      </c>
      <c r="B72" s="66">
        <v>59467</v>
      </c>
      <c r="D72">
        <f t="shared" si="5"/>
        <v>26.804685985765349</v>
      </c>
      <c r="E72">
        <f t="shared" si="6"/>
        <v>26.804685985765349</v>
      </c>
      <c r="G72">
        <f t="shared" ca="1" si="7"/>
        <v>70</v>
      </c>
      <c r="H72">
        <f t="shared" ca="1" si="8"/>
        <v>1876.3280190035744</v>
      </c>
      <c r="I72">
        <f t="shared" ca="1" si="9"/>
        <v>57179.221862291743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71953</v>
      </c>
      <c r="B75" s="66">
        <v>71953</v>
      </c>
      <c r="D75">
        <f t="shared" si="5"/>
        <v>32.432736992513064</v>
      </c>
      <c r="E75">
        <f t="shared" si="6"/>
        <v>32.432736992513064</v>
      </c>
      <c r="G75">
        <f t="shared" ca="1" si="7"/>
        <v>73</v>
      </c>
      <c r="H75">
        <f t="shared" ca="1" si="8"/>
        <v>2367.5898004534538</v>
      </c>
      <c r="I75">
        <f t="shared" ca="1" si="9"/>
        <v>60489.061864716634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82055</v>
      </c>
      <c r="B77" s="66">
        <v>82055</v>
      </c>
      <c r="D77">
        <f t="shared" si="5"/>
        <v>36.986202575579327</v>
      </c>
      <c r="E77">
        <f t="shared" si="6"/>
        <v>36.986202575579327</v>
      </c>
      <c r="G77">
        <f t="shared" ca="1" si="7"/>
        <v>75</v>
      </c>
      <c r="H77">
        <f t="shared" ca="1" si="8"/>
        <v>2773.9651931684493</v>
      </c>
      <c r="I77">
        <f t="shared" ca="1" si="9"/>
        <v>62740.303630860144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88972</v>
      </c>
      <c r="B80" s="66">
        <v>88972</v>
      </c>
      <c r="D80">
        <f t="shared" si="5"/>
        <v>40.104032850581241</v>
      </c>
      <c r="E80">
        <f t="shared" si="6"/>
        <v>40.104032850581241</v>
      </c>
      <c r="G80">
        <f t="shared" ca="1" si="7"/>
        <v>78</v>
      </c>
      <c r="H80">
        <f t="shared" ca="1" si="8"/>
        <v>3128.1145623453367</v>
      </c>
      <c r="I80">
        <f t="shared" ca="1" si="9"/>
        <v>58479.631318430329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103652</v>
      </c>
      <c r="B82" s="66">
        <v>103652</v>
      </c>
      <c r="D82">
        <f t="shared" si="5"/>
        <v>46.721026986337797</v>
      </c>
      <c r="E82">
        <f t="shared" si="6"/>
        <v>46.721026986337797</v>
      </c>
      <c r="G82">
        <f t="shared" ca="1" si="7"/>
        <v>80</v>
      </c>
      <c r="H82">
        <f t="shared" ca="1" si="8"/>
        <v>3737.6821589070237</v>
      </c>
      <c r="I82">
        <f t="shared" ca="1" si="9"/>
        <v>61178.980562669036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116731</v>
      </c>
      <c r="B85" s="66">
        <v>116731</v>
      </c>
      <c r="D85">
        <f t="shared" si="5"/>
        <v>52.616372102247887</v>
      </c>
      <c r="E85">
        <f t="shared" si="6"/>
        <v>52.616372102247887</v>
      </c>
      <c r="G85">
        <f t="shared" ca="1" si="7"/>
        <v>83</v>
      </c>
      <c r="H85">
        <f t="shared" ca="1" si="8"/>
        <v>4367.1588844865746</v>
      </c>
      <c r="I85">
        <f t="shared" ca="1" si="9"/>
        <v>57948.233561157831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133400</v>
      </c>
      <c r="B88" s="66">
        <v>133400</v>
      </c>
      <c r="D88">
        <f t="shared" si="5"/>
        <v>60.129905838550755</v>
      </c>
      <c r="E88">
        <f t="shared" si="6"/>
        <v>60.129905838550755</v>
      </c>
      <c r="G88">
        <f t="shared" ca="1" si="7"/>
        <v>86</v>
      </c>
      <c r="H88">
        <f t="shared" ca="1" si="8"/>
        <v>5171.1719021153649</v>
      </c>
      <c r="I88">
        <f t="shared" ca="1" si="9"/>
        <v>54791.36067286216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150232</v>
      </c>
      <c r="B90" s="66">
        <v>150232</v>
      </c>
      <c r="D90">
        <f t="shared" si="5"/>
        <v>67.716911648704325</v>
      </c>
      <c r="E90">
        <f t="shared" si="6"/>
        <v>67.716911648704325</v>
      </c>
      <c r="G90">
        <f t="shared" ca="1" si="7"/>
        <v>88</v>
      </c>
      <c r="H90">
        <f t="shared" ca="1" si="8"/>
        <v>5959.0882250859804</v>
      </c>
      <c r="I90">
        <f t="shared" ca="1" si="9"/>
        <v>53799.124058159985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154488</v>
      </c>
      <c r="B93" s="66">
        <v>154488</v>
      </c>
      <c r="D93">
        <f t="shared" si="5"/>
        <v>69.635299049370531</v>
      </c>
      <c r="E93">
        <f t="shared" si="6"/>
        <v>69.635299049370531</v>
      </c>
      <c r="G93">
        <f t="shared" ca="1" si="7"/>
        <v>91</v>
      </c>
      <c r="H93">
        <f t="shared" ca="1" si="8"/>
        <v>6336.812213492718</v>
      </c>
      <c r="I93">
        <f t="shared" ca="1" si="9"/>
        <v>44173.35031978647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174574</v>
      </c>
      <c r="B95" s="66">
        <v>174574</v>
      </c>
      <c r="D95">
        <f t="shared" si="5"/>
        <v>78.689041843022181</v>
      </c>
      <c r="E95">
        <f t="shared" si="6"/>
        <v>78.689041843022181</v>
      </c>
      <c r="G95">
        <f t="shared" ca="1" si="7"/>
        <v>93</v>
      </c>
      <c r="H95">
        <f t="shared" ca="1" si="8"/>
        <v>7318.0808914010631</v>
      </c>
      <c r="I95">
        <f t="shared" ca="1" si="9"/>
        <v>42303.81113457169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172908</v>
      </c>
      <c r="B98" s="66">
        <v>172908</v>
      </c>
      <c r="D98">
        <f t="shared" si="5"/>
        <v>77.938094143419292</v>
      </c>
      <c r="E98">
        <f t="shared" si="6"/>
        <v>77.938094143419292</v>
      </c>
      <c r="G98">
        <f t="shared" ca="1" si="7"/>
        <v>96</v>
      </c>
      <c r="H98">
        <f t="shared" ca="1" si="8"/>
        <v>7482.0570377682525</v>
      </c>
      <c r="I98">
        <f t="shared" ca="1" si="9"/>
        <v>31758.933589793767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191698</v>
      </c>
      <c r="B100" s="66">
        <v>191698</v>
      </c>
      <c r="D100">
        <f t="shared" si="5"/>
        <v>86.407666337619958</v>
      </c>
      <c r="E100">
        <f t="shared" si="6"/>
        <v>86.407666337619958</v>
      </c>
      <c r="G100">
        <f t="shared" ca="1" si="7"/>
        <v>98</v>
      </c>
      <c r="H100">
        <f t="shared" ca="1" si="8"/>
        <v>8467.9513010867558</v>
      </c>
      <c r="I100">
        <f t="shared" ca="1" si="9"/>
        <v>28578.797813955509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175818</v>
      </c>
      <c r="B103" s="66">
        <v>175818</v>
      </c>
      <c r="D103">
        <f t="shared" si="5"/>
        <v>79.249773498668034</v>
      </c>
      <c r="E103">
        <f t="shared" si="6"/>
        <v>79.249773498668034</v>
      </c>
      <c r="G103">
        <f t="shared" ca="1" si="7"/>
        <v>101</v>
      </c>
      <c r="H103">
        <f t="shared" ca="1" si="8"/>
        <v>8004.227123365471</v>
      </c>
      <c r="I103">
        <f t="shared" ca="1" si="9"/>
        <v>18277.026687532161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191587</v>
      </c>
      <c r="B106" s="66">
        <v>191587</v>
      </c>
      <c r="D106">
        <f t="shared" si="5"/>
        <v>86.357633207574381</v>
      </c>
      <c r="E106">
        <f t="shared" si="6"/>
        <v>86.357633207574381</v>
      </c>
      <c r="G106">
        <f t="shared" ca="1" si="7"/>
        <v>104</v>
      </c>
      <c r="H106">
        <f t="shared" ca="1" si="8"/>
        <v>8981.1938535877362</v>
      </c>
      <c r="I106">
        <f t="shared" ca="1" si="9"/>
        <v>12824.749947690651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196594</v>
      </c>
      <c r="B108" s="66">
        <v>196594</v>
      </c>
      <c r="D108">
        <f t="shared" si="5"/>
        <v>88.614533046657016</v>
      </c>
      <c r="E108">
        <f t="shared" si="6"/>
        <v>88.614533046657016</v>
      </c>
      <c r="G108">
        <f t="shared" ca="1" si="7"/>
        <v>106</v>
      </c>
      <c r="H108">
        <f t="shared" ca="1" si="8"/>
        <v>9393.1405029456437</v>
      </c>
      <c r="I108">
        <f t="shared" ca="1" si="9"/>
        <v>9194.8192305412595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209591</v>
      </c>
      <c r="B111" s="66">
        <v>209591</v>
      </c>
      <c r="D111">
        <f t="shared" si="5"/>
        <v>94.472916751182083</v>
      </c>
      <c r="E111">
        <f t="shared" si="6"/>
        <v>94.472916751182083</v>
      </c>
      <c r="G111">
        <f t="shared" ca="1" si="7"/>
        <v>109</v>
      </c>
      <c r="H111">
        <f t="shared" ca="1" si="8"/>
        <v>10297.547925878847</v>
      </c>
      <c r="I111">
        <f t="shared" ca="1" si="9"/>
        <v>4878.9407860458996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200175</v>
      </c>
      <c r="B113" s="66">
        <v>200175</v>
      </c>
      <c r="D113">
        <f t="shared" si="5"/>
        <v>90.228664926775835</v>
      </c>
      <c r="E113">
        <f t="shared" si="6"/>
        <v>90.228664926775835</v>
      </c>
      <c r="G113">
        <f t="shared" ca="1" si="7"/>
        <v>111</v>
      </c>
      <c r="H113">
        <f t="shared" ca="1" si="8"/>
        <v>10015.381806872118</v>
      </c>
      <c r="I113">
        <f t="shared" ca="1" si="9"/>
        <v>2427.0026130375795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216503</v>
      </c>
      <c r="B116" s="66">
        <v>216503</v>
      </c>
      <c r="D116">
        <f t="shared" si="5"/>
        <v>97.588493281587361</v>
      </c>
      <c r="E116">
        <f t="shared" si="6"/>
        <v>97.588493281587361</v>
      </c>
      <c r="G116">
        <f t="shared" ca="1" si="7"/>
        <v>114</v>
      </c>
      <c r="H116">
        <f t="shared" ca="1" si="8"/>
        <v>11125.088234100958</v>
      </c>
      <c r="I116">
        <f t="shared" ca="1" si="9"/>
        <v>466.49059763030169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213435</v>
      </c>
      <c r="B118" s="66">
        <v>213435</v>
      </c>
      <c r="D118">
        <f t="shared" si="5"/>
        <v>96.205595597084553</v>
      </c>
      <c r="E118">
        <f t="shared" si="6"/>
        <v>96.205595597084553</v>
      </c>
      <c r="G118">
        <f t="shared" ca="1" si="7"/>
        <v>116</v>
      </c>
      <c r="H118">
        <f t="shared" ca="1" si="8"/>
        <v>11159.849089261808</v>
      </c>
      <c r="I118">
        <f t="shared" ca="1" si="9"/>
        <v>3.3413095454496853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207022</v>
      </c>
      <c r="B121" s="66">
        <v>207022</v>
      </c>
      <c r="D121">
        <f t="shared" si="5"/>
        <v>93.31494277742469</v>
      </c>
      <c r="E121">
        <f t="shared" si="6"/>
        <v>93.31494277742469</v>
      </c>
      <c r="G121">
        <f t="shared" ca="1" si="7"/>
        <v>119</v>
      </c>
      <c r="H121">
        <f t="shared" ca="1" si="8"/>
        <v>11104.478190513539</v>
      </c>
      <c r="I121">
        <f t="shared" ca="1" si="9"/>
        <v>738.73304464203397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221853</v>
      </c>
      <c r="B124" s="66">
        <v>221853</v>
      </c>
      <c r="D124">
        <f t="shared" si="5"/>
        <v>100</v>
      </c>
      <c r="E124">
        <f t="shared" si="6"/>
        <v>100</v>
      </c>
      <c r="G124">
        <f t="shared" ca="1" si="7"/>
        <v>122</v>
      </c>
      <c r="H124">
        <f t="shared" ca="1" si="8"/>
        <v>12200</v>
      </c>
      <c r="I124">
        <f t="shared" ca="1" si="9"/>
        <v>3379.8382669620714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213214</v>
      </c>
      <c r="B126" s="66">
        <v>213214</v>
      </c>
      <c r="D126">
        <f t="shared" si="5"/>
        <v>96.105980085912748</v>
      </c>
      <c r="E126">
        <f t="shared" si="6"/>
        <v>96.105980085912748</v>
      </c>
      <c r="G126">
        <f t="shared" ca="1" si="7"/>
        <v>124</v>
      </c>
      <c r="H126">
        <f t="shared" ca="1" si="8"/>
        <v>11917.14153065318</v>
      </c>
      <c r="I126">
        <f t="shared" ca="1" si="9"/>
        <v>5867.5519871493152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206191</v>
      </c>
      <c r="B129" s="66">
        <v>206191</v>
      </c>
      <c r="D129">
        <f t="shared" si="5"/>
        <v>92.940370425461907</v>
      </c>
      <c r="E129">
        <f t="shared" si="6"/>
        <v>92.940370425461907</v>
      </c>
      <c r="G129">
        <f t="shared" ca="1" si="7"/>
        <v>127</v>
      </c>
      <c r="H129">
        <f t="shared" ca="1" si="8"/>
        <v>11803.427044033662</v>
      </c>
      <c r="I129">
        <f t="shared" ca="1" si="9"/>
        <v>10867.959828370324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208061</v>
      </c>
      <c r="B131" s="66">
        <v>208061</v>
      </c>
      <c r="D131">
        <f t="shared" ref="D131:D194" si="10">IFERROR(100*A131/MAX(A$2:A$257), 0 )</f>
        <v>93.783270904608003</v>
      </c>
      <c r="E131">
        <f t="shared" ref="E131:E194" si="11">IFERROR(100*B131/MAX(B$2:B$257), 0 )</f>
        <v>93.783270904608003</v>
      </c>
      <c r="G131">
        <f t="shared" ref="G131:G194" ca="1" si="12">CELL("row",D131)-2</f>
        <v>129</v>
      </c>
      <c r="H131">
        <f t="shared" ref="H131:H194" ca="1" si="13">D131*G131</f>
        <v>12098.041946694433</v>
      </c>
      <c r="I131">
        <f t="shared" ref="I131:I194" ca="1" si="14">D131*((G131-$L$1)^2)</f>
        <v>15398.210511455265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206057</v>
      </c>
      <c r="B134" s="66">
        <v>206057</v>
      </c>
      <c r="D134">
        <f t="shared" si="10"/>
        <v>92.879970070271753</v>
      </c>
      <c r="E134">
        <f t="shared" si="11"/>
        <v>92.879970070271753</v>
      </c>
      <c r="G134">
        <f t="shared" ca="1" si="12"/>
        <v>132</v>
      </c>
      <c r="H134">
        <f t="shared" ca="1" si="13"/>
        <v>12260.156049275871</v>
      </c>
      <c r="I134">
        <f t="shared" ca="1" si="14"/>
        <v>23226.599587506236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188827</v>
      </c>
      <c r="B136" s="66">
        <v>188827</v>
      </c>
      <c r="D136">
        <f t="shared" si="10"/>
        <v>85.113566190225058</v>
      </c>
      <c r="E136">
        <f t="shared" si="11"/>
        <v>85.113566190225058</v>
      </c>
      <c r="G136">
        <f t="shared" ca="1" si="12"/>
        <v>134</v>
      </c>
      <c r="H136">
        <f t="shared" ca="1" si="13"/>
        <v>11405.217869490158</v>
      </c>
      <c r="I136">
        <f t="shared" ca="1" si="14"/>
        <v>27008.720792351294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179611</v>
      </c>
      <c r="B139" s="66">
        <v>179611</v>
      </c>
      <c r="D139">
        <f t="shared" si="10"/>
        <v>80.959464149684706</v>
      </c>
      <c r="E139">
        <f t="shared" si="11"/>
        <v>80.959464149684706</v>
      </c>
      <c r="G139">
        <f t="shared" ca="1" si="12"/>
        <v>137</v>
      </c>
      <c r="H139">
        <f t="shared" ca="1" si="13"/>
        <v>11091.446588506804</v>
      </c>
      <c r="I139">
        <f t="shared" ca="1" si="14"/>
        <v>35072.248039198588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184613</v>
      </c>
      <c r="B142" s="66">
        <v>184613</v>
      </c>
      <c r="D142">
        <f t="shared" si="10"/>
        <v>83.214110244170683</v>
      </c>
      <c r="E142">
        <f t="shared" si="11"/>
        <v>83.214110244170683</v>
      </c>
      <c r="G142">
        <f t="shared" ca="1" si="12"/>
        <v>140</v>
      </c>
      <c r="H142">
        <f t="shared" ca="1" si="13"/>
        <v>11649.975434183896</v>
      </c>
      <c r="I142">
        <f t="shared" ca="1" si="14"/>
        <v>47189.834682022825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165716</v>
      </c>
      <c r="B144" s="66">
        <v>165716</v>
      </c>
      <c r="D144">
        <f t="shared" si="10"/>
        <v>74.696307915601778</v>
      </c>
      <c r="E144">
        <f t="shared" si="11"/>
        <v>74.696307915601778</v>
      </c>
      <c r="G144">
        <f t="shared" ca="1" si="12"/>
        <v>142</v>
      </c>
      <c r="H144">
        <f t="shared" ca="1" si="13"/>
        <v>10606.875724015452</v>
      </c>
      <c r="I144">
        <f t="shared" ca="1" si="14"/>
        <v>49773.428271386845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144725</v>
      </c>
      <c r="B147" s="66">
        <v>144725</v>
      </c>
      <c r="D147">
        <f t="shared" si="10"/>
        <v>65.234637349956955</v>
      </c>
      <c r="E147">
        <f t="shared" si="11"/>
        <v>65.234637349956955</v>
      </c>
      <c r="G147">
        <f t="shared" ca="1" si="12"/>
        <v>145</v>
      </c>
      <c r="H147">
        <f t="shared" ca="1" si="13"/>
        <v>9459.0224157437588</v>
      </c>
      <c r="I147">
        <f t="shared" ca="1" si="14"/>
        <v>54159.473394137269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128065</v>
      </c>
      <c r="B149" s="66">
        <v>128065</v>
      </c>
      <c r="D149">
        <f t="shared" si="10"/>
        <v>57.725160353928054</v>
      </c>
      <c r="E149">
        <f t="shared" si="11"/>
        <v>57.725160353928054</v>
      </c>
      <c r="G149">
        <f t="shared" ca="1" si="12"/>
        <v>147</v>
      </c>
      <c r="H149">
        <f t="shared" ca="1" si="13"/>
        <v>8485.5985720274239</v>
      </c>
      <c r="I149">
        <f t="shared" ca="1" si="14"/>
        <v>54808.900545936092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112219</v>
      </c>
      <c r="B152" s="66">
        <v>112219</v>
      </c>
      <c r="D152">
        <f t="shared" si="10"/>
        <v>50.582592978233336</v>
      </c>
      <c r="E152">
        <f t="shared" si="11"/>
        <v>50.582592978233336</v>
      </c>
      <c r="G152">
        <f t="shared" ca="1" si="12"/>
        <v>150</v>
      </c>
      <c r="H152">
        <f t="shared" ca="1" si="13"/>
        <v>7587.388946735</v>
      </c>
      <c r="I152">
        <f t="shared" ca="1" si="14"/>
        <v>57834.21926570373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87684</v>
      </c>
      <c r="B154" s="66">
        <v>87684</v>
      </c>
      <c r="D154">
        <f t="shared" si="10"/>
        <v>39.523468242484888</v>
      </c>
      <c r="E154">
        <f t="shared" si="11"/>
        <v>39.523468242484888</v>
      </c>
      <c r="G154">
        <f t="shared" ca="1" si="12"/>
        <v>152</v>
      </c>
      <c r="H154">
        <f t="shared" ca="1" si="13"/>
        <v>6007.5671728577026</v>
      </c>
      <c r="I154">
        <f t="shared" ca="1" si="14"/>
        <v>50693.45809291568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76823</v>
      </c>
      <c r="B157" s="66">
        <v>76823</v>
      </c>
      <c r="D157">
        <f t="shared" si="10"/>
        <v>34.627884229647556</v>
      </c>
      <c r="E157">
        <f t="shared" si="11"/>
        <v>34.627884229647556</v>
      </c>
      <c r="G157">
        <f t="shared" ca="1" si="12"/>
        <v>155</v>
      </c>
      <c r="H157">
        <f t="shared" ca="1" si="13"/>
        <v>5367.3220555953712</v>
      </c>
      <c r="I157">
        <f t="shared" ca="1" si="14"/>
        <v>52166.854516159219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64513</v>
      </c>
      <c r="B160" s="66">
        <v>64513</v>
      </c>
      <c r="D160">
        <f t="shared" si="10"/>
        <v>29.079165032701834</v>
      </c>
      <c r="E160">
        <f t="shared" si="11"/>
        <v>29.079165032701834</v>
      </c>
      <c r="G160">
        <f t="shared" ca="1" si="12"/>
        <v>158</v>
      </c>
      <c r="H160">
        <f t="shared" ca="1" si="13"/>
        <v>4594.5080751668902</v>
      </c>
      <c r="I160">
        <f t="shared" ca="1" si="14"/>
        <v>50841.439083665144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59142</v>
      </c>
      <c r="B162" s="66">
        <v>59142</v>
      </c>
      <c r="D162">
        <f t="shared" si="10"/>
        <v>26.658192586983272</v>
      </c>
      <c r="E162">
        <f t="shared" si="11"/>
        <v>26.658192586983272</v>
      </c>
      <c r="G162">
        <f t="shared" ca="1" si="12"/>
        <v>160</v>
      </c>
      <c r="H162">
        <f t="shared" ca="1" si="13"/>
        <v>4265.3108139173237</v>
      </c>
      <c r="I162">
        <f t="shared" ca="1" si="14"/>
        <v>51173.995360155161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46254</v>
      </c>
      <c r="B165" s="66">
        <v>46254</v>
      </c>
      <c r="D165">
        <f t="shared" si="10"/>
        <v>20.848940514665117</v>
      </c>
      <c r="E165">
        <f t="shared" si="11"/>
        <v>20.848940514665117</v>
      </c>
      <c r="G165">
        <f t="shared" ca="1" si="12"/>
        <v>163</v>
      </c>
      <c r="H165">
        <f t="shared" ca="1" si="13"/>
        <v>3398.3773038904142</v>
      </c>
      <c r="I165">
        <f t="shared" ca="1" si="14"/>
        <v>45690.800680877779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43620</v>
      </c>
      <c r="B167" s="66">
        <v>43620</v>
      </c>
      <c r="D167">
        <f t="shared" si="10"/>
        <v>19.661667861151304</v>
      </c>
      <c r="E167">
        <f t="shared" si="11"/>
        <v>19.661667861151304</v>
      </c>
      <c r="G167">
        <f t="shared" ca="1" si="12"/>
        <v>165</v>
      </c>
      <c r="H167">
        <f t="shared" ca="1" si="13"/>
        <v>3244.1751970899654</v>
      </c>
      <c r="I167">
        <f t="shared" ca="1" si="14"/>
        <v>46849.25631982406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40229</v>
      </c>
      <c r="B170" s="66">
        <v>40229</v>
      </c>
      <c r="D170">
        <f t="shared" si="10"/>
        <v>18.133178275705085</v>
      </c>
      <c r="E170">
        <f t="shared" si="11"/>
        <v>18.133178275705085</v>
      </c>
      <c r="G170">
        <f t="shared" ca="1" si="12"/>
        <v>168</v>
      </c>
      <c r="H170">
        <f t="shared" ca="1" si="13"/>
        <v>3046.3739503184543</v>
      </c>
      <c r="I170">
        <f t="shared" ca="1" si="14"/>
        <v>48681.292292031336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35603</v>
      </c>
      <c r="B173" s="66">
        <v>35603</v>
      </c>
      <c r="D173">
        <f t="shared" si="10"/>
        <v>16.048013774886975</v>
      </c>
      <c r="E173">
        <f t="shared" si="11"/>
        <v>16.048013774886975</v>
      </c>
      <c r="G173">
        <f t="shared" ca="1" si="12"/>
        <v>171</v>
      </c>
      <c r="H173">
        <f t="shared" ca="1" si="13"/>
        <v>2744.2103555056729</v>
      </c>
      <c r="I173">
        <f t="shared" ca="1" si="14"/>
        <v>48216.817011358049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27576</v>
      </c>
      <c r="B175" s="66">
        <v>27576</v>
      </c>
      <c r="D175">
        <f t="shared" si="10"/>
        <v>12.429852199429352</v>
      </c>
      <c r="E175">
        <f t="shared" si="11"/>
        <v>12.429852199429352</v>
      </c>
      <c r="G175">
        <f t="shared" ca="1" si="12"/>
        <v>173</v>
      </c>
      <c r="H175">
        <f t="shared" ca="1" si="13"/>
        <v>2150.3644305012776</v>
      </c>
      <c r="I175">
        <f t="shared" ca="1" si="14"/>
        <v>40120.945452300897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21333</v>
      </c>
      <c r="B178" s="66">
        <v>21333</v>
      </c>
      <c r="D178">
        <f t="shared" si="10"/>
        <v>9.6158266960554961</v>
      </c>
      <c r="E178">
        <f t="shared" si="11"/>
        <v>9.6158266960554961</v>
      </c>
      <c r="G178">
        <f t="shared" ca="1" si="12"/>
        <v>176</v>
      </c>
      <c r="H178">
        <f t="shared" ca="1" si="13"/>
        <v>1692.3854985057674</v>
      </c>
      <c r="I178">
        <f t="shared" ca="1" si="14"/>
        <v>34402.266699599975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16390</v>
      </c>
      <c r="B180" s="66">
        <v>16390</v>
      </c>
      <c r="D180">
        <f t="shared" si="10"/>
        <v>7.3877747878099465</v>
      </c>
      <c r="E180">
        <f t="shared" si="11"/>
        <v>7.3877747878099465</v>
      </c>
      <c r="G180">
        <f t="shared" ca="1" si="12"/>
        <v>178</v>
      </c>
      <c r="H180">
        <f t="shared" ca="1" si="13"/>
        <v>1315.0239122301705</v>
      </c>
      <c r="I180">
        <f t="shared" ca="1" si="14"/>
        <v>28228.139283437871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14342</v>
      </c>
      <c r="B183" s="66">
        <v>14342</v>
      </c>
      <c r="D183">
        <f t="shared" si="10"/>
        <v>6.4646410010231996</v>
      </c>
      <c r="E183">
        <f t="shared" si="11"/>
        <v>6.4646410010231996</v>
      </c>
      <c r="G183">
        <f t="shared" ca="1" si="12"/>
        <v>181</v>
      </c>
      <c r="H183">
        <f t="shared" ca="1" si="13"/>
        <v>1170.1000211851992</v>
      </c>
      <c r="I183">
        <f t="shared" ca="1" si="14"/>
        <v>27156.713208709458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13110</v>
      </c>
      <c r="B185" s="66">
        <v>13110</v>
      </c>
      <c r="D185">
        <f t="shared" si="10"/>
        <v>5.9093183324092982</v>
      </c>
      <c r="E185">
        <f t="shared" si="11"/>
        <v>5.9093183324092982</v>
      </c>
      <c r="G185">
        <f t="shared" ca="1" si="12"/>
        <v>183</v>
      </c>
      <c r="H185">
        <f t="shared" ca="1" si="13"/>
        <v>1081.4052548309016</v>
      </c>
      <c r="I185">
        <f t="shared" ca="1" si="14"/>
        <v>26379.564450007638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12213</v>
      </c>
      <c r="B188" s="66">
        <v>12213</v>
      </c>
      <c r="D188">
        <f t="shared" si="10"/>
        <v>5.5049965517707671</v>
      </c>
      <c r="E188">
        <f t="shared" si="11"/>
        <v>5.5049965517707671</v>
      </c>
      <c r="G188">
        <f t="shared" ca="1" si="12"/>
        <v>186</v>
      </c>
      <c r="H188">
        <f t="shared" ca="1" si="13"/>
        <v>1023.9293586293627</v>
      </c>
      <c r="I188">
        <f t="shared" ca="1" si="14"/>
        <v>26831.044920429813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6335</v>
      </c>
      <c r="B191" s="66">
        <v>6335</v>
      </c>
      <c r="D191">
        <f t="shared" si="10"/>
        <v>2.8554944039521666</v>
      </c>
      <c r="E191">
        <f t="shared" si="11"/>
        <v>2.8554944039521666</v>
      </c>
      <c r="G191">
        <f t="shared" ca="1" si="12"/>
        <v>189</v>
      </c>
      <c r="H191">
        <f t="shared" ca="1" si="13"/>
        <v>539.6884423469595</v>
      </c>
      <c r="I191">
        <f t="shared" ca="1" si="14"/>
        <v>15139.333980086394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5057</v>
      </c>
      <c r="B193" s="66">
        <v>5057</v>
      </c>
      <c r="D193">
        <f t="shared" si="10"/>
        <v>2.2794372850491089</v>
      </c>
      <c r="E193">
        <f t="shared" si="11"/>
        <v>2.2794372850491089</v>
      </c>
      <c r="G193">
        <f t="shared" ca="1" si="12"/>
        <v>191</v>
      </c>
      <c r="H193">
        <f t="shared" ca="1" si="13"/>
        <v>435.3725214443798</v>
      </c>
      <c r="I193">
        <f t="shared" ca="1" si="14"/>
        <v>12758.193700360805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3817</v>
      </c>
      <c r="B196" s="66">
        <v>3817</v>
      </c>
      <c r="D196">
        <f t="shared" si="15"/>
        <v>1.7205086250805715</v>
      </c>
      <c r="E196">
        <f t="shared" si="16"/>
        <v>1.7205086250805715</v>
      </c>
      <c r="G196">
        <f t="shared" ca="1" si="17"/>
        <v>194</v>
      </c>
      <c r="H196">
        <f t="shared" ca="1" si="18"/>
        <v>333.77867326563086</v>
      </c>
      <c r="I196">
        <f t="shared" ca="1" si="19"/>
        <v>10417.614695792132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2284</v>
      </c>
      <c r="B198" s="66">
        <v>2284</v>
      </c>
      <c r="D198">
        <f t="shared" si="15"/>
        <v>1.0295105317485</v>
      </c>
      <c r="E198">
        <f t="shared" si="16"/>
        <v>1.0295105317485</v>
      </c>
      <c r="G198">
        <f t="shared" ca="1" si="17"/>
        <v>196</v>
      </c>
      <c r="H198">
        <f t="shared" ca="1" si="18"/>
        <v>201.78406422270601</v>
      </c>
      <c r="I198">
        <f t="shared" ca="1" si="19"/>
        <v>6558.2052379267998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1094</v>
      </c>
      <c r="B201" s="66">
        <v>1094</v>
      </c>
      <c r="D201">
        <f t="shared" si="15"/>
        <v>0.49311931774643569</v>
      </c>
      <c r="E201">
        <f t="shared" si="16"/>
        <v>0.49311931774643569</v>
      </c>
      <c r="G201">
        <f t="shared" ca="1" si="17"/>
        <v>199</v>
      </c>
      <c r="H201">
        <f t="shared" ca="1" si="18"/>
        <v>98.130744231540703</v>
      </c>
      <c r="I201">
        <f t="shared" ca="1" si="19"/>
        <v>3381.8608928219705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374</v>
      </c>
      <c r="B203" s="66">
        <v>374</v>
      </c>
      <c r="D203">
        <f t="shared" si="15"/>
        <v>0.16858009582922026</v>
      </c>
      <c r="E203">
        <f t="shared" si="16"/>
        <v>0.16858009582922026</v>
      </c>
      <c r="G203">
        <f t="shared" ca="1" si="17"/>
        <v>201</v>
      </c>
      <c r="H203">
        <f t="shared" ca="1" si="18"/>
        <v>33.884599261673273</v>
      </c>
      <c r="I203">
        <f t="shared" ca="1" si="19"/>
        <v>1212.6561600917103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406</v>
      </c>
      <c r="B1" s="68" t="s">
        <v>407</v>
      </c>
      <c r="C1" s="32" t="s">
        <v>408</v>
      </c>
      <c r="D1" s="32" t="s">
        <v>409</v>
      </c>
      <c r="E1" s="32" t="s">
        <v>410</v>
      </c>
    </row>
    <row r="2" spans="1:5">
      <c r="A2" s="68">
        <v>0.21557599999999999</v>
      </c>
      <c r="B2" s="68">
        <v>0.67322199999999999</v>
      </c>
      <c r="C2" s="68">
        <v>0</v>
      </c>
      <c r="D2" s="68">
        <v>1</v>
      </c>
      <c r="E2" s="68" t="s">
        <v>411</v>
      </c>
    </row>
    <row r="3" spans="1:5">
      <c r="A3" s="68">
        <v>0.21887599999999999</v>
      </c>
      <c r="B3" s="68">
        <v>0.67273300000000003</v>
      </c>
      <c r="C3" s="68">
        <v>0.36688700000000002</v>
      </c>
      <c r="D3" s="89">
        <v>1</v>
      </c>
      <c r="E3" s="68" t="s">
        <v>412</v>
      </c>
    </row>
    <row r="4" spans="1:5">
      <c r="A4" s="68">
        <v>0.222078</v>
      </c>
      <c r="B4" s="68">
        <v>0.67152900000000004</v>
      </c>
      <c r="C4" s="68">
        <v>0.77391500000000002</v>
      </c>
      <c r="D4" s="89">
        <v>1</v>
      </c>
      <c r="E4" s="68" t="s">
        <v>413</v>
      </c>
    </row>
    <row r="5" spans="1:5">
      <c r="A5" s="89">
        <v>0.225135</v>
      </c>
      <c r="B5" s="89">
        <v>0.66898999999999997</v>
      </c>
      <c r="C5" s="89">
        <v>1.17879</v>
      </c>
      <c r="D5" s="89">
        <v>1</v>
      </c>
      <c r="E5" s="68" t="s">
        <v>414</v>
      </c>
    </row>
    <row r="6" spans="1:5">
      <c r="A6" s="68">
        <v>0.22803799999999999</v>
      </c>
      <c r="B6" s="68">
        <v>0.66479699999999997</v>
      </c>
      <c r="C6" s="68">
        <v>1.58758</v>
      </c>
      <c r="D6" s="68">
        <v>1</v>
      </c>
      <c r="E6" s="68" t="s">
        <v>415</v>
      </c>
    </row>
    <row r="7" spans="1:5">
      <c r="A7" s="68">
        <v>0.23091700000000001</v>
      </c>
      <c r="B7" s="68">
        <v>0.65969999999999995</v>
      </c>
      <c r="C7" s="68">
        <v>1.9903900000000001</v>
      </c>
      <c r="D7" s="68">
        <v>1</v>
      </c>
      <c r="E7" s="68" t="s">
        <v>416</v>
      </c>
    </row>
    <row r="8" spans="1:5">
      <c r="A8" s="68">
        <v>0.234039</v>
      </c>
      <c r="B8" s="68">
        <v>0.65317099999999995</v>
      </c>
      <c r="C8" s="68">
        <v>2.39846</v>
      </c>
      <c r="D8" s="68">
        <v>1</v>
      </c>
      <c r="E8" s="68" t="s">
        <v>417</v>
      </c>
    </row>
    <row r="9" spans="1:5">
      <c r="A9" s="68">
        <v>0.237178</v>
      </c>
      <c r="B9" s="68">
        <v>0.64644599999999997</v>
      </c>
      <c r="C9" s="68">
        <v>2.8031600000000001</v>
      </c>
      <c r="D9" s="68">
        <v>1</v>
      </c>
      <c r="E9" s="68" t="s">
        <v>418</v>
      </c>
    </row>
    <row r="10" spans="1:5">
      <c r="A10" s="68">
        <v>0.24035699999999999</v>
      </c>
      <c r="B10" s="68">
        <v>0.63986699999999996</v>
      </c>
      <c r="C10" s="68">
        <v>3.2112799999999999</v>
      </c>
      <c r="D10" s="68">
        <v>1</v>
      </c>
      <c r="E10" s="68" t="s">
        <v>419</v>
      </c>
    </row>
    <row r="11" spans="1:5">
      <c r="A11" s="68">
        <v>0.243561</v>
      </c>
      <c r="B11" s="68">
        <v>0.63302000000000003</v>
      </c>
      <c r="C11" s="68">
        <v>3.6184799999999999</v>
      </c>
      <c r="D11" s="68">
        <v>1</v>
      </c>
      <c r="E11" s="68" t="s">
        <v>420</v>
      </c>
    </row>
    <row r="12" spans="1:5">
      <c r="A12" s="68">
        <v>0.24662800000000001</v>
      </c>
      <c r="B12" s="68">
        <v>0.62621899999999997</v>
      </c>
      <c r="C12" s="68">
        <v>4.0210299999999997</v>
      </c>
      <c r="D12" s="68">
        <v>1</v>
      </c>
      <c r="E12" s="68" t="s">
        <v>421</v>
      </c>
    </row>
    <row r="13" spans="1:5">
      <c r="A13" s="68">
        <v>0.249746</v>
      </c>
      <c r="B13" s="68">
        <v>0.61935099999999998</v>
      </c>
      <c r="C13" s="68">
        <v>4.4290500000000002</v>
      </c>
      <c r="D13" s="68">
        <v>1</v>
      </c>
      <c r="E13" s="68" t="s">
        <v>422</v>
      </c>
    </row>
    <row r="14" spans="1:5">
      <c r="A14" s="68">
        <v>0.25293100000000002</v>
      </c>
      <c r="B14" s="68">
        <v>0.61216400000000004</v>
      </c>
      <c r="C14" s="68">
        <v>4.8327</v>
      </c>
      <c r="D14" s="68">
        <v>1</v>
      </c>
      <c r="E14" s="68" t="s">
        <v>423</v>
      </c>
    </row>
    <row r="15" spans="1:5">
      <c r="A15" s="68">
        <v>0.25637700000000002</v>
      </c>
      <c r="B15" s="68">
        <v>0.60487299999999999</v>
      </c>
      <c r="C15" s="68">
        <v>5.2411399999999997</v>
      </c>
      <c r="D15" s="68">
        <v>1</v>
      </c>
      <c r="E15" s="68" t="s">
        <v>424</v>
      </c>
    </row>
    <row r="16" spans="1:5">
      <c r="A16" s="68">
        <v>0.26014100000000001</v>
      </c>
      <c r="B16" s="68">
        <v>0.59685600000000005</v>
      </c>
      <c r="C16" s="68">
        <v>5.6464999999999996</v>
      </c>
      <c r="D16" s="68">
        <v>1</v>
      </c>
      <c r="E16" s="68" t="s">
        <v>425</v>
      </c>
    </row>
    <row r="17" spans="1:5">
      <c r="A17" s="68">
        <v>0.26413500000000001</v>
      </c>
      <c r="B17" s="68">
        <v>0.58871899999999999</v>
      </c>
      <c r="C17" s="68">
        <v>6.0575900000000003</v>
      </c>
      <c r="D17" s="68">
        <v>1</v>
      </c>
      <c r="E17" s="68" t="s">
        <v>426</v>
      </c>
    </row>
    <row r="18" spans="1:5">
      <c r="A18" s="68">
        <v>0.26798100000000002</v>
      </c>
      <c r="B18" s="68">
        <v>0.58199400000000001</v>
      </c>
      <c r="C18" s="68">
        <v>6.4595900000000004</v>
      </c>
      <c r="D18" s="68">
        <v>1</v>
      </c>
      <c r="E18" s="68" t="s">
        <v>427</v>
      </c>
    </row>
    <row r="19" spans="1:5">
      <c r="A19" s="68">
        <v>0.27165600000000001</v>
      </c>
      <c r="B19" s="68">
        <v>0.57677699999999998</v>
      </c>
      <c r="C19" s="68">
        <v>6.8643799999999997</v>
      </c>
      <c r="D19" s="68">
        <v>1</v>
      </c>
      <c r="E19" s="68" t="s">
        <v>428</v>
      </c>
    </row>
    <row r="20" spans="1:5">
      <c r="A20" s="68">
        <v>0.275424</v>
      </c>
      <c r="B20" s="68">
        <v>0.57196899999999995</v>
      </c>
      <c r="C20" s="68">
        <v>7.2694099999999997</v>
      </c>
      <c r="D20" s="68">
        <v>1</v>
      </c>
      <c r="E20" s="68" t="s">
        <v>429</v>
      </c>
    </row>
    <row r="21" spans="1:5">
      <c r="A21" s="68">
        <v>0.27929700000000002</v>
      </c>
      <c r="B21" s="68">
        <v>0.56664800000000004</v>
      </c>
      <c r="C21" s="68">
        <v>7.6803400000000002</v>
      </c>
      <c r="D21" s="68">
        <v>1</v>
      </c>
      <c r="E21" s="68" t="s">
        <v>430</v>
      </c>
    </row>
    <row r="22" spans="1:5">
      <c r="A22" s="68">
        <v>0.28348499999999999</v>
      </c>
      <c r="B22" s="68">
        <v>0.56069199999999997</v>
      </c>
      <c r="C22" s="68">
        <v>8.08568</v>
      </c>
      <c r="D22" s="68">
        <v>1</v>
      </c>
      <c r="E22" s="68" t="s">
        <v>431</v>
      </c>
    </row>
    <row r="23" spans="1:5">
      <c r="A23" s="68">
        <v>0.28803699999999999</v>
      </c>
      <c r="B23" s="68">
        <v>0.55391500000000005</v>
      </c>
      <c r="C23" s="68">
        <v>8.4936199999999999</v>
      </c>
      <c r="D23" s="68">
        <v>1</v>
      </c>
      <c r="E23" s="68" t="s">
        <v>432</v>
      </c>
    </row>
    <row r="24" spans="1:5">
      <c r="A24" s="68">
        <v>0.29292499999999999</v>
      </c>
      <c r="B24" s="68">
        <v>0.54597799999999996</v>
      </c>
      <c r="C24" s="68">
        <v>8.8960000000000008</v>
      </c>
      <c r="D24" s="68">
        <v>1</v>
      </c>
      <c r="E24" s="68" t="s">
        <v>433</v>
      </c>
    </row>
    <row r="25" spans="1:5">
      <c r="A25" s="68">
        <v>0.29813099999999998</v>
      </c>
      <c r="B25" s="68">
        <v>0.537524</v>
      </c>
      <c r="C25" s="68">
        <v>9.3033999999999999</v>
      </c>
      <c r="D25" s="68">
        <v>1</v>
      </c>
      <c r="E25" s="68" t="s">
        <v>434</v>
      </c>
    </row>
    <row r="26" spans="1:5">
      <c r="A26" s="68">
        <v>0.30337999999999998</v>
      </c>
      <c r="B26" s="68">
        <v>0.529972</v>
      </c>
      <c r="C26" s="68">
        <v>9.7083499999999994</v>
      </c>
      <c r="D26" s="68">
        <v>1</v>
      </c>
      <c r="E26" s="68" t="s">
        <v>435</v>
      </c>
    </row>
    <row r="27" spans="1:5">
      <c r="A27" s="68">
        <v>0.30863499999999999</v>
      </c>
      <c r="B27" s="68">
        <v>0.52274799999999999</v>
      </c>
      <c r="C27" s="68">
        <v>10.1144</v>
      </c>
      <c r="D27" s="68">
        <v>1</v>
      </c>
      <c r="E27" s="68" t="s">
        <v>436</v>
      </c>
    </row>
    <row r="28" spans="1:5">
      <c r="A28" s="68">
        <v>0.31375999999999998</v>
      </c>
      <c r="B28" s="68">
        <v>0.51664900000000002</v>
      </c>
      <c r="C28" s="68">
        <v>10.523199999999999</v>
      </c>
      <c r="D28" s="68">
        <v>1</v>
      </c>
      <c r="E28" s="68" t="s">
        <v>437</v>
      </c>
    </row>
    <row r="29" spans="1:5">
      <c r="A29" s="68">
        <v>0.31898199999999999</v>
      </c>
      <c r="B29" s="68">
        <v>0.51100999999999996</v>
      </c>
      <c r="C29" s="68">
        <v>10.928699999999999</v>
      </c>
      <c r="D29" s="68">
        <v>1</v>
      </c>
      <c r="E29" s="68" t="s">
        <v>438</v>
      </c>
    </row>
    <row r="30" spans="1:5">
      <c r="A30" s="68">
        <v>0.32440000000000002</v>
      </c>
      <c r="B30" s="68">
        <v>0.50585800000000003</v>
      </c>
      <c r="C30" s="68">
        <v>11.333500000000001</v>
      </c>
      <c r="D30" s="68">
        <v>1</v>
      </c>
      <c r="E30" s="68" t="s">
        <v>439</v>
      </c>
    </row>
    <row r="31" spans="1:5">
      <c r="A31" s="68">
        <v>0.33022400000000002</v>
      </c>
      <c r="B31" s="68">
        <v>0.499778</v>
      </c>
      <c r="C31" s="68">
        <v>11.743399999999999</v>
      </c>
      <c r="D31" s="68">
        <v>1</v>
      </c>
      <c r="E31" s="68" t="s">
        <v>440</v>
      </c>
    </row>
    <row r="32" spans="1:5">
      <c r="A32" s="68">
        <v>0.33585700000000002</v>
      </c>
      <c r="B32" s="68">
        <v>0.49380299999999999</v>
      </c>
      <c r="C32" s="68">
        <v>12.1503</v>
      </c>
      <c r="D32" s="68">
        <v>1</v>
      </c>
      <c r="E32" s="68" t="s">
        <v>441</v>
      </c>
    </row>
    <row r="33" spans="1:5">
      <c r="A33" s="68">
        <v>0.34110800000000002</v>
      </c>
      <c r="B33" s="68">
        <v>0.48818699999999998</v>
      </c>
      <c r="C33" s="68">
        <v>12.5572</v>
      </c>
      <c r="D33" s="68">
        <v>1</v>
      </c>
      <c r="E33" s="68" t="s">
        <v>442</v>
      </c>
    </row>
    <row r="34" spans="1:5">
      <c r="A34" s="68">
        <v>0.346412</v>
      </c>
      <c r="B34" s="68">
        <v>0.48289799999999999</v>
      </c>
      <c r="C34" s="68">
        <v>12.960100000000001</v>
      </c>
      <c r="D34" s="68">
        <v>1</v>
      </c>
      <c r="E34" s="68" t="s">
        <v>443</v>
      </c>
    </row>
    <row r="35" spans="1:5">
      <c r="A35" s="68">
        <v>0.35170000000000001</v>
      </c>
      <c r="B35" s="68">
        <v>0.47838900000000001</v>
      </c>
      <c r="C35" s="68">
        <v>13.3651</v>
      </c>
      <c r="D35" s="68">
        <v>1</v>
      </c>
      <c r="E35" s="68" t="s">
        <v>444</v>
      </c>
    </row>
    <row r="36" spans="1:5">
      <c r="A36" s="68">
        <v>0.35724400000000001</v>
      </c>
      <c r="B36" s="68">
        <v>0.47552800000000001</v>
      </c>
      <c r="C36" s="68">
        <v>13.7721</v>
      </c>
      <c r="D36" s="68">
        <v>1</v>
      </c>
      <c r="E36" s="68" t="s">
        <v>445</v>
      </c>
    </row>
    <row r="37" spans="1:5">
      <c r="A37" s="68">
        <v>0.36220200000000002</v>
      </c>
      <c r="B37" s="68">
        <v>0.474331</v>
      </c>
      <c r="C37" s="68">
        <v>14.1799</v>
      </c>
      <c r="D37" s="68">
        <v>1</v>
      </c>
      <c r="E37" s="68" t="s">
        <v>446</v>
      </c>
    </row>
    <row r="38" spans="1:5">
      <c r="A38" s="68">
        <v>0.36722700000000003</v>
      </c>
      <c r="B38" s="68">
        <v>0.47387400000000002</v>
      </c>
      <c r="C38" s="68">
        <v>14.583399999999999</v>
      </c>
      <c r="D38" s="68">
        <v>1</v>
      </c>
      <c r="E38" s="68" t="s">
        <v>447</v>
      </c>
    </row>
    <row r="39" spans="1:5">
      <c r="A39" s="68">
        <v>0.37192700000000001</v>
      </c>
      <c r="B39" s="68">
        <v>0.474387</v>
      </c>
      <c r="C39" s="68">
        <v>14.9903</v>
      </c>
      <c r="D39" s="68">
        <v>1</v>
      </c>
      <c r="E39" s="68" t="s">
        <v>448</v>
      </c>
    </row>
    <row r="40" spans="1:5">
      <c r="A40" s="68">
        <v>0.37637900000000002</v>
      </c>
      <c r="B40" s="68">
        <v>0.47446500000000003</v>
      </c>
      <c r="C40" s="68">
        <v>15.400700000000001</v>
      </c>
      <c r="D40" s="68">
        <v>1</v>
      </c>
      <c r="E40" s="68" t="s">
        <v>449</v>
      </c>
    </row>
    <row r="41" spans="1:5">
      <c r="A41" s="68">
        <v>0.38034200000000001</v>
      </c>
      <c r="B41" s="68">
        <v>0.47436800000000001</v>
      </c>
      <c r="C41" s="68">
        <v>15.8055</v>
      </c>
      <c r="D41" s="68">
        <v>1</v>
      </c>
      <c r="E41" s="68" t="s">
        <v>450</v>
      </c>
    </row>
    <row r="42" spans="1:5">
      <c r="A42" s="68">
        <v>0.38403300000000001</v>
      </c>
      <c r="B42" s="68">
        <v>0.47402</v>
      </c>
      <c r="C42" s="68">
        <v>16.209599999999998</v>
      </c>
      <c r="D42" s="68">
        <v>1</v>
      </c>
      <c r="E42" s="68" t="s">
        <v>451</v>
      </c>
    </row>
    <row r="43" spans="1:5">
      <c r="A43" s="68">
        <v>0.38768799999999998</v>
      </c>
      <c r="B43" s="68">
        <v>0.47420499999999999</v>
      </c>
      <c r="C43" s="68">
        <v>16.6173</v>
      </c>
      <c r="D43" s="68">
        <v>1</v>
      </c>
      <c r="E43" s="68" t="s">
        <v>452</v>
      </c>
    </row>
    <row r="44" spans="1:5">
      <c r="A44" s="68">
        <v>0.39129000000000003</v>
      </c>
      <c r="B44" s="68">
        <v>0.47514299999999998</v>
      </c>
      <c r="C44" s="68">
        <v>17.021100000000001</v>
      </c>
      <c r="D44" s="68">
        <v>1</v>
      </c>
      <c r="E44" s="68" t="s">
        <v>453</v>
      </c>
    </row>
    <row r="45" spans="1:5">
      <c r="A45" s="68">
        <v>0.39447700000000002</v>
      </c>
      <c r="B45" s="68">
        <v>0.47622100000000001</v>
      </c>
      <c r="C45" s="68">
        <v>17.426200000000001</v>
      </c>
      <c r="D45" s="68">
        <v>1</v>
      </c>
      <c r="E45" s="68" t="s">
        <v>454</v>
      </c>
    </row>
    <row r="46" spans="1:5">
      <c r="A46" s="68">
        <v>0.39693800000000001</v>
      </c>
      <c r="B46" s="68">
        <v>0.47678199999999998</v>
      </c>
      <c r="C46" s="68">
        <v>17.834499999999998</v>
      </c>
      <c r="D46" s="68">
        <v>1</v>
      </c>
      <c r="E46" s="68" t="s">
        <v>455</v>
      </c>
    </row>
    <row r="47" spans="1:5">
      <c r="A47" s="68">
        <v>0.39883800000000003</v>
      </c>
      <c r="B47" s="68">
        <v>0.47629199999999999</v>
      </c>
      <c r="C47" s="68">
        <v>18.242999999999999</v>
      </c>
      <c r="D47" s="68">
        <v>1</v>
      </c>
      <c r="E47" s="68" t="s">
        <v>456</v>
      </c>
    </row>
    <row r="48" spans="1:5">
      <c r="A48" s="68">
        <v>0.40010899999999999</v>
      </c>
      <c r="B48" s="68">
        <v>0.47521999999999998</v>
      </c>
      <c r="C48" s="68">
        <v>18.649899999999999</v>
      </c>
      <c r="D48" s="68">
        <v>1</v>
      </c>
      <c r="E48" s="68" t="s">
        <v>457</v>
      </c>
    </row>
    <row r="49" spans="1:5">
      <c r="A49" s="68">
        <v>0.40091100000000002</v>
      </c>
      <c r="B49" s="68">
        <v>0.473607</v>
      </c>
      <c r="C49" s="68">
        <v>19.052499999999998</v>
      </c>
      <c r="D49" s="68">
        <v>1</v>
      </c>
      <c r="E49" s="68" t="s">
        <v>458</v>
      </c>
    </row>
    <row r="50" spans="1:5">
      <c r="A50" s="68">
        <v>0.40145799999999998</v>
      </c>
      <c r="B50" s="68">
        <v>0.47125699999999998</v>
      </c>
      <c r="C50" s="68">
        <v>19.459800000000001</v>
      </c>
      <c r="D50" s="68">
        <v>1</v>
      </c>
      <c r="E50" s="68" t="s">
        <v>459</v>
      </c>
    </row>
    <row r="51" spans="1:5">
      <c r="A51" s="68">
        <v>0.40198200000000001</v>
      </c>
      <c r="B51" s="68">
        <v>0.46857500000000002</v>
      </c>
      <c r="C51" s="68">
        <v>19.8659</v>
      </c>
      <c r="D51" s="68">
        <v>1</v>
      </c>
      <c r="E51" s="68" t="s">
        <v>460</v>
      </c>
    </row>
    <row r="52" spans="1:5">
      <c r="A52" s="68">
        <v>0.40260099999999999</v>
      </c>
      <c r="B52" s="68">
        <v>0.46688000000000002</v>
      </c>
      <c r="C52" s="68">
        <v>20.273599999999998</v>
      </c>
      <c r="D52" s="68">
        <v>1</v>
      </c>
      <c r="E52" s="68" t="s">
        <v>461</v>
      </c>
    </row>
    <row r="53" spans="1:5">
      <c r="A53" s="68">
        <v>0.40295700000000001</v>
      </c>
      <c r="B53" s="68">
        <v>0.46440799999999999</v>
      </c>
      <c r="C53" s="68">
        <v>20.6816</v>
      </c>
      <c r="D53" s="68">
        <v>1</v>
      </c>
      <c r="E53" s="68" t="s">
        <v>462</v>
      </c>
    </row>
    <row r="54" spans="1:5">
      <c r="A54" s="68">
        <v>0.40307700000000002</v>
      </c>
      <c r="B54" s="68">
        <v>0.46104200000000001</v>
      </c>
      <c r="C54" s="68">
        <v>21.083300000000001</v>
      </c>
      <c r="D54" s="68">
        <v>1</v>
      </c>
      <c r="E54" s="68" t="s">
        <v>463</v>
      </c>
    </row>
    <row r="55" spans="1:5">
      <c r="A55" s="68">
        <v>0.402669</v>
      </c>
      <c r="B55" s="68">
        <v>0.457154</v>
      </c>
      <c r="C55" s="68">
        <v>21.491399999999999</v>
      </c>
      <c r="D55" s="68">
        <v>1</v>
      </c>
      <c r="E55" s="68" t="s">
        <v>464</v>
      </c>
    </row>
    <row r="56" spans="1:5">
      <c r="A56" s="68">
        <v>0.40163900000000002</v>
      </c>
      <c r="B56" s="68">
        <v>0.45359100000000002</v>
      </c>
      <c r="C56" s="68">
        <v>21.897500000000001</v>
      </c>
      <c r="D56" s="68">
        <v>1</v>
      </c>
      <c r="E56" s="68" t="s">
        <v>465</v>
      </c>
    </row>
    <row r="57" spans="1:5">
      <c r="A57" s="68">
        <v>0.40028799999999998</v>
      </c>
      <c r="B57" s="68">
        <v>0.451349</v>
      </c>
      <c r="C57" s="68">
        <v>22.305199999999999</v>
      </c>
      <c r="D57" s="68">
        <v>1</v>
      </c>
      <c r="E57" s="68" t="s">
        <v>466</v>
      </c>
    </row>
    <row r="58" spans="1:5">
      <c r="A58" s="68">
        <v>0.39893099999999998</v>
      </c>
      <c r="B58" s="68">
        <v>0.45052700000000001</v>
      </c>
      <c r="C58" s="68">
        <v>22.713100000000001</v>
      </c>
      <c r="D58" s="68">
        <v>1</v>
      </c>
      <c r="E58" s="68" t="s">
        <v>467</v>
      </c>
    </row>
    <row r="59" spans="1:5">
      <c r="A59" s="68">
        <v>0.39755699999999999</v>
      </c>
      <c r="B59" s="68">
        <v>0.45054899999999998</v>
      </c>
      <c r="C59" s="68">
        <v>23.114899999999999</v>
      </c>
      <c r="D59" s="68">
        <v>1</v>
      </c>
      <c r="E59" s="68" t="s">
        <v>468</v>
      </c>
    </row>
    <row r="60" spans="1:5">
      <c r="A60" s="68">
        <v>0.39654299999999998</v>
      </c>
      <c r="B60" s="68">
        <v>0.45104499999999997</v>
      </c>
      <c r="C60" s="68">
        <v>23.521799999999999</v>
      </c>
      <c r="D60" s="68">
        <v>1</v>
      </c>
      <c r="E60" s="68" t="s">
        <v>469</v>
      </c>
    </row>
    <row r="61" spans="1:5">
      <c r="A61" s="68">
        <v>0.39551500000000001</v>
      </c>
      <c r="B61" s="68">
        <v>0.45091500000000001</v>
      </c>
      <c r="C61" s="68">
        <v>23.930499999999999</v>
      </c>
      <c r="D61" s="68">
        <v>1</v>
      </c>
      <c r="E61" s="68" t="s">
        <v>470</v>
      </c>
    </row>
    <row r="62" spans="1:5">
      <c r="A62" s="68">
        <v>0.39528099999999999</v>
      </c>
      <c r="B62" s="68">
        <v>0.45055899999999999</v>
      </c>
      <c r="C62" s="68">
        <v>24.335899999999999</v>
      </c>
      <c r="D62" s="68">
        <v>1</v>
      </c>
      <c r="E62" s="68" t="s">
        <v>471</v>
      </c>
    </row>
    <row r="63" spans="1:5">
      <c r="A63" s="68">
        <v>0.39509</v>
      </c>
      <c r="B63" s="68">
        <v>0.44994600000000001</v>
      </c>
      <c r="C63" s="68">
        <v>24.741299999999999</v>
      </c>
      <c r="D63" s="68">
        <v>1</v>
      </c>
      <c r="E63" s="68" t="s">
        <v>472</v>
      </c>
    </row>
    <row r="64" spans="1:5">
      <c r="A64" s="68">
        <v>0.39522299999999999</v>
      </c>
      <c r="B64" s="68">
        <v>0.44999699999999998</v>
      </c>
      <c r="C64" s="68">
        <v>25.148599999999998</v>
      </c>
      <c r="D64" s="68">
        <v>1</v>
      </c>
      <c r="E64" s="68" t="s">
        <v>473</v>
      </c>
    </row>
    <row r="65" spans="1:5">
      <c r="A65" s="68">
        <v>0.39573399999999997</v>
      </c>
      <c r="B65" s="68">
        <v>0.450347</v>
      </c>
      <c r="C65" s="68">
        <v>25.5547</v>
      </c>
      <c r="D65" s="68">
        <v>1</v>
      </c>
      <c r="E65" s="68" t="s">
        <v>474</v>
      </c>
    </row>
    <row r="66" spans="1:5">
      <c r="A66" s="68">
        <v>0.39673999999999998</v>
      </c>
      <c r="B66" s="68">
        <v>0.45077</v>
      </c>
      <c r="C66" s="68">
        <v>25.9605</v>
      </c>
      <c r="D66" s="68">
        <v>1</v>
      </c>
      <c r="E66" s="68" t="s">
        <v>475</v>
      </c>
    </row>
    <row r="67" spans="1:5">
      <c r="A67" s="68">
        <v>0.39818799999999999</v>
      </c>
      <c r="B67" s="68">
        <v>0.45137300000000002</v>
      </c>
      <c r="C67" s="68">
        <v>26.369599999999998</v>
      </c>
      <c r="D67" s="68">
        <v>1</v>
      </c>
      <c r="E67" s="68" t="s">
        <v>476</v>
      </c>
    </row>
    <row r="68" spans="1:5">
      <c r="A68" s="68">
        <v>0.40032699999999999</v>
      </c>
      <c r="B68" s="68">
        <v>0.45106299999999999</v>
      </c>
      <c r="C68" s="68">
        <v>26.772200000000002</v>
      </c>
      <c r="D68" s="68">
        <v>1</v>
      </c>
      <c r="E68" s="68" t="s">
        <v>477</v>
      </c>
    </row>
    <row r="69" spans="1:5">
      <c r="A69" s="68">
        <v>0.40292499999999998</v>
      </c>
      <c r="B69" s="68">
        <v>0.44981700000000002</v>
      </c>
      <c r="C69" s="68">
        <v>27.180099999999999</v>
      </c>
      <c r="D69" s="68">
        <v>1</v>
      </c>
      <c r="E69" s="68" t="s">
        <v>478</v>
      </c>
    </row>
    <row r="70" spans="1:5">
      <c r="A70" s="68">
        <v>0.40619300000000003</v>
      </c>
      <c r="B70" s="68">
        <v>0.447689</v>
      </c>
      <c r="C70" s="68">
        <v>27.5854</v>
      </c>
      <c r="D70" s="68">
        <v>1</v>
      </c>
      <c r="E70" s="68" t="s">
        <v>479</v>
      </c>
    </row>
    <row r="71" spans="1:5">
      <c r="A71" s="68">
        <v>0.410273</v>
      </c>
      <c r="B71" s="68">
        <v>0.44573600000000002</v>
      </c>
      <c r="C71" s="68">
        <v>27.993200000000002</v>
      </c>
      <c r="D71" s="68">
        <v>1</v>
      </c>
      <c r="E71" s="68" t="s">
        <v>480</v>
      </c>
    </row>
    <row r="72" spans="1:5">
      <c r="A72" s="68">
        <v>0.414796</v>
      </c>
      <c r="B72" s="68">
        <v>0.44426399999999999</v>
      </c>
      <c r="C72" s="68">
        <v>28.396000000000001</v>
      </c>
      <c r="D72" s="68">
        <v>1</v>
      </c>
      <c r="E72" s="68" t="s">
        <v>481</v>
      </c>
    </row>
    <row r="73" spans="1:5">
      <c r="A73" s="68">
        <v>0.419626</v>
      </c>
      <c r="B73" s="68">
        <v>0.44372200000000001</v>
      </c>
      <c r="C73" s="68">
        <v>28.805800000000001</v>
      </c>
      <c r="D73" s="68">
        <v>1</v>
      </c>
      <c r="E73" s="68" t="s">
        <v>482</v>
      </c>
    </row>
    <row r="74" spans="1:5">
      <c r="A74" s="68">
        <v>0.42465999999999998</v>
      </c>
      <c r="B74" s="68">
        <v>0.44432199999999999</v>
      </c>
      <c r="C74" s="68">
        <v>29.209700000000002</v>
      </c>
      <c r="D74" s="68">
        <v>1</v>
      </c>
      <c r="E74" s="68" t="s">
        <v>483</v>
      </c>
    </row>
    <row r="75" spans="1:5">
      <c r="A75" s="68">
        <v>0.42968499999999998</v>
      </c>
      <c r="B75" s="68">
        <v>0.44580599999999998</v>
      </c>
      <c r="C75" s="68">
        <v>29.617599999999999</v>
      </c>
      <c r="D75" s="68">
        <v>1</v>
      </c>
      <c r="E75" s="68" t="s">
        <v>484</v>
      </c>
    </row>
    <row r="76" spans="1:5">
      <c r="A76" s="68">
        <v>0.43520199999999998</v>
      </c>
      <c r="B76" s="68">
        <v>0.446351</v>
      </c>
      <c r="C76" s="68">
        <v>30.019600000000001</v>
      </c>
      <c r="D76" s="68">
        <v>2</v>
      </c>
      <c r="E76" s="68" t="s">
        <v>485</v>
      </c>
    </row>
    <row r="77" spans="1:5">
      <c r="A77" s="68">
        <v>0.44350800000000001</v>
      </c>
      <c r="B77" s="68">
        <v>0.44556099999999998</v>
      </c>
      <c r="C77" s="68">
        <v>30.622</v>
      </c>
      <c r="D77" s="68">
        <v>2</v>
      </c>
      <c r="E77" s="68" t="s">
        <v>486</v>
      </c>
    </row>
    <row r="78" spans="1:5">
      <c r="A78" s="68">
        <v>0.45024199999999998</v>
      </c>
      <c r="B78" s="68">
        <v>0.44484299999999999</v>
      </c>
      <c r="C78" s="68">
        <v>30.9894</v>
      </c>
      <c r="D78" s="68">
        <v>2</v>
      </c>
      <c r="E78" s="68" t="s">
        <v>487</v>
      </c>
    </row>
    <row r="79" spans="1:5">
      <c r="A79" s="68">
        <v>0.45729399999999998</v>
      </c>
      <c r="B79" s="68">
        <v>0.44439699999999999</v>
      </c>
      <c r="C79" s="68">
        <v>31.366</v>
      </c>
      <c r="D79" s="68">
        <v>2</v>
      </c>
      <c r="E79" s="68" t="s">
        <v>488</v>
      </c>
    </row>
    <row r="80" spans="1:5">
      <c r="A80" s="68">
        <v>0.464866</v>
      </c>
      <c r="B80" s="68">
        <v>0.44424999999999998</v>
      </c>
      <c r="C80" s="68">
        <v>31.741</v>
      </c>
      <c r="D80" s="68">
        <v>2</v>
      </c>
      <c r="E80" s="68" t="s">
        <v>489</v>
      </c>
    </row>
    <row r="81" spans="1:5">
      <c r="A81" s="68">
        <v>0.47190799999999999</v>
      </c>
      <c r="B81" s="68">
        <v>0.44726500000000002</v>
      </c>
      <c r="C81" s="68">
        <v>32.119399999999999</v>
      </c>
      <c r="D81" s="68">
        <v>2</v>
      </c>
      <c r="E81" s="68" t="s">
        <v>490</v>
      </c>
    </row>
    <row r="82" spans="1:5">
      <c r="A82" s="68">
        <v>0.47812199999999999</v>
      </c>
      <c r="B82" s="68">
        <v>0.453565</v>
      </c>
      <c r="C82" s="68">
        <v>32.523000000000003</v>
      </c>
      <c r="D82" s="68">
        <v>2</v>
      </c>
      <c r="E82" s="68" t="s">
        <v>491</v>
      </c>
    </row>
    <row r="83" spans="1:5">
      <c r="A83" s="68">
        <v>0.48365900000000001</v>
      </c>
      <c r="B83" s="68">
        <v>0.46165400000000001</v>
      </c>
      <c r="C83" s="68">
        <v>32.928899999999999</v>
      </c>
      <c r="D83" s="68">
        <v>2</v>
      </c>
      <c r="E83" s="68" t="s">
        <v>492</v>
      </c>
    </row>
    <row r="84" spans="1:5">
      <c r="A84" s="68">
        <v>0.48848200000000003</v>
      </c>
      <c r="B84" s="68">
        <v>0.47062599999999999</v>
      </c>
      <c r="C84" s="68">
        <v>33.333799999999997</v>
      </c>
      <c r="D84" s="68">
        <v>2</v>
      </c>
      <c r="E84" s="68" t="s">
        <v>493</v>
      </c>
    </row>
    <row r="85" spans="1:5">
      <c r="A85" s="68">
        <v>0.49268099999999998</v>
      </c>
      <c r="B85" s="68">
        <v>0.48005500000000001</v>
      </c>
      <c r="C85" s="68">
        <v>33.7408</v>
      </c>
      <c r="D85" s="68">
        <v>2</v>
      </c>
      <c r="E85" s="68" t="s">
        <v>494</v>
      </c>
    </row>
    <row r="86" spans="1:5">
      <c r="A86" s="68">
        <v>0.49629499999999999</v>
      </c>
      <c r="B86" s="68">
        <v>0.488813</v>
      </c>
      <c r="C86" s="68">
        <v>34.146900000000002</v>
      </c>
      <c r="D86" s="68">
        <v>2</v>
      </c>
      <c r="E86" s="68" t="s">
        <v>495</v>
      </c>
    </row>
    <row r="87" spans="1:5">
      <c r="A87" s="68">
        <v>0.49972499999999997</v>
      </c>
      <c r="B87" s="68">
        <v>0.49695800000000001</v>
      </c>
      <c r="C87" s="68">
        <v>34.5595</v>
      </c>
      <c r="D87" s="68">
        <v>2</v>
      </c>
      <c r="E87" s="68" t="s">
        <v>496</v>
      </c>
    </row>
    <row r="88" spans="1:5">
      <c r="A88" s="68">
        <v>0.50287000000000004</v>
      </c>
      <c r="B88" s="68">
        <v>0.504745</v>
      </c>
      <c r="C88" s="68">
        <v>34.9587</v>
      </c>
      <c r="D88" s="68">
        <v>2</v>
      </c>
      <c r="E88" s="68" t="s">
        <v>497</v>
      </c>
    </row>
    <row r="89" spans="1:5">
      <c r="A89" s="68">
        <v>0.50583599999999995</v>
      </c>
      <c r="B89" s="68">
        <v>0.51268199999999997</v>
      </c>
      <c r="C89" s="68">
        <v>35.368699999999997</v>
      </c>
      <c r="D89" s="68">
        <v>2</v>
      </c>
      <c r="E89" s="68" t="s">
        <v>498</v>
      </c>
    </row>
    <row r="90" spans="1:5">
      <c r="A90" s="68">
        <v>0.50835399999999997</v>
      </c>
      <c r="B90" s="68">
        <v>0.52069299999999996</v>
      </c>
      <c r="C90" s="68">
        <v>35.773400000000002</v>
      </c>
      <c r="D90" s="68">
        <v>2</v>
      </c>
      <c r="E90" s="68" t="s">
        <v>499</v>
      </c>
    </row>
    <row r="91" spans="1:5">
      <c r="A91" s="68">
        <v>0.51037699999999997</v>
      </c>
      <c r="B91" s="68">
        <v>0.52853000000000006</v>
      </c>
      <c r="C91" s="68">
        <v>36.176699999999997</v>
      </c>
      <c r="D91" s="68">
        <v>2</v>
      </c>
      <c r="E91" s="68" t="s">
        <v>500</v>
      </c>
    </row>
    <row r="92" spans="1:5">
      <c r="A92" s="68">
        <v>0.511772</v>
      </c>
      <c r="B92" s="68">
        <v>0.53532500000000005</v>
      </c>
      <c r="C92" s="68">
        <v>36.584200000000003</v>
      </c>
      <c r="D92" s="68">
        <v>2</v>
      </c>
      <c r="E92" s="68" t="s">
        <v>501</v>
      </c>
    </row>
    <row r="93" spans="1:5">
      <c r="A93" s="68">
        <v>0.51266100000000003</v>
      </c>
      <c r="B93" s="68">
        <v>0.54086100000000004</v>
      </c>
      <c r="C93" s="68">
        <v>36.991999999999997</v>
      </c>
      <c r="D93" s="68">
        <v>2</v>
      </c>
      <c r="E93" s="68" t="s">
        <v>502</v>
      </c>
    </row>
    <row r="94" spans="1:5">
      <c r="A94" s="68">
        <v>0.51319300000000001</v>
      </c>
      <c r="B94" s="68">
        <v>0.54543699999999995</v>
      </c>
      <c r="C94" s="68">
        <v>37.399299999999997</v>
      </c>
      <c r="D94" s="68">
        <v>2</v>
      </c>
      <c r="E94" s="68" t="s">
        <v>503</v>
      </c>
    </row>
    <row r="95" spans="1:5">
      <c r="A95" s="68">
        <v>0.51331300000000002</v>
      </c>
      <c r="B95" s="68">
        <v>0.54869299999999999</v>
      </c>
      <c r="C95" s="68">
        <v>37.8048</v>
      </c>
      <c r="D95" s="68">
        <v>2</v>
      </c>
      <c r="E95" s="68" t="s">
        <v>504</v>
      </c>
    </row>
    <row r="96" spans="1:5">
      <c r="A96" s="68">
        <v>0.51312000000000002</v>
      </c>
      <c r="B96" s="68">
        <v>0.55115499999999995</v>
      </c>
      <c r="C96" s="68">
        <v>38.212699999999998</v>
      </c>
      <c r="D96" s="68">
        <v>2</v>
      </c>
      <c r="E96" s="68" t="s">
        <v>505</v>
      </c>
    </row>
    <row r="97" spans="1:5">
      <c r="A97" s="68">
        <v>0.51270899999999997</v>
      </c>
      <c r="B97" s="68">
        <v>0.55289200000000005</v>
      </c>
      <c r="C97" s="68">
        <v>38.615699999999997</v>
      </c>
      <c r="D97" s="68">
        <v>2</v>
      </c>
      <c r="E97" s="68" t="s">
        <v>506</v>
      </c>
    </row>
    <row r="98" spans="1:5">
      <c r="A98" s="68">
        <v>0.51209700000000002</v>
      </c>
      <c r="B98" s="68">
        <v>0.553979</v>
      </c>
      <c r="C98" s="68">
        <v>39.022500000000001</v>
      </c>
      <c r="D98" s="68">
        <v>2</v>
      </c>
      <c r="E98" s="68" t="s">
        <v>507</v>
      </c>
    </row>
    <row r="99" spans="1:5">
      <c r="A99" s="68">
        <v>0.51128899999999999</v>
      </c>
      <c r="B99" s="68">
        <v>0.55482799999999999</v>
      </c>
      <c r="C99" s="68">
        <v>39.426299999999998</v>
      </c>
      <c r="D99" s="68">
        <v>2</v>
      </c>
      <c r="E99" s="68" t="s">
        <v>508</v>
      </c>
    </row>
    <row r="100" spans="1:5">
      <c r="A100" s="68">
        <v>0.50995800000000002</v>
      </c>
      <c r="B100" s="68">
        <v>0.55443299999999995</v>
      </c>
      <c r="C100" s="68">
        <v>39.833799999999997</v>
      </c>
      <c r="D100" s="68">
        <v>2</v>
      </c>
      <c r="E100" s="68" t="s">
        <v>509</v>
      </c>
    </row>
    <row r="101" spans="1:5">
      <c r="A101" s="68">
        <v>0.50790900000000005</v>
      </c>
      <c r="B101" s="68">
        <v>0.55298499999999995</v>
      </c>
      <c r="C101" s="68">
        <v>40.238399999999999</v>
      </c>
      <c r="D101" s="68">
        <v>2</v>
      </c>
      <c r="E101" s="68" t="s">
        <v>510</v>
      </c>
    </row>
    <row r="102" spans="1:5">
      <c r="A102" s="68">
        <v>0.50532500000000002</v>
      </c>
      <c r="B102" s="68">
        <v>0.55080899999999999</v>
      </c>
      <c r="C102" s="68">
        <v>40.648499999999999</v>
      </c>
      <c r="D102" s="68">
        <v>2</v>
      </c>
      <c r="E102" s="68" t="s">
        <v>511</v>
      </c>
    </row>
    <row r="103" spans="1:5">
      <c r="A103" s="68">
        <v>0.50194700000000003</v>
      </c>
      <c r="B103" s="68">
        <v>0.549265</v>
      </c>
      <c r="C103" s="68">
        <v>41.054099999999998</v>
      </c>
      <c r="D103" s="68">
        <v>2</v>
      </c>
      <c r="E103" s="68" t="s">
        <v>512</v>
      </c>
    </row>
    <row r="104" spans="1:5">
      <c r="A104" s="68">
        <v>0.497979</v>
      </c>
      <c r="B104" s="68">
        <v>0.54863300000000004</v>
      </c>
      <c r="C104" s="68">
        <v>41.457900000000002</v>
      </c>
      <c r="D104" s="68">
        <v>2</v>
      </c>
      <c r="E104" s="68" t="s">
        <v>513</v>
      </c>
    </row>
    <row r="105" spans="1:5">
      <c r="A105" s="68">
        <v>0.49351</v>
      </c>
      <c r="B105" s="68">
        <v>0.55028299999999997</v>
      </c>
      <c r="C105" s="68">
        <v>41.865099999999998</v>
      </c>
      <c r="D105" s="68">
        <v>2</v>
      </c>
      <c r="E105" s="68" t="s">
        <v>514</v>
      </c>
    </row>
    <row r="106" spans="1:5">
      <c r="A106" s="68">
        <v>0.48902200000000001</v>
      </c>
      <c r="B106" s="68">
        <v>0.55212899999999998</v>
      </c>
      <c r="C106" s="68">
        <v>42.271900000000002</v>
      </c>
      <c r="D106" s="68">
        <v>2</v>
      </c>
      <c r="E106" s="68" t="s">
        <v>515</v>
      </c>
    </row>
    <row r="107" spans="1:5">
      <c r="A107" s="68">
        <v>0.48472100000000001</v>
      </c>
      <c r="B107" s="68">
        <v>0.55358600000000002</v>
      </c>
      <c r="C107" s="68">
        <v>42.6798</v>
      </c>
      <c r="D107" s="68">
        <v>2</v>
      </c>
      <c r="E107" s="68" t="s">
        <v>516</v>
      </c>
    </row>
    <row r="108" spans="1:5">
      <c r="A108" s="68">
        <v>0.480572</v>
      </c>
      <c r="B108" s="68">
        <v>0.55512399999999995</v>
      </c>
      <c r="C108" s="68">
        <v>43.088799999999999</v>
      </c>
      <c r="D108" s="68">
        <v>2</v>
      </c>
      <c r="E108" s="68" t="s">
        <v>517</v>
      </c>
    </row>
    <row r="109" spans="1:5">
      <c r="A109" s="68">
        <v>0.476437</v>
      </c>
      <c r="B109" s="68">
        <v>0.55622300000000002</v>
      </c>
      <c r="C109" s="68">
        <v>43.490600000000001</v>
      </c>
      <c r="D109" s="68">
        <v>2</v>
      </c>
      <c r="E109" s="68" t="s">
        <v>518</v>
      </c>
    </row>
    <row r="110" spans="1:5">
      <c r="A110" s="68">
        <v>0.47217900000000002</v>
      </c>
      <c r="B110" s="68">
        <v>0.55652599999999997</v>
      </c>
      <c r="C110" s="68">
        <v>43.900599999999997</v>
      </c>
      <c r="D110" s="68">
        <v>2</v>
      </c>
      <c r="E110" s="68" t="s">
        <v>519</v>
      </c>
    </row>
    <row r="111" spans="1:5">
      <c r="A111" s="68">
        <v>0.46781299999999998</v>
      </c>
      <c r="B111" s="68">
        <v>0.55695700000000004</v>
      </c>
      <c r="C111" s="68">
        <v>44.307400000000001</v>
      </c>
      <c r="D111" s="68">
        <v>2</v>
      </c>
      <c r="E111" s="68" t="s">
        <v>520</v>
      </c>
    </row>
    <row r="112" spans="1:5">
      <c r="A112" s="68">
        <v>0.46316600000000002</v>
      </c>
      <c r="B112" s="68">
        <v>0.55832800000000005</v>
      </c>
      <c r="C112" s="68">
        <v>44.712299999999999</v>
      </c>
      <c r="D112" s="68">
        <v>2</v>
      </c>
      <c r="E112" s="68" t="s">
        <v>521</v>
      </c>
    </row>
    <row r="113" spans="1:5">
      <c r="A113" s="68">
        <v>0.458403</v>
      </c>
      <c r="B113" s="68">
        <v>0.56025100000000005</v>
      </c>
      <c r="C113" s="68">
        <v>45.115200000000002</v>
      </c>
      <c r="D113" s="68">
        <v>2</v>
      </c>
      <c r="E113" s="68" t="s">
        <v>522</v>
      </c>
    </row>
    <row r="114" spans="1:5">
      <c r="A114" s="68">
        <v>0.45338899999999999</v>
      </c>
      <c r="B114" s="68">
        <v>0.56165100000000001</v>
      </c>
      <c r="C114" s="68">
        <v>45.5197</v>
      </c>
      <c r="D114" s="68">
        <v>2</v>
      </c>
      <c r="E114" s="68" t="s">
        <v>523</v>
      </c>
    </row>
    <row r="115" spans="1:5">
      <c r="A115" s="68">
        <v>0.44839699999999999</v>
      </c>
      <c r="B115" s="68">
        <v>0.56195799999999996</v>
      </c>
      <c r="C115" s="68">
        <v>45.9285</v>
      </c>
      <c r="D115" s="68">
        <v>2</v>
      </c>
      <c r="E115" s="68" t="s">
        <v>524</v>
      </c>
    </row>
    <row r="116" spans="1:5">
      <c r="A116" s="68">
        <v>0.44340800000000002</v>
      </c>
      <c r="B116" s="68">
        <v>0.56052000000000002</v>
      </c>
      <c r="C116" s="68">
        <v>46.337000000000003</v>
      </c>
      <c r="D116" s="68">
        <v>2</v>
      </c>
      <c r="E116" s="68" t="s">
        <v>525</v>
      </c>
    </row>
    <row r="117" spans="1:5">
      <c r="A117" s="68">
        <v>0.43857600000000002</v>
      </c>
      <c r="B117" s="68">
        <v>0.557724</v>
      </c>
      <c r="C117" s="68">
        <v>46.741799999999998</v>
      </c>
      <c r="D117" s="68">
        <v>2</v>
      </c>
      <c r="E117" s="68" t="s">
        <v>526</v>
      </c>
    </row>
    <row r="118" spans="1:5">
      <c r="A118" s="68">
        <v>0.43402400000000002</v>
      </c>
      <c r="B118" s="68">
        <v>0.555172</v>
      </c>
      <c r="C118" s="68">
        <v>47.148800000000001</v>
      </c>
      <c r="D118" s="68">
        <v>2</v>
      </c>
      <c r="E118" s="68" t="s">
        <v>527</v>
      </c>
    </row>
    <row r="119" spans="1:5">
      <c r="A119" s="68">
        <v>0.42954799999999999</v>
      </c>
      <c r="B119" s="68">
        <v>0.55276499999999995</v>
      </c>
      <c r="C119" s="68">
        <v>47.552900000000001</v>
      </c>
      <c r="D119" s="68">
        <v>2</v>
      </c>
      <c r="E119" s="68" t="s">
        <v>528</v>
      </c>
    </row>
    <row r="120" spans="1:5">
      <c r="A120" s="68">
        <v>0.42519899999999999</v>
      </c>
      <c r="B120" s="68">
        <v>0.55063099999999998</v>
      </c>
      <c r="C120" s="68">
        <v>47.959899999999998</v>
      </c>
      <c r="D120" s="68">
        <v>2</v>
      </c>
      <c r="E120" s="68" t="s">
        <v>529</v>
      </c>
    </row>
    <row r="121" spans="1:5">
      <c r="A121" s="68">
        <v>0.420908</v>
      </c>
      <c r="B121" s="68">
        <v>0.54949800000000004</v>
      </c>
      <c r="C121" s="68">
        <v>48.367699999999999</v>
      </c>
      <c r="D121" s="68">
        <v>2</v>
      </c>
      <c r="E121" s="68" t="s">
        <v>530</v>
      </c>
    </row>
    <row r="122" spans="1:5">
      <c r="A122" s="68">
        <v>0.41661799999999999</v>
      </c>
      <c r="B122" s="68">
        <v>0.54895400000000005</v>
      </c>
      <c r="C122" s="68">
        <v>48.774700000000003</v>
      </c>
      <c r="D122" s="68">
        <v>2</v>
      </c>
      <c r="E122" s="68" t="s">
        <v>531</v>
      </c>
    </row>
    <row r="123" spans="1:5">
      <c r="A123" s="68">
        <v>0.41227399999999997</v>
      </c>
      <c r="B123" s="68">
        <v>0.54917700000000003</v>
      </c>
      <c r="C123" s="68">
        <v>49.179400000000001</v>
      </c>
      <c r="D123" s="68">
        <v>2</v>
      </c>
      <c r="E123" s="68" t="s">
        <v>532</v>
      </c>
    </row>
    <row r="124" spans="1:5">
      <c r="A124" s="68">
        <v>0.40788600000000003</v>
      </c>
      <c r="B124" s="68">
        <v>0.54930299999999999</v>
      </c>
      <c r="C124" s="68">
        <v>49.583399999999997</v>
      </c>
      <c r="D124" s="68">
        <v>2</v>
      </c>
      <c r="E124" s="68" t="s">
        <v>533</v>
      </c>
    </row>
    <row r="125" spans="1:5">
      <c r="A125" s="68">
        <v>0.40364</v>
      </c>
      <c r="B125" s="68">
        <v>0.54889399999999999</v>
      </c>
      <c r="C125" s="68">
        <v>49.989199999999997</v>
      </c>
      <c r="D125" s="68">
        <v>2</v>
      </c>
      <c r="E125" s="68" t="s">
        <v>534</v>
      </c>
    </row>
    <row r="126" spans="1:5">
      <c r="A126" s="68">
        <v>0.40085900000000002</v>
      </c>
      <c r="B126" s="68">
        <v>0.55071099999999995</v>
      </c>
      <c r="C126" s="68">
        <v>50.3962</v>
      </c>
      <c r="D126" s="68">
        <v>2</v>
      </c>
      <c r="E126" s="68" t="s">
        <v>535</v>
      </c>
    </row>
    <row r="127" spans="1:5">
      <c r="A127" s="68">
        <v>0.39815899999999999</v>
      </c>
      <c r="B127" s="68">
        <v>0.55208900000000005</v>
      </c>
      <c r="C127" s="68">
        <v>50.803600000000003</v>
      </c>
      <c r="D127" s="68">
        <v>2</v>
      </c>
      <c r="E127" s="68" t="s">
        <v>536</v>
      </c>
    </row>
    <row r="128" spans="1:5">
      <c r="A128" s="68">
        <v>0.395505</v>
      </c>
      <c r="B128" s="68">
        <v>0.55282699999999996</v>
      </c>
      <c r="C128" s="68">
        <v>51.213900000000002</v>
      </c>
      <c r="D128" s="68">
        <v>2</v>
      </c>
      <c r="E128" s="68" t="s">
        <v>537</v>
      </c>
    </row>
    <row r="129" spans="1:5">
      <c r="A129" s="68">
        <v>0.39284400000000003</v>
      </c>
      <c r="B129" s="68">
        <v>0.55338200000000004</v>
      </c>
      <c r="C129" s="68">
        <v>51.616799999999998</v>
      </c>
      <c r="D129" s="68">
        <v>2</v>
      </c>
      <c r="E129" s="68" t="s">
        <v>538</v>
      </c>
    </row>
    <row r="130" spans="1:5">
      <c r="A130" s="68">
        <v>0.38977200000000001</v>
      </c>
      <c r="B130" s="68">
        <v>0.554979</v>
      </c>
      <c r="C130" s="68">
        <v>52.0229</v>
      </c>
      <c r="D130" s="68">
        <v>2</v>
      </c>
      <c r="E130" s="68" t="s">
        <v>539</v>
      </c>
    </row>
    <row r="131" spans="1:5">
      <c r="A131" s="68">
        <v>0.38645699999999999</v>
      </c>
      <c r="B131" s="68">
        <v>0.55700799999999995</v>
      </c>
      <c r="C131" s="68">
        <v>52.429699999999997</v>
      </c>
      <c r="D131" s="68">
        <v>2</v>
      </c>
      <c r="E131" s="68" t="s">
        <v>540</v>
      </c>
    </row>
    <row r="132" spans="1:5">
      <c r="A132" s="68">
        <v>0.38308500000000001</v>
      </c>
      <c r="B132" s="68">
        <v>0.55842499999999995</v>
      </c>
      <c r="C132" s="68">
        <v>52.834699999999998</v>
      </c>
      <c r="D132" s="68">
        <v>2</v>
      </c>
      <c r="E132" s="68" t="s">
        <v>541</v>
      </c>
    </row>
    <row r="133" spans="1:5">
      <c r="A133" s="68">
        <v>0.37939299999999998</v>
      </c>
      <c r="B133" s="68">
        <v>0.55985799999999997</v>
      </c>
      <c r="C133" s="68">
        <v>53.240600000000001</v>
      </c>
      <c r="D133" s="68">
        <v>2</v>
      </c>
      <c r="E133" s="68" t="s">
        <v>542</v>
      </c>
    </row>
    <row r="134" spans="1:5">
      <c r="A134" s="68">
        <v>0.37556299999999998</v>
      </c>
      <c r="B134" s="68">
        <v>0.560944</v>
      </c>
      <c r="C134" s="68">
        <v>53.6494</v>
      </c>
      <c r="D134" s="68">
        <v>2</v>
      </c>
      <c r="E134" s="68" t="s">
        <v>543</v>
      </c>
    </row>
    <row r="135" spans="1:5">
      <c r="A135" s="68">
        <v>0.37201200000000001</v>
      </c>
      <c r="B135" s="68">
        <v>0.56034200000000001</v>
      </c>
      <c r="C135" s="68">
        <v>54.051400000000001</v>
      </c>
      <c r="D135" s="68">
        <v>2</v>
      </c>
      <c r="E135" s="68" t="s">
        <v>544</v>
      </c>
    </row>
    <row r="136" spans="1:5">
      <c r="A136" s="68">
        <v>0.36859399999999998</v>
      </c>
      <c r="B136" s="68">
        <v>0.55915899999999996</v>
      </c>
      <c r="C136" s="68">
        <v>54.461300000000001</v>
      </c>
      <c r="D136" s="68">
        <v>2</v>
      </c>
      <c r="E136" s="68" t="s">
        <v>545</v>
      </c>
    </row>
    <row r="137" spans="1:5">
      <c r="A137" s="68">
        <v>0.36501</v>
      </c>
      <c r="B137" s="68">
        <v>0.55884800000000001</v>
      </c>
      <c r="C137" s="68">
        <v>54.866100000000003</v>
      </c>
      <c r="D137" s="68">
        <v>2</v>
      </c>
      <c r="E137" s="68" t="s">
        <v>546</v>
      </c>
    </row>
    <row r="138" spans="1:5">
      <c r="A138" s="68">
        <v>0.36133799999999999</v>
      </c>
      <c r="B138" s="68">
        <v>0.55851600000000001</v>
      </c>
      <c r="C138" s="68">
        <v>55.2714</v>
      </c>
      <c r="D138" s="68">
        <v>2</v>
      </c>
      <c r="E138" s="68" t="s">
        <v>547</v>
      </c>
    </row>
    <row r="139" spans="1:5">
      <c r="A139" s="68">
        <v>0.35823300000000002</v>
      </c>
      <c r="B139" s="68">
        <v>0.55729499999999998</v>
      </c>
      <c r="C139" s="68">
        <v>55.68</v>
      </c>
      <c r="D139" s="68">
        <v>2</v>
      </c>
      <c r="E139" s="68" t="s">
        <v>548</v>
      </c>
    </row>
    <row r="140" spans="1:5">
      <c r="A140" s="68">
        <v>0.355435</v>
      </c>
      <c r="B140" s="68">
        <v>0.55630100000000005</v>
      </c>
      <c r="C140" s="68">
        <v>56.088000000000001</v>
      </c>
      <c r="D140" s="68">
        <v>2</v>
      </c>
      <c r="E140" s="68" t="s">
        <v>549</v>
      </c>
    </row>
    <row r="141" spans="1:5">
      <c r="A141" s="68">
        <v>0.35364000000000001</v>
      </c>
      <c r="B141" s="68">
        <v>0.55465500000000001</v>
      </c>
      <c r="C141" s="68">
        <v>56.492699999999999</v>
      </c>
      <c r="D141" s="68">
        <v>2</v>
      </c>
      <c r="E141" s="68" t="s">
        <v>550</v>
      </c>
    </row>
    <row r="142" spans="1:5">
      <c r="A142" s="68">
        <v>0.352966</v>
      </c>
      <c r="B142" s="68">
        <v>0.55200499999999997</v>
      </c>
      <c r="C142" s="68">
        <v>56.898800000000001</v>
      </c>
      <c r="D142" s="68">
        <v>2</v>
      </c>
      <c r="E142" s="68" t="s">
        <v>551</v>
      </c>
    </row>
    <row r="143" spans="1:5">
      <c r="A143" s="68">
        <v>0.35206999999999999</v>
      </c>
      <c r="B143" s="68">
        <v>0.54984200000000005</v>
      </c>
      <c r="C143" s="68">
        <v>57.304699999999997</v>
      </c>
      <c r="D143" s="68">
        <v>2</v>
      </c>
      <c r="E143" s="68" t="s">
        <v>552</v>
      </c>
    </row>
    <row r="144" spans="1:5">
      <c r="A144" s="68">
        <v>0.35146300000000003</v>
      </c>
      <c r="B144" s="68">
        <v>0.55055399999999999</v>
      </c>
      <c r="C144" s="68">
        <v>57.712499999999999</v>
      </c>
      <c r="D144" s="68">
        <v>2</v>
      </c>
      <c r="E144" s="68" t="s">
        <v>553</v>
      </c>
    </row>
    <row r="145" spans="1:5">
      <c r="A145" s="68">
        <v>0.35103299999999998</v>
      </c>
      <c r="B145" s="68">
        <v>0.55271800000000004</v>
      </c>
      <c r="C145" s="68">
        <v>58.1205</v>
      </c>
      <c r="D145" s="68">
        <v>2</v>
      </c>
      <c r="E145" s="68" t="s">
        <v>554</v>
      </c>
    </row>
    <row r="146" spans="1:5">
      <c r="A146" s="68">
        <v>0.34990100000000002</v>
      </c>
      <c r="B146" s="68">
        <v>0.55543600000000004</v>
      </c>
      <c r="C146" s="68">
        <v>58.5214</v>
      </c>
      <c r="D146" s="68">
        <v>2</v>
      </c>
      <c r="E146" s="68" t="s">
        <v>555</v>
      </c>
    </row>
    <row r="147" spans="1:5">
      <c r="A147" s="68">
        <v>0.34840599999999999</v>
      </c>
      <c r="B147" s="68">
        <v>0.55644300000000002</v>
      </c>
      <c r="C147" s="68">
        <v>58.929299999999998</v>
      </c>
      <c r="D147" s="68">
        <v>2</v>
      </c>
      <c r="E147" s="68" t="s">
        <v>556</v>
      </c>
    </row>
    <row r="148" spans="1:5">
      <c r="A148" s="68">
        <v>0.34597899999999998</v>
      </c>
      <c r="B148" s="68">
        <v>0.55725800000000003</v>
      </c>
      <c r="C148" s="68">
        <v>59.333799999999997</v>
      </c>
      <c r="D148" s="68">
        <v>2</v>
      </c>
      <c r="E148" s="68" t="s">
        <v>557</v>
      </c>
    </row>
    <row r="149" spans="1:5">
      <c r="A149" s="68">
        <v>0.34246700000000002</v>
      </c>
      <c r="B149" s="68">
        <v>0.55343699999999996</v>
      </c>
      <c r="C149" s="68">
        <v>59.7393</v>
      </c>
      <c r="D149" s="68">
        <v>2</v>
      </c>
      <c r="E149" s="68" t="s">
        <v>558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408</v>
      </c>
      <c r="B1" s="66" t="s">
        <v>559</v>
      </c>
      <c r="C1" s="66" t="s">
        <v>561</v>
      </c>
      <c r="D1" s="66" t="s">
        <v>562</v>
      </c>
      <c r="E1" s="66" t="s">
        <v>563</v>
      </c>
      <c r="F1" s="66" t="s">
        <v>348</v>
      </c>
      <c r="G1" s="66" t="s">
        <v>401</v>
      </c>
      <c r="H1" s="66" t="s">
        <v>564</v>
      </c>
      <c r="I1" s="66" t="s">
        <v>565</v>
      </c>
      <c r="J1" s="66" t="s">
        <v>566</v>
      </c>
      <c r="K1" s="66" t="s">
        <v>567</v>
      </c>
      <c r="L1" s="66" t="s">
        <v>568</v>
      </c>
      <c r="M1" s="66" t="s">
        <v>569</v>
      </c>
      <c r="N1" s="66"/>
    </row>
    <row r="2" spans="1:14">
      <c r="A2" s="75">
        <v>43615.673472222225</v>
      </c>
      <c r="B2" s="66" t="s">
        <v>560</v>
      </c>
      <c r="C2" s="66"/>
      <c r="D2" s="66"/>
      <c r="E2" s="66">
        <v>4.9234099999999996</v>
      </c>
      <c r="F2" s="66">
        <v>2.2432599999999998</v>
      </c>
      <c r="G2" s="66">
        <v>0.52625500000000003</v>
      </c>
      <c r="H2" s="66">
        <v>0</v>
      </c>
      <c r="I2" s="66">
        <v>221853</v>
      </c>
      <c r="J2" s="66">
        <v>122</v>
      </c>
      <c r="K2" s="66">
        <v>122</v>
      </c>
      <c r="L2" s="66">
        <v>0</v>
      </c>
      <c r="M2" s="66" t="s">
        <v>570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2019-05-30T08:10:23Z</cp:lastPrinted>
  <dcterms:created xsi:type="dcterms:W3CDTF">2010-10-29T12:53:05Z</dcterms:created>
  <dcterms:modified xsi:type="dcterms:W3CDTF">2019-05-30T08:11:05Z</dcterms:modified>
</cp:coreProperties>
</file>