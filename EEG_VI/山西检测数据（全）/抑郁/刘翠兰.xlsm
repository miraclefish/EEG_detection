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Z17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<sst xmlns="http://schemas.openxmlformats.org/spreadsheetml/2006/main" count="701" uniqueCount="525">
  <si>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</si>
  <si>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</si>
  <si>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</si>
  <si>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</si>
  <si>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</si>
  <si>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</si>
  <si>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</si>
  <si>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</si>
  <si>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</si>
  <si>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</si>
  <si>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</si>
  <si>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</si>
  <si>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</si>
  <si>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</si>
  <si>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</si>
  <si>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</si>
  <si>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</si>
  <si>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</si>
  <si>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</si>
  <si>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</si>
  <si>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</si>
  <si>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</si>
  <si>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</si>
  <si>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</si>
  <si>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</si>
  <si>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</si>
  <si>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</si>
  <si>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</si>
  <si>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</si>
  <si>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</si>
  <si>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</si>
  <si>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</si>
  <si>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</si>
  <si>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</si>
  <si>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</si>
  <si>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</si>
  <si>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</si>
  <si>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</si>
  <si>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</si>
  <si>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</si>
  <si>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</si>
  <si>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</si>
  <si>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</si>
  <si>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</si>
  <si>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</si>
  <si>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</si>
  <si>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</si>
  <si>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</si>
  <si>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</si>
  <si>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</si>
  <si>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</si>
  <si>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</si>
  <si>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</si>
  <si>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</si>
  <si>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</si>
  <si>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</si>
  <si>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</si>
  <si>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</si>
  <si>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</si>
  <si>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</si>
  <si>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</si>
  <si>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</si>
  <si>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</si>
  <si>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</si>
  <si>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</si>
  <si>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</si>
  <si>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</si>
  <si>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</si>
  <si>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</si>
  <si>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</si>
  <si>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</si>
  <si>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</si>
  <si>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</si>
  <si>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</si>
  <si>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</si>
  <si>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</si>
  <si>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</si>
  <si>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</si>
  <si>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</si>
  <si>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</si>
  <si>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</si>
  <si>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</si>
  <si>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</si>
  <si>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</si>
  <si>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</si>
  <si>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</si>
  <si>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</si>
  <si>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</si>
  <si>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</si>
  <si>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</si>
  <si>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</si>
  <si>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</si>
  <si>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</si>
  <si>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</si>
  <si>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</si>
  <si>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</si>
  <si>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</si>
  <si>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</si>
  <si>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</si>
  <si>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</si>
  <si>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</si>
  <si>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</si>
  <si>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</si>
  <si>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</si>
  <si>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</si>
  <si>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</si>
  <si>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</si>
  <si>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</si>
  <si>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</si>
  <si>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</si>
  <si>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</si>
  <si>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</si>
  <si>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</si>
  <si>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</si>
  <si>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</si>
  <si>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</si>
  <si>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</si>
  <si>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</si>
  <si>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</si>
  <si>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</si>
  <si>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</si>
  <si>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</si>
  <si>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</si>
  <si>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</si>
  <si>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</si>
  <si>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</si>
  <si>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</si>
  <si>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</si>
  <si>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</si>
  <si>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</si>
  <si>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</si>
  <si>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</si>
  <si>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</si>
  <si>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</si>
  <si>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</si>
  <si>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</si>
  <si>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</si>
  <si>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</si>
  <si>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</si>
  <si>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</si>
  <si>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</si>
  <si>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</si>
  <si>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</si>
  <si>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</si>
  <si>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</si>
  <si>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</si>
  <si>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</si>
  <si>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</si>
  <si>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</si>
  <si>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</si>
  <si>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</si>
  <si>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</si>
  <si>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</si>
  <si>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</si>
  <si>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</si>
  <si>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</si>
  <si>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</si>
  <si>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</si>
  <si>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</si>
  <si>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</si>
  <si>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</si>
  <si>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</si>
  <si>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</si>
  <si>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</si>
  <si>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</si>
  <si>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</si>
  <si>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</si>
  <si>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</si>
  <si>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</si>
  <si>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</si>
  <si>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</si>
  <si>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</si>
  <si>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</si>
  <si>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</si>
  <si>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</si>
  <si>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</si>
  <si>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</si>
  <si>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</si>
  <si>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</si>
  <si>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</si>
  <si>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</si>
  <si>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</si>
  <si>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</si>
  <si>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</si>
  <si>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</si>
  <si>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</si>
  <si>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</si>
  <si>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</si>
  <si>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</si>
  <si>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</si>
  <si>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</si>
  <si>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</si>
  <si>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</si>
  <si>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</si>
  <si>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</si>
  <si>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</si>
  <si>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</si>
  <si>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</si>
  <si>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</si>
  <si>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</si>
  <si>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</si>
  <si>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</si>
  <si>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</si>
  <si>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</si>
  <si>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</si>
  <si>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</si>
  <si>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</si>
  <si>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</si>
  <si>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</si>
  <si>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</si>
  <si>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</si>
  <si>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</si>
  <si>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</si>
  <si>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</si>
  <si>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</si>
  <si>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</si>
  <si>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</si>
  <si>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</si>
  <si>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</si>
  <si>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</si>
  <si>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</si>
  <si>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</si>
  <si>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</si>
  <si>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</si>
  <si>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</si>
  <si>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</si>
  <si>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</si>
  <si>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</si>
  <si>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</si>
  <si>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</si>
  <si>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</si>
  <si>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</si>
  <si>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</si>
  <si>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</si>
  <si>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</si>
  <si>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</si>
  <si>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</si>
  <si>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</si>
  <si>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</si>
  <si>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</si>
  <si>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</si>
  <si>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</si>
  <si>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</si>
  <si>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</si>
  <si>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</si>
  <si>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</si>
  <si>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</si>
  <si>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</si>
  <si>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</si>
  <si>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</si>
  <si>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</si>
  <si>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</si>
  <si>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</si>
  <si>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</si>
  <si>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</si>
  <si>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</si>
  <si>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</si>
  <si>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</si>
  <si>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</si>
  <si>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</si>
  <si>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</si>
  <si>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</si>
  <si>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</si>
  <si>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</si>
  <si>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</si>
  <si>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</si>
  <si>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</si>
  <si>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</si>
  <si>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</si>
  <si>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</si>
  <si>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</si>
  <si>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</si>
  <si>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</si>
  <si>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</si>
  <si>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</si>
  <si>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</si>
  <si>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</si>
  <si>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</si>
  <si>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</si>
  <si>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</si>
  <si>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</si>
  <si>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</si>
  <si>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</si>
  <si>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</si>
  <si>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</si>
  <si>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</si>
  <si>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</si>
  <si>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</si>
  <si>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</si>
  <si>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</si>
  <si>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</si>
  <si>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</si>
  <si>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</si>
  <si>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</si>
  <si>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</si>
  <si>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</si>
  <si>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</si>
  <si>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</si>
  <si>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</si>
  <si>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</si>
  <si>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</si>
  <si>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</si>
  <si>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</si>
  <si>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</si>
  <si>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</si>
  <si>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</si>
  <si>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</si>
  <si>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</si>
  <si>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</si>
  <si>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</si>
  <si>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</si>
  <si>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</si>
  <si>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</si>
  <si>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</si>
  <si>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</si>
  <si>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</si>
  <si>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</si>
  <si>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</si>
  <si>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</si>
  <si>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</si>
  <si>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</si>
  <si>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</si>
  <si>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</si>
  <si>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</si>
  <si>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</si>
  <si>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</si>
  <si>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</si>
  <si>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</si>
  <si>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</si>
  <si>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</si>
  <si>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</si>
  <si>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</si>
  <si>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</si>
  <si>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</si>
  <si>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</si>
  <si>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</si>
  <si>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</si>
  <si>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</si>
  <si>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</si>
  <si>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</si>
  <si>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</si>
  <si>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</si>
  <si>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</si>
  <si>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</si>
  <si>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</si>
  <si>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</si>
  <si>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</si>
  <si>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</si>
  <si>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</si>
  <si>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</si>
  <si>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BMin</t>
    <phoneticPr fontId="29" type="noConversion"/>
  </si>
  <si>
    <t>每秒输出帧率</t>
    <phoneticPr fontId="29" type="noConversion"/>
  </si>
  <si>
    <t>实际每秒输出帧率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</si>
  <si>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</si>
  <si>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</si>
  <si>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</si>
  <si>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</si>
  <si>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</si>
  <si>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</si>
  <si>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</si>
  <si>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</si>
  <si>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</si>
  <si>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[0.385045]</t>
  </si>
  <si>
    <t>1 [0.788340]</t>
  </si>
  <si>
    <t>1 [1.193690]</t>
  </si>
  <si>
    <t>1 [1.603381]</t>
  </si>
  <si>
    <t>1 [2.013069]</t>
  </si>
  <si>
    <t>1 [2.414933]</t>
  </si>
  <si>
    <t>1 [2.820016]</t>
  </si>
  <si>
    <t>1 [3.225548]</t>
  </si>
  <si>
    <t>1 [3.635958]</t>
  </si>
  <si>
    <t>1 [4.040875]</t>
  </si>
  <si>
    <t>1 [4.447622]</t>
  </si>
  <si>
    <t>1 [4.851834]</t>
  </si>
  <si>
    <t>1 [5.259149]</t>
  </si>
  <si>
    <t>1 [5.665260]</t>
  </si>
  <si>
    <t>1 [6.074121]</t>
  </si>
  <si>
    <t>1 [6.478687]</t>
  </si>
  <si>
    <t>1 [6.883633]</t>
  </si>
  <si>
    <t>1 [7.290885]</t>
  </si>
  <si>
    <t>1 [7.694442]</t>
  </si>
  <si>
    <t>1 [8.104183]</t>
  </si>
  <si>
    <t>1 [8.509346]</t>
  </si>
  <si>
    <t>1 [8.915102]</t>
  </si>
  <si>
    <t>1 [9.323000]</t>
  </si>
  <si>
    <t>1 [9.729015]</t>
  </si>
  <si>
    <t>1 [10.135561]</t>
  </si>
  <si>
    <t>1 [10.541252]</t>
  </si>
  <si>
    <t>1 [10.945350]</t>
  </si>
  <si>
    <t>1 [11.351345]</t>
  </si>
  <si>
    <t>1 [11.759796]</t>
  </si>
  <si>
    <t>1 [12.166560]</t>
  </si>
  <si>
    <t>1 [12.574174]</t>
  </si>
  <si>
    <t>1 [12.975450]</t>
  </si>
  <si>
    <t>1 [13.381598]</t>
  </si>
  <si>
    <t>1 [13.789523]</t>
  </si>
  <si>
    <t>1 [14.197009]</t>
  </si>
  <si>
    <t>1 [14.603365]</t>
  </si>
  <si>
    <t>1 [15.007547]</t>
  </si>
  <si>
    <t>1 [15.413827]</t>
  </si>
  <si>
    <t>1 [15.824715]</t>
  </si>
  <si>
    <t>1 [16.230411]</t>
  </si>
  <si>
    <t>1 [16.633151]</t>
  </si>
  <si>
    <t>1 [17.038872]</t>
  </si>
  <si>
    <t>1 [17.445589]</t>
  </si>
  <si>
    <t>1 [17.853242]</t>
  </si>
  <si>
    <t>1 [18.260960]</t>
  </si>
  <si>
    <t>1 [18.666045]</t>
  </si>
  <si>
    <t>1 [19.072102]</t>
  </si>
  <si>
    <t>1 [19.475465]</t>
  </si>
  <si>
    <t>1 [19.882578]</t>
  </si>
  <si>
    <t>1 [20.291384]</t>
  </si>
  <si>
    <t>1 [20.694918]</t>
  </si>
  <si>
    <t>1 [21.103316]</t>
  </si>
  <si>
    <t>1 [21.506758]</t>
  </si>
  <si>
    <t>1 [21.912834]</t>
  </si>
  <si>
    <t>1 [22.322301]</t>
  </si>
  <si>
    <t>1 [22.728133]</t>
  </si>
  <si>
    <t>1 [23.134770]</t>
  </si>
  <si>
    <t>1 [23.540136]</t>
  </si>
  <si>
    <t>1 [23.946123]</t>
  </si>
  <si>
    <t>1 [24.353596]</t>
  </si>
  <si>
    <t>1 [24.759924]</t>
  </si>
  <si>
    <t>1 [25.165491]</t>
  </si>
  <si>
    <t>1 [25.569719]</t>
  </si>
  <si>
    <t>1 [25.978011]</t>
  </si>
  <si>
    <t>1 [26.384447]</t>
  </si>
  <si>
    <t>1 [26.787112]</t>
  </si>
  <si>
    <t>1 [27.197934]</t>
  </si>
  <si>
    <t>1 [27.602111]</t>
  </si>
  <si>
    <t>1 [28.007121]</t>
  </si>
  <si>
    <t>1 [28.412636]</t>
  </si>
  <si>
    <t>1 [28.819399]</t>
  </si>
  <si>
    <t>1 [29.224685]</t>
  </si>
  <si>
    <t>1 [29.635233]</t>
  </si>
  <si>
    <t>2 [30.042333]</t>
  </si>
  <si>
    <t>2 [30.635634]</t>
  </si>
  <si>
    <t>2 [31.007218]</t>
  </si>
  <si>
    <t>2 [31.382182]</t>
  </si>
  <si>
    <t>2 [31.755323]</t>
  </si>
  <si>
    <t>2 [32.135757]</t>
  </si>
  <si>
    <t>2 [32.541503]</t>
  </si>
  <si>
    <t>2 [32.944204]</t>
  </si>
  <si>
    <t>2 [33.352742]</t>
  </si>
  <si>
    <t>2 [33.757436]</t>
  </si>
  <si>
    <t>2 [34.164675]</t>
  </si>
  <si>
    <t>2 [34.572702]</t>
  </si>
  <si>
    <t>2 [34.977974]</t>
  </si>
  <si>
    <t>2 [35.381352]</t>
  </si>
  <si>
    <t>2 [35.788761]</t>
  </si>
  <si>
    <t>2 [36.197662]</t>
  </si>
  <si>
    <t>2 [36.603863]</t>
  </si>
  <si>
    <t>2 [37.008306]</t>
  </si>
  <si>
    <t>2 [37.414397]</t>
  </si>
  <si>
    <t>2 [37.821473]</t>
  </si>
  <si>
    <t>2 [38.227080]</t>
  </si>
  <si>
    <t>2 [38.633067]</t>
  </si>
  <si>
    <t>2 [39.040540]</t>
  </si>
  <si>
    <t>2 [39.443715]</t>
  </si>
  <si>
    <t>2 [39.857420]</t>
  </si>
  <si>
    <t>2 [40.257215]</t>
  </si>
  <si>
    <t>2 [40.667781]</t>
  </si>
  <si>
    <t>2 [41.072014]</t>
  </si>
  <si>
    <t>2 [41.474442]</t>
  </si>
  <si>
    <t>2 [41.884298]</t>
  </si>
  <si>
    <t>2 [42.288306]</t>
  </si>
  <si>
    <t>2 [42.698485]</t>
  </si>
  <si>
    <t>2 [43.101216]</t>
  </si>
  <si>
    <t>2 [43.510127]</t>
  </si>
  <si>
    <t>2 [43.912744]</t>
  </si>
  <si>
    <t>2 [44.322558]</t>
  </si>
  <si>
    <t>2 [44.729265]</t>
  </si>
  <si>
    <t>2 [45.137255]</t>
  </si>
  <si>
    <t>2 [45.539673]</t>
  </si>
  <si>
    <t>2 [45.947147]</t>
  </si>
  <si>
    <t>2 [46.353755]</t>
  </si>
  <si>
    <t>2 [46.760254]</t>
  </si>
  <si>
    <t>2 [47.163819]</t>
  </si>
  <si>
    <t>2 [47.569582]</t>
  </si>
  <si>
    <t>2 [47.976076]</t>
  </si>
  <si>
    <t>2 [48.387134]</t>
  </si>
  <si>
    <t>2 [48.791974]</t>
  </si>
  <si>
    <t>2 [49.196706]</t>
  </si>
  <si>
    <t>2 [49.599802]</t>
  </si>
  <si>
    <t>2 [50.008261]</t>
  </si>
  <si>
    <t>2 [50.414240]</t>
  </si>
  <si>
    <t>2 [50.824316]</t>
  </si>
  <si>
    <t>2 [51.226638]</t>
  </si>
  <si>
    <t>2 [51.636492]</t>
  </si>
  <si>
    <t>2 [52.040090]</t>
  </si>
  <si>
    <t>2 [52.446339]</t>
  </si>
  <si>
    <t>2 [52.852524]</t>
  </si>
  <si>
    <t>2 [53.259866]</t>
  </si>
  <si>
    <t>2 [53.663134]</t>
  </si>
  <si>
    <t>2 [54.069590]</t>
  </si>
  <si>
    <t>2 [54.473927]</t>
  </si>
  <si>
    <t>2 [54.885537]</t>
  </si>
  <si>
    <t>2 [55.292142]</t>
  </si>
  <si>
    <t>2 [55.695372]</t>
  </si>
  <si>
    <t>2 [56.103177]</t>
  </si>
  <si>
    <t>2 [56.512736]</t>
  </si>
  <si>
    <t>2 [56.915962]</t>
  </si>
  <si>
    <t>2 [57.322348]</t>
  </si>
  <si>
    <t>2 [57.730143]</t>
  </si>
  <si>
    <t>2 [58.132839]</t>
  </si>
  <si>
    <t>2 [58.537666]</t>
  </si>
  <si>
    <t>2 [58.944457]</t>
  </si>
  <si>
    <t>2 [59.354552]</t>
  </si>
  <si>
    <t>2 [59.759879]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</si>
  <si>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</si>
  <si>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</si>
  <si>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</si>
  <si>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</si>
  <si>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</si>
  <si>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</si>
  <si>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</si>
  <si>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</si>
  <si>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</si>
  <si>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</si>
  <si>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</si>
  <si>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</si>
  <si>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</si>
  <si>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</si>
  <si>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刘翠兰</t>
    <phoneticPr fontId="1" type="noConversion"/>
  </si>
  <si>
    <t>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</si>
</sst>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49.545900000000003</c:v>
                </c:pt>
                <c:pt idx="1">
                  <c:v>31.5214</c:v>
                </c:pt>
                <c:pt idx="2">
                  <c:v>30.092500000000001</c:v>
                </c:pt>
                <c:pt idx="3">
                  <c:v>37.058300000000003</c:v>
                </c:pt>
                <c:pt idx="4">
                  <c:v>59.2684</c:v>
                </c:pt>
                <c:pt idx="5">
                  <c:v>75.170400000000001</c:v>
                </c:pt>
                <c:pt idx="6">
                  <c:v>31.917200000000001</c:v>
                </c:pt>
                <c:pt idx="7">
                  <c:v>67.572900000000004</c:v>
                </c:pt>
                <c:pt idx="8">
                  <c:v>22.0915</c:v>
                </c:pt>
                <c:pt idx="9">
                  <c:v>39.190600000000003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0.46349060611296122</c:v>
                </c:pt>
                <c:pt idx="1">
                  <c:v>0.29366913197091715</c:v>
                </c:pt>
                <c:pt idx="2">
                  <c:v>0.24284026191612149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3895</c:v>
                </c:pt>
                <c:pt idx="7">
                  <c:v>0</c:v>
                </c:pt>
                <c:pt idx="8">
                  <c:v>7757</c:v>
                </c:pt>
                <c:pt idx="9">
                  <c:v>0</c:v>
                </c:pt>
                <c:pt idx="10">
                  <c:v>0</c:v>
                </c:pt>
                <c:pt idx="11">
                  <c:v>13667</c:v>
                </c:pt>
                <c:pt idx="12">
                  <c:v>0</c:v>
                </c:pt>
                <c:pt idx="13">
                  <c:v>14138</c:v>
                </c:pt>
                <c:pt idx="14">
                  <c:v>0</c:v>
                </c:pt>
                <c:pt idx="15">
                  <c:v>0</c:v>
                </c:pt>
                <c:pt idx="16">
                  <c:v>16460</c:v>
                </c:pt>
                <c:pt idx="17">
                  <c:v>0</c:v>
                </c:pt>
                <c:pt idx="18">
                  <c:v>0</c:v>
                </c:pt>
                <c:pt idx="19">
                  <c:v>19699</c:v>
                </c:pt>
                <c:pt idx="20">
                  <c:v>0</c:v>
                </c:pt>
                <c:pt idx="21">
                  <c:v>24872</c:v>
                </c:pt>
                <c:pt idx="22">
                  <c:v>0</c:v>
                </c:pt>
                <c:pt idx="23">
                  <c:v>0</c:v>
                </c:pt>
                <c:pt idx="24">
                  <c:v>23638</c:v>
                </c:pt>
                <c:pt idx="25">
                  <c:v>0</c:v>
                </c:pt>
                <c:pt idx="26">
                  <c:v>26860</c:v>
                </c:pt>
                <c:pt idx="27">
                  <c:v>0</c:v>
                </c:pt>
                <c:pt idx="28">
                  <c:v>0</c:v>
                </c:pt>
                <c:pt idx="29">
                  <c:v>24079</c:v>
                </c:pt>
                <c:pt idx="30">
                  <c:v>0</c:v>
                </c:pt>
                <c:pt idx="31">
                  <c:v>30460</c:v>
                </c:pt>
                <c:pt idx="32">
                  <c:v>0</c:v>
                </c:pt>
                <c:pt idx="33">
                  <c:v>0</c:v>
                </c:pt>
                <c:pt idx="34">
                  <c:v>31626</c:v>
                </c:pt>
                <c:pt idx="35">
                  <c:v>0</c:v>
                </c:pt>
                <c:pt idx="36">
                  <c:v>0</c:v>
                </c:pt>
                <c:pt idx="37">
                  <c:v>35617</c:v>
                </c:pt>
                <c:pt idx="38">
                  <c:v>0</c:v>
                </c:pt>
                <c:pt idx="39">
                  <c:v>38624</c:v>
                </c:pt>
                <c:pt idx="40">
                  <c:v>0</c:v>
                </c:pt>
                <c:pt idx="41">
                  <c:v>0</c:v>
                </c:pt>
                <c:pt idx="42">
                  <c:v>41288</c:v>
                </c:pt>
                <c:pt idx="43">
                  <c:v>0</c:v>
                </c:pt>
                <c:pt idx="44">
                  <c:v>40910</c:v>
                </c:pt>
                <c:pt idx="45">
                  <c:v>0</c:v>
                </c:pt>
                <c:pt idx="46">
                  <c:v>0</c:v>
                </c:pt>
                <c:pt idx="47">
                  <c:v>46132</c:v>
                </c:pt>
                <c:pt idx="48">
                  <c:v>0</c:v>
                </c:pt>
                <c:pt idx="49">
                  <c:v>51787</c:v>
                </c:pt>
                <c:pt idx="50">
                  <c:v>0</c:v>
                </c:pt>
                <c:pt idx="51">
                  <c:v>0</c:v>
                </c:pt>
                <c:pt idx="52">
                  <c:v>50520</c:v>
                </c:pt>
                <c:pt idx="53">
                  <c:v>0</c:v>
                </c:pt>
                <c:pt idx="54">
                  <c:v>0</c:v>
                </c:pt>
                <c:pt idx="55">
                  <c:v>50392</c:v>
                </c:pt>
                <c:pt idx="56">
                  <c:v>0</c:v>
                </c:pt>
                <c:pt idx="57">
                  <c:v>59918</c:v>
                </c:pt>
                <c:pt idx="58">
                  <c:v>0</c:v>
                </c:pt>
                <c:pt idx="59">
                  <c:v>0</c:v>
                </c:pt>
                <c:pt idx="60">
                  <c:v>62998</c:v>
                </c:pt>
                <c:pt idx="61">
                  <c:v>0</c:v>
                </c:pt>
                <c:pt idx="62">
                  <c:v>65033</c:v>
                </c:pt>
                <c:pt idx="63">
                  <c:v>0</c:v>
                </c:pt>
                <c:pt idx="64">
                  <c:v>0</c:v>
                </c:pt>
                <c:pt idx="65">
                  <c:v>64201</c:v>
                </c:pt>
                <c:pt idx="66">
                  <c:v>0</c:v>
                </c:pt>
                <c:pt idx="67">
                  <c:v>66514</c:v>
                </c:pt>
                <c:pt idx="68">
                  <c:v>0</c:v>
                </c:pt>
                <c:pt idx="69">
                  <c:v>0</c:v>
                </c:pt>
                <c:pt idx="70">
                  <c:v>75005</c:v>
                </c:pt>
                <c:pt idx="71">
                  <c:v>0</c:v>
                </c:pt>
                <c:pt idx="72">
                  <c:v>0</c:v>
                </c:pt>
                <c:pt idx="73">
                  <c:v>80378</c:v>
                </c:pt>
                <c:pt idx="74">
                  <c:v>0</c:v>
                </c:pt>
                <c:pt idx="75">
                  <c:v>86500</c:v>
                </c:pt>
                <c:pt idx="76">
                  <c:v>0</c:v>
                </c:pt>
                <c:pt idx="77">
                  <c:v>0</c:v>
                </c:pt>
                <c:pt idx="78">
                  <c:v>94362</c:v>
                </c:pt>
                <c:pt idx="79">
                  <c:v>0</c:v>
                </c:pt>
                <c:pt idx="80">
                  <c:v>111199</c:v>
                </c:pt>
                <c:pt idx="81">
                  <c:v>0</c:v>
                </c:pt>
                <c:pt idx="82">
                  <c:v>0</c:v>
                </c:pt>
                <c:pt idx="83">
                  <c:v>122586</c:v>
                </c:pt>
                <c:pt idx="84">
                  <c:v>0</c:v>
                </c:pt>
                <c:pt idx="85">
                  <c:v>0</c:v>
                </c:pt>
                <c:pt idx="86">
                  <c:v>143010</c:v>
                </c:pt>
                <c:pt idx="87">
                  <c:v>0</c:v>
                </c:pt>
                <c:pt idx="88">
                  <c:v>173633</c:v>
                </c:pt>
                <c:pt idx="89">
                  <c:v>0</c:v>
                </c:pt>
                <c:pt idx="90">
                  <c:v>0</c:v>
                </c:pt>
                <c:pt idx="91">
                  <c:v>185476</c:v>
                </c:pt>
                <c:pt idx="92">
                  <c:v>0</c:v>
                </c:pt>
                <c:pt idx="93">
                  <c:v>196057</c:v>
                </c:pt>
                <c:pt idx="94">
                  <c:v>0</c:v>
                </c:pt>
                <c:pt idx="95">
                  <c:v>0</c:v>
                </c:pt>
                <c:pt idx="96">
                  <c:v>198177</c:v>
                </c:pt>
                <c:pt idx="97">
                  <c:v>0</c:v>
                </c:pt>
                <c:pt idx="98">
                  <c:v>199126</c:v>
                </c:pt>
                <c:pt idx="99">
                  <c:v>0</c:v>
                </c:pt>
                <c:pt idx="100">
                  <c:v>0</c:v>
                </c:pt>
                <c:pt idx="101">
                  <c:v>188163</c:v>
                </c:pt>
                <c:pt idx="102">
                  <c:v>0</c:v>
                </c:pt>
                <c:pt idx="103">
                  <c:v>0</c:v>
                </c:pt>
                <c:pt idx="104">
                  <c:v>191218</c:v>
                </c:pt>
                <c:pt idx="105">
                  <c:v>0</c:v>
                </c:pt>
                <c:pt idx="106">
                  <c:v>185354</c:v>
                </c:pt>
                <c:pt idx="107">
                  <c:v>0</c:v>
                </c:pt>
                <c:pt idx="108">
                  <c:v>0</c:v>
                </c:pt>
                <c:pt idx="109">
                  <c:v>181745</c:v>
                </c:pt>
                <c:pt idx="110">
                  <c:v>0</c:v>
                </c:pt>
                <c:pt idx="111">
                  <c:v>157181</c:v>
                </c:pt>
                <c:pt idx="112">
                  <c:v>0</c:v>
                </c:pt>
                <c:pt idx="113">
                  <c:v>0</c:v>
                </c:pt>
                <c:pt idx="114">
                  <c:v>159045</c:v>
                </c:pt>
                <c:pt idx="115">
                  <c:v>0</c:v>
                </c:pt>
                <c:pt idx="116">
                  <c:v>167791</c:v>
                </c:pt>
                <c:pt idx="117">
                  <c:v>0</c:v>
                </c:pt>
                <c:pt idx="118">
                  <c:v>0</c:v>
                </c:pt>
                <c:pt idx="119">
                  <c:v>171970</c:v>
                </c:pt>
                <c:pt idx="120">
                  <c:v>0</c:v>
                </c:pt>
                <c:pt idx="121">
                  <c:v>0</c:v>
                </c:pt>
                <c:pt idx="122">
                  <c:v>177117</c:v>
                </c:pt>
                <c:pt idx="123">
                  <c:v>0</c:v>
                </c:pt>
                <c:pt idx="124">
                  <c:v>172679</c:v>
                </c:pt>
                <c:pt idx="125">
                  <c:v>0</c:v>
                </c:pt>
                <c:pt idx="126">
                  <c:v>0</c:v>
                </c:pt>
                <c:pt idx="127">
                  <c:v>172001</c:v>
                </c:pt>
                <c:pt idx="128">
                  <c:v>0</c:v>
                </c:pt>
                <c:pt idx="129">
                  <c:v>163948</c:v>
                </c:pt>
                <c:pt idx="130">
                  <c:v>0</c:v>
                </c:pt>
                <c:pt idx="131">
                  <c:v>0</c:v>
                </c:pt>
                <c:pt idx="132">
                  <c:v>165950</c:v>
                </c:pt>
                <c:pt idx="133">
                  <c:v>0</c:v>
                </c:pt>
                <c:pt idx="134">
                  <c:v>159611</c:v>
                </c:pt>
                <c:pt idx="135">
                  <c:v>0</c:v>
                </c:pt>
                <c:pt idx="136">
                  <c:v>0</c:v>
                </c:pt>
                <c:pt idx="137">
                  <c:v>168064</c:v>
                </c:pt>
                <c:pt idx="138">
                  <c:v>0</c:v>
                </c:pt>
                <c:pt idx="139">
                  <c:v>0</c:v>
                </c:pt>
                <c:pt idx="140">
                  <c:v>175789</c:v>
                </c:pt>
                <c:pt idx="141">
                  <c:v>0</c:v>
                </c:pt>
                <c:pt idx="142">
                  <c:v>175675</c:v>
                </c:pt>
                <c:pt idx="143">
                  <c:v>0</c:v>
                </c:pt>
                <c:pt idx="144">
                  <c:v>0</c:v>
                </c:pt>
                <c:pt idx="145">
                  <c:v>172444</c:v>
                </c:pt>
                <c:pt idx="146">
                  <c:v>0</c:v>
                </c:pt>
                <c:pt idx="147">
                  <c:v>170457</c:v>
                </c:pt>
                <c:pt idx="148">
                  <c:v>0</c:v>
                </c:pt>
                <c:pt idx="149">
                  <c:v>0</c:v>
                </c:pt>
                <c:pt idx="150">
                  <c:v>166211</c:v>
                </c:pt>
                <c:pt idx="151">
                  <c:v>0</c:v>
                </c:pt>
                <c:pt idx="152">
                  <c:v>159787</c:v>
                </c:pt>
                <c:pt idx="153">
                  <c:v>0</c:v>
                </c:pt>
                <c:pt idx="154">
                  <c:v>0</c:v>
                </c:pt>
                <c:pt idx="155">
                  <c:v>147681</c:v>
                </c:pt>
                <c:pt idx="156">
                  <c:v>0</c:v>
                </c:pt>
                <c:pt idx="157">
                  <c:v>0</c:v>
                </c:pt>
                <c:pt idx="158">
                  <c:v>135248</c:v>
                </c:pt>
                <c:pt idx="159">
                  <c:v>0</c:v>
                </c:pt>
                <c:pt idx="160">
                  <c:v>123846</c:v>
                </c:pt>
                <c:pt idx="161">
                  <c:v>0</c:v>
                </c:pt>
                <c:pt idx="162">
                  <c:v>0</c:v>
                </c:pt>
                <c:pt idx="163">
                  <c:v>120407</c:v>
                </c:pt>
                <c:pt idx="164">
                  <c:v>0</c:v>
                </c:pt>
                <c:pt idx="165">
                  <c:v>100019</c:v>
                </c:pt>
                <c:pt idx="166">
                  <c:v>0</c:v>
                </c:pt>
                <c:pt idx="167">
                  <c:v>0</c:v>
                </c:pt>
                <c:pt idx="168">
                  <c:v>94800</c:v>
                </c:pt>
                <c:pt idx="169">
                  <c:v>0</c:v>
                </c:pt>
                <c:pt idx="170">
                  <c:v>0</c:v>
                </c:pt>
                <c:pt idx="171">
                  <c:v>83320</c:v>
                </c:pt>
                <c:pt idx="172">
                  <c:v>0</c:v>
                </c:pt>
                <c:pt idx="173">
                  <c:v>71855</c:v>
                </c:pt>
                <c:pt idx="174">
                  <c:v>0</c:v>
                </c:pt>
                <c:pt idx="175">
                  <c:v>0</c:v>
                </c:pt>
                <c:pt idx="176">
                  <c:v>68731</c:v>
                </c:pt>
                <c:pt idx="177">
                  <c:v>0</c:v>
                </c:pt>
                <c:pt idx="178">
                  <c:v>54907</c:v>
                </c:pt>
                <c:pt idx="179">
                  <c:v>0</c:v>
                </c:pt>
                <c:pt idx="180">
                  <c:v>0</c:v>
                </c:pt>
                <c:pt idx="181">
                  <c:v>52663</c:v>
                </c:pt>
                <c:pt idx="182">
                  <c:v>0</c:v>
                </c:pt>
                <c:pt idx="183">
                  <c:v>49319</c:v>
                </c:pt>
                <c:pt idx="184">
                  <c:v>0</c:v>
                </c:pt>
                <c:pt idx="185">
                  <c:v>0</c:v>
                </c:pt>
                <c:pt idx="186">
                  <c:v>45436</c:v>
                </c:pt>
                <c:pt idx="187">
                  <c:v>0</c:v>
                </c:pt>
                <c:pt idx="188">
                  <c:v>0</c:v>
                </c:pt>
                <c:pt idx="189">
                  <c:v>39672</c:v>
                </c:pt>
                <c:pt idx="190">
                  <c:v>0</c:v>
                </c:pt>
                <c:pt idx="191">
                  <c:v>37711</c:v>
                </c:pt>
                <c:pt idx="192">
                  <c:v>0</c:v>
                </c:pt>
                <c:pt idx="193">
                  <c:v>0</c:v>
                </c:pt>
                <c:pt idx="194">
                  <c:v>32432</c:v>
                </c:pt>
                <c:pt idx="195">
                  <c:v>0</c:v>
                </c:pt>
                <c:pt idx="196">
                  <c:v>22341</c:v>
                </c:pt>
                <c:pt idx="197">
                  <c:v>0</c:v>
                </c:pt>
                <c:pt idx="198">
                  <c:v>0</c:v>
                </c:pt>
                <c:pt idx="199">
                  <c:v>17138</c:v>
                </c:pt>
                <c:pt idx="200">
                  <c:v>0</c:v>
                </c:pt>
                <c:pt idx="201">
                  <c:v>10441</c:v>
                </c:pt>
                <c:pt idx="202">
                  <c:v>0</c:v>
                </c:pt>
                <c:pt idx="203">
                  <c:v>0</c:v>
                </c:pt>
                <c:pt idx="204">
                  <c:v>5488</c:v>
                </c:pt>
                <c:pt idx="205">
                  <c:v>0</c:v>
                </c:pt>
                <c:pt idx="206">
                  <c:v>0</c:v>
                </c:pt>
                <c:pt idx="207">
                  <c:v>2161</c:v>
                </c:pt>
                <c:pt idx="208">
                  <c:v>0</c:v>
                </c:pt>
                <c:pt idx="209">
                  <c:v>1674</c:v>
                </c:pt>
                <c:pt idx="210">
                  <c:v>0</c:v>
                </c:pt>
                <c:pt idx="211">
                  <c:v>0</c:v>
                </c:pt>
                <c:pt idx="212">
                  <c:v>1537</c:v>
                </c:pt>
                <c:pt idx="213">
                  <c:v>0</c:v>
                </c:pt>
                <c:pt idx="214">
                  <c:v>688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  <c:pt idx="74">
                  <c:v>4.5707300000000002</c:v>
                </c:pt>
                <c:pt idx="75">
                  <c:v>4.5709800000000005</c:v>
                </c:pt>
                <c:pt idx="76">
                  <c:v>4.5755299999999997</c:v>
                </c:pt>
                <c:pt idx="77">
                  <c:v>4.5812100000000004</c:v>
                </c:pt>
                <c:pt idx="78">
                  <c:v>4.5902700000000003</c:v>
                </c:pt>
                <c:pt idx="79">
                  <c:v>4.6020300000000001</c:v>
                </c:pt>
                <c:pt idx="80">
                  <c:v>4.61564</c:v>
                </c:pt>
                <c:pt idx="81">
                  <c:v>4.62906</c:v>
                </c:pt>
                <c:pt idx="82">
                  <c:v>4.6463999999999999</c:v>
                </c:pt>
                <c:pt idx="83">
                  <c:v>4.66859</c:v>
                </c:pt>
                <c:pt idx="84">
                  <c:v>4.6937899999999999</c:v>
                </c:pt>
                <c:pt idx="85">
                  <c:v>4.7237</c:v>
                </c:pt>
                <c:pt idx="86">
                  <c:v>4.7521899999999997</c:v>
                </c:pt>
                <c:pt idx="87">
                  <c:v>4.7802800000000003</c:v>
                </c:pt>
                <c:pt idx="88">
                  <c:v>4.8054300000000003</c:v>
                </c:pt>
                <c:pt idx="89">
                  <c:v>4.8284799999999999</c:v>
                </c:pt>
                <c:pt idx="90">
                  <c:v>4.8516500000000002</c:v>
                </c:pt>
                <c:pt idx="91">
                  <c:v>4.87683</c:v>
                </c:pt>
                <c:pt idx="92">
                  <c:v>4.9055300000000006</c:v>
                </c:pt>
                <c:pt idx="93">
                  <c:v>4.9361500000000005</c:v>
                </c:pt>
                <c:pt idx="94">
                  <c:v>4.9680999999999997</c:v>
                </c:pt>
                <c:pt idx="95">
                  <c:v>5.0016999999999996</c:v>
                </c:pt>
                <c:pt idx="96">
                  <c:v>5.0375800000000002</c:v>
                </c:pt>
                <c:pt idx="97">
                  <c:v>5.0723900000000004</c:v>
                </c:pt>
                <c:pt idx="98">
                  <c:v>5.1061199999999998</c:v>
                </c:pt>
                <c:pt idx="99">
                  <c:v>5.1355599999999999</c:v>
                </c:pt>
                <c:pt idx="100">
                  <c:v>5.16289</c:v>
                </c:pt>
                <c:pt idx="101">
                  <c:v>5.1888800000000002</c:v>
                </c:pt>
                <c:pt idx="102">
                  <c:v>5.2133799999999999</c:v>
                </c:pt>
                <c:pt idx="103">
                  <c:v>5.2320999999999991</c:v>
                </c:pt>
                <c:pt idx="104">
                  <c:v>5.2427000000000001</c:v>
                </c:pt>
                <c:pt idx="105">
                  <c:v>5.2492200000000002</c:v>
                </c:pt>
                <c:pt idx="106">
                  <c:v>5.2529700000000004</c:v>
                </c:pt>
                <c:pt idx="107">
                  <c:v>5.2495499999999993</c:v>
                </c:pt>
                <c:pt idx="108">
                  <c:v>5.2407599999999999</c:v>
                </c:pt>
                <c:pt idx="109">
                  <c:v>5.2302099999999996</c:v>
                </c:pt>
                <c:pt idx="110">
                  <c:v>5.2140299999999993</c:v>
                </c:pt>
                <c:pt idx="111">
                  <c:v>5.1976300000000002</c:v>
                </c:pt>
                <c:pt idx="112">
                  <c:v>5.1805699999999995</c:v>
                </c:pt>
                <c:pt idx="113">
                  <c:v>5.1631099999999996</c:v>
                </c:pt>
                <c:pt idx="114">
                  <c:v>5.1431899999999997</c:v>
                </c:pt>
                <c:pt idx="115">
                  <c:v>5.1252600000000008</c:v>
                </c:pt>
                <c:pt idx="116">
                  <c:v>5.1052200000000001</c:v>
                </c:pt>
                <c:pt idx="117">
                  <c:v>5.0823099999999997</c:v>
                </c:pt>
                <c:pt idx="118">
                  <c:v>5.0607000000000006</c:v>
                </c:pt>
                <c:pt idx="119">
                  <c:v>5.03993</c:v>
                </c:pt>
                <c:pt idx="120">
                  <c:v>5.0199099999999994</c:v>
                </c:pt>
                <c:pt idx="121">
                  <c:v>4.9971100000000002</c:v>
                </c:pt>
                <c:pt idx="122">
                  <c:v>4.9721200000000003</c:v>
                </c:pt>
                <c:pt idx="123">
                  <c:v>4.9483899999999998</c:v>
                </c:pt>
                <c:pt idx="124">
                  <c:v>4.9354700000000005</c:v>
                </c:pt>
                <c:pt idx="125">
                  <c:v>4.92089</c:v>
                </c:pt>
                <c:pt idx="126">
                  <c:v>4.9030899999999997</c:v>
                </c:pt>
                <c:pt idx="127">
                  <c:v>4.8831999999999995</c:v>
                </c:pt>
                <c:pt idx="128">
                  <c:v>4.8633600000000001</c:v>
                </c:pt>
                <c:pt idx="129">
                  <c:v>4.8461699999999999</c:v>
                </c:pt>
                <c:pt idx="130">
                  <c:v>4.8298999999999994</c:v>
                </c:pt>
                <c:pt idx="131">
                  <c:v>4.8149899999999999</c:v>
                </c:pt>
                <c:pt idx="132">
                  <c:v>4.8038499999999997</c:v>
                </c:pt>
                <c:pt idx="133">
                  <c:v>4.7937500000000002</c:v>
                </c:pt>
                <c:pt idx="134">
                  <c:v>4.7827399999999995</c:v>
                </c:pt>
                <c:pt idx="135">
                  <c:v>4.7756799999999995</c:v>
                </c:pt>
                <c:pt idx="136">
                  <c:v>4.7690200000000003</c:v>
                </c:pt>
                <c:pt idx="137">
                  <c:v>4.7673700000000006</c:v>
                </c:pt>
                <c:pt idx="138">
                  <c:v>4.7664400000000002</c:v>
                </c:pt>
                <c:pt idx="139">
                  <c:v>4.7677800000000001</c:v>
                </c:pt>
                <c:pt idx="140">
                  <c:v>4.7653099999999995</c:v>
                </c:pt>
                <c:pt idx="141">
                  <c:v>4.76417</c:v>
                </c:pt>
                <c:pt idx="142">
                  <c:v>4.7675099999999997</c:v>
                </c:pt>
                <c:pt idx="143">
                  <c:v>4.7680099999999994</c:v>
                </c:pt>
                <c:pt idx="144">
                  <c:v>4.7590300000000001</c:v>
                </c:pt>
                <c:pt idx="145">
                  <c:v>4.7397200000000002</c:v>
                </c:pt>
                <c:pt idx="146">
                  <c:v>4.7300500000000003</c:v>
                </c:pt>
                <c:pt idx="147">
                  <c:v>4.7285500000000003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  <c:pt idx="74">
                  <c:v>29.223199999999999</c:v>
                </c:pt>
                <c:pt idx="75">
                  <c:v>28.526800000000001</c:v>
                </c:pt>
                <c:pt idx="76">
                  <c:v>28.021099999999997</c:v>
                </c:pt>
                <c:pt idx="77">
                  <c:v>27.506499999999999</c:v>
                </c:pt>
                <c:pt idx="78">
                  <c:v>27.0061</c:v>
                </c:pt>
                <c:pt idx="79">
                  <c:v>26.565299999999997</c:v>
                </c:pt>
                <c:pt idx="80">
                  <c:v>26.108499999999999</c:v>
                </c:pt>
                <c:pt idx="81">
                  <c:v>25.703099999999999</c:v>
                </c:pt>
                <c:pt idx="82">
                  <c:v>25.295299999999997</c:v>
                </c:pt>
                <c:pt idx="83">
                  <c:v>24.8401</c:v>
                </c:pt>
                <c:pt idx="84">
                  <c:v>24.338000000000001</c:v>
                </c:pt>
                <c:pt idx="85">
                  <c:v>23.826499999999999</c:v>
                </c:pt>
                <c:pt idx="86">
                  <c:v>23.428999999999998</c:v>
                </c:pt>
                <c:pt idx="87">
                  <c:v>23.124200000000002</c:v>
                </c:pt>
                <c:pt idx="88">
                  <c:v>22.8034</c:v>
                </c:pt>
                <c:pt idx="89">
                  <c:v>22.494900000000001</c:v>
                </c:pt>
                <c:pt idx="90">
                  <c:v>22.278200000000002</c:v>
                </c:pt>
                <c:pt idx="91">
                  <c:v>22.118099999999998</c:v>
                </c:pt>
                <c:pt idx="92">
                  <c:v>21.988599999999998</c:v>
                </c:pt>
                <c:pt idx="93">
                  <c:v>22.033300000000001</c:v>
                </c:pt>
                <c:pt idx="94">
                  <c:v>22.160900000000002</c:v>
                </c:pt>
                <c:pt idx="95">
                  <c:v>22.419800000000002</c:v>
                </c:pt>
                <c:pt idx="96">
                  <c:v>22.8447</c:v>
                </c:pt>
                <c:pt idx="97">
                  <c:v>23.310300000000002</c:v>
                </c:pt>
                <c:pt idx="98">
                  <c:v>23.889099999999999</c:v>
                </c:pt>
                <c:pt idx="99">
                  <c:v>24.557499999999997</c:v>
                </c:pt>
                <c:pt idx="100">
                  <c:v>25.175599999999999</c:v>
                </c:pt>
                <c:pt idx="101">
                  <c:v>25.732600000000001</c:v>
                </c:pt>
                <c:pt idx="102">
                  <c:v>26.255200000000002</c:v>
                </c:pt>
                <c:pt idx="103">
                  <c:v>26.6922</c:v>
                </c:pt>
                <c:pt idx="104">
                  <c:v>27.054099999999998</c:v>
                </c:pt>
                <c:pt idx="105">
                  <c:v>27.3995</c:v>
                </c:pt>
                <c:pt idx="106">
                  <c:v>27.685399999999998</c:v>
                </c:pt>
                <c:pt idx="107">
                  <c:v>27.843200000000003</c:v>
                </c:pt>
                <c:pt idx="108">
                  <c:v>27.869699999999998</c:v>
                </c:pt>
                <c:pt idx="109">
                  <c:v>27.815099999999997</c:v>
                </c:pt>
                <c:pt idx="110">
                  <c:v>27.7148</c:v>
                </c:pt>
                <c:pt idx="111">
                  <c:v>27.531899999999997</c:v>
                </c:pt>
                <c:pt idx="112">
                  <c:v>27.244299999999999</c:v>
                </c:pt>
                <c:pt idx="113">
                  <c:v>26.934000000000001</c:v>
                </c:pt>
                <c:pt idx="114">
                  <c:v>26.611499999999999</c:v>
                </c:pt>
                <c:pt idx="115">
                  <c:v>26.225300000000001</c:v>
                </c:pt>
                <c:pt idx="116">
                  <c:v>25.811699999999998</c:v>
                </c:pt>
                <c:pt idx="117">
                  <c:v>25.424900000000001</c:v>
                </c:pt>
                <c:pt idx="118">
                  <c:v>25.000600000000002</c:v>
                </c:pt>
                <c:pt idx="119">
                  <c:v>24.627099999999999</c:v>
                </c:pt>
                <c:pt idx="120">
                  <c:v>24.267199999999999</c:v>
                </c:pt>
                <c:pt idx="121">
                  <c:v>23.954900000000002</c:v>
                </c:pt>
                <c:pt idx="122">
                  <c:v>23.694399999999998</c:v>
                </c:pt>
                <c:pt idx="123">
                  <c:v>23.449400000000001</c:v>
                </c:pt>
                <c:pt idx="124">
                  <c:v>23.277800000000003</c:v>
                </c:pt>
                <c:pt idx="125">
                  <c:v>23.1142</c:v>
                </c:pt>
                <c:pt idx="126">
                  <c:v>22.987199999999998</c:v>
                </c:pt>
                <c:pt idx="127">
                  <c:v>22.892399999999999</c:v>
                </c:pt>
                <c:pt idx="128">
                  <c:v>22.783200000000001</c:v>
                </c:pt>
                <c:pt idx="129">
                  <c:v>22.5976</c:v>
                </c:pt>
                <c:pt idx="130">
                  <c:v>22.3599</c:v>
                </c:pt>
                <c:pt idx="131">
                  <c:v>22.098000000000003</c:v>
                </c:pt>
                <c:pt idx="132">
                  <c:v>21.7973</c:v>
                </c:pt>
                <c:pt idx="133">
                  <c:v>21.522500000000001</c:v>
                </c:pt>
                <c:pt idx="134">
                  <c:v>21.329799999999999</c:v>
                </c:pt>
                <c:pt idx="135">
                  <c:v>21.069299999999998</c:v>
                </c:pt>
                <c:pt idx="136">
                  <c:v>20.855699999999999</c:v>
                </c:pt>
                <c:pt idx="137">
                  <c:v>20.681799999999999</c:v>
                </c:pt>
                <c:pt idx="138">
                  <c:v>20.568300000000001</c:v>
                </c:pt>
                <c:pt idx="139">
                  <c:v>20.4373</c:v>
                </c:pt>
                <c:pt idx="140">
                  <c:v>20.387</c:v>
                </c:pt>
                <c:pt idx="141">
                  <c:v>20.402799999999999</c:v>
                </c:pt>
                <c:pt idx="142">
                  <c:v>20.5029</c:v>
                </c:pt>
                <c:pt idx="143">
                  <c:v>20.74</c:v>
                </c:pt>
                <c:pt idx="144">
                  <c:v>21.005299999999998</c:v>
                </c:pt>
                <c:pt idx="145">
                  <c:v>21.384900000000002</c:v>
                </c:pt>
                <c:pt idx="146">
                  <c:v>21.710099999999997</c:v>
                </c:pt>
                <c:pt idx="147">
                  <c:v>22.047900000000002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4.5736300000000005</c:v>
                </c:pt>
                <c:pt idx="1">
                  <c:v>4.5707300000000002</c:v>
                </c:pt>
                <c:pt idx="2">
                  <c:v>4.5709800000000005</c:v>
                </c:pt>
                <c:pt idx="3">
                  <c:v>4.5755299999999997</c:v>
                </c:pt>
                <c:pt idx="4">
                  <c:v>4.5812100000000004</c:v>
                </c:pt>
                <c:pt idx="5">
                  <c:v>4.5902700000000003</c:v>
                </c:pt>
                <c:pt idx="6">
                  <c:v>4.6020300000000001</c:v>
                </c:pt>
                <c:pt idx="7">
                  <c:v>4.61564</c:v>
                </c:pt>
                <c:pt idx="8">
                  <c:v>4.62906</c:v>
                </c:pt>
                <c:pt idx="9">
                  <c:v>4.6463999999999999</c:v>
                </c:pt>
                <c:pt idx="10">
                  <c:v>4.66859</c:v>
                </c:pt>
                <c:pt idx="11">
                  <c:v>4.6937899999999999</c:v>
                </c:pt>
                <c:pt idx="12">
                  <c:v>4.7237</c:v>
                </c:pt>
                <c:pt idx="13">
                  <c:v>4.7521899999999997</c:v>
                </c:pt>
                <c:pt idx="14">
                  <c:v>4.7802800000000003</c:v>
                </c:pt>
                <c:pt idx="15">
                  <c:v>4.8054300000000003</c:v>
                </c:pt>
                <c:pt idx="16">
                  <c:v>4.8284799999999999</c:v>
                </c:pt>
                <c:pt idx="17">
                  <c:v>4.8516500000000002</c:v>
                </c:pt>
                <c:pt idx="18">
                  <c:v>4.87683</c:v>
                </c:pt>
                <c:pt idx="19">
                  <c:v>4.9055300000000006</c:v>
                </c:pt>
                <c:pt idx="20">
                  <c:v>4.9361500000000005</c:v>
                </c:pt>
                <c:pt idx="21">
                  <c:v>4.9680999999999997</c:v>
                </c:pt>
                <c:pt idx="22">
                  <c:v>5.0016999999999996</c:v>
                </c:pt>
                <c:pt idx="23">
                  <c:v>5.0375800000000002</c:v>
                </c:pt>
                <c:pt idx="24">
                  <c:v>5.0723900000000004</c:v>
                </c:pt>
                <c:pt idx="25">
                  <c:v>5.1061199999999998</c:v>
                </c:pt>
                <c:pt idx="26">
                  <c:v>5.1355599999999999</c:v>
                </c:pt>
                <c:pt idx="27">
                  <c:v>5.16289</c:v>
                </c:pt>
                <c:pt idx="28">
                  <c:v>5.1888800000000002</c:v>
                </c:pt>
                <c:pt idx="29">
                  <c:v>5.2133799999999999</c:v>
                </c:pt>
                <c:pt idx="30">
                  <c:v>5.2320999999999991</c:v>
                </c:pt>
                <c:pt idx="31">
                  <c:v>5.2427000000000001</c:v>
                </c:pt>
                <c:pt idx="32">
                  <c:v>5.2492200000000002</c:v>
                </c:pt>
                <c:pt idx="33">
                  <c:v>5.2529700000000004</c:v>
                </c:pt>
                <c:pt idx="34">
                  <c:v>5.2495499999999993</c:v>
                </c:pt>
                <c:pt idx="35">
                  <c:v>5.2407599999999999</c:v>
                </c:pt>
                <c:pt idx="36">
                  <c:v>5.2302099999999996</c:v>
                </c:pt>
                <c:pt idx="37">
                  <c:v>5.2140299999999993</c:v>
                </c:pt>
                <c:pt idx="38">
                  <c:v>5.1976300000000002</c:v>
                </c:pt>
                <c:pt idx="39">
                  <c:v>5.1805699999999995</c:v>
                </c:pt>
                <c:pt idx="40">
                  <c:v>5.1631099999999996</c:v>
                </c:pt>
                <c:pt idx="41">
                  <c:v>5.1431899999999997</c:v>
                </c:pt>
                <c:pt idx="42">
                  <c:v>5.1252600000000008</c:v>
                </c:pt>
                <c:pt idx="43">
                  <c:v>5.1052200000000001</c:v>
                </c:pt>
                <c:pt idx="44">
                  <c:v>5.0823099999999997</c:v>
                </c:pt>
                <c:pt idx="45">
                  <c:v>5.0607000000000006</c:v>
                </c:pt>
                <c:pt idx="46">
                  <c:v>5.03993</c:v>
                </c:pt>
                <c:pt idx="47">
                  <c:v>5.0199099999999994</c:v>
                </c:pt>
                <c:pt idx="48">
                  <c:v>4.9971100000000002</c:v>
                </c:pt>
                <c:pt idx="49">
                  <c:v>4.9721200000000003</c:v>
                </c:pt>
                <c:pt idx="50">
                  <c:v>4.9483899999999998</c:v>
                </c:pt>
                <c:pt idx="51">
                  <c:v>4.9354700000000005</c:v>
                </c:pt>
                <c:pt idx="52">
                  <c:v>4.92089</c:v>
                </c:pt>
                <c:pt idx="53">
                  <c:v>4.9030899999999997</c:v>
                </c:pt>
                <c:pt idx="54">
                  <c:v>4.8831999999999995</c:v>
                </c:pt>
                <c:pt idx="55">
                  <c:v>4.8633600000000001</c:v>
                </c:pt>
                <c:pt idx="56">
                  <c:v>4.8461699999999999</c:v>
                </c:pt>
                <c:pt idx="57">
                  <c:v>4.8298999999999994</c:v>
                </c:pt>
                <c:pt idx="58">
                  <c:v>4.8149899999999999</c:v>
                </c:pt>
                <c:pt idx="59">
                  <c:v>4.8038499999999997</c:v>
                </c:pt>
                <c:pt idx="60">
                  <c:v>4.7937500000000002</c:v>
                </c:pt>
                <c:pt idx="61">
                  <c:v>4.7827399999999995</c:v>
                </c:pt>
                <c:pt idx="62">
                  <c:v>4.7756799999999995</c:v>
                </c:pt>
                <c:pt idx="63">
                  <c:v>4.7690200000000003</c:v>
                </c:pt>
                <c:pt idx="64">
                  <c:v>4.7673700000000006</c:v>
                </c:pt>
                <c:pt idx="65">
                  <c:v>4.7664400000000002</c:v>
                </c:pt>
                <c:pt idx="66">
                  <c:v>4.7677800000000001</c:v>
                </c:pt>
                <c:pt idx="67">
                  <c:v>4.7653099999999995</c:v>
                </c:pt>
                <c:pt idx="68">
                  <c:v>4.76417</c:v>
                </c:pt>
                <c:pt idx="69">
                  <c:v>4.7675099999999997</c:v>
                </c:pt>
                <c:pt idx="70">
                  <c:v>4.7680099999999994</c:v>
                </c:pt>
                <c:pt idx="71">
                  <c:v>4.7590300000000001</c:v>
                </c:pt>
                <c:pt idx="72">
                  <c:v>4.7397200000000002</c:v>
                </c:pt>
                <c:pt idx="73">
                  <c:v>4.7300500000000003</c:v>
                </c:pt>
                <c:pt idx="74">
                  <c:v>4.7285500000000003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29.712100000000003</c:v>
                </c:pt>
                <c:pt idx="1">
                  <c:v>29.223199999999999</c:v>
                </c:pt>
                <c:pt idx="2">
                  <c:v>28.526800000000001</c:v>
                </c:pt>
                <c:pt idx="3">
                  <c:v>28.021099999999997</c:v>
                </c:pt>
                <c:pt idx="4">
                  <c:v>27.506499999999999</c:v>
                </c:pt>
                <c:pt idx="5">
                  <c:v>27.0061</c:v>
                </c:pt>
                <c:pt idx="6">
                  <c:v>26.565299999999997</c:v>
                </c:pt>
                <c:pt idx="7">
                  <c:v>26.108499999999999</c:v>
                </c:pt>
                <c:pt idx="8">
                  <c:v>25.703099999999999</c:v>
                </c:pt>
                <c:pt idx="9">
                  <c:v>25.295299999999997</c:v>
                </c:pt>
                <c:pt idx="10">
                  <c:v>24.8401</c:v>
                </c:pt>
                <c:pt idx="11">
                  <c:v>24.338000000000001</c:v>
                </c:pt>
                <c:pt idx="12">
                  <c:v>23.826499999999999</c:v>
                </c:pt>
                <c:pt idx="13">
                  <c:v>23.428999999999998</c:v>
                </c:pt>
                <c:pt idx="14">
                  <c:v>23.124200000000002</c:v>
                </c:pt>
                <c:pt idx="15">
                  <c:v>22.8034</c:v>
                </c:pt>
                <c:pt idx="16">
                  <c:v>22.494900000000001</c:v>
                </c:pt>
                <c:pt idx="17">
                  <c:v>22.278200000000002</c:v>
                </c:pt>
                <c:pt idx="18">
                  <c:v>22.118099999999998</c:v>
                </c:pt>
                <c:pt idx="19">
                  <c:v>21.988599999999998</c:v>
                </c:pt>
                <c:pt idx="20">
                  <c:v>22.033300000000001</c:v>
                </c:pt>
                <c:pt idx="21">
                  <c:v>22.160900000000002</c:v>
                </c:pt>
                <c:pt idx="22">
                  <c:v>22.419800000000002</c:v>
                </c:pt>
                <c:pt idx="23">
                  <c:v>22.8447</c:v>
                </c:pt>
                <c:pt idx="24">
                  <c:v>23.310300000000002</c:v>
                </c:pt>
                <c:pt idx="25">
                  <c:v>23.889099999999999</c:v>
                </c:pt>
                <c:pt idx="26">
                  <c:v>24.557499999999997</c:v>
                </c:pt>
                <c:pt idx="27">
                  <c:v>25.175599999999999</c:v>
                </c:pt>
                <c:pt idx="28">
                  <c:v>25.732600000000001</c:v>
                </c:pt>
                <c:pt idx="29">
                  <c:v>26.255200000000002</c:v>
                </c:pt>
                <c:pt idx="30">
                  <c:v>26.6922</c:v>
                </c:pt>
                <c:pt idx="31">
                  <c:v>27.054099999999998</c:v>
                </c:pt>
                <c:pt idx="32">
                  <c:v>27.3995</c:v>
                </c:pt>
                <c:pt idx="33">
                  <c:v>27.685399999999998</c:v>
                </c:pt>
                <c:pt idx="34">
                  <c:v>27.843200000000003</c:v>
                </c:pt>
                <c:pt idx="35">
                  <c:v>27.869699999999998</c:v>
                </c:pt>
                <c:pt idx="36">
                  <c:v>27.815099999999997</c:v>
                </c:pt>
                <c:pt idx="37">
                  <c:v>27.7148</c:v>
                </c:pt>
                <c:pt idx="38">
                  <c:v>27.531899999999997</c:v>
                </c:pt>
                <c:pt idx="39">
                  <c:v>27.244299999999999</c:v>
                </c:pt>
                <c:pt idx="40">
                  <c:v>26.934000000000001</c:v>
                </c:pt>
                <c:pt idx="41">
                  <c:v>26.611499999999999</c:v>
                </c:pt>
                <c:pt idx="42">
                  <c:v>26.225300000000001</c:v>
                </c:pt>
                <c:pt idx="43">
                  <c:v>25.811699999999998</c:v>
                </c:pt>
                <c:pt idx="44">
                  <c:v>25.424900000000001</c:v>
                </c:pt>
                <c:pt idx="45">
                  <c:v>25.000600000000002</c:v>
                </c:pt>
                <c:pt idx="46">
                  <c:v>24.627099999999999</c:v>
                </c:pt>
                <c:pt idx="47">
                  <c:v>24.267199999999999</c:v>
                </c:pt>
                <c:pt idx="48">
                  <c:v>23.954900000000002</c:v>
                </c:pt>
                <c:pt idx="49">
                  <c:v>23.694399999999998</c:v>
                </c:pt>
                <c:pt idx="50">
                  <c:v>23.449400000000001</c:v>
                </c:pt>
                <c:pt idx="51">
                  <c:v>23.277800000000003</c:v>
                </c:pt>
                <c:pt idx="52">
                  <c:v>23.1142</c:v>
                </c:pt>
                <c:pt idx="53">
                  <c:v>22.987199999999998</c:v>
                </c:pt>
                <c:pt idx="54">
                  <c:v>22.892399999999999</c:v>
                </c:pt>
                <c:pt idx="55">
                  <c:v>22.783200000000001</c:v>
                </c:pt>
                <c:pt idx="56">
                  <c:v>22.5976</c:v>
                </c:pt>
                <c:pt idx="57">
                  <c:v>22.3599</c:v>
                </c:pt>
                <c:pt idx="58">
                  <c:v>22.098000000000003</c:v>
                </c:pt>
                <c:pt idx="59">
                  <c:v>21.7973</c:v>
                </c:pt>
                <c:pt idx="60">
                  <c:v>21.522500000000001</c:v>
                </c:pt>
                <c:pt idx="61">
                  <c:v>21.329799999999999</c:v>
                </c:pt>
                <c:pt idx="62">
                  <c:v>21.069299999999998</c:v>
                </c:pt>
                <c:pt idx="63">
                  <c:v>20.855699999999999</c:v>
                </c:pt>
                <c:pt idx="64">
                  <c:v>20.681799999999999</c:v>
                </c:pt>
                <c:pt idx="65">
                  <c:v>20.568300000000001</c:v>
                </c:pt>
                <c:pt idx="66">
                  <c:v>20.4373</c:v>
                </c:pt>
                <c:pt idx="67">
                  <c:v>20.387</c:v>
                </c:pt>
                <c:pt idx="68">
                  <c:v>20.402799999999999</c:v>
                </c:pt>
                <c:pt idx="69">
                  <c:v>20.5029</c:v>
                </c:pt>
                <c:pt idx="70">
                  <c:v>20.74</c:v>
                </c:pt>
                <c:pt idx="71">
                  <c:v>21.005299999999998</c:v>
                </c:pt>
                <c:pt idx="72">
                  <c:v>21.384900000000002</c:v>
                </c:pt>
                <c:pt idx="73">
                  <c:v>21.710099999999997</c:v>
                </c:pt>
                <c:pt idx="74">
                  <c:v>22.047900000000002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4.3147104054054051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31.551428378378372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4.9092447297297328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24.094328378378371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4.9092447297297328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24.094328378378371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0.18536061596143802</c:v>
                </c:pt>
                <c:pt idx="1">
                  <c:v>0.32223613830443176</c:v>
                </c:pt>
                <c:pt idx="2">
                  <c:v>0.4924032457341303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  <c:pt idx="74">
                  <c:v>30.042300000000001</c:v>
                </c:pt>
                <c:pt idx="75">
                  <c:v>30.6356</c:v>
                </c:pt>
                <c:pt idx="76">
                  <c:v>31.007200000000001</c:v>
                </c:pt>
                <c:pt idx="77">
                  <c:v>31.382200000000001</c:v>
                </c:pt>
                <c:pt idx="78">
                  <c:v>31.755299999999998</c:v>
                </c:pt>
                <c:pt idx="79">
                  <c:v>32.135800000000003</c:v>
                </c:pt>
                <c:pt idx="80">
                  <c:v>32.541499999999999</c:v>
                </c:pt>
                <c:pt idx="81">
                  <c:v>32.944200000000002</c:v>
                </c:pt>
                <c:pt idx="82">
                  <c:v>33.352699999999999</c:v>
                </c:pt>
                <c:pt idx="83">
                  <c:v>33.757399999999997</c:v>
                </c:pt>
                <c:pt idx="84">
                  <c:v>34.164700000000003</c:v>
                </c:pt>
                <c:pt idx="85">
                  <c:v>34.572699999999998</c:v>
                </c:pt>
                <c:pt idx="86">
                  <c:v>34.978000000000002</c:v>
                </c:pt>
                <c:pt idx="87">
                  <c:v>35.381399999999999</c:v>
                </c:pt>
                <c:pt idx="88">
                  <c:v>35.788800000000002</c:v>
                </c:pt>
                <c:pt idx="89">
                  <c:v>36.197699999999998</c:v>
                </c:pt>
                <c:pt idx="90">
                  <c:v>36.603900000000003</c:v>
                </c:pt>
                <c:pt idx="91">
                  <c:v>37.008299999999998</c:v>
                </c:pt>
                <c:pt idx="92">
                  <c:v>37.414400000000001</c:v>
                </c:pt>
                <c:pt idx="93">
                  <c:v>37.8215</c:v>
                </c:pt>
                <c:pt idx="94">
                  <c:v>38.2271</c:v>
                </c:pt>
                <c:pt idx="95">
                  <c:v>38.633099999999999</c:v>
                </c:pt>
                <c:pt idx="96">
                  <c:v>39.040500000000002</c:v>
                </c:pt>
                <c:pt idx="97">
                  <c:v>39.4437</c:v>
                </c:pt>
                <c:pt idx="98">
                  <c:v>39.857399999999998</c:v>
                </c:pt>
                <c:pt idx="99">
                  <c:v>40.257199999999997</c:v>
                </c:pt>
                <c:pt idx="100">
                  <c:v>40.6678</c:v>
                </c:pt>
                <c:pt idx="101">
                  <c:v>41.072000000000003</c:v>
                </c:pt>
                <c:pt idx="102">
                  <c:v>41.474400000000003</c:v>
                </c:pt>
                <c:pt idx="103">
                  <c:v>41.884300000000003</c:v>
                </c:pt>
                <c:pt idx="104">
                  <c:v>42.2883</c:v>
                </c:pt>
                <c:pt idx="105">
                  <c:v>42.698500000000003</c:v>
                </c:pt>
                <c:pt idx="106">
                  <c:v>43.101199999999999</c:v>
                </c:pt>
                <c:pt idx="107">
                  <c:v>43.510100000000001</c:v>
                </c:pt>
                <c:pt idx="108">
                  <c:v>43.912700000000001</c:v>
                </c:pt>
                <c:pt idx="109">
                  <c:v>44.322600000000001</c:v>
                </c:pt>
                <c:pt idx="110">
                  <c:v>44.729300000000002</c:v>
                </c:pt>
                <c:pt idx="111">
                  <c:v>45.137300000000003</c:v>
                </c:pt>
                <c:pt idx="112">
                  <c:v>45.539700000000003</c:v>
                </c:pt>
                <c:pt idx="113">
                  <c:v>45.947099999999999</c:v>
                </c:pt>
                <c:pt idx="114">
                  <c:v>46.3538</c:v>
                </c:pt>
                <c:pt idx="115">
                  <c:v>46.760300000000001</c:v>
                </c:pt>
                <c:pt idx="116">
                  <c:v>47.163800000000002</c:v>
                </c:pt>
                <c:pt idx="117">
                  <c:v>47.569600000000001</c:v>
                </c:pt>
                <c:pt idx="118">
                  <c:v>47.976100000000002</c:v>
                </c:pt>
                <c:pt idx="119">
                  <c:v>48.387099999999997</c:v>
                </c:pt>
                <c:pt idx="120">
                  <c:v>48.792000000000002</c:v>
                </c:pt>
                <c:pt idx="121">
                  <c:v>49.1967</c:v>
                </c:pt>
                <c:pt idx="122">
                  <c:v>49.599800000000002</c:v>
                </c:pt>
                <c:pt idx="123">
                  <c:v>50.008299999999998</c:v>
                </c:pt>
                <c:pt idx="124">
                  <c:v>50.414200000000001</c:v>
                </c:pt>
                <c:pt idx="125">
                  <c:v>50.824300000000001</c:v>
                </c:pt>
                <c:pt idx="126">
                  <c:v>51.226599999999998</c:v>
                </c:pt>
                <c:pt idx="127">
                  <c:v>51.636499999999998</c:v>
                </c:pt>
                <c:pt idx="128">
                  <c:v>52.040100000000002</c:v>
                </c:pt>
                <c:pt idx="129">
                  <c:v>52.446300000000001</c:v>
                </c:pt>
                <c:pt idx="130">
                  <c:v>52.852499999999999</c:v>
                </c:pt>
                <c:pt idx="131">
                  <c:v>53.259900000000002</c:v>
                </c:pt>
                <c:pt idx="132">
                  <c:v>53.6631</c:v>
                </c:pt>
                <c:pt idx="133">
                  <c:v>54.069600000000001</c:v>
                </c:pt>
                <c:pt idx="134">
                  <c:v>54.4739</c:v>
                </c:pt>
                <c:pt idx="135">
                  <c:v>54.8855</c:v>
                </c:pt>
                <c:pt idx="136">
                  <c:v>55.292099999999998</c:v>
                </c:pt>
                <c:pt idx="137">
                  <c:v>55.695399999999999</c:v>
                </c:pt>
                <c:pt idx="138">
                  <c:v>56.103200000000001</c:v>
                </c:pt>
                <c:pt idx="139">
                  <c:v>56.512700000000002</c:v>
                </c:pt>
                <c:pt idx="140">
                  <c:v>56.915999999999997</c:v>
                </c:pt>
                <c:pt idx="141">
                  <c:v>57.322299999999998</c:v>
                </c:pt>
                <c:pt idx="142">
                  <c:v>57.7301</c:v>
                </c:pt>
                <c:pt idx="143">
                  <c:v>58.132800000000003</c:v>
                </c:pt>
                <c:pt idx="144">
                  <c:v>58.537700000000001</c:v>
                </c:pt>
                <c:pt idx="145">
                  <c:v>58.944499999999998</c:v>
                </c:pt>
                <c:pt idx="146">
                  <c:v>59.354599999999998</c:v>
                </c:pt>
                <c:pt idx="147">
                  <c:v>59.759900000000002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  <c:pt idx="74">
                  <c:v>4.5707300000000002</c:v>
                </c:pt>
                <c:pt idx="75">
                  <c:v>4.5709800000000005</c:v>
                </c:pt>
                <c:pt idx="76">
                  <c:v>4.5755299999999997</c:v>
                </c:pt>
                <c:pt idx="77">
                  <c:v>4.5812100000000004</c:v>
                </c:pt>
                <c:pt idx="78">
                  <c:v>4.5902700000000003</c:v>
                </c:pt>
                <c:pt idx="79">
                  <c:v>4.6020300000000001</c:v>
                </c:pt>
                <c:pt idx="80">
                  <c:v>4.61564</c:v>
                </c:pt>
                <c:pt idx="81">
                  <c:v>4.62906</c:v>
                </c:pt>
                <c:pt idx="82">
                  <c:v>4.6463999999999999</c:v>
                </c:pt>
                <c:pt idx="83">
                  <c:v>4.66859</c:v>
                </c:pt>
                <c:pt idx="84">
                  <c:v>4.6937899999999999</c:v>
                </c:pt>
                <c:pt idx="85">
                  <c:v>4.7237</c:v>
                </c:pt>
                <c:pt idx="86">
                  <c:v>4.7521899999999997</c:v>
                </c:pt>
                <c:pt idx="87">
                  <c:v>4.7802800000000003</c:v>
                </c:pt>
                <c:pt idx="88">
                  <c:v>4.8054300000000003</c:v>
                </c:pt>
                <c:pt idx="89">
                  <c:v>4.8284799999999999</c:v>
                </c:pt>
                <c:pt idx="90">
                  <c:v>4.8516500000000002</c:v>
                </c:pt>
                <c:pt idx="91">
                  <c:v>4.87683</c:v>
                </c:pt>
                <c:pt idx="92">
                  <c:v>4.9055300000000006</c:v>
                </c:pt>
                <c:pt idx="93">
                  <c:v>4.9361500000000005</c:v>
                </c:pt>
                <c:pt idx="94">
                  <c:v>4.9680999999999997</c:v>
                </c:pt>
                <c:pt idx="95">
                  <c:v>5.0016999999999996</c:v>
                </c:pt>
                <c:pt idx="96">
                  <c:v>5.0375800000000002</c:v>
                </c:pt>
                <c:pt idx="97">
                  <c:v>5.0723900000000004</c:v>
                </c:pt>
                <c:pt idx="98">
                  <c:v>5.1061199999999998</c:v>
                </c:pt>
                <c:pt idx="99">
                  <c:v>5.1355599999999999</c:v>
                </c:pt>
                <c:pt idx="100">
                  <c:v>5.16289</c:v>
                </c:pt>
                <c:pt idx="101">
                  <c:v>5.1888800000000002</c:v>
                </c:pt>
                <c:pt idx="102">
                  <c:v>5.2133799999999999</c:v>
                </c:pt>
                <c:pt idx="103">
                  <c:v>5.2320999999999991</c:v>
                </c:pt>
                <c:pt idx="104">
                  <c:v>5.2427000000000001</c:v>
                </c:pt>
                <c:pt idx="105">
                  <c:v>5.2492200000000002</c:v>
                </c:pt>
                <c:pt idx="106">
                  <c:v>5.2529700000000004</c:v>
                </c:pt>
                <c:pt idx="107">
                  <c:v>5.2495499999999993</c:v>
                </c:pt>
                <c:pt idx="108">
                  <c:v>5.2407599999999999</c:v>
                </c:pt>
                <c:pt idx="109">
                  <c:v>5.2302099999999996</c:v>
                </c:pt>
                <c:pt idx="110">
                  <c:v>5.2140299999999993</c:v>
                </c:pt>
                <c:pt idx="111">
                  <c:v>5.1976300000000002</c:v>
                </c:pt>
                <c:pt idx="112">
                  <c:v>5.1805699999999995</c:v>
                </c:pt>
                <c:pt idx="113">
                  <c:v>5.1631099999999996</c:v>
                </c:pt>
                <c:pt idx="114">
                  <c:v>5.1431899999999997</c:v>
                </c:pt>
                <c:pt idx="115">
                  <c:v>5.1252600000000008</c:v>
                </c:pt>
                <c:pt idx="116">
                  <c:v>5.1052200000000001</c:v>
                </c:pt>
                <c:pt idx="117">
                  <c:v>5.0823099999999997</c:v>
                </c:pt>
                <c:pt idx="118">
                  <c:v>5.0607000000000006</c:v>
                </c:pt>
                <c:pt idx="119">
                  <c:v>5.03993</c:v>
                </c:pt>
                <c:pt idx="120">
                  <c:v>5.0199099999999994</c:v>
                </c:pt>
                <c:pt idx="121">
                  <c:v>4.9971100000000002</c:v>
                </c:pt>
                <c:pt idx="122">
                  <c:v>4.9721200000000003</c:v>
                </c:pt>
                <c:pt idx="123">
                  <c:v>4.9483899999999998</c:v>
                </c:pt>
                <c:pt idx="124">
                  <c:v>4.9354700000000005</c:v>
                </c:pt>
                <c:pt idx="125">
                  <c:v>4.92089</c:v>
                </c:pt>
                <c:pt idx="126">
                  <c:v>4.9030899999999997</c:v>
                </c:pt>
                <c:pt idx="127">
                  <c:v>4.8831999999999995</c:v>
                </c:pt>
                <c:pt idx="128">
                  <c:v>4.8633600000000001</c:v>
                </c:pt>
                <c:pt idx="129">
                  <c:v>4.8461699999999999</c:v>
                </c:pt>
                <c:pt idx="130">
                  <c:v>4.8298999999999994</c:v>
                </c:pt>
                <c:pt idx="131">
                  <c:v>4.8149899999999999</c:v>
                </c:pt>
                <c:pt idx="132">
                  <c:v>4.8038499999999997</c:v>
                </c:pt>
                <c:pt idx="133">
                  <c:v>4.7937500000000002</c:v>
                </c:pt>
                <c:pt idx="134">
                  <c:v>4.7827399999999995</c:v>
                </c:pt>
                <c:pt idx="135">
                  <c:v>4.7756799999999995</c:v>
                </c:pt>
                <c:pt idx="136">
                  <c:v>4.7690200000000003</c:v>
                </c:pt>
                <c:pt idx="137">
                  <c:v>4.7673700000000006</c:v>
                </c:pt>
                <c:pt idx="138">
                  <c:v>4.7664400000000002</c:v>
                </c:pt>
                <c:pt idx="139">
                  <c:v>4.7677800000000001</c:v>
                </c:pt>
                <c:pt idx="140">
                  <c:v>4.7653099999999995</c:v>
                </c:pt>
                <c:pt idx="141">
                  <c:v>4.76417</c:v>
                </c:pt>
                <c:pt idx="142">
                  <c:v>4.7675099999999997</c:v>
                </c:pt>
                <c:pt idx="143">
                  <c:v>4.7680099999999994</c:v>
                </c:pt>
                <c:pt idx="144">
                  <c:v>4.7590300000000001</c:v>
                </c:pt>
                <c:pt idx="145">
                  <c:v>4.7397200000000002</c:v>
                </c:pt>
                <c:pt idx="146">
                  <c:v>4.7300500000000003</c:v>
                </c:pt>
                <c:pt idx="147">
                  <c:v>4.7285500000000003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29.635200000000001</c:v>
                </c:pt>
                <c:pt idx="1">
                  <c:v>30.042300000000001</c:v>
                </c:pt>
                <c:pt idx="2">
                  <c:v>30.6356</c:v>
                </c:pt>
                <c:pt idx="3">
                  <c:v>31.007200000000001</c:v>
                </c:pt>
                <c:pt idx="4">
                  <c:v>31.382200000000001</c:v>
                </c:pt>
                <c:pt idx="5">
                  <c:v>31.755299999999998</c:v>
                </c:pt>
                <c:pt idx="6">
                  <c:v>32.135800000000003</c:v>
                </c:pt>
                <c:pt idx="7">
                  <c:v>32.541499999999999</c:v>
                </c:pt>
                <c:pt idx="8">
                  <c:v>32.944200000000002</c:v>
                </c:pt>
                <c:pt idx="9">
                  <c:v>33.352699999999999</c:v>
                </c:pt>
                <c:pt idx="10">
                  <c:v>33.757399999999997</c:v>
                </c:pt>
                <c:pt idx="11">
                  <c:v>34.164700000000003</c:v>
                </c:pt>
                <c:pt idx="12">
                  <c:v>34.572699999999998</c:v>
                </c:pt>
                <c:pt idx="13">
                  <c:v>34.978000000000002</c:v>
                </c:pt>
                <c:pt idx="14">
                  <c:v>35.381399999999999</c:v>
                </c:pt>
                <c:pt idx="15">
                  <c:v>35.788800000000002</c:v>
                </c:pt>
                <c:pt idx="16">
                  <c:v>36.197699999999998</c:v>
                </c:pt>
                <c:pt idx="17">
                  <c:v>36.603900000000003</c:v>
                </c:pt>
                <c:pt idx="18">
                  <c:v>37.008299999999998</c:v>
                </c:pt>
                <c:pt idx="19">
                  <c:v>37.414400000000001</c:v>
                </c:pt>
                <c:pt idx="20">
                  <c:v>37.8215</c:v>
                </c:pt>
                <c:pt idx="21">
                  <c:v>38.2271</c:v>
                </c:pt>
                <c:pt idx="22">
                  <c:v>38.633099999999999</c:v>
                </c:pt>
                <c:pt idx="23">
                  <c:v>39.040500000000002</c:v>
                </c:pt>
                <c:pt idx="24">
                  <c:v>39.4437</c:v>
                </c:pt>
                <c:pt idx="25">
                  <c:v>39.857399999999998</c:v>
                </c:pt>
                <c:pt idx="26">
                  <c:v>40.257199999999997</c:v>
                </c:pt>
                <c:pt idx="27">
                  <c:v>40.6678</c:v>
                </c:pt>
                <c:pt idx="28">
                  <c:v>41.072000000000003</c:v>
                </c:pt>
                <c:pt idx="29">
                  <c:v>41.474400000000003</c:v>
                </c:pt>
                <c:pt idx="30">
                  <c:v>41.884300000000003</c:v>
                </c:pt>
                <c:pt idx="31">
                  <c:v>42.2883</c:v>
                </c:pt>
                <c:pt idx="32">
                  <c:v>42.698500000000003</c:v>
                </c:pt>
                <c:pt idx="33">
                  <c:v>43.101199999999999</c:v>
                </c:pt>
                <c:pt idx="34">
                  <c:v>43.510100000000001</c:v>
                </c:pt>
                <c:pt idx="35">
                  <c:v>43.912700000000001</c:v>
                </c:pt>
                <c:pt idx="36">
                  <c:v>44.322600000000001</c:v>
                </c:pt>
                <c:pt idx="37">
                  <c:v>44.729300000000002</c:v>
                </c:pt>
                <c:pt idx="38">
                  <c:v>45.137300000000003</c:v>
                </c:pt>
                <c:pt idx="39">
                  <c:v>45.539700000000003</c:v>
                </c:pt>
                <c:pt idx="40">
                  <c:v>45.947099999999999</c:v>
                </c:pt>
                <c:pt idx="41">
                  <c:v>46.3538</c:v>
                </c:pt>
                <c:pt idx="42">
                  <c:v>46.760300000000001</c:v>
                </c:pt>
                <c:pt idx="43">
                  <c:v>47.163800000000002</c:v>
                </c:pt>
                <c:pt idx="44">
                  <c:v>47.569600000000001</c:v>
                </c:pt>
                <c:pt idx="45">
                  <c:v>47.976100000000002</c:v>
                </c:pt>
                <c:pt idx="46">
                  <c:v>48.387099999999997</c:v>
                </c:pt>
                <c:pt idx="47">
                  <c:v>48.792000000000002</c:v>
                </c:pt>
                <c:pt idx="48">
                  <c:v>49.1967</c:v>
                </c:pt>
                <c:pt idx="49">
                  <c:v>49.599800000000002</c:v>
                </c:pt>
                <c:pt idx="50">
                  <c:v>50.008299999999998</c:v>
                </c:pt>
                <c:pt idx="51">
                  <c:v>50.414200000000001</c:v>
                </c:pt>
                <c:pt idx="52">
                  <c:v>50.824300000000001</c:v>
                </c:pt>
                <c:pt idx="53">
                  <c:v>51.226599999999998</c:v>
                </c:pt>
                <c:pt idx="54">
                  <c:v>51.636499999999998</c:v>
                </c:pt>
                <c:pt idx="55">
                  <c:v>52.040100000000002</c:v>
                </c:pt>
                <c:pt idx="56">
                  <c:v>52.446300000000001</c:v>
                </c:pt>
                <c:pt idx="57">
                  <c:v>52.852499999999999</c:v>
                </c:pt>
                <c:pt idx="58">
                  <c:v>53.259900000000002</c:v>
                </c:pt>
                <c:pt idx="59">
                  <c:v>53.6631</c:v>
                </c:pt>
                <c:pt idx="60">
                  <c:v>54.069600000000001</c:v>
                </c:pt>
                <c:pt idx="61">
                  <c:v>54.4739</c:v>
                </c:pt>
                <c:pt idx="62">
                  <c:v>54.8855</c:v>
                </c:pt>
                <c:pt idx="63">
                  <c:v>55.292099999999998</c:v>
                </c:pt>
                <c:pt idx="64">
                  <c:v>55.695399999999999</c:v>
                </c:pt>
                <c:pt idx="65">
                  <c:v>56.103200000000001</c:v>
                </c:pt>
                <c:pt idx="66">
                  <c:v>56.512700000000002</c:v>
                </c:pt>
                <c:pt idx="67">
                  <c:v>56.915999999999997</c:v>
                </c:pt>
                <c:pt idx="68">
                  <c:v>57.322299999999998</c:v>
                </c:pt>
                <c:pt idx="69">
                  <c:v>57.7301</c:v>
                </c:pt>
                <c:pt idx="70">
                  <c:v>58.132800000000003</c:v>
                </c:pt>
                <c:pt idx="71">
                  <c:v>58.537700000000001</c:v>
                </c:pt>
                <c:pt idx="72">
                  <c:v>58.944499999999998</c:v>
                </c:pt>
                <c:pt idx="73">
                  <c:v>59.354599999999998</c:v>
                </c:pt>
                <c:pt idx="74">
                  <c:v>59.759900000000002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4.5736300000000005</c:v>
                </c:pt>
                <c:pt idx="1">
                  <c:v>4.5707300000000002</c:v>
                </c:pt>
                <c:pt idx="2">
                  <c:v>4.5709800000000005</c:v>
                </c:pt>
                <c:pt idx="3">
                  <c:v>4.5755299999999997</c:v>
                </c:pt>
                <c:pt idx="4">
                  <c:v>4.5812100000000004</c:v>
                </c:pt>
                <c:pt idx="5">
                  <c:v>4.5902700000000003</c:v>
                </c:pt>
                <c:pt idx="6">
                  <c:v>4.6020300000000001</c:v>
                </c:pt>
                <c:pt idx="7">
                  <c:v>4.61564</c:v>
                </c:pt>
                <c:pt idx="8">
                  <c:v>4.62906</c:v>
                </c:pt>
                <c:pt idx="9">
                  <c:v>4.6463999999999999</c:v>
                </c:pt>
                <c:pt idx="10">
                  <c:v>4.66859</c:v>
                </c:pt>
                <c:pt idx="11">
                  <c:v>4.6937899999999999</c:v>
                </c:pt>
                <c:pt idx="12">
                  <c:v>4.7237</c:v>
                </c:pt>
                <c:pt idx="13">
                  <c:v>4.7521899999999997</c:v>
                </c:pt>
                <c:pt idx="14">
                  <c:v>4.7802800000000003</c:v>
                </c:pt>
                <c:pt idx="15">
                  <c:v>4.8054300000000003</c:v>
                </c:pt>
                <c:pt idx="16">
                  <c:v>4.8284799999999999</c:v>
                </c:pt>
                <c:pt idx="17">
                  <c:v>4.8516500000000002</c:v>
                </c:pt>
                <c:pt idx="18">
                  <c:v>4.87683</c:v>
                </c:pt>
                <c:pt idx="19">
                  <c:v>4.9055300000000006</c:v>
                </c:pt>
                <c:pt idx="20">
                  <c:v>4.9361500000000005</c:v>
                </c:pt>
                <c:pt idx="21">
                  <c:v>4.9680999999999997</c:v>
                </c:pt>
                <c:pt idx="22">
                  <c:v>5.0016999999999996</c:v>
                </c:pt>
                <c:pt idx="23">
                  <c:v>5.0375800000000002</c:v>
                </c:pt>
                <c:pt idx="24">
                  <c:v>5.0723900000000004</c:v>
                </c:pt>
                <c:pt idx="25">
                  <c:v>5.1061199999999998</c:v>
                </c:pt>
                <c:pt idx="26">
                  <c:v>5.1355599999999999</c:v>
                </c:pt>
                <c:pt idx="27">
                  <c:v>5.16289</c:v>
                </c:pt>
                <c:pt idx="28">
                  <c:v>5.1888800000000002</c:v>
                </c:pt>
                <c:pt idx="29">
                  <c:v>5.2133799999999999</c:v>
                </c:pt>
                <c:pt idx="30">
                  <c:v>5.2320999999999991</c:v>
                </c:pt>
                <c:pt idx="31">
                  <c:v>5.2427000000000001</c:v>
                </c:pt>
                <c:pt idx="32">
                  <c:v>5.2492200000000002</c:v>
                </c:pt>
                <c:pt idx="33">
                  <c:v>5.2529700000000004</c:v>
                </c:pt>
                <c:pt idx="34">
                  <c:v>5.2495499999999993</c:v>
                </c:pt>
                <c:pt idx="35">
                  <c:v>5.2407599999999999</c:v>
                </c:pt>
                <c:pt idx="36">
                  <c:v>5.2302099999999996</c:v>
                </c:pt>
                <c:pt idx="37">
                  <c:v>5.2140299999999993</c:v>
                </c:pt>
                <c:pt idx="38">
                  <c:v>5.1976300000000002</c:v>
                </c:pt>
                <c:pt idx="39">
                  <c:v>5.1805699999999995</c:v>
                </c:pt>
                <c:pt idx="40">
                  <c:v>5.1631099999999996</c:v>
                </c:pt>
                <c:pt idx="41">
                  <c:v>5.1431899999999997</c:v>
                </c:pt>
                <c:pt idx="42">
                  <c:v>5.1252600000000008</c:v>
                </c:pt>
                <c:pt idx="43">
                  <c:v>5.1052200000000001</c:v>
                </c:pt>
                <c:pt idx="44">
                  <c:v>5.0823099999999997</c:v>
                </c:pt>
                <c:pt idx="45">
                  <c:v>5.0607000000000006</c:v>
                </c:pt>
                <c:pt idx="46">
                  <c:v>5.03993</c:v>
                </c:pt>
                <c:pt idx="47">
                  <c:v>5.0199099999999994</c:v>
                </c:pt>
                <c:pt idx="48">
                  <c:v>4.9971100000000002</c:v>
                </c:pt>
                <c:pt idx="49">
                  <c:v>4.9721200000000003</c:v>
                </c:pt>
                <c:pt idx="50">
                  <c:v>4.9483899999999998</c:v>
                </c:pt>
                <c:pt idx="51">
                  <c:v>4.9354700000000005</c:v>
                </c:pt>
                <c:pt idx="52">
                  <c:v>4.92089</c:v>
                </c:pt>
                <c:pt idx="53">
                  <c:v>4.9030899999999997</c:v>
                </c:pt>
                <c:pt idx="54">
                  <c:v>4.8831999999999995</c:v>
                </c:pt>
                <c:pt idx="55">
                  <c:v>4.8633600000000001</c:v>
                </c:pt>
                <c:pt idx="56">
                  <c:v>4.8461699999999999</c:v>
                </c:pt>
                <c:pt idx="57">
                  <c:v>4.8298999999999994</c:v>
                </c:pt>
                <c:pt idx="58">
                  <c:v>4.8149899999999999</c:v>
                </c:pt>
                <c:pt idx="59">
                  <c:v>4.8038499999999997</c:v>
                </c:pt>
                <c:pt idx="60">
                  <c:v>4.7937500000000002</c:v>
                </c:pt>
                <c:pt idx="61">
                  <c:v>4.7827399999999995</c:v>
                </c:pt>
                <c:pt idx="62">
                  <c:v>4.7756799999999995</c:v>
                </c:pt>
                <c:pt idx="63">
                  <c:v>4.7690200000000003</c:v>
                </c:pt>
                <c:pt idx="64">
                  <c:v>4.7673700000000006</c:v>
                </c:pt>
                <c:pt idx="65">
                  <c:v>4.7664400000000002</c:v>
                </c:pt>
                <c:pt idx="66">
                  <c:v>4.7677800000000001</c:v>
                </c:pt>
                <c:pt idx="67">
                  <c:v>4.7653099999999995</c:v>
                </c:pt>
                <c:pt idx="68">
                  <c:v>4.76417</c:v>
                </c:pt>
                <c:pt idx="69">
                  <c:v>4.7675099999999997</c:v>
                </c:pt>
                <c:pt idx="70">
                  <c:v>4.7680099999999994</c:v>
                </c:pt>
                <c:pt idx="71">
                  <c:v>4.7590300000000001</c:v>
                </c:pt>
                <c:pt idx="72">
                  <c:v>4.7397200000000002</c:v>
                </c:pt>
                <c:pt idx="73">
                  <c:v>4.7300500000000003</c:v>
                </c:pt>
                <c:pt idx="74">
                  <c:v>4.7285500000000003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14.939975</c:v>
                </c:pt>
                <c:pt idx="1">
                  <c:v>44.819924999999998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4.3147104054054051</c:v>
                </c:pt>
                <c:pt idx="1">
                  <c:v>4.9092447297297328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  <c:pt idx="74">
                  <c:v>30.042300000000001</c:v>
                </c:pt>
                <c:pt idx="75">
                  <c:v>30.6356</c:v>
                </c:pt>
                <c:pt idx="76">
                  <c:v>31.007200000000001</c:v>
                </c:pt>
                <c:pt idx="77">
                  <c:v>31.382200000000001</c:v>
                </c:pt>
                <c:pt idx="78">
                  <c:v>31.755299999999998</c:v>
                </c:pt>
                <c:pt idx="79">
                  <c:v>32.135800000000003</c:v>
                </c:pt>
                <c:pt idx="80">
                  <c:v>32.541499999999999</c:v>
                </c:pt>
                <c:pt idx="81">
                  <c:v>32.944200000000002</c:v>
                </c:pt>
                <c:pt idx="82">
                  <c:v>33.352699999999999</c:v>
                </c:pt>
                <c:pt idx="83">
                  <c:v>33.757399999999997</c:v>
                </c:pt>
                <c:pt idx="84">
                  <c:v>34.164700000000003</c:v>
                </c:pt>
                <c:pt idx="85">
                  <c:v>34.572699999999998</c:v>
                </c:pt>
                <c:pt idx="86">
                  <c:v>34.978000000000002</c:v>
                </c:pt>
                <c:pt idx="87">
                  <c:v>35.381399999999999</c:v>
                </c:pt>
                <c:pt idx="88">
                  <c:v>35.788800000000002</c:v>
                </c:pt>
                <c:pt idx="89">
                  <c:v>36.197699999999998</c:v>
                </c:pt>
                <c:pt idx="90">
                  <c:v>36.603900000000003</c:v>
                </c:pt>
                <c:pt idx="91">
                  <c:v>37.008299999999998</c:v>
                </c:pt>
                <c:pt idx="92">
                  <c:v>37.414400000000001</c:v>
                </c:pt>
                <c:pt idx="93">
                  <c:v>37.8215</c:v>
                </c:pt>
                <c:pt idx="94">
                  <c:v>38.2271</c:v>
                </c:pt>
                <c:pt idx="95">
                  <c:v>38.633099999999999</c:v>
                </c:pt>
                <c:pt idx="96">
                  <c:v>39.040500000000002</c:v>
                </c:pt>
                <c:pt idx="97">
                  <c:v>39.4437</c:v>
                </c:pt>
                <c:pt idx="98">
                  <c:v>39.857399999999998</c:v>
                </c:pt>
                <c:pt idx="99">
                  <c:v>40.257199999999997</c:v>
                </c:pt>
                <c:pt idx="100">
                  <c:v>40.6678</c:v>
                </c:pt>
                <c:pt idx="101">
                  <c:v>41.072000000000003</c:v>
                </c:pt>
                <c:pt idx="102">
                  <c:v>41.474400000000003</c:v>
                </c:pt>
                <c:pt idx="103">
                  <c:v>41.884300000000003</c:v>
                </c:pt>
                <c:pt idx="104">
                  <c:v>42.2883</c:v>
                </c:pt>
                <c:pt idx="105">
                  <c:v>42.698500000000003</c:v>
                </c:pt>
                <c:pt idx="106">
                  <c:v>43.101199999999999</c:v>
                </c:pt>
                <c:pt idx="107">
                  <c:v>43.510100000000001</c:v>
                </c:pt>
                <c:pt idx="108">
                  <c:v>43.912700000000001</c:v>
                </c:pt>
                <c:pt idx="109">
                  <c:v>44.322600000000001</c:v>
                </c:pt>
                <c:pt idx="110">
                  <c:v>44.729300000000002</c:v>
                </c:pt>
                <c:pt idx="111">
                  <c:v>45.137300000000003</c:v>
                </c:pt>
                <c:pt idx="112">
                  <c:v>45.539700000000003</c:v>
                </c:pt>
                <c:pt idx="113">
                  <c:v>45.947099999999999</c:v>
                </c:pt>
                <c:pt idx="114">
                  <c:v>46.3538</c:v>
                </c:pt>
                <c:pt idx="115">
                  <c:v>46.760300000000001</c:v>
                </c:pt>
                <c:pt idx="116">
                  <c:v>47.163800000000002</c:v>
                </c:pt>
                <c:pt idx="117">
                  <c:v>47.569600000000001</c:v>
                </c:pt>
                <c:pt idx="118">
                  <c:v>47.976100000000002</c:v>
                </c:pt>
                <c:pt idx="119">
                  <c:v>48.387099999999997</c:v>
                </c:pt>
                <c:pt idx="120">
                  <c:v>48.792000000000002</c:v>
                </c:pt>
                <c:pt idx="121">
                  <c:v>49.1967</c:v>
                </c:pt>
                <c:pt idx="122">
                  <c:v>49.599800000000002</c:v>
                </c:pt>
                <c:pt idx="123">
                  <c:v>50.008299999999998</c:v>
                </c:pt>
                <c:pt idx="124">
                  <c:v>50.414200000000001</c:v>
                </c:pt>
                <c:pt idx="125">
                  <c:v>50.824300000000001</c:v>
                </c:pt>
                <c:pt idx="126">
                  <c:v>51.226599999999998</c:v>
                </c:pt>
                <c:pt idx="127">
                  <c:v>51.636499999999998</c:v>
                </c:pt>
                <c:pt idx="128">
                  <c:v>52.040100000000002</c:v>
                </c:pt>
                <c:pt idx="129">
                  <c:v>52.446300000000001</c:v>
                </c:pt>
                <c:pt idx="130">
                  <c:v>52.852499999999999</c:v>
                </c:pt>
                <c:pt idx="131">
                  <c:v>53.259900000000002</c:v>
                </c:pt>
                <c:pt idx="132">
                  <c:v>53.6631</c:v>
                </c:pt>
                <c:pt idx="133">
                  <c:v>54.069600000000001</c:v>
                </c:pt>
                <c:pt idx="134">
                  <c:v>54.4739</c:v>
                </c:pt>
                <c:pt idx="135">
                  <c:v>54.8855</c:v>
                </c:pt>
                <c:pt idx="136">
                  <c:v>55.292099999999998</c:v>
                </c:pt>
                <c:pt idx="137">
                  <c:v>55.695399999999999</c:v>
                </c:pt>
                <c:pt idx="138">
                  <c:v>56.103200000000001</c:v>
                </c:pt>
                <c:pt idx="139">
                  <c:v>56.512700000000002</c:v>
                </c:pt>
                <c:pt idx="140">
                  <c:v>56.915999999999997</c:v>
                </c:pt>
                <c:pt idx="141">
                  <c:v>57.322299999999998</c:v>
                </c:pt>
                <c:pt idx="142">
                  <c:v>57.7301</c:v>
                </c:pt>
                <c:pt idx="143">
                  <c:v>58.132800000000003</c:v>
                </c:pt>
                <c:pt idx="144">
                  <c:v>58.537700000000001</c:v>
                </c:pt>
                <c:pt idx="145">
                  <c:v>58.944499999999998</c:v>
                </c:pt>
                <c:pt idx="146">
                  <c:v>59.354599999999998</c:v>
                </c:pt>
                <c:pt idx="147">
                  <c:v>59.759900000000002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  <c:pt idx="74">
                  <c:v>29.223199999999999</c:v>
                </c:pt>
                <c:pt idx="75">
                  <c:v>28.526800000000001</c:v>
                </c:pt>
                <c:pt idx="76">
                  <c:v>28.021099999999997</c:v>
                </c:pt>
                <c:pt idx="77">
                  <c:v>27.506499999999999</c:v>
                </c:pt>
                <c:pt idx="78">
                  <c:v>27.0061</c:v>
                </c:pt>
                <c:pt idx="79">
                  <c:v>26.565299999999997</c:v>
                </c:pt>
                <c:pt idx="80">
                  <c:v>26.108499999999999</c:v>
                </c:pt>
                <c:pt idx="81">
                  <c:v>25.703099999999999</c:v>
                </c:pt>
                <c:pt idx="82">
                  <c:v>25.295299999999997</c:v>
                </c:pt>
                <c:pt idx="83">
                  <c:v>24.8401</c:v>
                </c:pt>
                <c:pt idx="84">
                  <c:v>24.338000000000001</c:v>
                </c:pt>
                <c:pt idx="85">
                  <c:v>23.826499999999999</c:v>
                </c:pt>
                <c:pt idx="86">
                  <c:v>23.428999999999998</c:v>
                </c:pt>
                <c:pt idx="87">
                  <c:v>23.124200000000002</c:v>
                </c:pt>
                <c:pt idx="88">
                  <c:v>22.8034</c:v>
                </c:pt>
                <c:pt idx="89">
                  <c:v>22.494900000000001</c:v>
                </c:pt>
                <c:pt idx="90">
                  <c:v>22.278200000000002</c:v>
                </c:pt>
                <c:pt idx="91">
                  <c:v>22.118099999999998</c:v>
                </c:pt>
                <c:pt idx="92">
                  <c:v>21.988599999999998</c:v>
                </c:pt>
                <c:pt idx="93">
                  <c:v>22.033300000000001</c:v>
                </c:pt>
                <c:pt idx="94">
                  <c:v>22.160900000000002</c:v>
                </c:pt>
                <c:pt idx="95">
                  <c:v>22.419800000000002</c:v>
                </c:pt>
                <c:pt idx="96">
                  <c:v>22.8447</c:v>
                </c:pt>
                <c:pt idx="97">
                  <c:v>23.310300000000002</c:v>
                </c:pt>
                <c:pt idx="98">
                  <c:v>23.889099999999999</c:v>
                </c:pt>
                <c:pt idx="99">
                  <c:v>24.557499999999997</c:v>
                </c:pt>
                <c:pt idx="100">
                  <c:v>25.175599999999999</c:v>
                </c:pt>
                <c:pt idx="101">
                  <c:v>25.732600000000001</c:v>
                </c:pt>
                <c:pt idx="102">
                  <c:v>26.255200000000002</c:v>
                </c:pt>
                <c:pt idx="103">
                  <c:v>26.6922</c:v>
                </c:pt>
                <c:pt idx="104">
                  <c:v>27.054099999999998</c:v>
                </c:pt>
                <c:pt idx="105">
                  <c:v>27.3995</c:v>
                </c:pt>
                <c:pt idx="106">
                  <c:v>27.685399999999998</c:v>
                </c:pt>
                <c:pt idx="107">
                  <c:v>27.843200000000003</c:v>
                </c:pt>
                <c:pt idx="108">
                  <c:v>27.869699999999998</c:v>
                </c:pt>
                <c:pt idx="109">
                  <c:v>27.815099999999997</c:v>
                </c:pt>
                <c:pt idx="110">
                  <c:v>27.7148</c:v>
                </c:pt>
                <c:pt idx="111">
                  <c:v>27.531899999999997</c:v>
                </c:pt>
                <c:pt idx="112">
                  <c:v>27.244299999999999</c:v>
                </c:pt>
                <c:pt idx="113">
                  <c:v>26.934000000000001</c:v>
                </c:pt>
                <c:pt idx="114">
                  <c:v>26.611499999999999</c:v>
                </c:pt>
                <c:pt idx="115">
                  <c:v>26.225300000000001</c:v>
                </c:pt>
                <c:pt idx="116">
                  <c:v>25.811699999999998</c:v>
                </c:pt>
                <c:pt idx="117">
                  <c:v>25.424900000000001</c:v>
                </c:pt>
                <c:pt idx="118">
                  <c:v>25.000600000000002</c:v>
                </c:pt>
                <c:pt idx="119">
                  <c:v>24.627099999999999</c:v>
                </c:pt>
                <c:pt idx="120">
                  <c:v>24.267199999999999</c:v>
                </c:pt>
                <c:pt idx="121">
                  <c:v>23.954900000000002</c:v>
                </c:pt>
                <c:pt idx="122">
                  <c:v>23.694399999999998</c:v>
                </c:pt>
                <c:pt idx="123">
                  <c:v>23.449400000000001</c:v>
                </c:pt>
                <c:pt idx="124">
                  <c:v>23.277800000000003</c:v>
                </c:pt>
                <c:pt idx="125">
                  <c:v>23.1142</c:v>
                </c:pt>
                <c:pt idx="126">
                  <c:v>22.987199999999998</c:v>
                </c:pt>
                <c:pt idx="127">
                  <c:v>22.892399999999999</c:v>
                </c:pt>
                <c:pt idx="128">
                  <c:v>22.783200000000001</c:v>
                </c:pt>
                <c:pt idx="129">
                  <c:v>22.5976</c:v>
                </c:pt>
                <c:pt idx="130">
                  <c:v>22.3599</c:v>
                </c:pt>
                <c:pt idx="131">
                  <c:v>22.098000000000003</c:v>
                </c:pt>
                <c:pt idx="132">
                  <c:v>21.7973</c:v>
                </c:pt>
                <c:pt idx="133">
                  <c:v>21.522500000000001</c:v>
                </c:pt>
                <c:pt idx="134">
                  <c:v>21.329799999999999</c:v>
                </c:pt>
                <c:pt idx="135">
                  <c:v>21.069299999999998</c:v>
                </c:pt>
                <c:pt idx="136">
                  <c:v>20.855699999999999</c:v>
                </c:pt>
                <c:pt idx="137">
                  <c:v>20.681799999999999</c:v>
                </c:pt>
                <c:pt idx="138">
                  <c:v>20.568300000000001</c:v>
                </c:pt>
                <c:pt idx="139">
                  <c:v>20.4373</c:v>
                </c:pt>
                <c:pt idx="140">
                  <c:v>20.387</c:v>
                </c:pt>
                <c:pt idx="141">
                  <c:v>20.402799999999999</c:v>
                </c:pt>
                <c:pt idx="142">
                  <c:v>20.5029</c:v>
                </c:pt>
                <c:pt idx="143">
                  <c:v>20.74</c:v>
                </c:pt>
                <c:pt idx="144">
                  <c:v>21.005299999999998</c:v>
                </c:pt>
                <c:pt idx="145">
                  <c:v>21.384900000000002</c:v>
                </c:pt>
                <c:pt idx="146">
                  <c:v>21.710099999999997</c:v>
                </c:pt>
                <c:pt idx="147">
                  <c:v>22.047900000000002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29.635200000000001</c:v>
                </c:pt>
                <c:pt idx="1">
                  <c:v>30.042300000000001</c:v>
                </c:pt>
                <c:pt idx="2">
                  <c:v>30.6356</c:v>
                </c:pt>
                <c:pt idx="3">
                  <c:v>31.007200000000001</c:v>
                </c:pt>
                <c:pt idx="4">
                  <c:v>31.382200000000001</c:v>
                </c:pt>
                <c:pt idx="5">
                  <c:v>31.755299999999998</c:v>
                </c:pt>
                <c:pt idx="6">
                  <c:v>32.135800000000003</c:v>
                </c:pt>
                <c:pt idx="7">
                  <c:v>32.541499999999999</c:v>
                </c:pt>
                <c:pt idx="8">
                  <c:v>32.944200000000002</c:v>
                </c:pt>
                <c:pt idx="9">
                  <c:v>33.352699999999999</c:v>
                </c:pt>
                <c:pt idx="10">
                  <c:v>33.757399999999997</c:v>
                </c:pt>
                <c:pt idx="11">
                  <c:v>34.164700000000003</c:v>
                </c:pt>
                <c:pt idx="12">
                  <c:v>34.572699999999998</c:v>
                </c:pt>
                <c:pt idx="13">
                  <c:v>34.978000000000002</c:v>
                </c:pt>
                <c:pt idx="14">
                  <c:v>35.381399999999999</c:v>
                </c:pt>
                <c:pt idx="15">
                  <c:v>35.788800000000002</c:v>
                </c:pt>
                <c:pt idx="16">
                  <c:v>36.197699999999998</c:v>
                </c:pt>
                <c:pt idx="17">
                  <c:v>36.603900000000003</c:v>
                </c:pt>
                <c:pt idx="18">
                  <c:v>37.008299999999998</c:v>
                </c:pt>
                <c:pt idx="19">
                  <c:v>37.414400000000001</c:v>
                </c:pt>
                <c:pt idx="20">
                  <c:v>37.8215</c:v>
                </c:pt>
                <c:pt idx="21">
                  <c:v>38.2271</c:v>
                </c:pt>
                <c:pt idx="22">
                  <c:v>38.633099999999999</c:v>
                </c:pt>
                <c:pt idx="23">
                  <c:v>39.040500000000002</c:v>
                </c:pt>
                <c:pt idx="24">
                  <c:v>39.4437</c:v>
                </c:pt>
                <c:pt idx="25">
                  <c:v>39.857399999999998</c:v>
                </c:pt>
                <c:pt idx="26">
                  <c:v>40.257199999999997</c:v>
                </c:pt>
                <c:pt idx="27">
                  <c:v>40.6678</c:v>
                </c:pt>
                <c:pt idx="28">
                  <c:v>41.072000000000003</c:v>
                </c:pt>
                <c:pt idx="29">
                  <c:v>41.474400000000003</c:v>
                </c:pt>
                <c:pt idx="30">
                  <c:v>41.884300000000003</c:v>
                </c:pt>
                <c:pt idx="31">
                  <c:v>42.2883</c:v>
                </c:pt>
                <c:pt idx="32">
                  <c:v>42.698500000000003</c:v>
                </c:pt>
                <c:pt idx="33">
                  <c:v>43.101199999999999</c:v>
                </c:pt>
                <c:pt idx="34">
                  <c:v>43.510100000000001</c:v>
                </c:pt>
                <c:pt idx="35">
                  <c:v>43.912700000000001</c:v>
                </c:pt>
                <c:pt idx="36">
                  <c:v>44.322600000000001</c:v>
                </c:pt>
                <c:pt idx="37">
                  <c:v>44.729300000000002</c:v>
                </c:pt>
                <c:pt idx="38">
                  <c:v>45.137300000000003</c:v>
                </c:pt>
                <c:pt idx="39">
                  <c:v>45.539700000000003</c:v>
                </c:pt>
                <c:pt idx="40">
                  <c:v>45.947099999999999</c:v>
                </c:pt>
                <c:pt idx="41">
                  <c:v>46.3538</c:v>
                </c:pt>
                <c:pt idx="42">
                  <c:v>46.760300000000001</c:v>
                </c:pt>
                <c:pt idx="43">
                  <c:v>47.163800000000002</c:v>
                </c:pt>
                <c:pt idx="44">
                  <c:v>47.569600000000001</c:v>
                </c:pt>
                <c:pt idx="45">
                  <c:v>47.976100000000002</c:v>
                </c:pt>
                <c:pt idx="46">
                  <c:v>48.387099999999997</c:v>
                </c:pt>
                <c:pt idx="47">
                  <c:v>48.792000000000002</c:v>
                </c:pt>
                <c:pt idx="48">
                  <c:v>49.1967</c:v>
                </c:pt>
                <c:pt idx="49">
                  <c:v>49.599800000000002</c:v>
                </c:pt>
                <c:pt idx="50">
                  <c:v>50.008299999999998</c:v>
                </c:pt>
                <c:pt idx="51">
                  <c:v>50.414200000000001</c:v>
                </c:pt>
                <c:pt idx="52">
                  <c:v>50.824300000000001</c:v>
                </c:pt>
                <c:pt idx="53">
                  <c:v>51.226599999999998</c:v>
                </c:pt>
                <c:pt idx="54">
                  <c:v>51.636499999999998</c:v>
                </c:pt>
                <c:pt idx="55">
                  <c:v>52.040100000000002</c:v>
                </c:pt>
                <c:pt idx="56">
                  <c:v>52.446300000000001</c:v>
                </c:pt>
                <c:pt idx="57">
                  <c:v>52.852499999999999</c:v>
                </c:pt>
                <c:pt idx="58">
                  <c:v>53.259900000000002</c:v>
                </c:pt>
                <c:pt idx="59">
                  <c:v>53.6631</c:v>
                </c:pt>
                <c:pt idx="60">
                  <c:v>54.069600000000001</c:v>
                </c:pt>
                <c:pt idx="61">
                  <c:v>54.4739</c:v>
                </c:pt>
                <c:pt idx="62">
                  <c:v>54.8855</c:v>
                </c:pt>
                <c:pt idx="63">
                  <c:v>55.292099999999998</c:v>
                </c:pt>
                <c:pt idx="64">
                  <c:v>55.695399999999999</c:v>
                </c:pt>
                <c:pt idx="65">
                  <c:v>56.103200000000001</c:v>
                </c:pt>
                <c:pt idx="66">
                  <c:v>56.512700000000002</c:v>
                </c:pt>
                <c:pt idx="67">
                  <c:v>56.915999999999997</c:v>
                </c:pt>
                <c:pt idx="68">
                  <c:v>57.322299999999998</c:v>
                </c:pt>
                <c:pt idx="69">
                  <c:v>57.7301</c:v>
                </c:pt>
                <c:pt idx="70">
                  <c:v>58.132800000000003</c:v>
                </c:pt>
                <c:pt idx="71">
                  <c:v>58.537700000000001</c:v>
                </c:pt>
                <c:pt idx="72">
                  <c:v>58.944499999999998</c:v>
                </c:pt>
                <c:pt idx="73">
                  <c:v>59.354599999999998</c:v>
                </c:pt>
                <c:pt idx="74">
                  <c:v>59.759900000000002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29.712100000000003</c:v>
                </c:pt>
                <c:pt idx="1">
                  <c:v>29.223199999999999</c:v>
                </c:pt>
                <c:pt idx="2">
                  <c:v>28.526800000000001</c:v>
                </c:pt>
                <c:pt idx="3">
                  <c:v>28.021099999999997</c:v>
                </c:pt>
                <c:pt idx="4">
                  <c:v>27.506499999999999</c:v>
                </c:pt>
                <c:pt idx="5">
                  <c:v>27.0061</c:v>
                </c:pt>
                <c:pt idx="6">
                  <c:v>26.565299999999997</c:v>
                </c:pt>
                <c:pt idx="7">
                  <c:v>26.108499999999999</c:v>
                </c:pt>
                <c:pt idx="8">
                  <c:v>25.703099999999999</c:v>
                </c:pt>
                <c:pt idx="9">
                  <c:v>25.295299999999997</c:v>
                </c:pt>
                <c:pt idx="10">
                  <c:v>24.8401</c:v>
                </c:pt>
                <c:pt idx="11">
                  <c:v>24.338000000000001</c:v>
                </c:pt>
                <c:pt idx="12">
                  <c:v>23.826499999999999</c:v>
                </c:pt>
                <c:pt idx="13">
                  <c:v>23.428999999999998</c:v>
                </c:pt>
                <c:pt idx="14">
                  <c:v>23.124200000000002</c:v>
                </c:pt>
                <c:pt idx="15">
                  <c:v>22.8034</c:v>
                </c:pt>
                <c:pt idx="16">
                  <c:v>22.494900000000001</c:v>
                </c:pt>
                <c:pt idx="17">
                  <c:v>22.278200000000002</c:v>
                </c:pt>
                <c:pt idx="18">
                  <c:v>22.118099999999998</c:v>
                </c:pt>
                <c:pt idx="19">
                  <c:v>21.988599999999998</c:v>
                </c:pt>
                <c:pt idx="20">
                  <c:v>22.033300000000001</c:v>
                </c:pt>
                <c:pt idx="21">
                  <c:v>22.160900000000002</c:v>
                </c:pt>
                <c:pt idx="22">
                  <c:v>22.419800000000002</c:v>
                </c:pt>
                <c:pt idx="23">
                  <c:v>22.8447</c:v>
                </c:pt>
                <c:pt idx="24">
                  <c:v>23.310300000000002</c:v>
                </c:pt>
                <c:pt idx="25">
                  <c:v>23.889099999999999</c:v>
                </c:pt>
                <c:pt idx="26">
                  <c:v>24.557499999999997</c:v>
                </c:pt>
                <c:pt idx="27">
                  <c:v>25.175599999999999</c:v>
                </c:pt>
                <c:pt idx="28">
                  <c:v>25.732600000000001</c:v>
                </c:pt>
                <c:pt idx="29">
                  <c:v>26.255200000000002</c:v>
                </c:pt>
                <c:pt idx="30">
                  <c:v>26.6922</c:v>
                </c:pt>
                <c:pt idx="31">
                  <c:v>27.054099999999998</c:v>
                </c:pt>
                <c:pt idx="32">
                  <c:v>27.3995</c:v>
                </c:pt>
                <c:pt idx="33">
                  <c:v>27.685399999999998</c:v>
                </c:pt>
                <c:pt idx="34">
                  <c:v>27.843200000000003</c:v>
                </c:pt>
                <c:pt idx="35">
                  <c:v>27.869699999999998</c:v>
                </c:pt>
                <c:pt idx="36">
                  <c:v>27.815099999999997</c:v>
                </c:pt>
                <c:pt idx="37">
                  <c:v>27.7148</c:v>
                </c:pt>
                <c:pt idx="38">
                  <c:v>27.531899999999997</c:v>
                </c:pt>
                <c:pt idx="39">
                  <c:v>27.244299999999999</c:v>
                </c:pt>
                <c:pt idx="40">
                  <c:v>26.934000000000001</c:v>
                </c:pt>
                <c:pt idx="41">
                  <c:v>26.611499999999999</c:v>
                </c:pt>
                <c:pt idx="42">
                  <c:v>26.225300000000001</c:v>
                </c:pt>
                <c:pt idx="43">
                  <c:v>25.811699999999998</c:v>
                </c:pt>
                <c:pt idx="44">
                  <c:v>25.424900000000001</c:v>
                </c:pt>
                <c:pt idx="45">
                  <c:v>25.000600000000002</c:v>
                </c:pt>
                <c:pt idx="46">
                  <c:v>24.627099999999999</c:v>
                </c:pt>
                <c:pt idx="47">
                  <c:v>24.267199999999999</c:v>
                </c:pt>
                <c:pt idx="48">
                  <c:v>23.954900000000002</c:v>
                </c:pt>
                <c:pt idx="49">
                  <c:v>23.694399999999998</c:v>
                </c:pt>
                <c:pt idx="50">
                  <c:v>23.449400000000001</c:v>
                </c:pt>
                <c:pt idx="51">
                  <c:v>23.277800000000003</c:v>
                </c:pt>
                <c:pt idx="52">
                  <c:v>23.1142</c:v>
                </c:pt>
                <c:pt idx="53">
                  <c:v>22.987199999999998</c:v>
                </c:pt>
                <c:pt idx="54">
                  <c:v>22.892399999999999</c:v>
                </c:pt>
                <c:pt idx="55">
                  <c:v>22.783200000000001</c:v>
                </c:pt>
                <c:pt idx="56">
                  <c:v>22.5976</c:v>
                </c:pt>
                <c:pt idx="57">
                  <c:v>22.3599</c:v>
                </c:pt>
                <c:pt idx="58">
                  <c:v>22.098000000000003</c:v>
                </c:pt>
                <c:pt idx="59">
                  <c:v>21.7973</c:v>
                </c:pt>
                <c:pt idx="60">
                  <c:v>21.522500000000001</c:v>
                </c:pt>
                <c:pt idx="61">
                  <c:v>21.329799999999999</c:v>
                </c:pt>
                <c:pt idx="62">
                  <c:v>21.069299999999998</c:v>
                </c:pt>
                <c:pt idx="63">
                  <c:v>20.855699999999999</c:v>
                </c:pt>
                <c:pt idx="64">
                  <c:v>20.681799999999999</c:v>
                </c:pt>
                <c:pt idx="65">
                  <c:v>20.568300000000001</c:v>
                </c:pt>
                <c:pt idx="66">
                  <c:v>20.4373</c:v>
                </c:pt>
                <c:pt idx="67">
                  <c:v>20.387</c:v>
                </c:pt>
                <c:pt idx="68">
                  <c:v>20.402799999999999</c:v>
                </c:pt>
                <c:pt idx="69">
                  <c:v>20.5029</c:v>
                </c:pt>
                <c:pt idx="70">
                  <c:v>20.74</c:v>
                </c:pt>
                <c:pt idx="71">
                  <c:v>21.005299999999998</c:v>
                </c:pt>
                <c:pt idx="72">
                  <c:v>21.384900000000002</c:v>
                </c:pt>
                <c:pt idx="73">
                  <c:v>21.710099999999997</c:v>
                </c:pt>
                <c:pt idx="74">
                  <c:v>22.047900000000002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14.939975</c:v>
                </c:pt>
                <c:pt idx="1">
                  <c:v>44.819924999999998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31.551428378378372</c:v>
                </c:pt>
                <c:pt idx="1">
                  <c:v>24.094328378378371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47.218899999999998</c:v>
                </c:pt>
                <c:pt idx="1">
                  <c:v>31.655100000000001</c:v>
                </c:pt>
                <c:pt idx="2">
                  <c:v>23.227799999999998</c:v>
                </c:pt>
                <c:pt idx="3">
                  <c:v>34.547600000000003</c:v>
                </c:pt>
                <c:pt idx="4">
                  <c:v>59.490400000000001</c:v>
                </c:pt>
                <c:pt idx="5">
                  <c:v>76.238100000000003</c:v>
                </c:pt>
                <c:pt idx="6">
                  <c:v>29.754000000000001</c:v>
                </c:pt>
                <c:pt idx="7">
                  <c:v>67.979200000000006</c:v>
                </c:pt>
                <c:pt idx="8">
                  <c:v>23.886600000000001</c:v>
                </c:pt>
                <c:pt idx="9">
                  <c:v>33.130600000000001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50.174199999999999</c:v>
                </c:pt>
                <c:pt idx="1">
                  <c:v>31.357700000000001</c:v>
                </c:pt>
                <c:pt idx="2">
                  <c:v>32.883099999999999</c:v>
                </c:pt>
                <c:pt idx="3">
                  <c:v>38.221200000000003</c:v>
                </c:pt>
                <c:pt idx="4">
                  <c:v>58.571899999999999</c:v>
                </c:pt>
                <c:pt idx="5">
                  <c:v>74.431899999999999</c:v>
                </c:pt>
                <c:pt idx="6">
                  <c:v>32.420299999999997</c:v>
                </c:pt>
                <c:pt idx="7">
                  <c:v>66.201499999999996</c:v>
                </c:pt>
                <c:pt idx="8">
                  <c:v>20.314800000000002</c:v>
                </c:pt>
                <c:pt idx="9">
                  <c:v>36.0366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0.48221392122822582</c:v>
                </c:pt>
                <c:pt idx="1">
                  <c:v>0.28224862154042535</c:v>
                </c:pt>
                <c:pt idx="2">
                  <c:v>0.23553745723134883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2390</c:v>
                </c:pt>
                <c:pt idx="7">
                  <c:v>0</c:v>
                </c:pt>
                <c:pt idx="8">
                  <c:v>4549</c:v>
                </c:pt>
                <c:pt idx="9">
                  <c:v>0</c:v>
                </c:pt>
                <c:pt idx="10">
                  <c:v>0</c:v>
                </c:pt>
                <c:pt idx="11">
                  <c:v>6775</c:v>
                </c:pt>
                <c:pt idx="12">
                  <c:v>0</c:v>
                </c:pt>
                <c:pt idx="13">
                  <c:v>6607</c:v>
                </c:pt>
                <c:pt idx="14">
                  <c:v>0</c:v>
                </c:pt>
                <c:pt idx="15">
                  <c:v>0</c:v>
                </c:pt>
                <c:pt idx="16">
                  <c:v>7394</c:v>
                </c:pt>
                <c:pt idx="17">
                  <c:v>0</c:v>
                </c:pt>
                <c:pt idx="18">
                  <c:v>0</c:v>
                </c:pt>
                <c:pt idx="19">
                  <c:v>11001</c:v>
                </c:pt>
                <c:pt idx="20">
                  <c:v>0</c:v>
                </c:pt>
                <c:pt idx="21">
                  <c:v>14950</c:v>
                </c:pt>
                <c:pt idx="22">
                  <c:v>0</c:v>
                </c:pt>
                <c:pt idx="23">
                  <c:v>0</c:v>
                </c:pt>
                <c:pt idx="24">
                  <c:v>12628</c:v>
                </c:pt>
                <c:pt idx="25">
                  <c:v>0</c:v>
                </c:pt>
                <c:pt idx="26">
                  <c:v>15240</c:v>
                </c:pt>
                <c:pt idx="27">
                  <c:v>0</c:v>
                </c:pt>
                <c:pt idx="28">
                  <c:v>0</c:v>
                </c:pt>
                <c:pt idx="29">
                  <c:v>14895</c:v>
                </c:pt>
                <c:pt idx="30">
                  <c:v>0</c:v>
                </c:pt>
                <c:pt idx="31">
                  <c:v>20906</c:v>
                </c:pt>
                <c:pt idx="32">
                  <c:v>0</c:v>
                </c:pt>
                <c:pt idx="33">
                  <c:v>0</c:v>
                </c:pt>
                <c:pt idx="34">
                  <c:v>19777</c:v>
                </c:pt>
                <c:pt idx="35">
                  <c:v>0</c:v>
                </c:pt>
                <c:pt idx="36">
                  <c:v>0</c:v>
                </c:pt>
                <c:pt idx="37">
                  <c:v>25661</c:v>
                </c:pt>
                <c:pt idx="38">
                  <c:v>0</c:v>
                </c:pt>
                <c:pt idx="39">
                  <c:v>26635</c:v>
                </c:pt>
                <c:pt idx="40">
                  <c:v>0</c:v>
                </c:pt>
                <c:pt idx="41">
                  <c:v>0</c:v>
                </c:pt>
                <c:pt idx="42">
                  <c:v>30026</c:v>
                </c:pt>
                <c:pt idx="43">
                  <c:v>0</c:v>
                </c:pt>
                <c:pt idx="44">
                  <c:v>30710</c:v>
                </c:pt>
                <c:pt idx="45">
                  <c:v>0</c:v>
                </c:pt>
                <c:pt idx="46">
                  <c:v>0</c:v>
                </c:pt>
                <c:pt idx="47">
                  <c:v>35383</c:v>
                </c:pt>
                <c:pt idx="48">
                  <c:v>0</c:v>
                </c:pt>
                <c:pt idx="49">
                  <c:v>40778</c:v>
                </c:pt>
                <c:pt idx="50">
                  <c:v>0</c:v>
                </c:pt>
                <c:pt idx="51">
                  <c:v>0</c:v>
                </c:pt>
                <c:pt idx="52">
                  <c:v>40202</c:v>
                </c:pt>
                <c:pt idx="53">
                  <c:v>0</c:v>
                </c:pt>
                <c:pt idx="54">
                  <c:v>0</c:v>
                </c:pt>
                <c:pt idx="55">
                  <c:v>36191</c:v>
                </c:pt>
                <c:pt idx="56">
                  <c:v>0</c:v>
                </c:pt>
                <c:pt idx="57">
                  <c:v>42439</c:v>
                </c:pt>
                <c:pt idx="58">
                  <c:v>0</c:v>
                </c:pt>
                <c:pt idx="59">
                  <c:v>0</c:v>
                </c:pt>
                <c:pt idx="60">
                  <c:v>44991</c:v>
                </c:pt>
                <c:pt idx="61">
                  <c:v>0</c:v>
                </c:pt>
                <c:pt idx="62">
                  <c:v>43553</c:v>
                </c:pt>
                <c:pt idx="63">
                  <c:v>0</c:v>
                </c:pt>
                <c:pt idx="64">
                  <c:v>0</c:v>
                </c:pt>
                <c:pt idx="65">
                  <c:v>45492</c:v>
                </c:pt>
                <c:pt idx="66">
                  <c:v>0</c:v>
                </c:pt>
                <c:pt idx="67">
                  <c:v>44652</c:v>
                </c:pt>
                <c:pt idx="68">
                  <c:v>0</c:v>
                </c:pt>
                <c:pt idx="69">
                  <c:v>0</c:v>
                </c:pt>
                <c:pt idx="70">
                  <c:v>49202</c:v>
                </c:pt>
                <c:pt idx="71">
                  <c:v>0</c:v>
                </c:pt>
                <c:pt idx="72">
                  <c:v>0</c:v>
                </c:pt>
                <c:pt idx="73">
                  <c:v>50831</c:v>
                </c:pt>
                <c:pt idx="74">
                  <c:v>0</c:v>
                </c:pt>
                <c:pt idx="75">
                  <c:v>53416</c:v>
                </c:pt>
                <c:pt idx="76">
                  <c:v>0</c:v>
                </c:pt>
                <c:pt idx="77">
                  <c:v>0</c:v>
                </c:pt>
                <c:pt idx="78">
                  <c:v>55271</c:v>
                </c:pt>
                <c:pt idx="79">
                  <c:v>0</c:v>
                </c:pt>
                <c:pt idx="80">
                  <c:v>63487</c:v>
                </c:pt>
                <c:pt idx="81">
                  <c:v>0</c:v>
                </c:pt>
                <c:pt idx="82">
                  <c:v>0</c:v>
                </c:pt>
                <c:pt idx="83">
                  <c:v>68193</c:v>
                </c:pt>
                <c:pt idx="84">
                  <c:v>0</c:v>
                </c:pt>
                <c:pt idx="85">
                  <c:v>0</c:v>
                </c:pt>
                <c:pt idx="86">
                  <c:v>74531</c:v>
                </c:pt>
                <c:pt idx="87">
                  <c:v>0</c:v>
                </c:pt>
                <c:pt idx="88">
                  <c:v>84991</c:v>
                </c:pt>
                <c:pt idx="89">
                  <c:v>0</c:v>
                </c:pt>
                <c:pt idx="90">
                  <c:v>0</c:v>
                </c:pt>
                <c:pt idx="91">
                  <c:v>89698</c:v>
                </c:pt>
                <c:pt idx="92">
                  <c:v>0</c:v>
                </c:pt>
                <c:pt idx="93">
                  <c:v>92940</c:v>
                </c:pt>
                <c:pt idx="94">
                  <c:v>0</c:v>
                </c:pt>
                <c:pt idx="95">
                  <c:v>0</c:v>
                </c:pt>
                <c:pt idx="96">
                  <c:v>96828</c:v>
                </c:pt>
                <c:pt idx="97">
                  <c:v>0</c:v>
                </c:pt>
                <c:pt idx="98">
                  <c:v>96545</c:v>
                </c:pt>
                <c:pt idx="99">
                  <c:v>0</c:v>
                </c:pt>
                <c:pt idx="100">
                  <c:v>0</c:v>
                </c:pt>
                <c:pt idx="101">
                  <c:v>94075</c:v>
                </c:pt>
                <c:pt idx="102">
                  <c:v>0</c:v>
                </c:pt>
                <c:pt idx="103">
                  <c:v>0</c:v>
                </c:pt>
                <c:pt idx="104">
                  <c:v>100559</c:v>
                </c:pt>
                <c:pt idx="105">
                  <c:v>0</c:v>
                </c:pt>
                <c:pt idx="106">
                  <c:v>98080</c:v>
                </c:pt>
                <c:pt idx="107">
                  <c:v>0</c:v>
                </c:pt>
                <c:pt idx="108">
                  <c:v>0</c:v>
                </c:pt>
                <c:pt idx="109">
                  <c:v>91626</c:v>
                </c:pt>
                <c:pt idx="110">
                  <c:v>0</c:v>
                </c:pt>
                <c:pt idx="111">
                  <c:v>80352</c:v>
                </c:pt>
                <c:pt idx="112">
                  <c:v>0</c:v>
                </c:pt>
                <c:pt idx="113">
                  <c:v>0</c:v>
                </c:pt>
                <c:pt idx="114">
                  <c:v>75820</c:v>
                </c:pt>
                <c:pt idx="115">
                  <c:v>0</c:v>
                </c:pt>
                <c:pt idx="116">
                  <c:v>77658</c:v>
                </c:pt>
                <c:pt idx="117">
                  <c:v>0</c:v>
                </c:pt>
                <c:pt idx="118">
                  <c:v>0</c:v>
                </c:pt>
                <c:pt idx="119">
                  <c:v>75778</c:v>
                </c:pt>
                <c:pt idx="120">
                  <c:v>0</c:v>
                </c:pt>
                <c:pt idx="121">
                  <c:v>0</c:v>
                </c:pt>
                <c:pt idx="122">
                  <c:v>73924</c:v>
                </c:pt>
                <c:pt idx="123">
                  <c:v>0</c:v>
                </c:pt>
                <c:pt idx="124">
                  <c:v>72761</c:v>
                </c:pt>
                <c:pt idx="125">
                  <c:v>0</c:v>
                </c:pt>
                <c:pt idx="126">
                  <c:v>0</c:v>
                </c:pt>
                <c:pt idx="127">
                  <c:v>73702</c:v>
                </c:pt>
                <c:pt idx="128">
                  <c:v>0</c:v>
                </c:pt>
                <c:pt idx="129">
                  <c:v>71355</c:v>
                </c:pt>
                <c:pt idx="130">
                  <c:v>0</c:v>
                </c:pt>
                <c:pt idx="131">
                  <c:v>0</c:v>
                </c:pt>
                <c:pt idx="132">
                  <c:v>71393</c:v>
                </c:pt>
                <c:pt idx="133">
                  <c:v>0</c:v>
                </c:pt>
                <c:pt idx="134">
                  <c:v>67929</c:v>
                </c:pt>
                <c:pt idx="135">
                  <c:v>0</c:v>
                </c:pt>
                <c:pt idx="136">
                  <c:v>0</c:v>
                </c:pt>
                <c:pt idx="137">
                  <c:v>73472</c:v>
                </c:pt>
                <c:pt idx="138">
                  <c:v>0</c:v>
                </c:pt>
                <c:pt idx="139">
                  <c:v>0</c:v>
                </c:pt>
                <c:pt idx="140">
                  <c:v>76428</c:v>
                </c:pt>
                <c:pt idx="141">
                  <c:v>0</c:v>
                </c:pt>
                <c:pt idx="142">
                  <c:v>76666</c:v>
                </c:pt>
                <c:pt idx="143">
                  <c:v>0</c:v>
                </c:pt>
                <c:pt idx="144">
                  <c:v>0</c:v>
                </c:pt>
                <c:pt idx="145">
                  <c:v>76215</c:v>
                </c:pt>
                <c:pt idx="146">
                  <c:v>0</c:v>
                </c:pt>
                <c:pt idx="147">
                  <c:v>76733</c:v>
                </c:pt>
                <c:pt idx="148">
                  <c:v>0</c:v>
                </c:pt>
                <c:pt idx="149">
                  <c:v>0</c:v>
                </c:pt>
                <c:pt idx="150">
                  <c:v>69505</c:v>
                </c:pt>
                <c:pt idx="151">
                  <c:v>0</c:v>
                </c:pt>
                <c:pt idx="152">
                  <c:v>62251</c:v>
                </c:pt>
                <c:pt idx="153">
                  <c:v>0</c:v>
                </c:pt>
                <c:pt idx="154">
                  <c:v>0</c:v>
                </c:pt>
                <c:pt idx="155">
                  <c:v>59950</c:v>
                </c:pt>
                <c:pt idx="156">
                  <c:v>0</c:v>
                </c:pt>
                <c:pt idx="157">
                  <c:v>0</c:v>
                </c:pt>
                <c:pt idx="158">
                  <c:v>48532</c:v>
                </c:pt>
                <c:pt idx="159">
                  <c:v>0</c:v>
                </c:pt>
                <c:pt idx="160">
                  <c:v>40690</c:v>
                </c:pt>
                <c:pt idx="161">
                  <c:v>0</c:v>
                </c:pt>
                <c:pt idx="162">
                  <c:v>0</c:v>
                </c:pt>
                <c:pt idx="163">
                  <c:v>38271</c:v>
                </c:pt>
                <c:pt idx="164">
                  <c:v>0</c:v>
                </c:pt>
                <c:pt idx="165">
                  <c:v>28963</c:v>
                </c:pt>
                <c:pt idx="166">
                  <c:v>0</c:v>
                </c:pt>
                <c:pt idx="167">
                  <c:v>0</c:v>
                </c:pt>
                <c:pt idx="168">
                  <c:v>23961</c:v>
                </c:pt>
                <c:pt idx="169">
                  <c:v>0</c:v>
                </c:pt>
                <c:pt idx="170">
                  <c:v>0</c:v>
                </c:pt>
                <c:pt idx="171">
                  <c:v>18866</c:v>
                </c:pt>
                <c:pt idx="172">
                  <c:v>0</c:v>
                </c:pt>
                <c:pt idx="173">
                  <c:v>17083</c:v>
                </c:pt>
                <c:pt idx="174">
                  <c:v>0</c:v>
                </c:pt>
                <c:pt idx="175">
                  <c:v>0</c:v>
                </c:pt>
                <c:pt idx="176">
                  <c:v>15686</c:v>
                </c:pt>
                <c:pt idx="177">
                  <c:v>0</c:v>
                </c:pt>
                <c:pt idx="178">
                  <c:v>10256</c:v>
                </c:pt>
                <c:pt idx="179">
                  <c:v>0</c:v>
                </c:pt>
                <c:pt idx="180">
                  <c:v>0</c:v>
                </c:pt>
                <c:pt idx="181">
                  <c:v>8378</c:v>
                </c:pt>
                <c:pt idx="182">
                  <c:v>0</c:v>
                </c:pt>
                <c:pt idx="183">
                  <c:v>6338</c:v>
                </c:pt>
                <c:pt idx="184">
                  <c:v>0</c:v>
                </c:pt>
                <c:pt idx="185">
                  <c:v>0</c:v>
                </c:pt>
                <c:pt idx="186">
                  <c:v>6029</c:v>
                </c:pt>
                <c:pt idx="187">
                  <c:v>0</c:v>
                </c:pt>
                <c:pt idx="188">
                  <c:v>0</c:v>
                </c:pt>
                <c:pt idx="189">
                  <c:v>5077</c:v>
                </c:pt>
                <c:pt idx="190">
                  <c:v>0</c:v>
                </c:pt>
                <c:pt idx="191">
                  <c:v>4822</c:v>
                </c:pt>
                <c:pt idx="192">
                  <c:v>0</c:v>
                </c:pt>
                <c:pt idx="193">
                  <c:v>0</c:v>
                </c:pt>
                <c:pt idx="194">
                  <c:v>4102</c:v>
                </c:pt>
                <c:pt idx="195">
                  <c:v>0</c:v>
                </c:pt>
                <c:pt idx="196">
                  <c:v>2912</c:v>
                </c:pt>
                <c:pt idx="197">
                  <c:v>0</c:v>
                </c:pt>
                <c:pt idx="198">
                  <c:v>0</c:v>
                </c:pt>
                <c:pt idx="199">
                  <c:v>1543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1560</c:v>
                </c:pt>
                <c:pt idx="7">
                  <c:v>0</c:v>
                </c:pt>
                <c:pt idx="8">
                  <c:v>3398</c:v>
                </c:pt>
                <c:pt idx="9">
                  <c:v>0</c:v>
                </c:pt>
                <c:pt idx="10">
                  <c:v>0</c:v>
                </c:pt>
                <c:pt idx="11">
                  <c:v>7142</c:v>
                </c:pt>
                <c:pt idx="12">
                  <c:v>0</c:v>
                </c:pt>
                <c:pt idx="13">
                  <c:v>7673</c:v>
                </c:pt>
                <c:pt idx="14">
                  <c:v>0</c:v>
                </c:pt>
                <c:pt idx="15">
                  <c:v>0</c:v>
                </c:pt>
                <c:pt idx="16">
                  <c:v>9403</c:v>
                </c:pt>
                <c:pt idx="17">
                  <c:v>0</c:v>
                </c:pt>
                <c:pt idx="18">
                  <c:v>0</c:v>
                </c:pt>
                <c:pt idx="19">
                  <c:v>9057</c:v>
                </c:pt>
                <c:pt idx="20">
                  <c:v>0</c:v>
                </c:pt>
                <c:pt idx="21">
                  <c:v>10318</c:v>
                </c:pt>
                <c:pt idx="22">
                  <c:v>0</c:v>
                </c:pt>
                <c:pt idx="23">
                  <c:v>0</c:v>
                </c:pt>
                <c:pt idx="24">
                  <c:v>11304</c:v>
                </c:pt>
                <c:pt idx="25">
                  <c:v>0</c:v>
                </c:pt>
                <c:pt idx="26">
                  <c:v>12074</c:v>
                </c:pt>
                <c:pt idx="27">
                  <c:v>0</c:v>
                </c:pt>
                <c:pt idx="28">
                  <c:v>0</c:v>
                </c:pt>
                <c:pt idx="29">
                  <c:v>9269</c:v>
                </c:pt>
                <c:pt idx="30">
                  <c:v>0</c:v>
                </c:pt>
                <c:pt idx="31">
                  <c:v>9836</c:v>
                </c:pt>
                <c:pt idx="32">
                  <c:v>0</c:v>
                </c:pt>
                <c:pt idx="33">
                  <c:v>0</c:v>
                </c:pt>
                <c:pt idx="34">
                  <c:v>12038</c:v>
                </c:pt>
                <c:pt idx="35">
                  <c:v>0</c:v>
                </c:pt>
                <c:pt idx="36">
                  <c:v>0</c:v>
                </c:pt>
                <c:pt idx="37">
                  <c:v>10195</c:v>
                </c:pt>
                <c:pt idx="38">
                  <c:v>0</c:v>
                </c:pt>
                <c:pt idx="39">
                  <c:v>12442</c:v>
                </c:pt>
                <c:pt idx="40">
                  <c:v>0</c:v>
                </c:pt>
                <c:pt idx="41">
                  <c:v>0</c:v>
                </c:pt>
                <c:pt idx="42">
                  <c:v>11561</c:v>
                </c:pt>
                <c:pt idx="43">
                  <c:v>0</c:v>
                </c:pt>
                <c:pt idx="44">
                  <c:v>10650</c:v>
                </c:pt>
                <c:pt idx="45">
                  <c:v>0</c:v>
                </c:pt>
                <c:pt idx="46">
                  <c:v>0</c:v>
                </c:pt>
                <c:pt idx="47">
                  <c:v>11059</c:v>
                </c:pt>
                <c:pt idx="48">
                  <c:v>0</c:v>
                </c:pt>
                <c:pt idx="49">
                  <c:v>11308</c:v>
                </c:pt>
                <c:pt idx="50">
                  <c:v>0</c:v>
                </c:pt>
                <c:pt idx="51">
                  <c:v>0</c:v>
                </c:pt>
                <c:pt idx="52">
                  <c:v>10758</c:v>
                </c:pt>
                <c:pt idx="53">
                  <c:v>0</c:v>
                </c:pt>
                <c:pt idx="54">
                  <c:v>0</c:v>
                </c:pt>
                <c:pt idx="55">
                  <c:v>14960</c:v>
                </c:pt>
                <c:pt idx="56">
                  <c:v>0</c:v>
                </c:pt>
                <c:pt idx="57">
                  <c:v>18457</c:v>
                </c:pt>
                <c:pt idx="58">
                  <c:v>0</c:v>
                </c:pt>
                <c:pt idx="59">
                  <c:v>0</c:v>
                </c:pt>
                <c:pt idx="60">
                  <c:v>19429</c:v>
                </c:pt>
                <c:pt idx="61">
                  <c:v>0</c:v>
                </c:pt>
                <c:pt idx="62">
                  <c:v>22771</c:v>
                </c:pt>
                <c:pt idx="63">
                  <c:v>0</c:v>
                </c:pt>
                <c:pt idx="64">
                  <c:v>0</c:v>
                </c:pt>
                <c:pt idx="65">
                  <c:v>19720</c:v>
                </c:pt>
                <c:pt idx="66">
                  <c:v>0</c:v>
                </c:pt>
                <c:pt idx="67">
                  <c:v>22641</c:v>
                </c:pt>
                <c:pt idx="68">
                  <c:v>0</c:v>
                </c:pt>
                <c:pt idx="69">
                  <c:v>0</c:v>
                </c:pt>
                <c:pt idx="70">
                  <c:v>26439</c:v>
                </c:pt>
                <c:pt idx="71">
                  <c:v>0</c:v>
                </c:pt>
                <c:pt idx="72">
                  <c:v>0</c:v>
                </c:pt>
                <c:pt idx="73">
                  <c:v>30387</c:v>
                </c:pt>
                <c:pt idx="74">
                  <c:v>0</c:v>
                </c:pt>
                <c:pt idx="75">
                  <c:v>34093</c:v>
                </c:pt>
                <c:pt idx="76">
                  <c:v>0</c:v>
                </c:pt>
                <c:pt idx="77">
                  <c:v>0</c:v>
                </c:pt>
                <c:pt idx="78">
                  <c:v>40413</c:v>
                </c:pt>
                <c:pt idx="79">
                  <c:v>0</c:v>
                </c:pt>
                <c:pt idx="80">
                  <c:v>49036</c:v>
                </c:pt>
                <c:pt idx="81">
                  <c:v>0</c:v>
                </c:pt>
                <c:pt idx="82">
                  <c:v>0</c:v>
                </c:pt>
                <c:pt idx="83">
                  <c:v>56114</c:v>
                </c:pt>
                <c:pt idx="84">
                  <c:v>0</c:v>
                </c:pt>
                <c:pt idx="85">
                  <c:v>0</c:v>
                </c:pt>
                <c:pt idx="86">
                  <c:v>70287</c:v>
                </c:pt>
                <c:pt idx="87">
                  <c:v>0</c:v>
                </c:pt>
                <c:pt idx="88">
                  <c:v>93138</c:v>
                </c:pt>
                <c:pt idx="89">
                  <c:v>0</c:v>
                </c:pt>
                <c:pt idx="90">
                  <c:v>0</c:v>
                </c:pt>
                <c:pt idx="91">
                  <c:v>100305</c:v>
                </c:pt>
                <c:pt idx="92">
                  <c:v>0</c:v>
                </c:pt>
                <c:pt idx="93">
                  <c:v>108286</c:v>
                </c:pt>
                <c:pt idx="94">
                  <c:v>0</c:v>
                </c:pt>
                <c:pt idx="95">
                  <c:v>0</c:v>
                </c:pt>
                <c:pt idx="96">
                  <c:v>106051</c:v>
                </c:pt>
                <c:pt idx="97">
                  <c:v>0</c:v>
                </c:pt>
                <c:pt idx="98">
                  <c:v>107951</c:v>
                </c:pt>
                <c:pt idx="99">
                  <c:v>0</c:v>
                </c:pt>
                <c:pt idx="100">
                  <c:v>0</c:v>
                </c:pt>
                <c:pt idx="101">
                  <c:v>99348</c:v>
                </c:pt>
                <c:pt idx="102">
                  <c:v>0</c:v>
                </c:pt>
                <c:pt idx="103">
                  <c:v>0</c:v>
                </c:pt>
                <c:pt idx="104">
                  <c:v>95043</c:v>
                </c:pt>
                <c:pt idx="105">
                  <c:v>0</c:v>
                </c:pt>
                <c:pt idx="106">
                  <c:v>91459</c:v>
                </c:pt>
                <c:pt idx="107">
                  <c:v>0</c:v>
                </c:pt>
                <c:pt idx="108">
                  <c:v>0</c:v>
                </c:pt>
                <c:pt idx="109">
                  <c:v>94420</c:v>
                </c:pt>
                <c:pt idx="110">
                  <c:v>0</c:v>
                </c:pt>
                <c:pt idx="111">
                  <c:v>79768</c:v>
                </c:pt>
                <c:pt idx="112">
                  <c:v>0</c:v>
                </c:pt>
                <c:pt idx="113">
                  <c:v>0</c:v>
                </c:pt>
                <c:pt idx="114">
                  <c:v>86115</c:v>
                </c:pt>
                <c:pt idx="115">
                  <c:v>0</c:v>
                </c:pt>
                <c:pt idx="116">
                  <c:v>93183</c:v>
                </c:pt>
                <c:pt idx="117">
                  <c:v>0</c:v>
                </c:pt>
                <c:pt idx="118">
                  <c:v>0</c:v>
                </c:pt>
                <c:pt idx="119">
                  <c:v>100211</c:v>
                </c:pt>
                <c:pt idx="120">
                  <c:v>0</c:v>
                </c:pt>
                <c:pt idx="121">
                  <c:v>0</c:v>
                </c:pt>
                <c:pt idx="122">
                  <c:v>106930</c:v>
                </c:pt>
                <c:pt idx="123">
                  <c:v>0</c:v>
                </c:pt>
                <c:pt idx="124">
                  <c:v>103238</c:v>
                </c:pt>
                <c:pt idx="125">
                  <c:v>0</c:v>
                </c:pt>
                <c:pt idx="126">
                  <c:v>0</c:v>
                </c:pt>
                <c:pt idx="127">
                  <c:v>101458</c:v>
                </c:pt>
                <c:pt idx="128">
                  <c:v>0</c:v>
                </c:pt>
                <c:pt idx="129">
                  <c:v>94698</c:v>
                </c:pt>
                <c:pt idx="130">
                  <c:v>0</c:v>
                </c:pt>
                <c:pt idx="131">
                  <c:v>0</c:v>
                </c:pt>
                <c:pt idx="132">
                  <c:v>96370</c:v>
                </c:pt>
                <c:pt idx="133">
                  <c:v>0</c:v>
                </c:pt>
                <c:pt idx="134">
                  <c:v>93593</c:v>
                </c:pt>
                <c:pt idx="135">
                  <c:v>0</c:v>
                </c:pt>
                <c:pt idx="136">
                  <c:v>0</c:v>
                </c:pt>
                <c:pt idx="137">
                  <c:v>97420</c:v>
                </c:pt>
                <c:pt idx="138">
                  <c:v>0</c:v>
                </c:pt>
                <c:pt idx="139">
                  <c:v>0</c:v>
                </c:pt>
                <c:pt idx="140">
                  <c:v>103181</c:v>
                </c:pt>
                <c:pt idx="141">
                  <c:v>0</c:v>
                </c:pt>
                <c:pt idx="142">
                  <c:v>102464</c:v>
                </c:pt>
                <c:pt idx="143">
                  <c:v>0</c:v>
                </c:pt>
                <c:pt idx="144">
                  <c:v>0</c:v>
                </c:pt>
                <c:pt idx="145">
                  <c:v>98459</c:v>
                </c:pt>
                <c:pt idx="146">
                  <c:v>0</c:v>
                </c:pt>
                <c:pt idx="147">
                  <c:v>97357</c:v>
                </c:pt>
                <c:pt idx="148">
                  <c:v>0</c:v>
                </c:pt>
                <c:pt idx="149">
                  <c:v>0</c:v>
                </c:pt>
                <c:pt idx="150">
                  <c:v>101171</c:v>
                </c:pt>
                <c:pt idx="151">
                  <c:v>0</c:v>
                </c:pt>
                <c:pt idx="152">
                  <c:v>102681</c:v>
                </c:pt>
                <c:pt idx="153">
                  <c:v>0</c:v>
                </c:pt>
                <c:pt idx="154">
                  <c:v>0</c:v>
                </c:pt>
                <c:pt idx="155">
                  <c:v>91770</c:v>
                </c:pt>
                <c:pt idx="156">
                  <c:v>0</c:v>
                </c:pt>
                <c:pt idx="157">
                  <c:v>0</c:v>
                </c:pt>
                <c:pt idx="158">
                  <c:v>89146</c:v>
                </c:pt>
                <c:pt idx="159">
                  <c:v>0</c:v>
                </c:pt>
                <c:pt idx="160">
                  <c:v>85393</c:v>
                </c:pt>
                <c:pt idx="161">
                  <c:v>0</c:v>
                </c:pt>
                <c:pt idx="162">
                  <c:v>0</c:v>
                </c:pt>
                <c:pt idx="163">
                  <c:v>83507</c:v>
                </c:pt>
                <c:pt idx="164">
                  <c:v>0</c:v>
                </c:pt>
                <c:pt idx="165">
                  <c:v>72204</c:v>
                </c:pt>
                <c:pt idx="166">
                  <c:v>0</c:v>
                </c:pt>
                <c:pt idx="167">
                  <c:v>0</c:v>
                </c:pt>
                <c:pt idx="168">
                  <c:v>72780</c:v>
                </c:pt>
                <c:pt idx="169">
                  <c:v>0</c:v>
                </c:pt>
                <c:pt idx="170">
                  <c:v>0</c:v>
                </c:pt>
                <c:pt idx="171">
                  <c:v>65362</c:v>
                </c:pt>
                <c:pt idx="172">
                  <c:v>0</c:v>
                </c:pt>
                <c:pt idx="173">
                  <c:v>55623</c:v>
                </c:pt>
                <c:pt idx="174">
                  <c:v>0</c:v>
                </c:pt>
                <c:pt idx="175">
                  <c:v>0</c:v>
                </c:pt>
                <c:pt idx="176">
                  <c:v>53828</c:v>
                </c:pt>
                <c:pt idx="177">
                  <c:v>0</c:v>
                </c:pt>
                <c:pt idx="178">
                  <c:v>44975</c:v>
                </c:pt>
                <c:pt idx="179">
                  <c:v>0</c:v>
                </c:pt>
                <c:pt idx="180">
                  <c:v>0</c:v>
                </c:pt>
                <c:pt idx="181">
                  <c:v>44435</c:v>
                </c:pt>
                <c:pt idx="182">
                  <c:v>0</c:v>
                </c:pt>
                <c:pt idx="183">
                  <c:v>43512</c:v>
                </c:pt>
                <c:pt idx="184">
                  <c:v>0</c:v>
                </c:pt>
                <c:pt idx="185">
                  <c:v>0</c:v>
                </c:pt>
                <c:pt idx="186">
                  <c:v>39983</c:v>
                </c:pt>
                <c:pt idx="187">
                  <c:v>0</c:v>
                </c:pt>
                <c:pt idx="188">
                  <c:v>0</c:v>
                </c:pt>
                <c:pt idx="189">
                  <c:v>35591</c:v>
                </c:pt>
                <c:pt idx="190">
                  <c:v>0</c:v>
                </c:pt>
                <c:pt idx="191">
                  <c:v>33241</c:v>
                </c:pt>
                <c:pt idx="192">
                  <c:v>0</c:v>
                </c:pt>
                <c:pt idx="193">
                  <c:v>0</c:v>
                </c:pt>
                <c:pt idx="194">
                  <c:v>28552</c:v>
                </c:pt>
                <c:pt idx="195">
                  <c:v>0</c:v>
                </c:pt>
                <c:pt idx="196">
                  <c:v>20199</c:v>
                </c:pt>
                <c:pt idx="197">
                  <c:v>0</c:v>
                </c:pt>
                <c:pt idx="198">
                  <c:v>0</c:v>
                </c:pt>
                <c:pt idx="199">
                  <c:v>16208</c:v>
                </c:pt>
                <c:pt idx="200">
                  <c:v>0</c:v>
                </c:pt>
                <c:pt idx="201">
                  <c:v>10441</c:v>
                </c:pt>
                <c:pt idx="202">
                  <c:v>0</c:v>
                </c:pt>
                <c:pt idx="203">
                  <c:v>0</c:v>
                </c:pt>
                <c:pt idx="204">
                  <c:v>5488</c:v>
                </c:pt>
                <c:pt idx="205">
                  <c:v>0</c:v>
                </c:pt>
                <c:pt idx="206">
                  <c:v>0</c:v>
                </c:pt>
                <c:pt idx="207">
                  <c:v>2161</c:v>
                </c:pt>
                <c:pt idx="208">
                  <c:v>0</c:v>
                </c:pt>
                <c:pt idx="209">
                  <c:v>1674</c:v>
                </c:pt>
                <c:pt idx="210">
                  <c:v>0</c:v>
                </c:pt>
                <c:pt idx="211">
                  <c:v>0</c:v>
                </c:pt>
                <c:pt idx="212">
                  <c:v>1537</c:v>
                </c:pt>
                <c:pt idx="213">
                  <c:v>0</c:v>
                </c:pt>
                <c:pt idx="214">
                  <c:v>688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0.15342796417024621</c:v>
                </c:pt>
                <c:pt idx="1">
                  <c:v>0.33937709105867325</c:v>
                </c:pt>
                <c:pt idx="2">
                  <c:v>0.5071949447710804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0.46608068260797653</c:v>
                </c:pt>
                <c:pt idx="1">
                  <c:v>0.30713696709986987</c:v>
                </c:pt>
                <c:pt idx="2">
                  <c:v>0.2267823502921536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8.56738</c:v>
                </c:pt>
                <c:pt idx="1">
                  <c:v>12.471939999999998</c:v>
                </c:pt>
                <c:pt idx="2">
                  <c:v>26.2456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  <c:pt idx="74">
                  <c:v>30.042300000000001</c:v>
                </c:pt>
                <c:pt idx="75">
                  <c:v>30.6356</c:v>
                </c:pt>
                <c:pt idx="76">
                  <c:v>31.007200000000001</c:v>
                </c:pt>
                <c:pt idx="77">
                  <c:v>31.382200000000001</c:v>
                </c:pt>
                <c:pt idx="78">
                  <c:v>31.755299999999998</c:v>
                </c:pt>
                <c:pt idx="79">
                  <c:v>32.135800000000003</c:v>
                </c:pt>
                <c:pt idx="80">
                  <c:v>32.541499999999999</c:v>
                </c:pt>
                <c:pt idx="81">
                  <c:v>32.944200000000002</c:v>
                </c:pt>
                <c:pt idx="82">
                  <c:v>33.352699999999999</c:v>
                </c:pt>
                <c:pt idx="83">
                  <c:v>33.757399999999997</c:v>
                </c:pt>
                <c:pt idx="84">
                  <c:v>34.164700000000003</c:v>
                </c:pt>
                <c:pt idx="85">
                  <c:v>34.572699999999998</c:v>
                </c:pt>
                <c:pt idx="86">
                  <c:v>34.978000000000002</c:v>
                </c:pt>
                <c:pt idx="87">
                  <c:v>35.381399999999999</c:v>
                </c:pt>
                <c:pt idx="88">
                  <c:v>35.788800000000002</c:v>
                </c:pt>
                <c:pt idx="89">
                  <c:v>36.197699999999998</c:v>
                </c:pt>
                <c:pt idx="90">
                  <c:v>36.603900000000003</c:v>
                </c:pt>
                <c:pt idx="91">
                  <c:v>37.008299999999998</c:v>
                </c:pt>
                <c:pt idx="92">
                  <c:v>37.414400000000001</c:v>
                </c:pt>
                <c:pt idx="93">
                  <c:v>37.8215</c:v>
                </c:pt>
                <c:pt idx="94">
                  <c:v>38.2271</c:v>
                </c:pt>
                <c:pt idx="95">
                  <c:v>38.633099999999999</c:v>
                </c:pt>
                <c:pt idx="96">
                  <c:v>39.040500000000002</c:v>
                </c:pt>
                <c:pt idx="97">
                  <c:v>39.4437</c:v>
                </c:pt>
                <c:pt idx="98">
                  <c:v>39.857399999999998</c:v>
                </c:pt>
                <c:pt idx="99">
                  <c:v>40.257199999999997</c:v>
                </c:pt>
                <c:pt idx="100">
                  <c:v>40.6678</c:v>
                </c:pt>
                <c:pt idx="101">
                  <c:v>41.072000000000003</c:v>
                </c:pt>
                <c:pt idx="102">
                  <c:v>41.474400000000003</c:v>
                </c:pt>
                <c:pt idx="103">
                  <c:v>41.884300000000003</c:v>
                </c:pt>
                <c:pt idx="104">
                  <c:v>42.2883</c:v>
                </c:pt>
                <c:pt idx="105">
                  <c:v>42.698500000000003</c:v>
                </c:pt>
                <c:pt idx="106">
                  <c:v>43.101199999999999</c:v>
                </c:pt>
                <c:pt idx="107">
                  <c:v>43.510100000000001</c:v>
                </c:pt>
                <c:pt idx="108">
                  <c:v>43.912700000000001</c:v>
                </c:pt>
                <c:pt idx="109">
                  <c:v>44.322600000000001</c:v>
                </c:pt>
                <c:pt idx="110">
                  <c:v>44.729300000000002</c:v>
                </c:pt>
                <c:pt idx="111">
                  <c:v>45.137300000000003</c:v>
                </c:pt>
                <c:pt idx="112">
                  <c:v>45.539700000000003</c:v>
                </c:pt>
                <c:pt idx="113">
                  <c:v>45.947099999999999</c:v>
                </c:pt>
                <c:pt idx="114">
                  <c:v>46.3538</c:v>
                </c:pt>
                <c:pt idx="115">
                  <c:v>46.760300000000001</c:v>
                </c:pt>
                <c:pt idx="116">
                  <c:v>47.163800000000002</c:v>
                </c:pt>
                <c:pt idx="117">
                  <c:v>47.569600000000001</c:v>
                </c:pt>
                <c:pt idx="118">
                  <c:v>47.976100000000002</c:v>
                </c:pt>
                <c:pt idx="119">
                  <c:v>48.387099999999997</c:v>
                </c:pt>
                <c:pt idx="120">
                  <c:v>48.792000000000002</c:v>
                </c:pt>
                <c:pt idx="121">
                  <c:v>49.1967</c:v>
                </c:pt>
                <c:pt idx="122">
                  <c:v>49.599800000000002</c:v>
                </c:pt>
                <c:pt idx="123">
                  <c:v>50.008299999999998</c:v>
                </c:pt>
                <c:pt idx="124">
                  <c:v>50.414200000000001</c:v>
                </c:pt>
                <c:pt idx="125">
                  <c:v>50.824300000000001</c:v>
                </c:pt>
                <c:pt idx="126">
                  <c:v>51.226599999999998</c:v>
                </c:pt>
                <c:pt idx="127">
                  <c:v>51.636499999999998</c:v>
                </c:pt>
                <c:pt idx="128">
                  <c:v>52.040100000000002</c:v>
                </c:pt>
                <c:pt idx="129">
                  <c:v>52.446300000000001</c:v>
                </c:pt>
                <c:pt idx="130">
                  <c:v>52.852499999999999</c:v>
                </c:pt>
                <c:pt idx="131">
                  <c:v>53.259900000000002</c:v>
                </c:pt>
                <c:pt idx="132">
                  <c:v>53.6631</c:v>
                </c:pt>
                <c:pt idx="133">
                  <c:v>54.069600000000001</c:v>
                </c:pt>
                <c:pt idx="134">
                  <c:v>54.4739</c:v>
                </c:pt>
                <c:pt idx="135">
                  <c:v>54.8855</c:v>
                </c:pt>
                <c:pt idx="136">
                  <c:v>55.292099999999998</c:v>
                </c:pt>
                <c:pt idx="137">
                  <c:v>55.695399999999999</c:v>
                </c:pt>
                <c:pt idx="138">
                  <c:v>56.103200000000001</c:v>
                </c:pt>
                <c:pt idx="139">
                  <c:v>56.512700000000002</c:v>
                </c:pt>
                <c:pt idx="140">
                  <c:v>56.915999999999997</c:v>
                </c:pt>
                <c:pt idx="141">
                  <c:v>57.322299999999998</c:v>
                </c:pt>
                <c:pt idx="142">
                  <c:v>57.7301</c:v>
                </c:pt>
                <c:pt idx="143">
                  <c:v>58.132800000000003</c:v>
                </c:pt>
                <c:pt idx="144">
                  <c:v>58.537700000000001</c:v>
                </c:pt>
                <c:pt idx="145">
                  <c:v>58.944499999999998</c:v>
                </c:pt>
                <c:pt idx="146">
                  <c:v>59.354599999999998</c:v>
                </c:pt>
                <c:pt idx="147">
                  <c:v>59.759900000000002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  <c:pt idx="74">
                  <c:v>4.5707300000000002</c:v>
                </c:pt>
                <c:pt idx="75">
                  <c:v>4.5709800000000005</c:v>
                </c:pt>
                <c:pt idx="76">
                  <c:v>4.5755299999999997</c:v>
                </c:pt>
                <c:pt idx="77">
                  <c:v>4.5812100000000004</c:v>
                </c:pt>
                <c:pt idx="78">
                  <c:v>4.5902700000000003</c:v>
                </c:pt>
                <c:pt idx="79">
                  <c:v>4.6020300000000001</c:v>
                </c:pt>
                <c:pt idx="80">
                  <c:v>4.61564</c:v>
                </c:pt>
                <c:pt idx="81">
                  <c:v>4.62906</c:v>
                </c:pt>
                <c:pt idx="82">
                  <c:v>4.6463999999999999</c:v>
                </c:pt>
                <c:pt idx="83">
                  <c:v>4.66859</c:v>
                </c:pt>
                <c:pt idx="84">
                  <c:v>4.6937899999999999</c:v>
                </c:pt>
                <c:pt idx="85">
                  <c:v>4.7237</c:v>
                </c:pt>
                <c:pt idx="86">
                  <c:v>4.7521899999999997</c:v>
                </c:pt>
                <c:pt idx="87">
                  <c:v>4.7802800000000003</c:v>
                </c:pt>
                <c:pt idx="88">
                  <c:v>4.8054300000000003</c:v>
                </c:pt>
                <c:pt idx="89">
                  <c:v>4.8284799999999999</c:v>
                </c:pt>
                <c:pt idx="90">
                  <c:v>4.8516500000000002</c:v>
                </c:pt>
                <c:pt idx="91">
                  <c:v>4.87683</c:v>
                </c:pt>
                <c:pt idx="92">
                  <c:v>4.9055300000000006</c:v>
                </c:pt>
                <c:pt idx="93">
                  <c:v>4.9361500000000005</c:v>
                </c:pt>
                <c:pt idx="94">
                  <c:v>4.9680999999999997</c:v>
                </c:pt>
                <c:pt idx="95">
                  <c:v>5.0016999999999996</c:v>
                </c:pt>
                <c:pt idx="96">
                  <c:v>5.0375800000000002</c:v>
                </c:pt>
                <c:pt idx="97">
                  <c:v>5.0723900000000004</c:v>
                </c:pt>
                <c:pt idx="98">
                  <c:v>5.1061199999999998</c:v>
                </c:pt>
                <c:pt idx="99">
                  <c:v>5.1355599999999999</c:v>
                </c:pt>
                <c:pt idx="100">
                  <c:v>5.16289</c:v>
                </c:pt>
                <c:pt idx="101">
                  <c:v>5.1888800000000002</c:v>
                </c:pt>
                <c:pt idx="102">
                  <c:v>5.2133799999999999</c:v>
                </c:pt>
                <c:pt idx="103">
                  <c:v>5.2320999999999991</c:v>
                </c:pt>
                <c:pt idx="104">
                  <c:v>5.2427000000000001</c:v>
                </c:pt>
                <c:pt idx="105">
                  <c:v>5.2492200000000002</c:v>
                </c:pt>
                <c:pt idx="106">
                  <c:v>5.2529700000000004</c:v>
                </c:pt>
                <c:pt idx="107">
                  <c:v>5.2495499999999993</c:v>
                </c:pt>
                <c:pt idx="108">
                  <c:v>5.2407599999999999</c:v>
                </c:pt>
                <c:pt idx="109">
                  <c:v>5.2302099999999996</c:v>
                </c:pt>
                <c:pt idx="110">
                  <c:v>5.2140299999999993</c:v>
                </c:pt>
                <c:pt idx="111">
                  <c:v>5.1976300000000002</c:v>
                </c:pt>
                <c:pt idx="112">
                  <c:v>5.1805699999999995</c:v>
                </c:pt>
                <c:pt idx="113">
                  <c:v>5.1631099999999996</c:v>
                </c:pt>
                <c:pt idx="114">
                  <c:v>5.1431899999999997</c:v>
                </c:pt>
                <c:pt idx="115">
                  <c:v>5.1252600000000008</c:v>
                </c:pt>
                <c:pt idx="116">
                  <c:v>5.1052200000000001</c:v>
                </c:pt>
                <c:pt idx="117">
                  <c:v>5.0823099999999997</c:v>
                </c:pt>
                <c:pt idx="118">
                  <c:v>5.0607000000000006</c:v>
                </c:pt>
                <c:pt idx="119">
                  <c:v>5.03993</c:v>
                </c:pt>
                <c:pt idx="120">
                  <c:v>5.0199099999999994</c:v>
                </c:pt>
                <c:pt idx="121">
                  <c:v>4.9971100000000002</c:v>
                </c:pt>
                <c:pt idx="122">
                  <c:v>4.9721200000000003</c:v>
                </c:pt>
                <c:pt idx="123">
                  <c:v>4.9483899999999998</c:v>
                </c:pt>
                <c:pt idx="124">
                  <c:v>4.9354700000000005</c:v>
                </c:pt>
                <c:pt idx="125">
                  <c:v>4.92089</c:v>
                </c:pt>
                <c:pt idx="126">
                  <c:v>4.9030899999999997</c:v>
                </c:pt>
                <c:pt idx="127">
                  <c:v>4.8831999999999995</c:v>
                </c:pt>
                <c:pt idx="128">
                  <c:v>4.8633600000000001</c:v>
                </c:pt>
                <c:pt idx="129">
                  <c:v>4.8461699999999999</c:v>
                </c:pt>
                <c:pt idx="130">
                  <c:v>4.8298999999999994</c:v>
                </c:pt>
                <c:pt idx="131">
                  <c:v>4.8149899999999999</c:v>
                </c:pt>
                <c:pt idx="132">
                  <c:v>4.8038499999999997</c:v>
                </c:pt>
                <c:pt idx="133">
                  <c:v>4.7937500000000002</c:v>
                </c:pt>
                <c:pt idx="134">
                  <c:v>4.7827399999999995</c:v>
                </c:pt>
                <c:pt idx="135">
                  <c:v>4.7756799999999995</c:v>
                </c:pt>
                <c:pt idx="136">
                  <c:v>4.7690200000000003</c:v>
                </c:pt>
                <c:pt idx="137">
                  <c:v>4.7673700000000006</c:v>
                </c:pt>
                <c:pt idx="138">
                  <c:v>4.7664400000000002</c:v>
                </c:pt>
                <c:pt idx="139">
                  <c:v>4.7677800000000001</c:v>
                </c:pt>
                <c:pt idx="140">
                  <c:v>4.7653099999999995</c:v>
                </c:pt>
                <c:pt idx="141">
                  <c:v>4.76417</c:v>
                </c:pt>
                <c:pt idx="142">
                  <c:v>4.7675099999999997</c:v>
                </c:pt>
                <c:pt idx="143">
                  <c:v>4.7680099999999994</c:v>
                </c:pt>
                <c:pt idx="144">
                  <c:v>4.7590300000000001</c:v>
                </c:pt>
                <c:pt idx="145">
                  <c:v>4.7397200000000002</c:v>
                </c:pt>
                <c:pt idx="146">
                  <c:v>4.7300500000000003</c:v>
                </c:pt>
                <c:pt idx="147">
                  <c:v>4.7285500000000003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29.635200000000001</c:v>
                </c:pt>
                <c:pt idx="1">
                  <c:v>30.042300000000001</c:v>
                </c:pt>
                <c:pt idx="2">
                  <c:v>30.6356</c:v>
                </c:pt>
                <c:pt idx="3">
                  <c:v>31.007200000000001</c:v>
                </c:pt>
                <c:pt idx="4">
                  <c:v>31.382200000000001</c:v>
                </c:pt>
                <c:pt idx="5">
                  <c:v>31.755299999999998</c:v>
                </c:pt>
                <c:pt idx="6">
                  <c:v>32.135800000000003</c:v>
                </c:pt>
                <c:pt idx="7">
                  <c:v>32.541499999999999</c:v>
                </c:pt>
                <c:pt idx="8">
                  <c:v>32.944200000000002</c:v>
                </c:pt>
                <c:pt idx="9">
                  <c:v>33.352699999999999</c:v>
                </c:pt>
                <c:pt idx="10">
                  <c:v>33.757399999999997</c:v>
                </c:pt>
                <c:pt idx="11">
                  <c:v>34.164700000000003</c:v>
                </c:pt>
                <c:pt idx="12">
                  <c:v>34.572699999999998</c:v>
                </c:pt>
                <c:pt idx="13">
                  <c:v>34.978000000000002</c:v>
                </c:pt>
                <c:pt idx="14">
                  <c:v>35.381399999999999</c:v>
                </c:pt>
                <c:pt idx="15">
                  <c:v>35.788800000000002</c:v>
                </c:pt>
                <c:pt idx="16">
                  <c:v>36.197699999999998</c:v>
                </c:pt>
                <c:pt idx="17">
                  <c:v>36.603900000000003</c:v>
                </c:pt>
                <c:pt idx="18">
                  <c:v>37.008299999999998</c:v>
                </c:pt>
                <c:pt idx="19">
                  <c:v>37.414400000000001</c:v>
                </c:pt>
                <c:pt idx="20">
                  <c:v>37.8215</c:v>
                </c:pt>
                <c:pt idx="21">
                  <c:v>38.2271</c:v>
                </c:pt>
                <c:pt idx="22">
                  <c:v>38.633099999999999</c:v>
                </c:pt>
                <c:pt idx="23">
                  <c:v>39.040500000000002</c:v>
                </c:pt>
                <c:pt idx="24">
                  <c:v>39.4437</c:v>
                </c:pt>
                <c:pt idx="25">
                  <c:v>39.857399999999998</c:v>
                </c:pt>
                <c:pt idx="26">
                  <c:v>40.257199999999997</c:v>
                </c:pt>
                <c:pt idx="27">
                  <c:v>40.6678</c:v>
                </c:pt>
                <c:pt idx="28">
                  <c:v>41.072000000000003</c:v>
                </c:pt>
                <c:pt idx="29">
                  <c:v>41.474400000000003</c:v>
                </c:pt>
                <c:pt idx="30">
                  <c:v>41.884300000000003</c:v>
                </c:pt>
                <c:pt idx="31">
                  <c:v>42.2883</c:v>
                </c:pt>
                <c:pt idx="32">
                  <c:v>42.698500000000003</c:v>
                </c:pt>
                <c:pt idx="33">
                  <c:v>43.101199999999999</c:v>
                </c:pt>
                <c:pt idx="34">
                  <c:v>43.510100000000001</c:v>
                </c:pt>
                <c:pt idx="35">
                  <c:v>43.912700000000001</c:v>
                </c:pt>
                <c:pt idx="36">
                  <c:v>44.322600000000001</c:v>
                </c:pt>
                <c:pt idx="37">
                  <c:v>44.729300000000002</c:v>
                </c:pt>
                <c:pt idx="38">
                  <c:v>45.137300000000003</c:v>
                </c:pt>
                <c:pt idx="39">
                  <c:v>45.539700000000003</c:v>
                </c:pt>
                <c:pt idx="40">
                  <c:v>45.947099999999999</c:v>
                </c:pt>
                <c:pt idx="41">
                  <c:v>46.3538</c:v>
                </c:pt>
                <c:pt idx="42">
                  <c:v>46.760300000000001</c:v>
                </c:pt>
                <c:pt idx="43">
                  <c:v>47.163800000000002</c:v>
                </c:pt>
                <c:pt idx="44">
                  <c:v>47.569600000000001</c:v>
                </c:pt>
                <c:pt idx="45">
                  <c:v>47.976100000000002</c:v>
                </c:pt>
                <c:pt idx="46">
                  <c:v>48.387099999999997</c:v>
                </c:pt>
                <c:pt idx="47">
                  <c:v>48.792000000000002</c:v>
                </c:pt>
                <c:pt idx="48">
                  <c:v>49.1967</c:v>
                </c:pt>
                <c:pt idx="49">
                  <c:v>49.599800000000002</c:v>
                </c:pt>
                <c:pt idx="50">
                  <c:v>50.008299999999998</c:v>
                </c:pt>
                <c:pt idx="51">
                  <c:v>50.414200000000001</c:v>
                </c:pt>
                <c:pt idx="52">
                  <c:v>50.824300000000001</c:v>
                </c:pt>
                <c:pt idx="53">
                  <c:v>51.226599999999998</c:v>
                </c:pt>
                <c:pt idx="54">
                  <c:v>51.636499999999998</c:v>
                </c:pt>
                <c:pt idx="55">
                  <c:v>52.040100000000002</c:v>
                </c:pt>
                <c:pt idx="56">
                  <c:v>52.446300000000001</c:v>
                </c:pt>
                <c:pt idx="57">
                  <c:v>52.852499999999999</c:v>
                </c:pt>
                <c:pt idx="58">
                  <c:v>53.259900000000002</c:v>
                </c:pt>
                <c:pt idx="59">
                  <c:v>53.6631</c:v>
                </c:pt>
                <c:pt idx="60">
                  <c:v>54.069600000000001</c:v>
                </c:pt>
                <c:pt idx="61">
                  <c:v>54.4739</c:v>
                </c:pt>
                <c:pt idx="62">
                  <c:v>54.8855</c:v>
                </c:pt>
                <c:pt idx="63">
                  <c:v>55.292099999999998</c:v>
                </c:pt>
                <c:pt idx="64">
                  <c:v>55.695399999999999</c:v>
                </c:pt>
                <c:pt idx="65">
                  <c:v>56.103200000000001</c:v>
                </c:pt>
                <c:pt idx="66">
                  <c:v>56.512700000000002</c:v>
                </c:pt>
                <c:pt idx="67">
                  <c:v>56.915999999999997</c:v>
                </c:pt>
                <c:pt idx="68">
                  <c:v>57.322299999999998</c:v>
                </c:pt>
                <c:pt idx="69">
                  <c:v>57.7301</c:v>
                </c:pt>
                <c:pt idx="70">
                  <c:v>58.132800000000003</c:v>
                </c:pt>
                <c:pt idx="71">
                  <c:v>58.537700000000001</c:v>
                </c:pt>
                <c:pt idx="72">
                  <c:v>58.944499999999998</c:v>
                </c:pt>
                <c:pt idx="73">
                  <c:v>59.354599999999998</c:v>
                </c:pt>
                <c:pt idx="74">
                  <c:v>59.759900000000002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4.5736300000000005</c:v>
                </c:pt>
                <c:pt idx="1">
                  <c:v>4.5707300000000002</c:v>
                </c:pt>
                <c:pt idx="2">
                  <c:v>4.5709800000000005</c:v>
                </c:pt>
                <c:pt idx="3">
                  <c:v>4.5755299999999997</c:v>
                </c:pt>
                <c:pt idx="4">
                  <c:v>4.5812100000000004</c:v>
                </c:pt>
                <c:pt idx="5">
                  <c:v>4.5902700000000003</c:v>
                </c:pt>
                <c:pt idx="6">
                  <c:v>4.6020300000000001</c:v>
                </c:pt>
                <c:pt idx="7">
                  <c:v>4.61564</c:v>
                </c:pt>
                <c:pt idx="8">
                  <c:v>4.62906</c:v>
                </c:pt>
                <c:pt idx="9">
                  <c:v>4.6463999999999999</c:v>
                </c:pt>
                <c:pt idx="10">
                  <c:v>4.66859</c:v>
                </c:pt>
                <c:pt idx="11">
                  <c:v>4.6937899999999999</c:v>
                </c:pt>
                <c:pt idx="12">
                  <c:v>4.7237</c:v>
                </c:pt>
                <c:pt idx="13">
                  <c:v>4.7521899999999997</c:v>
                </c:pt>
                <c:pt idx="14">
                  <c:v>4.7802800000000003</c:v>
                </c:pt>
                <c:pt idx="15">
                  <c:v>4.8054300000000003</c:v>
                </c:pt>
                <c:pt idx="16">
                  <c:v>4.8284799999999999</c:v>
                </c:pt>
                <c:pt idx="17">
                  <c:v>4.8516500000000002</c:v>
                </c:pt>
                <c:pt idx="18">
                  <c:v>4.87683</c:v>
                </c:pt>
                <c:pt idx="19">
                  <c:v>4.9055300000000006</c:v>
                </c:pt>
                <c:pt idx="20">
                  <c:v>4.9361500000000005</c:v>
                </c:pt>
                <c:pt idx="21">
                  <c:v>4.9680999999999997</c:v>
                </c:pt>
                <c:pt idx="22">
                  <c:v>5.0016999999999996</c:v>
                </c:pt>
                <c:pt idx="23">
                  <c:v>5.0375800000000002</c:v>
                </c:pt>
                <c:pt idx="24">
                  <c:v>5.0723900000000004</c:v>
                </c:pt>
                <c:pt idx="25">
                  <c:v>5.1061199999999998</c:v>
                </c:pt>
                <c:pt idx="26">
                  <c:v>5.1355599999999999</c:v>
                </c:pt>
                <c:pt idx="27">
                  <c:v>5.16289</c:v>
                </c:pt>
                <c:pt idx="28">
                  <c:v>5.1888800000000002</c:v>
                </c:pt>
                <c:pt idx="29">
                  <c:v>5.2133799999999999</c:v>
                </c:pt>
                <c:pt idx="30">
                  <c:v>5.2320999999999991</c:v>
                </c:pt>
                <c:pt idx="31">
                  <c:v>5.2427000000000001</c:v>
                </c:pt>
                <c:pt idx="32">
                  <c:v>5.2492200000000002</c:v>
                </c:pt>
                <c:pt idx="33">
                  <c:v>5.2529700000000004</c:v>
                </c:pt>
                <c:pt idx="34">
                  <c:v>5.2495499999999993</c:v>
                </c:pt>
                <c:pt idx="35">
                  <c:v>5.2407599999999999</c:v>
                </c:pt>
                <c:pt idx="36">
                  <c:v>5.2302099999999996</c:v>
                </c:pt>
                <c:pt idx="37">
                  <c:v>5.2140299999999993</c:v>
                </c:pt>
                <c:pt idx="38">
                  <c:v>5.1976300000000002</c:v>
                </c:pt>
                <c:pt idx="39">
                  <c:v>5.1805699999999995</c:v>
                </c:pt>
                <c:pt idx="40">
                  <c:v>5.1631099999999996</c:v>
                </c:pt>
                <c:pt idx="41">
                  <c:v>5.1431899999999997</c:v>
                </c:pt>
                <c:pt idx="42">
                  <c:v>5.1252600000000008</c:v>
                </c:pt>
                <c:pt idx="43">
                  <c:v>5.1052200000000001</c:v>
                </c:pt>
                <c:pt idx="44">
                  <c:v>5.0823099999999997</c:v>
                </c:pt>
                <c:pt idx="45">
                  <c:v>5.0607000000000006</c:v>
                </c:pt>
                <c:pt idx="46">
                  <c:v>5.03993</c:v>
                </c:pt>
                <c:pt idx="47">
                  <c:v>5.0199099999999994</c:v>
                </c:pt>
                <c:pt idx="48">
                  <c:v>4.9971100000000002</c:v>
                </c:pt>
                <c:pt idx="49">
                  <c:v>4.9721200000000003</c:v>
                </c:pt>
                <c:pt idx="50">
                  <c:v>4.9483899999999998</c:v>
                </c:pt>
                <c:pt idx="51">
                  <c:v>4.9354700000000005</c:v>
                </c:pt>
                <c:pt idx="52">
                  <c:v>4.92089</c:v>
                </c:pt>
                <c:pt idx="53">
                  <c:v>4.9030899999999997</c:v>
                </c:pt>
                <c:pt idx="54">
                  <c:v>4.8831999999999995</c:v>
                </c:pt>
                <c:pt idx="55">
                  <c:v>4.8633600000000001</c:v>
                </c:pt>
                <c:pt idx="56">
                  <c:v>4.8461699999999999</c:v>
                </c:pt>
                <c:pt idx="57">
                  <c:v>4.8298999999999994</c:v>
                </c:pt>
                <c:pt idx="58">
                  <c:v>4.8149899999999999</c:v>
                </c:pt>
                <c:pt idx="59">
                  <c:v>4.8038499999999997</c:v>
                </c:pt>
                <c:pt idx="60">
                  <c:v>4.7937500000000002</c:v>
                </c:pt>
                <c:pt idx="61">
                  <c:v>4.7827399999999995</c:v>
                </c:pt>
                <c:pt idx="62">
                  <c:v>4.7756799999999995</c:v>
                </c:pt>
                <c:pt idx="63">
                  <c:v>4.7690200000000003</c:v>
                </c:pt>
                <c:pt idx="64">
                  <c:v>4.7673700000000006</c:v>
                </c:pt>
                <c:pt idx="65">
                  <c:v>4.7664400000000002</c:v>
                </c:pt>
                <c:pt idx="66">
                  <c:v>4.7677800000000001</c:v>
                </c:pt>
                <c:pt idx="67">
                  <c:v>4.7653099999999995</c:v>
                </c:pt>
                <c:pt idx="68">
                  <c:v>4.76417</c:v>
                </c:pt>
                <c:pt idx="69">
                  <c:v>4.7675099999999997</c:v>
                </c:pt>
                <c:pt idx="70">
                  <c:v>4.7680099999999994</c:v>
                </c:pt>
                <c:pt idx="71">
                  <c:v>4.7590300000000001</c:v>
                </c:pt>
                <c:pt idx="72">
                  <c:v>4.7397200000000002</c:v>
                </c:pt>
                <c:pt idx="73">
                  <c:v>4.7300500000000003</c:v>
                </c:pt>
                <c:pt idx="74">
                  <c:v>4.7285500000000003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3.06562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14.939975</c:v>
                </c:pt>
                <c:pt idx="1">
                  <c:v>44.819924999999998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4.3147104054054051</c:v>
                </c:pt>
                <c:pt idx="1">
                  <c:v>4.9092447297297328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  <c:pt idx="74">
                  <c:v>30.042300000000001</c:v>
                </c:pt>
                <c:pt idx="75">
                  <c:v>30.6356</c:v>
                </c:pt>
                <c:pt idx="76">
                  <c:v>31.007200000000001</c:v>
                </c:pt>
                <c:pt idx="77">
                  <c:v>31.382200000000001</c:v>
                </c:pt>
                <c:pt idx="78">
                  <c:v>31.755299999999998</c:v>
                </c:pt>
                <c:pt idx="79">
                  <c:v>32.135800000000003</c:v>
                </c:pt>
                <c:pt idx="80">
                  <c:v>32.541499999999999</c:v>
                </c:pt>
                <c:pt idx="81">
                  <c:v>32.944200000000002</c:v>
                </c:pt>
                <c:pt idx="82">
                  <c:v>33.352699999999999</c:v>
                </c:pt>
                <c:pt idx="83">
                  <c:v>33.757399999999997</c:v>
                </c:pt>
                <c:pt idx="84">
                  <c:v>34.164700000000003</c:v>
                </c:pt>
                <c:pt idx="85">
                  <c:v>34.572699999999998</c:v>
                </c:pt>
                <c:pt idx="86">
                  <c:v>34.978000000000002</c:v>
                </c:pt>
                <c:pt idx="87">
                  <c:v>35.381399999999999</c:v>
                </c:pt>
                <c:pt idx="88">
                  <c:v>35.788800000000002</c:v>
                </c:pt>
                <c:pt idx="89">
                  <c:v>36.197699999999998</c:v>
                </c:pt>
                <c:pt idx="90">
                  <c:v>36.603900000000003</c:v>
                </c:pt>
                <c:pt idx="91">
                  <c:v>37.008299999999998</c:v>
                </c:pt>
                <c:pt idx="92">
                  <c:v>37.414400000000001</c:v>
                </c:pt>
                <c:pt idx="93">
                  <c:v>37.8215</c:v>
                </c:pt>
                <c:pt idx="94">
                  <c:v>38.2271</c:v>
                </c:pt>
                <c:pt idx="95">
                  <c:v>38.633099999999999</c:v>
                </c:pt>
                <c:pt idx="96">
                  <c:v>39.040500000000002</c:v>
                </c:pt>
                <c:pt idx="97">
                  <c:v>39.4437</c:v>
                </c:pt>
                <c:pt idx="98">
                  <c:v>39.857399999999998</c:v>
                </c:pt>
                <c:pt idx="99">
                  <c:v>40.257199999999997</c:v>
                </c:pt>
                <c:pt idx="100">
                  <c:v>40.6678</c:v>
                </c:pt>
                <c:pt idx="101">
                  <c:v>41.072000000000003</c:v>
                </c:pt>
                <c:pt idx="102">
                  <c:v>41.474400000000003</c:v>
                </c:pt>
                <c:pt idx="103">
                  <c:v>41.884300000000003</c:v>
                </c:pt>
                <c:pt idx="104">
                  <c:v>42.2883</c:v>
                </c:pt>
                <c:pt idx="105">
                  <c:v>42.698500000000003</c:v>
                </c:pt>
                <c:pt idx="106">
                  <c:v>43.101199999999999</c:v>
                </c:pt>
                <c:pt idx="107">
                  <c:v>43.510100000000001</c:v>
                </c:pt>
                <c:pt idx="108">
                  <c:v>43.912700000000001</c:v>
                </c:pt>
                <c:pt idx="109">
                  <c:v>44.322600000000001</c:v>
                </c:pt>
                <c:pt idx="110">
                  <c:v>44.729300000000002</c:v>
                </c:pt>
                <c:pt idx="111">
                  <c:v>45.137300000000003</c:v>
                </c:pt>
                <c:pt idx="112">
                  <c:v>45.539700000000003</c:v>
                </c:pt>
                <c:pt idx="113">
                  <c:v>45.947099999999999</c:v>
                </c:pt>
                <c:pt idx="114">
                  <c:v>46.3538</c:v>
                </c:pt>
                <c:pt idx="115">
                  <c:v>46.760300000000001</c:v>
                </c:pt>
                <c:pt idx="116">
                  <c:v>47.163800000000002</c:v>
                </c:pt>
                <c:pt idx="117">
                  <c:v>47.569600000000001</c:v>
                </c:pt>
                <c:pt idx="118">
                  <c:v>47.976100000000002</c:v>
                </c:pt>
                <c:pt idx="119">
                  <c:v>48.387099999999997</c:v>
                </c:pt>
                <c:pt idx="120">
                  <c:v>48.792000000000002</c:v>
                </c:pt>
                <c:pt idx="121">
                  <c:v>49.1967</c:v>
                </c:pt>
                <c:pt idx="122">
                  <c:v>49.599800000000002</c:v>
                </c:pt>
                <c:pt idx="123">
                  <c:v>50.008299999999998</c:v>
                </c:pt>
                <c:pt idx="124">
                  <c:v>50.414200000000001</c:v>
                </c:pt>
                <c:pt idx="125">
                  <c:v>50.824300000000001</c:v>
                </c:pt>
                <c:pt idx="126">
                  <c:v>51.226599999999998</c:v>
                </c:pt>
                <c:pt idx="127">
                  <c:v>51.636499999999998</c:v>
                </c:pt>
                <c:pt idx="128">
                  <c:v>52.040100000000002</c:v>
                </c:pt>
                <c:pt idx="129">
                  <c:v>52.446300000000001</c:v>
                </c:pt>
                <c:pt idx="130">
                  <c:v>52.852499999999999</c:v>
                </c:pt>
                <c:pt idx="131">
                  <c:v>53.259900000000002</c:v>
                </c:pt>
                <c:pt idx="132">
                  <c:v>53.6631</c:v>
                </c:pt>
                <c:pt idx="133">
                  <c:v>54.069600000000001</c:v>
                </c:pt>
                <c:pt idx="134">
                  <c:v>54.4739</c:v>
                </c:pt>
                <c:pt idx="135">
                  <c:v>54.8855</c:v>
                </c:pt>
                <c:pt idx="136">
                  <c:v>55.292099999999998</c:v>
                </c:pt>
                <c:pt idx="137">
                  <c:v>55.695399999999999</c:v>
                </c:pt>
                <c:pt idx="138">
                  <c:v>56.103200000000001</c:v>
                </c:pt>
                <c:pt idx="139">
                  <c:v>56.512700000000002</c:v>
                </c:pt>
                <c:pt idx="140">
                  <c:v>56.915999999999997</c:v>
                </c:pt>
                <c:pt idx="141">
                  <c:v>57.322299999999998</c:v>
                </c:pt>
                <c:pt idx="142">
                  <c:v>57.7301</c:v>
                </c:pt>
                <c:pt idx="143">
                  <c:v>58.132800000000003</c:v>
                </c:pt>
                <c:pt idx="144">
                  <c:v>58.537700000000001</c:v>
                </c:pt>
                <c:pt idx="145">
                  <c:v>58.944499999999998</c:v>
                </c:pt>
                <c:pt idx="146">
                  <c:v>59.354599999999998</c:v>
                </c:pt>
                <c:pt idx="147">
                  <c:v>59.759900000000002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  <c:pt idx="74">
                  <c:v>29.223199999999999</c:v>
                </c:pt>
                <c:pt idx="75">
                  <c:v>28.526800000000001</c:v>
                </c:pt>
                <c:pt idx="76">
                  <c:v>28.021099999999997</c:v>
                </c:pt>
                <c:pt idx="77">
                  <c:v>27.506499999999999</c:v>
                </c:pt>
                <c:pt idx="78">
                  <c:v>27.0061</c:v>
                </c:pt>
                <c:pt idx="79">
                  <c:v>26.565299999999997</c:v>
                </c:pt>
                <c:pt idx="80">
                  <c:v>26.108499999999999</c:v>
                </c:pt>
                <c:pt idx="81">
                  <c:v>25.703099999999999</c:v>
                </c:pt>
                <c:pt idx="82">
                  <c:v>25.295299999999997</c:v>
                </c:pt>
                <c:pt idx="83">
                  <c:v>24.8401</c:v>
                </c:pt>
                <c:pt idx="84">
                  <c:v>24.338000000000001</c:v>
                </c:pt>
                <c:pt idx="85">
                  <c:v>23.826499999999999</c:v>
                </c:pt>
                <c:pt idx="86">
                  <c:v>23.428999999999998</c:v>
                </c:pt>
                <c:pt idx="87">
                  <c:v>23.124200000000002</c:v>
                </c:pt>
                <c:pt idx="88">
                  <c:v>22.8034</c:v>
                </c:pt>
                <c:pt idx="89">
                  <c:v>22.494900000000001</c:v>
                </c:pt>
                <c:pt idx="90">
                  <c:v>22.278200000000002</c:v>
                </c:pt>
                <c:pt idx="91">
                  <c:v>22.118099999999998</c:v>
                </c:pt>
                <c:pt idx="92">
                  <c:v>21.988599999999998</c:v>
                </c:pt>
                <c:pt idx="93">
                  <c:v>22.033300000000001</c:v>
                </c:pt>
                <c:pt idx="94">
                  <c:v>22.160900000000002</c:v>
                </c:pt>
                <c:pt idx="95">
                  <c:v>22.419800000000002</c:v>
                </c:pt>
                <c:pt idx="96">
                  <c:v>22.8447</c:v>
                </c:pt>
                <c:pt idx="97">
                  <c:v>23.310300000000002</c:v>
                </c:pt>
                <c:pt idx="98">
                  <c:v>23.889099999999999</c:v>
                </c:pt>
                <c:pt idx="99">
                  <c:v>24.557499999999997</c:v>
                </c:pt>
                <c:pt idx="100">
                  <c:v>25.175599999999999</c:v>
                </c:pt>
                <c:pt idx="101">
                  <c:v>25.732600000000001</c:v>
                </c:pt>
                <c:pt idx="102">
                  <c:v>26.255200000000002</c:v>
                </c:pt>
                <c:pt idx="103">
                  <c:v>26.6922</c:v>
                </c:pt>
                <c:pt idx="104">
                  <c:v>27.054099999999998</c:v>
                </c:pt>
                <c:pt idx="105">
                  <c:v>27.3995</c:v>
                </c:pt>
                <c:pt idx="106">
                  <c:v>27.685399999999998</c:v>
                </c:pt>
                <c:pt idx="107">
                  <c:v>27.843200000000003</c:v>
                </c:pt>
                <c:pt idx="108">
                  <c:v>27.869699999999998</c:v>
                </c:pt>
                <c:pt idx="109">
                  <c:v>27.815099999999997</c:v>
                </c:pt>
                <c:pt idx="110">
                  <c:v>27.7148</c:v>
                </c:pt>
                <c:pt idx="111">
                  <c:v>27.531899999999997</c:v>
                </c:pt>
                <c:pt idx="112">
                  <c:v>27.244299999999999</c:v>
                </c:pt>
                <c:pt idx="113">
                  <c:v>26.934000000000001</c:v>
                </c:pt>
                <c:pt idx="114">
                  <c:v>26.611499999999999</c:v>
                </c:pt>
                <c:pt idx="115">
                  <c:v>26.225300000000001</c:v>
                </c:pt>
                <c:pt idx="116">
                  <c:v>25.811699999999998</c:v>
                </c:pt>
                <c:pt idx="117">
                  <c:v>25.424900000000001</c:v>
                </c:pt>
                <c:pt idx="118">
                  <c:v>25.000600000000002</c:v>
                </c:pt>
                <c:pt idx="119">
                  <c:v>24.627099999999999</c:v>
                </c:pt>
                <c:pt idx="120">
                  <c:v>24.267199999999999</c:v>
                </c:pt>
                <c:pt idx="121">
                  <c:v>23.954900000000002</c:v>
                </c:pt>
                <c:pt idx="122">
                  <c:v>23.694399999999998</c:v>
                </c:pt>
                <c:pt idx="123">
                  <c:v>23.449400000000001</c:v>
                </c:pt>
                <c:pt idx="124">
                  <c:v>23.277800000000003</c:v>
                </c:pt>
                <c:pt idx="125">
                  <c:v>23.1142</c:v>
                </c:pt>
                <c:pt idx="126">
                  <c:v>22.987199999999998</c:v>
                </c:pt>
                <c:pt idx="127">
                  <c:v>22.892399999999999</c:v>
                </c:pt>
                <c:pt idx="128">
                  <c:v>22.783200000000001</c:v>
                </c:pt>
                <c:pt idx="129">
                  <c:v>22.5976</c:v>
                </c:pt>
                <c:pt idx="130">
                  <c:v>22.3599</c:v>
                </c:pt>
                <c:pt idx="131">
                  <c:v>22.098000000000003</c:v>
                </c:pt>
                <c:pt idx="132">
                  <c:v>21.7973</c:v>
                </c:pt>
                <c:pt idx="133">
                  <c:v>21.522500000000001</c:v>
                </c:pt>
                <c:pt idx="134">
                  <c:v>21.329799999999999</c:v>
                </c:pt>
                <c:pt idx="135">
                  <c:v>21.069299999999998</c:v>
                </c:pt>
                <c:pt idx="136">
                  <c:v>20.855699999999999</c:v>
                </c:pt>
                <c:pt idx="137">
                  <c:v>20.681799999999999</c:v>
                </c:pt>
                <c:pt idx="138">
                  <c:v>20.568300000000001</c:v>
                </c:pt>
                <c:pt idx="139">
                  <c:v>20.4373</c:v>
                </c:pt>
                <c:pt idx="140">
                  <c:v>20.387</c:v>
                </c:pt>
                <c:pt idx="141">
                  <c:v>20.402799999999999</c:v>
                </c:pt>
                <c:pt idx="142">
                  <c:v>20.5029</c:v>
                </c:pt>
                <c:pt idx="143">
                  <c:v>20.74</c:v>
                </c:pt>
                <c:pt idx="144">
                  <c:v>21.005299999999998</c:v>
                </c:pt>
                <c:pt idx="145">
                  <c:v>21.384900000000002</c:v>
                </c:pt>
                <c:pt idx="146">
                  <c:v>21.710099999999997</c:v>
                </c:pt>
                <c:pt idx="147">
                  <c:v>22.047900000000002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0.38504500000000003</c:v>
                </c:pt>
                <c:pt idx="2">
                  <c:v>0.78834000000000004</c:v>
                </c:pt>
                <c:pt idx="3">
                  <c:v>1.1936899999999999</c:v>
                </c:pt>
                <c:pt idx="4">
                  <c:v>1.60338</c:v>
                </c:pt>
                <c:pt idx="5">
                  <c:v>2.0130699999999999</c:v>
                </c:pt>
                <c:pt idx="6">
                  <c:v>2.41493</c:v>
                </c:pt>
                <c:pt idx="7">
                  <c:v>2.82002</c:v>
                </c:pt>
                <c:pt idx="8">
                  <c:v>3.2255500000000001</c:v>
                </c:pt>
                <c:pt idx="9">
                  <c:v>3.6359599999999999</c:v>
                </c:pt>
                <c:pt idx="10">
                  <c:v>4.04087</c:v>
                </c:pt>
                <c:pt idx="11">
                  <c:v>4.4476199999999997</c:v>
                </c:pt>
                <c:pt idx="12">
                  <c:v>4.8518299999999996</c:v>
                </c:pt>
                <c:pt idx="13">
                  <c:v>5.25915</c:v>
                </c:pt>
                <c:pt idx="14">
                  <c:v>5.66526</c:v>
                </c:pt>
                <c:pt idx="15">
                  <c:v>6.0741199999999997</c:v>
                </c:pt>
                <c:pt idx="16">
                  <c:v>6.4786900000000003</c:v>
                </c:pt>
                <c:pt idx="17">
                  <c:v>6.8836300000000001</c:v>
                </c:pt>
                <c:pt idx="18">
                  <c:v>7.2908900000000001</c:v>
                </c:pt>
                <c:pt idx="19">
                  <c:v>7.6944400000000002</c:v>
                </c:pt>
                <c:pt idx="20">
                  <c:v>8.1041799999999995</c:v>
                </c:pt>
                <c:pt idx="21">
                  <c:v>8.5093499999999995</c:v>
                </c:pt>
                <c:pt idx="22">
                  <c:v>8.9151000000000007</c:v>
                </c:pt>
                <c:pt idx="23">
                  <c:v>9.3230000000000004</c:v>
                </c:pt>
                <c:pt idx="24">
                  <c:v>9.7290100000000006</c:v>
                </c:pt>
                <c:pt idx="25">
                  <c:v>10.1356</c:v>
                </c:pt>
                <c:pt idx="26">
                  <c:v>10.5413</c:v>
                </c:pt>
                <c:pt idx="27">
                  <c:v>10.945399999999999</c:v>
                </c:pt>
                <c:pt idx="28">
                  <c:v>11.3513</c:v>
                </c:pt>
                <c:pt idx="29">
                  <c:v>11.7598</c:v>
                </c:pt>
                <c:pt idx="30">
                  <c:v>12.166600000000001</c:v>
                </c:pt>
                <c:pt idx="31">
                  <c:v>12.574199999999999</c:v>
                </c:pt>
                <c:pt idx="32">
                  <c:v>12.9755</c:v>
                </c:pt>
                <c:pt idx="33">
                  <c:v>13.381600000000001</c:v>
                </c:pt>
                <c:pt idx="34">
                  <c:v>13.7895</c:v>
                </c:pt>
                <c:pt idx="35">
                  <c:v>14.196999999999999</c:v>
                </c:pt>
                <c:pt idx="36">
                  <c:v>14.603400000000001</c:v>
                </c:pt>
                <c:pt idx="37">
                  <c:v>15.0075</c:v>
                </c:pt>
                <c:pt idx="38">
                  <c:v>15.4138</c:v>
                </c:pt>
                <c:pt idx="39">
                  <c:v>15.8247</c:v>
                </c:pt>
                <c:pt idx="40">
                  <c:v>16.230399999999999</c:v>
                </c:pt>
                <c:pt idx="41">
                  <c:v>16.633199999999999</c:v>
                </c:pt>
                <c:pt idx="42">
                  <c:v>17.038900000000002</c:v>
                </c:pt>
                <c:pt idx="43">
                  <c:v>17.445599999999999</c:v>
                </c:pt>
                <c:pt idx="44">
                  <c:v>17.853200000000001</c:v>
                </c:pt>
                <c:pt idx="45">
                  <c:v>18.260999999999999</c:v>
                </c:pt>
                <c:pt idx="46">
                  <c:v>18.666</c:v>
                </c:pt>
                <c:pt idx="47">
                  <c:v>19.072099999999999</c:v>
                </c:pt>
                <c:pt idx="48">
                  <c:v>19.4755</c:v>
                </c:pt>
                <c:pt idx="49">
                  <c:v>19.8826</c:v>
                </c:pt>
                <c:pt idx="50">
                  <c:v>20.291399999999999</c:v>
                </c:pt>
                <c:pt idx="51">
                  <c:v>20.694900000000001</c:v>
                </c:pt>
                <c:pt idx="52">
                  <c:v>21.103300000000001</c:v>
                </c:pt>
                <c:pt idx="53">
                  <c:v>21.506799999999998</c:v>
                </c:pt>
                <c:pt idx="54">
                  <c:v>21.912800000000001</c:v>
                </c:pt>
                <c:pt idx="55">
                  <c:v>22.322299999999998</c:v>
                </c:pt>
                <c:pt idx="56">
                  <c:v>22.728100000000001</c:v>
                </c:pt>
                <c:pt idx="57">
                  <c:v>23.134799999999998</c:v>
                </c:pt>
                <c:pt idx="58">
                  <c:v>23.540099999999999</c:v>
                </c:pt>
                <c:pt idx="59">
                  <c:v>23.946100000000001</c:v>
                </c:pt>
                <c:pt idx="60">
                  <c:v>24.3536</c:v>
                </c:pt>
                <c:pt idx="61">
                  <c:v>24.759899999999998</c:v>
                </c:pt>
                <c:pt idx="62">
                  <c:v>25.165500000000002</c:v>
                </c:pt>
                <c:pt idx="63">
                  <c:v>25.569700000000001</c:v>
                </c:pt>
                <c:pt idx="64">
                  <c:v>25.978000000000002</c:v>
                </c:pt>
                <c:pt idx="65">
                  <c:v>26.384399999999999</c:v>
                </c:pt>
                <c:pt idx="66">
                  <c:v>26.787099999999999</c:v>
                </c:pt>
                <c:pt idx="67">
                  <c:v>27.197900000000001</c:v>
                </c:pt>
                <c:pt idx="68">
                  <c:v>27.6021</c:v>
                </c:pt>
                <c:pt idx="69">
                  <c:v>28.007100000000001</c:v>
                </c:pt>
                <c:pt idx="70">
                  <c:v>28.412600000000001</c:v>
                </c:pt>
                <c:pt idx="71">
                  <c:v>28.819400000000002</c:v>
                </c:pt>
                <c:pt idx="72">
                  <c:v>29.224699999999999</c:v>
                </c:pt>
                <c:pt idx="73">
                  <c:v>29.635200000000001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29.635200000000001</c:v>
                </c:pt>
                <c:pt idx="1">
                  <c:v>30.042300000000001</c:v>
                </c:pt>
                <c:pt idx="2">
                  <c:v>30.6356</c:v>
                </c:pt>
                <c:pt idx="3">
                  <c:v>31.007200000000001</c:v>
                </c:pt>
                <c:pt idx="4">
                  <c:v>31.382200000000001</c:v>
                </c:pt>
                <c:pt idx="5">
                  <c:v>31.755299999999998</c:v>
                </c:pt>
                <c:pt idx="6">
                  <c:v>32.135800000000003</c:v>
                </c:pt>
                <c:pt idx="7">
                  <c:v>32.541499999999999</c:v>
                </c:pt>
                <c:pt idx="8">
                  <c:v>32.944200000000002</c:v>
                </c:pt>
                <c:pt idx="9">
                  <c:v>33.352699999999999</c:v>
                </c:pt>
                <c:pt idx="10">
                  <c:v>33.757399999999997</c:v>
                </c:pt>
                <c:pt idx="11">
                  <c:v>34.164700000000003</c:v>
                </c:pt>
                <c:pt idx="12">
                  <c:v>34.572699999999998</c:v>
                </c:pt>
                <c:pt idx="13">
                  <c:v>34.978000000000002</c:v>
                </c:pt>
                <c:pt idx="14">
                  <c:v>35.381399999999999</c:v>
                </c:pt>
                <c:pt idx="15">
                  <c:v>35.788800000000002</c:v>
                </c:pt>
                <c:pt idx="16">
                  <c:v>36.197699999999998</c:v>
                </c:pt>
                <c:pt idx="17">
                  <c:v>36.603900000000003</c:v>
                </c:pt>
                <c:pt idx="18">
                  <c:v>37.008299999999998</c:v>
                </c:pt>
                <c:pt idx="19">
                  <c:v>37.414400000000001</c:v>
                </c:pt>
                <c:pt idx="20">
                  <c:v>37.8215</c:v>
                </c:pt>
                <c:pt idx="21">
                  <c:v>38.2271</c:v>
                </c:pt>
                <c:pt idx="22">
                  <c:v>38.633099999999999</c:v>
                </c:pt>
                <c:pt idx="23">
                  <c:v>39.040500000000002</c:v>
                </c:pt>
                <c:pt idx="24">
                  <c:v>39.4437</c:v>
                </c:pt>
                <c:pt idx="25">
                  <c:v>39.857399999999998</c:v>
                </c:pt>
                <c:pt idx="26">
                  <c:v>40.257199999999997</c:v>
                </c:pt>
                <c:pt idx="27">
                  <c:v>40.6678</c:v>
                </c:pt>
                <c:pt idx="28">
                  <c:v>41.072000000000003</c:v>
                </c:pt>
                <c:pt idx="29">
                  <c:v>41.474400000000003</c:v>
                </c:pt>
                <c:pt idx="30">
                  <c:v>41.884300000000003</c:v>
                </c:pt>
                <c:pt idx="31">
                  <c:v>42.2883</c:v>
                </c:pt>
                <c:pt idx="32">
                  <c:v>42.698500000000003</c:v>
                </c:pt>
                <c:pt idx="33">
                  <c:v>43.101199999999999</c:v>
                </c:pt>
                <c:pt idx="34">
                  <c:v>43.510100000000001</c:v>
                </c:pt>
                <c:pt idx="35">
                  <c:v>43.912700000000001</c:v>
                </c:pt>
                <c:pt idx="36">
                  <c:v>44.322600000000001</c:v>
                </c:pt>
                <c:pt idx="37">
                  <c:v>44.729300000000002</c:v>
                </c:pt>
                <c:pt idx="38">
                  <c:v>45.137300000000003</c:v>
                </c:pt>
                <c:pt idx="39">
                  <c:v>45.539700000000003</c:v>
                </c:pt>
                <c:pt idx="40">
                  <c:v>45.947099999999999</c:v>
                </c:pt>
                <c:pt idx="41">
                  <c:v>46.3538</c:v>
                </c:pt>
                <c:pt idx="42">
                  <c:v>46.760300000000001</c:v>
                </c:pt>
                <c:pt idx="43">
                  <c:v>47.163800000000002</c:v>
                </c:pt>
                <c:pt idx="44">
                  <c:v>47.569600000000001</c:v>
                </c:pt>
                <c:pt idx="45">
                  <c:v>47.976100000000002</c:v>
                </c:pt>
                <c:pt idx="46">
                  <c:v>48.387099999999997</c:v>
                </c:pt>
                <c:pt idx="47">
                  <c:v>48.792000000000002</c:v>
                </c:pt>
                <c:pt idx="48">
                  <c:v>49.1967</c:v>
                </c:pt>
                <c:pt idx="49">
                  <c:v>49.599800000000002</c:v>
                </c:pt>
                <c:pt idx="50">
                  <c:v>50.008299999999998</c:v>
                </c:pt>
                <c:pt idx="51">
                  <c:v>50.414200000000001</c:v>
                </c:pt>
                <c:pt idx="52">
                  <c:v>50.824300000000001</c:v>
                </c:pt>
                <c:pt idx="53">
                  <c:v>51.226599999999998</c:v>
                </c:pt>
                <c:pt idx="54">
                  <c:v>51.636499999999998</c:v>
                </c:pt>
                <c:pt idx="55">
                  <c:v>52.040100000000002</c:v>
                </c:pt>
                <c:pt idx="56">
                  <c:v>52.446300000000001</c:v>
                </c:pt>
                <c:pt idx="57">
                  <c:v>52.852499999999999</c:v>
                </c:pt>
                <c:pt idx="58">
                  <c:v>53.259900000000002</c:v>
                </c:pt>
                <c:pt idx="59">
                  <c:v>53.6631</c:v>
                </c:pt>
                <c:pt idx="60">
                  <c:v>54.069600000000001</c:v>
                </c:pt>
                <c:pt idx="61">
                  <c:v>54.4739</c:v>
                </c:pt>
                <c:pt idx="62">
                  <c:v>54.8855</c:v>
                </c:pt>
                <c:pt idx="63">
                  <c:v>55.292099999999998</c:v>
                </c:pt>
                <c:pt idx="64">
                  <c:v>55.695399999999999</c:v>
                </c:pt>
                <c:pt idx="65">
                  <c:v>56.103200000000001</c:v>
                </c:pt>
                <c:pt idx="66">
                  <c:v>56.512700000000002</c:v>
                </c:pt>
                <c:pt idx="67">
                  <c:v>56.915999999999997</c:v>
                </c:pt>
                <c:pt idx="68">
                  <c:v>57.322299999999998</c:v>
                </c:pt>
                <c:pt idx="69">
                  <c:v>57.7301</c:v>
                </c:pt>
                <c:pt idx="70">
                  <c:v>58.132800000000003</c:v>
                </c:pt>
                <c:pt idx="71">
                  <c:v>58.537700000000001</c:v>
                </c:pt>
                <c:pt idx="72">
                  <c:v>58.944499999999998</c:v>
                </c:pt>
                <c:pt idx="73">
                  <c:v>59.354599999999998</c:v>
                </c:pt>
                <c:pt idx="74">
                  <c:v>59.759900000000002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29.712100000000003</c:v>
                </c:pt>
                <c:pt idx="1">
                  <c:v>29.223199999999999</c:v>
                </c:pt>
                <c:pt idx="2">
                  <c:v>28.526800000000001</c:v>
                </c:pt>
                <c:pt idx="3">
                  <c:v>28.021099999999997</c:v>
                </c:pt>
                <c:pt idx="4">
                  <c:v>27.506499999999999</c:v>
                </c:pt>
                <c:pt idx="5">
                  <c:v>27.0061</c:v>
                </c:pt>
                <c:pt idx="6">
                  <c:v>26.565299999999997</c:v>
                </c:pt>
                <c:pt idx="7">
                  <c:v>26.108499999999999</c:v>
                </c:pt>
                <c:pt idx="8">
                  <c:v>25.703099999999999</c:v>
                </c:pt>
                <c:pt idx="9">
                  <c:v>25.295299999999997</c:v>
                </c:pt>
                <c:pt idx="10">
                  <c:v>24.8401</c:v>
                </c:pt>
                <c:pt idx="11">
                  <c:v>24.338000000000001</c:v>
                </c:pt>
                <c:pt idx="12">
                  <c:v>23.826499999999999</c:v>
                </c:pt>
                <c:pt idx="13">
                  <c:v>23.428999999999998</c:v>
                </c:pt>
                <c:pt idx="14">
                  <c:v>23.124200000000002</c:v>
                </c:pt>
                <c:pt idx="15">
                  <c:v>22.8034</c:v>
                </c:pt>
                <c:pt idx="16">
                  <c:v>22.494900000000001</c:v>
                </c:pt>
                <c:pt idx="17">
                  <c:v>22.278200000000002</c:v>
                </c:pt>
                <c:pt idx="18">
                  <c:v>22.118099999999998</c:v>
                </c:pt>
                <c:pt idx="19">
                  <c:v>21.988599999999998</c:v>
                </c:pt>
                <c:pt idx="20">
                  <c:v>22.033300000000001</c:v>
                </c:pt>
                <c:pt idx="21">
                  <c:v>22.160900000000002</c:v>
                </c:pt>
                <c:pt idx="22">
                  <c:v>22.419800000000002</c:v>
                </c:pt>
                <c:pt idx="23">
                  <c:v>22.8447</c:v>
                </c:pt>
                <c:pt idx="24">
                  <c:v>23.310300000000002</c:v>
                </c:pt>
                <c:pt idx="25">
                  <c:v>23.889099999999999</c:v>
                </c:pt>
                <c:pt idx="26">
                  <c:v>24.557499999999997</c:v>
                </c:pt>
                <c:pt idx="27">
                  <c:v>25.175599999999999</c:v>
                </c:pt>
                <c:pt idx="28">
                  <c:v>25.732600000000001</c:v>
                </c:pt>
                <c:pt idx="29">
                  <c:v>26.255200000000002</c:v>
                </c:pt>
                <c:pt idx="30">
                  <c:v>26.6922</c:v>
                </c:pt>
                <c:pt idx="31">
                  <c:v>27.054099999999998</c:v>
                </c:pt>
                <c:pt idx="32">
                  <c:v>27.3995</c:v>
                </c:pt>
                <c:pt idx="33">
                  <c:v>27.685399999999998</c:v>
                </c:pt>
                <c:pt idx="34">
                  <c:v>27.843200000000003</c:v>
                </c:pt>
                <c:pt idx="35">
                  <c:v>27.869699999999998</c:v>
                </c:pt>
                <c:pt idx="36">
                  <c:v>27.815099999999997</c:v>
                </c:pt>
                <c:pt idx="37">
                  <c:v>27.7148</c:v>
                </c:pt>
                <c:pt idx="38">
                  <c:v>27.531899999999997</c:v>
                </c:pt>
                <c:pt idx="39">
                  <c:v>27.244299999999999</c:v>
                </c:pt>
                <c:pt idx="40">
                  <c:v>26.934000000000001</c:v>
                </c:pt>
                <c:pt idx="41">
                  <c:v>26.611499999999999</c:v>
                </c:pt>
                <c:pt idx="42">
                  <c:v>26.225300000000001</c:v>
                </c:pt>
                <c:pt idx="43">
                  <c:v>25.811699999999998</c:v>
                </c:pt>
                <c:pt idx="44">
                  <c:v>25.424900000000001</c:v>
                </c:pt>
                <c:pt idx="45">
                  <c:v>25.000600000000002</c:v>
                </c:pt>
                <c:pt idx="46">
                  <c:v>24.627099999999999</c:v>
                </c:pt>
                <c:pt idx="47">
                  <c:v>24.267199999999999</c:v>
                </c:pt>
                <c:pt idx="48">
                  <c:v>23.954900000000002</c:v>
                </c:pt>
                <c:pt idx="49">
                  <c:v>23.694399999999998</c:v>
                </c:pt>
                <c:pt idx="50">
                  <c:v>23.449400000000001</c:v>
                </c:pt>
                <c:pt idx="51">
                  <c:v>23.277800000000003</c:v>
                </c:pt>
                <c:pt idx="52">
                  <c:v>23.1142</c:v>
                </c:pt>
                <c:pt idx="53">
                  <c:v>22.987199999999998</c:v>
                </c:pt>
                <c:pt idx="54">
                  <c:v>22.892399999999999</c:v>
                </c:pt>
                <c:pt idx="55">
                  <c:v>22.783200000000001</c:v>
                </c:pt>
                <c:pt idx="56">
                  <c:v>22.5976</c:v>
                </c:pt>
                <c:pt idx="57">
                  <c:v>22.3599</c:v>
                </c:pt>
                <c:pt idx="58">
                  <c:v>22.098000000000003</c:v>
                </c:pt>
                <c:pt idx="59">
                  <c:v>21.7973</c:v>
                </c:pt>
                <c:pt idx="60">
                  <c:v>21.522500000000001</c:v>
                </c:pt>
                <c:pt idx="61">
                  <c:v>21.329799999999999</c:v>
                </c:pt>
                <c:pt idx="62">
                  <c:v>21.069299999999998</c:v>
                </c:pt>
                <c:pt idx="63">
                  <c:v>20.855699999999999</c:v>
                </c:pt>
                <c:pt idx="64">
                  <c:v>20.681799999999999</c:v>
                </c:pt>
                <c:pt idx="65">
                  <c:v>20.568300000000001</c:v>
                </c:pt>
                <c:pt idx="66">
                  <c:v>20.4373</c:v>
                </c:pt>
                <c:pt idx="67">
                  <c:v>20.387</c:v>
                </c:pt>
                <c:pt idx="68">
                  <c:v>20.402799999999999</c:v>
                </c:pt>
                <c:pt idx="69">
                  <c:v>20.5029</c:v>
                </c:pt>
                <c:pt idx="70">
                  <c:v>20.74</c:v>
                </c:pt>
                <c:pt idx="71">
                  <c:v>21.005299999999998</c:v>
                </c:pt>
                <c:pt idx="72">
                  <c:v>21.384900000000002</c:v>
                </c:pt>
                <c:pt idx="73">
                  <c:v>21.710099999999997</c:v>
                </c:pt>
                <c:pt idx="74">
                  <c:v>22.047900000000002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14.939975</c:v>
                </c:pt>
                <c:pt idx="1">
                  <c:v>44.819924999999998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31.551428378378372</c:v>
                </c:pt>
                <c:pt idx="1">
                  <c:v>24.094328378378371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  <c:pt idx="74">
                  <c:v>4.5707300000000002</c:v>
                </c:pt>
                <c:pt idx="75">
                  <c:v>4.5709800000000005</c:v>
                </c:pt>
                <c:pt idx="76">
                  <c:v>4.5755299999999997</c:v>
                </c:pt>
                <c:pt idx="77">
                  <c:v>4.5812100000000004</c:v>
                </c:pt>
                <c:pt idx="78">
                  <c:v>4.5902700000000003</c:v>
                </c:pt>
                <c:pt idx="79">
                  <c:v>4.6020300000000001</c:v>
                </c:pt>
                <c:pt idx="80">
                  <c:v>4.61564</c:v>
                </c:pt>
                <c:pt idx="81">
                  <c:v>4.62906</c:v>
                </c:pt>
                <c:pt idx="82">
                  <c:v>4.6463999999999999</c:v>
                </c:pt>
                <c:pt idx="83">
                  <c:v>4.66859</c:v>
                </c:pt>
                <c:pt idx="84">
                  <c:v>4.6937899999999999</c:v>
                </c:pt>
                <c:pt idx="85">
                  <c:v>4.7237</c:v>
                </c:pt>
                <c:pt idx="86">
                  <c:v>4.7521899999999997</c:v>
                </c:pt>
                <c:pt idx="87">
                  <c:v>4.7802800000000003</c:v>
                </c:pt>
                <c:pt idx="88">
                  <c:v>4.8054300000000003</c:v>
                </c:pt>
                <c:pt idx="89">
                  <c:v>4.8284799999999999</c:v>
                </c:pt>
                <c:pt idx="90">
                  <c:v>4.8516500000000002</c:v>
                </c:pt>
                <c:pt idx="91">
                  <c:v>4.87683</c:v>
                </c:pt>
                <c:pt idx="92">
                  <c:v>4.9055300000000006</c:v>
                </c:pt>
                <c:pt idx="93">
                  <c:v>4.9361500000000005</c:v>
                </c:pt>
                <c:pt idx="94">
                  <c:v>4.9680999999999997</c:v>
                </c:pt>
                <c:pt idx="95">
                  <c:v>5.0016999999999996</c:v>
                </c:pt>
                <c:pt idx="96">
                  <c:v>5.0375800000000002</c:v>
                </c:pt>
                <c:pt idx="97">
                  <c:v>5.0723900000000004</c:v>
                </c:pt>
                <c:pt idx="98">
                  <c:v>5.1061199999999998</c:v>
                </c:pt>
                <c:pt idx="99">
                  <c:v>5.1355599999999999</c:v>
                </c:pt>
                <c:pt idx="100">
                  <c:v>5.16289</c:v>
                </c:pt>
                <c:pt idx="101">
                  <c:v>5.1888800000000002</c:v>
                </c:pt>
                <c:pt idx="102">
                  <c:v>5.2133799999999999</c:v>
                </c:pt>
                <c:pt idx="103">
                  <c:v>5.2320999999999991</c:v>
                </c:pt>
                <c:pt idx="104">
                  <c:v>5.2427000000000001</c:v>
                </c:pt>
                <c:pt idx="105">
                  <c:v>5.2492200000000002</c:v>
                </c:pt>
                <c:pt idx="106">
                  <c:v>5.2529700000000004</c:v>
                </c:pt>
                <c:pt idx="107">
                  <c:v>5.2495499999999993</c:v>
                </c:pt>
                <c:pt idx="108">
                  <c:v>5.2407599999999999</c:v>
                </c:pt>
                <c:pt idx="109">
                  <c:v>5.2302099999999996</c:v>
                </c:pt>
                <c:pt idx="110">
                  <c:v>5.2140299999999993</c:v>
                </c:pt>
                <c:pt idx="111">
                  <c:v>5.1976300000000002</c:v>
                </c:pt>
                <c:pt idx="112">
                  <c:v>5.1805699999999995</c:v>
                </c:pt>
                <c:pt idx="113">
                  <c:v>5.1631099999999996</c:v>
                </c:pt>
                <c:pt idx="114">
                  <c:v>5.1431899999999997</c:v>
                </c:pt>
                <c:pt idx="115">
                  <c:v>5.1252600000000008</c:v>
                </c:pt>
                <c:pt idx="116">
                  <c:v>5.1052200000000001</c:v>
                </c:pt>
                <c:pt idx="117">
                  <c:v>5.0823099999999997</c:v>
                </c:pt>
                <c:pt idx="118">
                  <c:v>5.0607000000000006</c:v>
                </c:pt>
                <c:pt idx="119">
                  <c:v>5.03993</c:v>
                </c:pt>
                <c:pt idx="120">
                  <c:v>5.0199099999999994</c:v>
                </c:pt>
                <c:pt idx="121">
                  <c:v>4.9971100000000002</c:v>
                </c:pt>
                <c:pt idx="122">
                  <c:v>4.9721200000000003</c:v>
                </c:pt>
                <c:pt idx="123">
                  <c:v>4.9483899999999998</c:v>
                </c:pt>
                <c:pt idx="124">
                  <c:v>4.9354700000000005</c:v>
                </c:pt>
                <c:pt idx="125">
                  <c:v>4.92089</c:v>
                </c:pt>
                <c:pt idx="126">
                  <c:v>4.9030899999999997</c:v>
                </c:pt>
                <c:pt idx="127">
                  <c:v>4.8831999999999995</c:v>
                </c:pt>
                <c:pt idx="128">
                  <c:v>4.8633600000000001</c:v>
                </c:pt>
                <c:pt idx="129">
                  <c:v>4.8461699999999999</c:v>
                </c:pt>
                <c:pt idx="130">
                  <c:v>4.8298999999999994</c:v>
                </c:pt>
                <c:pt idx="131">
                  <c:v>4.8149899999999999</c:v>
                </c:pt>
                <c:pt idx="132">
                  <c:v>4.8038499999999997</c:v>
                </c:pt>
                <c:pt idx="133">
                  <c:v>4.7937500000000002</c:v>
                </c:pt>
                <c:pt idx="134">
                  <c:v>4.7827399999999995</c:v>
                </c:pt>
                <c:pt idx="135">
                  <c:v>4.7756799999999995</c:v>
                </c:pt>
                <c:pt idx="136">
                  <c:v>4.7690200000000003</c:v>
                </c:pt>
                <c:pt idx="137">
                  <c:v>4.7673700000000006</c:v>
                </c:pt>
                <c:pt idx="138">
                  <c:v>4.7664400000000002</c:v>
                </c:pt>
                <c:pt idx="139">
                  <c:v>4.7677800000000001</c:v>
                </c:pt>
                <c:pt idx="140">
                  <c:v>4.7653099999999995</c:v>
                </c:pt>
                <c:pt idx="141">
                  <c:v>4.76417</c:v>
                </c:pt>
                <c:pt idx="142">
                  <c:v>4.7675099999999997</c:v>
                </c:pt>
                <c:pt idx="143">
                  <c:v>4.7680099999999994</c:v>
                </c:pt>
                <c:pt idx="144">
                  <c:v>4.7590300000000001</c:v>
                </c:pt>
                <c:pt idx="145">
                  <c:v>4.7397200000000002</c:v>
                </c:pt>
                <c:pt idx="146">
                  <c:v>4.7300500000000003</c:v>
                </c:pt>
                <c:pt idx="147">
                  <c:v>4.7285500000000003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  <c:pt idx="74">
                  <c:v>29.223199999999999</c:v>
                </c:pt>
                <c:pt idx="75">
                  <c:v>28.526800000000001</c:v>
                </c:pt>
                <c:pt idx="76">
                  <c:v>28.021099999999997</c:v>
                </c:pt>
                <c:pt idx="77">
                  <c:v>27.506499999999999</c:v>
                </c:pt>
                <c:pt idx="78">
                  <c:v>27.0061</c:v>
                </c:pt>
                <c:pt idx="79">
                  <c:v>26.565299999999997</c:v>
                </c:pt>
                <c:pt idx="80">
                  <c:v>26.108499999999999</c:v>
                </c:pt>
                <c:pt idx="81">
                  <c:v>25.703099999999999</c:v>
                </c:pt>
                <c:pt idx="82">
                  <c:v>25.295299999999997</c:v>
                </c:pt>
                <c:pt idx="83">
                  <c:v>24.8401</c:v>
                </c:pt>
                <c:pt idx="84">
                  <c:v>24.338000000000001</c:v>
                </c:pt>
                <c:pt idx="85">
                  <c:v>23.826499999999999</c:v>
                </c:pt>
                <c:pt idx="86">
                  <c:v>23.428999999999998</c:v>
                </c:pt>
                <c:pt idx="87">
                  <c:v>23.124200000000002</c:v>
                </c:pt>
                <c:pt idx="88">
                  <c:v>22.8034</c:v>
                </c:pt>
                <c:pt idx="89">
                  <c:v>22.494900000000001</c:v>
                </c:pt>
                <c:pt idx="90">
                  <c:v>22.278200000000002</c:v>
                </c:pt>
                <c:pt idx="91">
                  <c:v>22.118099999999998</c:v>
                </c:pt>
                <c:pt idx="92">
                  <c:v>21.988599999999998</c:v>
                </c:pt>
                <c:pt idx="93">
                  <c:v>22.033300000000001</c:v>
                </c:pt>
                <c:pt idx="94">
                  <c:v>22.160900000000002</c:v>
                </c:pt>
                <c:pt idx="95">
                  <c:v>22.419800000000002</c:v>
                </c:pt>
                <c:pt idx="96">
                  <c:v>22.8447</c:v>
                </c:pt>
                <c:pt idx="97">
                  <c:v>23.310300000000002</c:v>
                </c:pt>
                <c:pt idx="98">
                  <c:v>23.889099999999999</c:v>
                </c:pt>
                <c:pt idx="99">
                  <c:v>24.557499999999997</c:v>
                </c:pt>
                <c:pt idx="100">
                  <c:v>25.175599999999999</c:v>
                </c:pt>
                <c:pt idx="101">
                  <c:v>25.732600000000001</c:v>
                </c:pt>
                <c:pt idx="102">
                  <c:v>26.255200000000002</c:v>
                </c:pt>
                <c:pt idx="103">
                  <c:v>26.6922</c:v>
                </c:pt>
                <c:pt idx="104">
                  <c:v>27.054099999999998</c:v>
                </c:pt>
                <c:pt idx="105">
                  <c:v>27.3995</c:v>
                </c:pt>
                <c:pt idx="106">
                  <c:v>27.685399999999998</c:v>
                </c:pt>
                <c:pt idx="107">
                  <c:v>27.843200000000003</c:v>
                </c:pt>
                <c:pt idx="108">
                  <c:v>27.869699999999998</c:v>
                </c:pt>
                <c:pt idx="109">
                  <c:v>27.815099999999997</c:v>
                </c:pt>
                <c:pt idx="110">
                  <c:v>27.7148</c:v>
                </c:pt>
                <c:pt idx="111">
                  <c:v>27.531899999999997</c:v>
                </c:pt>
                <c:pt idx="112">
                  <c:v>27.244299999999999</c:v>
                </c:pt>
                <c:pt idx="113">
                  <c:v>26.934000000000001</c:v>
                </c:pt>
                <c:pt idx="114">
                  <c:v>26.611499999999999</c:v>
                </c:pt>
                <c:pt idx="115">
                  <c:v>26.225300000000001</c:v>
                </c:pt>
                <c:pt idx="116">
                  <c:v>25.811699999999998</c:v>
                </c:pt>
                <c:pt idx="117">
                  <c:v>25.424900000000001</c:v>
                </c:pt>
                <c:pt idx="118">
                  <c:v>25.000600000000002</c:v>
                </c:pt>
                <c:pt idx="119">
                  <c:v>24.627099999999999</c:v>
                </c:pt>
                <c:pt idx="120">
                  <c:v>24.267199999999999</c:v>
                </c:pt>
                <c:pt idx="121">
                  <c:v>23.954900000000002</c:v>
                </c:pt>
                <c:pt idx="122">
                  <c:v>23.694399999999998</c:v>
                </c:pt>
                <c:pt idx="123">
                  <c:v>23.449400000000001</c:v>
                </c:pt>
                <c:pt idx="124">
                  <c:v>23.277800000000003</c:v>
                </c:pt>
                <c:pt idx="125">
                  <c:v>23.1142</c:v>
                </c:pt>
                <c:pt idx="126">
                  <c:v>22.987199999999998</c:v>
                </c:pt>
                <c:pt idx="127">
                  <c:v>22.892399999999999</c:v>
                </c:pt>
                <c:pt idx="128">
                  <c:v>22.783200000000001</c:v>
                </c:pt>
                <c:pt idx="129">
                  <c:v>22.5976</c:v>
                </c:pt>
                <c:pt idx="130">
                  <c:v>22.3599</c:v>
                </c:pt>
                <c:pt idx="131">
                  <c:v>22.098000000000003</c:v>
                </c:pt>
                <c:pt idx="132">
                  <c:v>21.7973</c:v>
                </c:pt>
                <c:pt idx="133">
                  <c:v>21.522500000000001</c:v>
                </c:pt>
                <c:pt idx="134">
                  <c:v>21.329799999999999</c:v>
                </c:pt>
                <c:pt idx="135">
                  <c:v>21.069299999999998</c:v>
                </c:pt>
                <c:pt idx="136">
                  <c:v>20.855699999999999</c:v>
                </c:pt>
                <c:pt idx="137">
                  <c:v>20.681799999999999</c:v>
                </c:pt>
                <c:pt idx="138">
                  <c:v>20.568300000000001</c:v>
                </c:pt>
                <c:pt idx="139">
                  <c:v>20.4373</c:v>
                </c:pt>
                <c:pt idx="140">
                  <c:v>20.387</c:v>
                </c:pt>
                <c:pt idx="141">
                  <c:v>20.402799999999999</c:v>
                </c:pt>
                <c:pt idx="142">
                  <c:v>20.5029</c:v>
                </c:pt>
                <c:pt idx="143">
                  <c:v>20.74</c:v>
                </c:pt>
                <c:pt idx="144">
                  <c:v>21.005299999999998</c:v>
                </c:pt>
                <c:pt idx="145">
                  <c:v>21.384900000000002</c:v>
                </c:pt>
                <c:pt idx="146">
                  <c:v>21.710099999999997</c:v>
                </c:pt>
                <c:pt idx="147">
                  <c:v>22.047900000000002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3.06562</c:v>
                </c:pt>
                <c:pt idx="1">
                  <c:v>3.1393900000000001</c:v>
                </c:pt>
                <c:pt idx="2">
                  <c:v>3.2091700000000003</c:v>
                </c:pt>
                <c:pt idx="3">
                  <c:v>3.2789800000000002</c:v>
                </c:pt>
                <c:pt idx="4">
                  <c:v>3.34544</c:v>
                </c:pt>
                <c:pt idx="5">
                  <c:v>3.40768</c:v>
                </c:pt>
                <c:pt idx="6">
                  <c:v>3.4685199999999998</c:v>
                </c:pt>
                <c:pt idx="7">
                  <c:v>3.5274200000000002</c:v>
                </c:pt>
                <c:pt idx="8">
                  <c:v>3.5850900000000001</c:v>
                </c:pt>
                <c:pt idx="9">
                  <c:v>3.6411100000000003</c:v>
                </c:pt>
                <c:pt idx="10">
                  <c:v>3.6982200000000001</c:v>
                </c:pt>
                <c:pt idx="11">
                  <c:v>3.7547100000000002</c:v>
                </c:pt>
                <c:pt idx="12">
                  <c:v>3.81108</c:v>
                </c:pt>
                <c:pt idx="13">
                  <c:v>3.8652199999999999</c:v>
                </c:pt>
                <c:pt idx="14">
                  <c:v>3.91974</c:v>
                </c:pt>
                <c:pt idx="15">
                  <c:v>3.9735300000000002</c:v>
                </c:pt>
                <c:pt idx="16">
                  <c:v>4.0261500000000003</c:v>
                </c:pt>
                <c:pt idx="17">
                  <c:v>4.0768399999999998</c:v>
                </c:pt>
                <c:pt idx="18">
                  <c:v>4.1231099999999996</c:v>
                </c:pt>
                <c:pt idx="19">
                  <c:v>4.1677599999999995</c:v>
                </c:pt>
                <c:pt idx="20">
                  <c:v>4.2119400000000002</c:v>
                </c:pt>
                <c:pt idx="21">
                  <c:v>4.2530900000000003</c:v>
                </c:pt>
                <c:pt idx="22">
                  <c:v>4.2924699999999998</c:v>
                </c:pt>
                <c:pt idx="23">
                  <c:v>4.3306100000000001</c:v>
                </c:pt>
                <c:pt idx="24">
                  <c:v>4.3664800000000001</c:v>
                </c:pt>
                <c:pt idx="25">
                  <c:v>4.3972199999999999</c:v>
                </c:pt>
                <c:pt idx="26">
                  <c:v>4.42136</c:v>
                </c:pt>
                <c:pt idx="27">
                  <c:v>4.4428999999999998</c:v>
                </c:pt>
                <c:pt idx="28">
                  <c:v>4.4599200000000003</c:v>
                </c:pt>
                <c:pt idx="29">
                  <c:v>4.4762899999999997</c:v>
                </c:pt>
                <c:pt idx="30">
                  <c:v>4.4892799999999999</c:v>
                </c:pt>
                <c:pt idx="31">
                  <c:v>4.4994300000000003</c:v>
                </c:pt>
                <c:pt idx="32">
                  <c:v>4.5106400000000004</c:v>
                </c:pt>
                <c:pt idx="33">
                  <c:v>4.52407</c:v>
                </c:pt>
                <c:pt idx="34">
                  <c:v>4.5407399999999996</c:v>
                </c:pt>
                <c:pt idx="35">
                  <c:v>4.5556099999999997</c:v>
                </c:pt>
                <c:pt idx="36">
                  <c:v>4.5697799999999997</c:v>
                </c:pt>
                <c:pt idx="37">
                  <c:v>4.5812499999999998</c:v>
                </c:pt>
                <c:pt idx="38">
                  <c:v>4.59</c:v>
                </c:pt>
                <c:pt idx="39">
                  <c:v>4.59823</c:v>
                </c:pt>
                <c:pt idx="40">
                  <c:v>4.6046199999999997</c:v>
                </c:pt>
                <c:pt idx="41">
                  <c:v>4.61097</c:v>
                </c:pt>
                <c:pt idx="42">
                  <c:v>4.6178499999999998</c:v>
                </c:pt>
                <c:pt idx="43">
                  <c:v>4.6275699999999995</c:v>
                </c:pt>
                <c:pt idx="44">
                  <c:v>4.6362899999999998</c:v>
                </c:pt>
                <c:pt idx="45">
                  <c:v>4.6417399999999995</c:v>
                </c:pt>
                <c:pt idx="46">
                  <c:v>4.6450800000000001</c:v>
                </c:pt>
                <c:pt idx="47">
                  <c:v>4.6442399999999999</c:v>
                </c:pt>
                <c:pt idx="48">
                  <c:v>4.6401300000000001</c:v>
                </c:pt>
                <c:pt idx="49">
                  <c:v>4.63443</c:v>
                </c:pt>
                <c:pt idx="50">
                  <c:v>4.6304400000000001</c:v>
                </c:pt>
                <c:pt idx="51">
                  <c:v>4.62812</c:v>
                </c:pt>
                <c:pt idx="52">
                  <c:v>4.6267100000000001</c:v>
                </c:pt>
                <c:pt idx="53">
                  <c:v>4.6262600000000003</c:v>
                </c:pt>
                <c:pt idx="54">
                  <c:v>4.6268900000000004</c:v>
                </c:pt>
                <c:pt idx="55">
                  <c:v>4.6318399999999995</c:v>
                </c:pt>
                <c:pt idx="56">
                  <c:v>4.6379299999999999</c:v>
                </c:pt>
                <c:pt idx="57">
                  <c:v>4.6423699999999997</c:v>
                </c:pt>
                <c:pt idx="58">
                  <c:v>4.6435599999999999</c:v>
                </c:pt>
                <c:pt idx="59">
                  <c:v>4.6399699999999999</c:v>
                </c:pt>
                <c:pt idx="60">
                  <c:v>4.6335999999999995</c:v>
                </c:pt>
                <c:pt idx="61">
                  <c:v>4.6268199999999995</c:v>
                </c:pt>
                <c:pt idx="62">
                  <c:v>4.6193499999999998</c:v>
                </c:pt>
                <c:pt idx="63">
                  <c:v>4.6146700000000003</c:v>
                </c:pt>
                <c:pt idx="64">
                  <c:v>4.6119599999999998</c:v>
                </c:pt>
                <c:pt idx="65">
                  <c:v>4.6117900000000001</c:v>
                </c:pt>
                <c:pt idx="66">
                  <c:v>4.6101000000000001</c:v>
                </c:pt>
                <c:pt idx="67">
                  <c:v>4.6076199999999998</c:v>
                </c:pt>
                <c:pt idx="68">
                  <c:v>4.60229</c:v>
                </c:pt>
                <c:pt idx="69">
                  <c:v>4.5952000000000002</c:v>
                </c:pt>
                <c:pt idx="70">
                  <c:v>4.5891599999999997</c:v>
                </c:pt>
                <c:pt idx="71">
                  <c:v>4.5821399999999999</c:v>
                </c:pt>
                <c:pt idx="72">
                  <c:v>4.57714</c:v>
                </c:pt>
                <c:pt idx="73">
                  <c:v>4.5736300000000005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41.3491</c:v>
                </c:pt>
                <c:pt idx="1">
                  <c:v>39.936399999999999</c:v>
                </c:pt>
                <c:pt idx="2">
                  <c:v>38.671399999999998</c:v>
                </c:pt>
                <c:pt idx="3">
                  <c:v>37.323599999999999</c:v>
                </c:pt>
                <c:pt idx="4">
                  <c:v>36.062899999999999</c:v>
                </c:pt>
                <c:pt idx="5">
                  <c:v>34.992100000000001</c:v>
                </c:pt>
                <c:pt idx="6">
                  <c:v>34.018100000000004</c:v>
                </c:pt>
                <c:pt idx="7">
                  <c:v>33.147599999999997</c:v>
                </c:pt>
                <c:pt idx="8">
                  <c:v>32.427299999999995</c:v>
                </c:pt>
                <c:pt idx="9">
                  <c:v>31.852699999999999</c:v>
                </c:pt>
                <c:pt idx="10">
                  <c:v>31.341999999999999</c:v>
                </c:pt>
                <c:pt idx="11">
                  <c:v>30.854399999999998</c:v>
                </c:pt>
                <c:pt idx="12">
                  <c:v>30.307000000000002</c:v>
                </c:pt>
                <c:pt idx="13">
                  <c:v>29.797800000000002</c:v>
                </c:pt>
                <c:pt idx="14">
                  <c:v>29.2974</c:v>
                </c:pt>
                <c:pt idx="15">
                  <c:v>28.876400000000004</c:v>
                </c:pt>
                <c:pt idx="16">
                  <c:v>28.637699999999999</c:v>
                </c:pt>
                <c:pt idx="17">
                  <c:v>28.565200000000001</c:v>
                </c:pt>
                <c:pt idx="18">
                  <c:v>28.604499999999998</c:v>
                </c:pt>
                <c:pt idx="19">
                  <c:v>28.709600000000002</c:v>
                </c:pt>
                <c:pt idx="20">
                  <c:v>28.813800000000001</c:v>
                </c:pt>
                <c:pt idx="21">
                  <c:v>28.977700000000002</c:v>
                </c:pt>
                <c:pt idx="22">
                  <c:v>29.151199999999999</c:v>
                </c:pt>
                <c:pt idx="23">
                  <c:v>29.274799999999999</c:v>
                </c:pt>
                <c:pt idx="24">
                  <c:v>29.374400000000001</c:v>
                </c:pt>
                <c:pt idx="25">
                  <c:v>29.497</c:v>
                </c:pt>
                <c:pt idx="26">
                  <c:v>29.674299999999999</c:v>
                </c:pt>
                <c:pt idx="27">
                  <c:v>29.843700000000002</c:v>
                </c:pt>
                <c:pt idx="28">
                  <c:v>30.040899999999997</c:v>
                </c:pt>
                <c:pt idx="29">
                  <c:v>30.3309</c:v>
                </c:pt>
                <c:pt idx="30">
                  <c:v>30.677100000000003</c:v>
                </c:pt>
                <c:pt idx="31">
                  <c:v>31.037599999999998</c:v>
                </c:pt>
                <c:pt idx="32">
                  <c:v>31.404799999999998</c:v>
                </c:pt>
                <c:pt idx="33">
                  <c:v>31.698999999999998</c:v>
                </c:pt>
                <c:pt idx="34">
                  <c:v>31.927600000000002</c:v>
                </c:pt>
                <c:pt idx="35">
                  <c:v>32.086399999999998</c:v>
                </c:pt>
                <c:pt idx="36">
                  <c:v>32.223500000000001</c:v>
                </c:pt>
                <c:pt idx="37">
                  <c:v>32.345500000000001</c:v>
                </c:pt>
                <c:pt idx="38">
                  <c:v>32.4739</c:v>
                </c:pt>
                <c:pt idx="39">
                  <c:v>32.593299999999999</c:v>
                </c:pt>
                <c:pt idx="40">
                  <c:v>32.676300000000005</c:v>
                </c:pt>
                <c:pt idx="41">
                  <c:v>32.646799999999999</c:v>
                </c:pt>
                <c:pt idx="42">
                  <c:v>32.581400000000002</c:v>
                </c:pt>
                <c:pt idx="43">
                  <c:v>32.504199999999997</c:v>
                </c:pt>
                <c:pt idx="44">
                  <c:v>32.359000000000002</c:v>
                </c:pt>
                <c:pt idx="45">
                  <c:v>32.2425</c:v>
                </c:pt>
                <c:pt idx="46">
                  <c:v>32.098300000000002</c:v>
                </c:pt>
                <c:pt idx="47">
                  <c:v>31.969199999999997</c:v>
                </c:pt>
                <c:pt idx="48">
                  <c:v>31.817400000000003</c:v>
                </c:pt>
                <c:pt idx="49">
                  <c:v>31.6998</c:v>
                </c:pt>
                <c:pt idx="50">
                  <c:v>31.594200000000001</c:v>
                </c:pt>
                <c:pt idx="51">
                  <c:v>31.485700000000001</c:v>
                </c:pt>
                <c:pt idx="52">
                  <c:v>31.433899999999998</c:v>
                </c:pt>
                <c:pt idx="53">
                  <c:v>31.436599999999999</c:v>
                </c:pt>
                <c:pt idx="54">
                  <c:v>31.377899999999997</c:v>
                </c:pt>
                <c:pt idx="55">
                  <c:v>31.275799999999997</c:v>
                </c:pt>
                <c:pt idx="56">
                  <c:v>31.162400000000002</c:v>
                </c:pt>
                <c:pt idx="57">
                  <c:v>31.011699999999998</c:v>
                </c:pt>
                <c:pt idx="58">
                  <c:v>30.904999999999998</c:v>
                </c:pt>
                <c:pt idx="59">
                  <c:v>30.874099999999999</c:v>
                </c:pt>
                <c:pt idx="60">
                  <c:v>30.924699999999998</c:v>
                </c:pt>
                <c:pt idx="61">
                  <c:v>30.945399999999999</c:v>
                </c:pt>
                <c:pt idx="62">
                  <c:v>30.965199999999999</c:v>
                </c:pt>
                <c:pt idx="63">
                  <c:v>30.989499999999996</c:v>
                </c:pt>
                <c:pt idx="64">
                  <c:v>31.035499999999999</c:v>
                </c:pt>
                <c:pt idx="65">
                  <c:v>31.084400000000002</c:v>
                </c:pt>
                <c:pt idx="66">
                  <c:v>31.128699999999998</c:v>
                </c:pt>
                <c:pt idx="67">
                  <c:v>31.126799999999999</c:v>
                </c:pt>
                <c:pt idx="68">
                  <c:v>31.070999999999998</c:v>
                </c:pt>
                <c:pt idx="69">
                  <c:v>30.979200000000002</c:v>
                </c:pt>
                <c:pt idx="70">
                  <c:v>30.811100000000003</c:v>
                </c:pt>
                <c:pt idx="71">
                  <c:v>30.528100000000002</c:v>
                </c:pt>
                <c:pt idx="72">
                  <c:v>30.131200000000003</c:v>
                </c:pt>
                <c:pt idx="73">
                  <c:v>29.712100000000003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4.5736300000000005</c:v>
                </c:pt>
                <c:pt idx="1">
                  <c:v>4.5707300000000002</c:v>
                </c:pt>
                <c:pt idx="2">
                  <c:v>4.5709800000000005</c:v>
                </c:pt>
                <c:pt idx="3">
                  <c:v>4.5755299999999997</c:v>
                </c:pt>
                <c:pt idx="4">
                  <c:v>4.5812100000000004</c:v>
                </c:pt>
                <c:pt idx="5">
                  <c:v>4.5902700000000003</c:v>
                </c:pt>
                <c:pt idx="6">
                  <c:v>4.6020300000000001</c:v>
                </c:pt>
                <c:pt idx="7">
                  <c:v>4.61564</c:v>
                </c:pt>
                <c:pt idx="8">
                  <c:v>4.62906</c:v>
                </c:pt>
                <c:pt idx="9">
                  <c:v>4.6463999999999999</c:v>
                </c:pt>
                <c:pt idx="10">
                  <c:v>4.66859</c:v>
                </c:pt>
                <c:pt idx="11">
                  <c:v>4.6937899999999999</c:v>
                </c:pt>
                <c:pt idx="12">
                  <c:v>4.7237</c:v>
                </c:pt>
                <c:pt idx="13">
                  <c:v>4.7521899999999997</c:v>
                </c:pt>
                <c:pt idx="14">
                  <c:v>4.7802800000000003</c:v>
                </c:pt>
                <c:pt idx="15">
                  <c:v>4.8054300000000003</c:v>
                </c:pt>
                <c:pt idx="16">
                  <c:v>4.8284799999999999</c:v>
                </c:pt>
                <c:pt idx="17">
                  <c:v>4.8516500000000002</c:v>
                </c:pt>
                <c:pt idx="18">
                  <c:v>4.87683</c:v>
                </c:pt>
                <c:pt idx="19">
                  <c:v>4.9055300000000006</c:v>
                </c:pt>
                <c:pt idx="20">
                  <c:v>4.9361500000000005</c:v>
                </c:pt>
                <c:pt idx="21">
                  <c:v>4.9680999999999997</c:v>
                </c:pt>
                <c:pt idx="22">
                  <c:v>5.0016999999999996</c:v>
                </c:pt>
                <c:pt idx="23">
                  <c:v>5.0375800000000002</c:v>
                </c:pt>
                <c:pt idx="24">
                  <c:v>5.0723900000000004</c:v>
                </c:pt>
                <c:pt idx="25">
                  <c:v>5.1061199999999998</c:v>
                </c:pt>
                <c:pt idx="26">
                  <c:v>5.1355599999999999</c:v>
                </c:pt>
                <c:pt idx="27">
                  <c:v>5.16289</c:v>
                </c:pt>
                <c:pt idx="28">
                  <c:v>5.1888800000000002</c:v>
                </c:pt>
                <c:pt idx="29">
                  <c:v>5.2133799999999999</c:v>
                </c:pt>
                <c:pt idx="30">
                  <c:v>5.2320999999999991</c:v>
                </c:pt>
                <c:pt idx="31">
                  <c:v>5.2427000000000001</c:v>
                </c:pt>
                <c:pt idx="32">
                  <c:v>5.2492200000000002</c:v>
                </c:pt>
                <c:pt idx="33">
                  <c:v>5.2529700000000004</c:v>
                </c:pt>
                <c:pt idx="34">
                  <c:v>5.2495499999999993</c:v>
                </c:pt>
                <c:pt idx="35">
                  <c:v>5.2407599999999999</c:v>
                </c:pt>
                <c:pt idx="36">
                  <c:v>5.2302099999999996</c:v>
                </c:pt>
                <c:pt idx="37">
                  <c:v>5.2140299999999993</c:v>
                </c:pt>
                <c:pt idx="38">
                  <c:v>5.1976300000000002</c:v>
                </c:pt>
                <c:pt idx="39">
                  <c:v>5.1805699999999995</c:v>
                </c:pt>
                <c:pt idx="40">
                  <c:v>5.1631099999999996</c:v>
                </c:pt>
                <c:pt idx="41">
                  <c:v>5.1431899999999997</c:v>
                </c:pt>
                <c:pt idx="42">
                  <c:v>5.1252600000000008</c:v>
                </c:pt>
                <c:pt idx="43">
                  <c:v>5.1052200000000001</c:v>
                </c:pt>
                <c:pt idx="44">
                  <c:v>5.0823099999999997</c:v>
                </c:pt>
                <c:pt idx="45">
                  <c:v>5.0607000000000006</c:v>
                </c:pt>
                <c:pt idx="46">
                  <c:v>5.03993</c:v>
                </c:pt>
                <c:pt idx="47">
                  <c:v>5.0199099999999994</c:v>
                </c:pt>
                <c:pt idx="48">
                  <c:v>4.9971100000000002</c:v>
                </c:pt>
                <c:pt idx="49">
                  <c:v>4.9721200000000003</c:v>
                </c:pt>
                <c:pt idx="50">
                  <c:v>4.9483899999999998</c:v>
                </c:pt>
                <c:pt idx="51">
                  <c:v>4.9354700000000005</c:v>
                </c:pt>
                <c:pt idx="52">
                  <c:v>4.92089</c:v>
                </c:pt>
                <c:pt idx="53">
                  <c:v>4.9030899999999997</c:v>
                </c:pt>
                <c:pt idx="54">
                  <c:v>4.8831999999999995</c:v>
                </c:pt>
                <c:pt idx="55">
                  <c:v>4.8633600000000001</c:v>
                </c:pt>
                <c:pt idx="56">
                  <c:v>4.8461699999999999</c:v>
                </c:pt>
                <c:pt idx="57">
                  <c:v>4.8298999999999994</c:v>
                </c:pt>
                <c:pt idx="58">
                  <c:v>4.8149899999999999</c:v>
                </c:pt>
                <c:pt idx="59">
                  <c:v>4.8038499999999997</c:v>
                </c:pt>
                <c:pt idx="60">
                  <c:v>4.7937500000000002</c:v>
                </c:pt>
                <c:pt idx="61">
                  <c:v>4.7827399999999995</c:v>
                </c:pt>
                <c:pt idx="62">
                  <c:v>4.7756799999999995</c:v>
                </c:pt>
                <c:pt idx="63">
                  <c:v>4.7690200000000003</c:v>
                </c:pt>
                <c:pt idx="64">
                  <c:v>4.7673700000000006</c:v>
                </c:pt>
                <c:pt idx="65">
                  <c:v>4.7664400000000002</c:v>
                </c:pt>
                <c:pt idx="66">
                  <c:v>4.7677800000000001</c:v>
                </c:pt>
                <c:pt idx="67">
                  <c:v>4.7653099999999995</c:v>
                </c:pt>
                <c:pt idx="68">
                  <c:v>4.76417</c:v>
                </c:pt>
                <c:pt idx="69">
                  <c:v>4.7675099999999997</c:v>
                </c:pt>
                <c:pt idx="70">
                  <c:v>4.7680099999999994</c:v>
                </c:pt>
                <c:pt idx="71">
                  <c:v>4.7590300000000001</c:v>
                </c:pt>
                <c:pt idx="72">
                  <c:v>4.7397200000000002</c:v>
                </c:pt>
                <c:pt idx="73">
                  <c:v>4.7300500000000003</c:v>
                </c:pt>
                <c:pt idx="74">
                  <c:v>4.7285500000000003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29.712100000000003</c:v>
                </c:pt>
                <c:pt idx="1">
                  <c:v>29.223199999999999</c:v>
                </c:pt>
                <c:pt idx="2">
                  <c:v>28.526800000000001</c:v>
                </c:pt>
                <c:pt idx="3">
                  <c:v>28.021099999999997</c:v>
                </c:pt>
                <c:pt idx="4">
                  <c:v>27.506499999999999</c:v>
                </c:pt>
                <c:pt idx="5">
                  <c:v>27.0061</c:v>
                </c:pt>
                <c:pt idx="6">
                  <c:v>26.565299999999997</c:v>
                </c:pt>
                <c:pt idx="7">
                  <c:v>26.108499999999999</c:v>
                </c:pt>
                <c:pt idx="8">
                  <c:v>25.703099999999999</c:v>
                </c:pt>
                <c:pt idx="9">
                  <c:v>25.295299999999997</c:v>
                </c:pt>
                <c:pt idx="10">
                  <c:v>24.8401</c:v>
                </c:pt>
                <c:pt idx="11">
                  <c:v>24.338000000000001</c:v>
                </c:pt>
                <c:pt idx="12">
                  <c:v>23.826499999999999</c:v>
                </c:pt>
                <c:pt idx="13">
                  <c:v>23.428999999999998</c:v>
                </c:pt>
                <c:pt idx="14">
                  <c:v>23.124200000000002</c:v>
                </c:pt>
                <c:pt idx="15">
                  <c:v>22.8034</c:v>
                </c:pt>
                <c:pt idx="16">
                  <c:v>22.494900000000001</c:v>
                </c:pt>
                <c:pt idx="17">
                  <c:v>22.278200000000002</c:v>
                </c:pt>
                <c:pt idx="18">
                  <c:v>22.118099999999998</c:v>
                </c:pt>
                <c:pt idx="19">
                  <c:v>21.988599999999998</c:v>
                </c:pt>
                <c:pt idx="20">
                  <c:v>22.033300000000001</c:v>
                </c:pt>
                <c:pt idx="21">
                  <c:v>22.160900000000002</c:v>
                </c:pt>
                <c:pt idx="22">
                  <c:v>22.419800000000002</c:v>
                </c:pt>
                <c:pt idx="23">
                  <c:v>22.8447</c:v>
                </c:pt>
                <c:pt idx="24">
                  <c:v>23.310300000000002</c:v>
                </c:pt>
                <c:pt idx="25">
                  <c:v>23.889099999999999</c:v>
                </c:pt>
                <c:pt idx="26">
                  <c:v>24.557499999999997</c:v>
                </c:pt>
                <c:pt idx="27">
                  <c:v>25.175599999999999</c:v>
                </c:pt>
                <c:pt idx="28">
                  <c:v>25.732600000000001</c:v>
                </c:pt>
                <c:pt idx="29">
                  <c:v>26.255200000000002</c:v>
                </c:pt>
                <c:pt idx="30">
                  <c:v>26.6922</c:v>
                </c:pt>
                <c:pt idx="31">
                  <c:v>27.054099999999998</c:v>
                </c:pt>
                <c:pt idx="32">
                  <c:v>27.3995</c:v>
                </c:pt>
                <c:pt idx="33">
                  <c:v>27.685399999999998</c:v>
                </c:pt>
                <c:pt idx="34">
                  <c:v>27.843200000000003</c:v>
                </c:pt>
                <c:pt idx="35">
                  <c:v>27.869699999999998</c:v>
                </c:pt>
                <c:pt idx="36">
                  <c:v>27.815099999999997</c:v>
                </c:pt>
                <c:pt idx="37">
                  <c:v>27.7148</c:v>
                </c:pt>
                <c:pt idx="38">
                  <c:v>27.531899999999997</c:v>
                </c:pt>
                <c:pt idx="39">
                  <c:v>27.244299999999999</c:v>
                </c:pt>
                <c:pt idx="40">
                  <c:v>26.934000000000001</c:v>
                </c:pt>
                <c:pt idx="41">
                  <c:v>26.611499999999999</c:v>
                </c:pt>
                <c:pt idx="42">
                  <c:v>26.225300000000001</c:v>
                </c:pt>
                <c:pt idx="43">
                  <c:v>25.811699999999998</c:v>
                </c:pt>
                <c:pt idx="44">
                  <c:v>25.424900000000001</c:v>
                </c:pt>
                <c:pt idx="45">
                  <c:v>25.000600000000002</c:v>
                </c:pt>
                <c:pt idx="46">
                  <c:v>24.627099999999999</c:v>
                </c:pt>
                <c:pt idx="47">
                  <c:v>24.267199999999999</c:v>
                </c:pt>
                <c:pt idx="48">
                  <c:v>23.954900000000002</c:v>
                </c:pt>
                <c:pt idx="49">
                  <c:v>23.694399999999998</c:v>
                </c:pt>
                <c:pt idx="50">
                  <c:v>23.449400000000001</c:v>
                </c:pt>
                <c:pt idx="51">
                  <c:v>23.277800000000003</c:v>
                </c:pt>
                <c:pt idx="52">
                  <c:v>23.1142</c:v>
                </c:pt>
                <c:pt idx="53">
                  <c:v>22.987199999999998</c:v>
                </c:pt>
                <c:pt idx="54">
                  <c:v>22.892399999999999</c:v>
                </c:pt>
                <c:pt idx="55">
                  <c:v>22.783200000000001</c:v>
                </c:pt>
                <c:pt idx="56">
                  <c:v>22.5976</c:v>
                </c:pt>
                <c:pt idx="57">
                  <c:v>22.3599</c:v>
                </c:pt>
                <c:pt idx="58">
                  <c:v>22.098000000000003</c:v>
                </c:pt>
                <c:pt idx="59">
                  <c:v>21.7973</c:v>
                </c:pt>
                <c:pt idx="60">
                  <c:v>21.522500000000001</c:v>
                </c:pt>
                <c:pt idx="61">
                  <c:v>21.329799999999999</c:v>
                </c:pt>
                <c:pt idx="62">
                  <c:v>21.069299999999998</c:v>
                </c:pt>
                <c:pt idx="63">
                  <c:v>20.855699999999999</c:v>
                </c:pt>
                <c:pt idx="64">
                  <c:v>20.681799999999999</c:v>
                </c:pt>
                <c:pt idx="65">
                  <c:v>20.568300000000001</c:v>
                </c:pt>
                <c:pt idx="66">
                  <c:v>20.4373</c:v>
                </c:pt>
                <c:pt idx="67">
                  <c:v>20.387</c:v>
                </c:pt>
                <c:pt idx="68">
                  <c:v>20.402799999999999</c:v>
                </c:pt>
                <c:pt idx="69">
                  <c:v>20.5029</c:v>
                </c:pt>
                <c:pt idx="70">
                  <c:v>20.74</c:v>
                </c:pt>
                <c:pt idx="71">
                  <c:v>21.005299999999998</c:v>
                </c:pt>
                <c:pt idx="72">
                  <c:v>21.384900000000002</c:v>
                </c:pt>
                <c:pt idx="73">
                  <c:v>21.710099999999997</c:v>
                </c:pt>
                <c:pt idx="74">
                  <c:v>22.047900000000002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3.06562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41.3491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4.3147104054054051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31.551428378378372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4.9092447297297328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24.094328378378371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4.9092447297297328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24.094328378378371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523</v>
      </c>
      <c r="D5" s="151"/>
      <c r="E5" s="151"/>
      <c r="F5" s="152"/>
      <c r="G5" s="48" t="str">
        <f>lang!B27</f>
        <v>编号</v>
      </c>
      <c r="H5" s="150">
        <v>2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524</v>
      </c>
      <c r="D6" s="188"/>
      <c r="E6" s="188"/>
      <c r="F6" s="189"/>
      <c r="G6" s="49" t="str">
        <f>lang!B28</f>
        <v xml:space="preserve"> 日期</v>
      </c>
      <c r="H6" s="172">
        <f>FH_info!A2</f>
        <v>43619.646932870368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32</v>
      </c>
      <c r="D7" s="191"/>
      <c r="E7" s="191"/>
      <c r="F7" s="192"/>
      <c r="G7" s="50" t="str">
        <f>lang!B29</f>
        <v>误差率（%）</v>
      </c>
      <c r="H7" s="175">
        <f>M!B17*1</f>
        <v>16.0275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49.545900000000003</v>
      </c>
      <c r="O8" s="59">
        <f>M!C5*1</f>
        <v>7.1027500000000003</v>
      </c>
      <c r="P8" s="59">
        <f>M!D5*1</f>
        <v>14.335699999999999</v>
      </c>
      <c r="Q8" s="59">
        <f>M!E5*1</f>
        <v>20</v>
      </c>
      <c r="R8" s="59">
        <f>M!F5*1</f>
        <v>22.7866</v>
      </c>
      <c r="S8" s="59">
        <f>M!G5*1</f>
        <v>50</v>
      </c>
      <c r="T8" s="59">
        <f>M!H5*1</f>
        <v>60.136499999999998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31.5214</v>
      </c>
      <c r="O9" s="59">
        <f>M!C6*1</f>
        <v>1.11398</v>
      </c>
      <c r="P9" s="59">
        <f>M!D6*1</f>
        <v>3.5340400000000001</v>
      </c>
      <c r="Q9" s="59">
        <f>M!E6*1</f>
        <v>20</v>
      </c>
      <c r="R9" s="59">
        <f>M!F6*1</f>
        <v>28.871700000000001</v>
      </c>
      <c r="S9" s="59">
        <f>M!G6*1</f>
        <v>40</v>
      </c>
      <c r="T9" s="59">
        <f>M!H6*1</f>
        <v>35.745600000000003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22.7866</v>
      </c>
      <c r="D10" s="99">
        <f>N8</f>
        <v>49.545900000000003</v>
      </c>
      <c r="E10" s="100">
        <f>T8</f>
        <v>60.136499999999998</v>
      </c>
      <c r="F10" s="91">
        <f>P8</f>
        <v>14.335699999999999</v>
      </c>
      <c r="G10" s="81" t="str">
        <f>CONCATENATE(M9,"
(20 ~ 40)")</f>
        <v>压力
(20 ~ 40)</v>
      </c>
      <c r="H10" s="98">
        <f>R9</f>
        <v>28.871700000000001</v>
      </c>
      <c r="I10" s="108">
        <f>N9</f>
        <v>31.5214</v>
      </c>
      <c r="J10" s="98">
        <f>T9</f>
        <v>35.745600000000003</v>
      </c>
      <c r="K10" s="92">
        <f>P9</f>
        <v>3.5340400000000001</v>
      </c>
      <c r="L10" s="6"/>
      <c r="M10" s="27" t="str">
        <f>lang!B16</f>
        <v>焦虑</v>
      </c>
      <c r="N10" s="59">
        <f>M!B7*1</f>
        <v>30.092500000000001</v>
      </c>
      <c r="O10" s="59">
        <f>M!C7*1</f>
        <v>11.120799999999999</v>
      </c>
      <c r="P10" s="59">
        <f>M!D7*1</f>
        <v>36.955300000000001</v>
      </c>
      <c r="Q10" s="59">
        <f>M!E7*1</f>
        <v>15</v>
      </c>
      <c r="R10" s="59">
        <f>M!F7*1</f>
        <v>9.6924399999999995</v>
      </c>
      <c r="S10" s="59">
        <f>M!G7*1</f>
        <v>40</v>
      </c>
      <c r="T10" s="59">
        <f>M!H7*1</f>
        <v>50.132300000000001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9.6924399999999995</v>
      </c>
      <c r="D11" s="102">
        <f>N10</f>
        <v>30.092500000000001</v>
      </c>
      <c r="E11" s="103">
        <f>T10</f>
        <v>50.132300000000001</v>
      </c>
      <c r="F11" s="94">
        <f>P10</f>
        <v>36.955300000000001</v>
      </c>
      <c r="G11" s="52" t="str">
        <f>CONCATENATE(M11,"
(20 ~ 50)")</f>
        <v>可疑
(20 ~ 50)</v>
      </c>
      <c r="H11" s="101">
        <f>R11</f>
        <v>25.859200000000001</v>
      </c>
      <c r="I11" s="104">
        <f>N11</f>
        <v>37.058300000000003</v>
      </c>
      <c r="J11" s="101">
        <f>T11</f>
        <v>45.765599999999999</v>
      </c>
      <c r="K11" s="95">
        <f>P11</f>
        <v>13.69</v>
      </c>
      <c r="L11" s="4"/>
      <c r="M11" s="27" t="str">
        <f>lang!B17</f>
        <v>可疑</v>
      </c>
      <c r="N11" s="59">
        <f>M!B8*1</f>
        <v>37.058300000000003</v>
      </c>
      <c r="O11" s="59">
        <f>M!C8*1</f>
        <v>5.0732699999999999</v>
      </c>
      <c r="P11" s="59">
        <f>M!D8*1</f>
        <v>13.69</v>
      </c>
      <c r="Q11" s="59">
        <f>M!E8*1</f>
        <v>20</v>
      </c>
      <c r="R11" s="59">
        <f>M!F8*1</f>
        <v>25.859200000000001</v>
      </c>
      <c r="S11" s="59">
        <f>M!G8*1</f>
        <v>50</v>
      </c>
      <c r="T11" s="59">
        <f>M!H8*1</f>
        <v>45.765599999999999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38.710099999999997</v>
      </c>
      <c r="D12" s="104">
        <f>N12</f>
        <v>59.2684</v>
      </c>
      <c r="E12" s="101">
        <f>T12</f>
        <v>74.296300000000002</v>
      </c>
      <c r="F12" s="93">
        <f>P12</f>
        <v>12.1591</v>
      </c>
      <c r="G12" s="52" t="str">
        <f>CONCATENATE(M13,"
(40 ~ 100)")</f>
        <v>自信
(40 ~ 100)</v>
      </c>
      <c r="H12" s="101">
        <f>R13</f>
        <v>68.548900000000003</v>
      </c>
      <c r="I12" s="104">
        <f>N13</f>
        <v>75.170400000000001</v>
      </c>
      <c r="J12" s="101">
        <f>T13</f>
        <v>79.855500000000006</v>
      </c>
      <c r="K12" s="95">
        <f>P13</f>
        <v>2.7904300000000002</v>
      </c>
      <c r="L12" s="4"/>
      <c r="M12" s="27" t="str">
        <f>lang!B18</f>
        <v>平衡</v>
      </c>
      <c r="N12" s="59">
        <f>M!B9*1</f>
        <v>59.2684</v>
      </c>
      <c r="O12" s="59">
        <f>M!C9*1</f>
        <v>7.2065200000000003</v>
      </c>
      <c r="P12" s="59">
        <f>M!D9*1</f>
        <v>12.1591</v>
      </c>
      <c r="Q12" s="59">
        <f>M!E9*1</f>
        <v>50</v>
      </c>
      <c r="R12" s="59">
        <f>M!F9*1</f>
        <v>38.710099999999997</v>
      </c>
      <c r="S12" s="59">
        <f>M!G9*1</f>
        <v>100</v>
      </c>
      <c r="T12" s="59">
        <f>M!H9*1</f>
        <v>74.296300000000002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13.8964</v>
      </c>
      <c r="D13" s="102">
        <f>N14</f>
        <v>31.917200000000001</v>
      </c>
      <c r="E13" s="103">
        <f>T14</f>
        <v>39.135800000000003</v>
      </c>
      <c r="F13" s="94">
        <f>P14</f>
        <v>18.392299999999999</v>
      </c>
      <c r="G13" s="52" t="str">
        <f>CONCATENATE(M15,"
(50 ~ 100)")</f>
        <v>自我调节
(50 ~ 100)</v>
      </c>
      <c r="H13" s="101">
        <f>R15</f>
        <v>53.6295</v>
      </c>
      <c r="I13" s="104">
        <f>N15</f>
        <v>67.572900000000004</v>
      </c>
      <c r="J13" s="101">
        <f>T15</f>
        <v>74.696299999999994</v>
      </c>
      <c r="K13" s="95">
        <f>P15</f>
        <v>6.0702299999999996</v>
      </c>
      <c r="L13" s="4"/>
      <c r="M13" s="27" t="str">
        <f>lang!B19</f>
        <v>自信</v>
      </c>
      <c r="N13" s="59">
        <f>M!B10*1</f>
        <v>75.170400000000001</v>
      </c>
      <c r="O13" s="59">
        <f>M!C10*1</f>
        <v>2.0975799999999998</v>
      </c>
      <c r="P13" s="59">
        <f>M!D10*1</f>
        <v>2.7904300000000002</v>
      </c>
      <c r="Q13" s="59">
        <f>M!E10*1</f>
        <v>40</v>
      </c>
      <c r="R13" s="59">
        <f>M!F10*1</f>
        <v>68.548900000000003</v>
      </c>
      <c r="S13" s="59">
        <f>M!G10*1</f>
        <v>100</v>
      </c>
      <c r="T13" s="59">
        <f>M!H10*1</f>
        <v>79.855500000000006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14.212199999999999</v>
      </c>
      <c r="D14" s="106">
        <f>N16</f>
        <v>22.0915</v>
      </c>
      <c r="E14" s="107">
        <f>T16</f>
        <v>31.748799999999999</v>
      </c>
      <c r="F14" s="96">
        <f>P16</f>
        <v>17.740100000000002</v>
      </c>
      <c r="G14" s="112" t="str">
        <f>CONCATENATE(M17,"
(10 ~ 50)")</f>
        <v>神经质
(10 ~ 50)</v>
      </c>
      <c r="H14" s="105">
        <f>R17</f>
        <v>0.60249900000000001</v>
      </c>
      <c r="I14" s="106">
        <f>N17</f>
        <v>39.190600000000003</v>
      </c>
      <c r="J14" s="107">
        <f>T17</f>
        <v>55.6098</v>
      </c>
      <c r="K14" s="97">
        <f>P17</f>
        <v>34.608199999999997</v>
      </c>
      <c r="M14" s="27" t="str">
        <f>lang!B20</f>
        <v>活力</v>
      </c>
      <c r="N14" s="59">
        <f>M!B11*1</f>
        <v>31.917200000000001</v>
      </c>
      <c r="O14" s="59">
        <f>M!C11*1</f>
        <v>5.8703000000000003</v>
      </c>
      <c r="P14" s="59">
        <f>M!D11*1</f>
        <v>18.392299999999999</v>
      </c>
      <c r="Q14" s="59">
        <f>M!E11*1</f>
        <v>10</v>
      </c>
      <c r="R14" s="59">
        <f>M!F11*1</f>
        <v>13.8964</v>
      </c>
      <c r="S14" s="59">
        <f>M!G11*1</f>
        <v>50</v>
      </c>
      <c r="T14" s="59">
        <f>M!H11*1</f>
        <v>39.135800000000003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67.572900000000004</v>
      </c>
      <c r="O15" s="59">
        <f>M!C12*1</f>
        <v>4.1018299999999996</v>
      </c>
      <c r="P15" s="59">
        <f>M!D12*1</f>
        <v>6.0702299999999996</v>
      </c>
      <c r="Q15" s="59">
        <f>M!E12*1</f>
        <v>50</v>
      </c>
      <c r="R15" s="59">
        <f>M!F12*1</f>
        <v>53.6295</v>
      </c>
      <c r="S15" s="59">
        <f>M!G12*1</f>
        <v>100</v>
      </c>
      <c r="T15" s="59">
        <f>M!H12*1</f>
        <v>74.696299999999994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22.0915</v>
      </c>
      <c r="O16" s="59">
        <f>M!C13*1</f>
        <v>3.91906</v>
      </c>
      <c r="P16" s="59">
        <f>M!D13*1</f>
        <v>17.740100000000002</v>
      </c>
      <c r="Q16" s="59">
        <f>M!E13*1</f>
        <v>10</v>
      </c>
      <c r="R16" s="59">
        <f>M!F13*1</f>
        <v>14.212199999999999</v>
      </c>
      <c r="S16" s="59">
        <f>M!G13*1</f>
        <v>25</v>
      </c>
      <c r="T16" s="59">
        <f>M!H13*1</f>
        <v>31.748799999999999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39.190600000000003</v>
      </c>
      <c r="O17" s="59">
        <f>M!C14*1</f>
        <v>13.5632</v>
      </c>
      <c r="P17" s="59">
        <f>M!D14*1</f>
        <v>34.608199999999997</v>
      </c>
      <c r="Q17" s="59">
        <f>M!E14*1</f>
        <v>10</v>
      </c>
      <c r="R17" s="59">
        <f>M!F14*1</f>
        <v>0.60249900000000001</v>
      </c>
      <c r="S17" s="59">
        <f>M!G14*1</f>
        <v>50</v>
      </c>
      <c r="T17" s="59">
        <f>M!H14*1</f>
        <v>55.6098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58.482225000000007</v>
      </c>
      <c r="O18" s="22">
        <f>N18/(N18+N19+N20)</f>
        <v>0.46349060611296122</v>
      </c>
      <c r="P18" s="65">
        <f>SUM(P12:P15)/4</f>
        <v>9.853015000000001</v>
      </c>
      <c r="Q18" s="22">
        <f>P18/(P18+P19+P20)</f>
        <v>0.18536061596143802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37.054524999999998</v>
      </c>
      <c r="O19" s="22">
        <f>N19/(N18+N19+N20)</f>
        <v>0.29366913197091715</v>
      </c>
      <c r="P19" s="18">
        <f>SUM(P8:P11)/4</f>
        <v>17.12876</v>
      </c>
      <c r="Q19" s="22">
        <f>P19/(P18+P19+P20)</f>
        <v>0.32223613830443176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30.64105</v>
      </c>
      <c r="O20" s="22">
        <f>N20/(N18+N19+N20)</f>
        <v>0.24284026191612149</v>
      </c>
      <c r="P20" s="18">
        <f>(P16+P17)/2</f>
        <v>26.174149999999997</v>
      </c>
      <c r="Q20" s="22">
        <f>P20/(P18+P19+P20)</f>
        <v>0.4924032457341303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-0.13402443243243278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2.2327868037623038</v>
      </c>
      <c r="D25" s="44" t="str">
        <f>lang!B11</f>
        <v>频率方差</v>
      </c>
      <c r="E25" s="142">
        <f ca="1">FH!L3</f>
        <v>0.75915497566368528</v>
      </c>
      <c r="F25" s="143"/>
      <c r="G25" s="134" t="str">
        <f>lang!B12</f>
        <v>生理变化率</v>
      </c>
      <c r="H25" s="135"/>
      <c r="I25" s="62" t="str">
        <f ca="1">CONCATENATE(info!M7,"-",info!M8)</f>
        <v>20.4-41.3</v>
      </c>
      <c r="J25" s="42" t="str">
        <f>lang!B13</f>
        <v>千卡l/分钟</v>
      </c>
      <c r="K25" s="41" t="str">
        <f ca="1">CONCATENATE(info!M5,"-",info!M6)</f>
        <v>3.1-5.3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35.793300000000002</v>
      </c>
      <c r="F28" s="164"/>
      <c r="G28" s="178" t="str">
        <f>lang!B33</f>
        <v>稳定性</v>
      </c>
      <c r="H28" s="179"/>
      <c r="I28" s="180"/>
      <c r="J28" s="181">
        <f>M!B19*100</f>
        <v>47.488300000000002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43619.646932870368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2.9553000000000011</v>
      </c>
      <c r="O7" s="59">
        <f t="shared" ref="O7:T7" si="2">AG7-X7</f>
        <v>-4.7996800000000004</v>
      </c>
      <c r="P7" s="59">
        <f t="shared" si="2"/>
        <v>-10.64448</v>
      </c>
      <c r="Q7" s="59">
        <f t="shared" si="2"/>
        <v>0</v>
      </c>
      <c r="R7" s="59">
        <f t="shared" si="2"/>
        <v>22.178800000000003</v>
      </c>
      <c r="S7" s="59">
        <f t="shared" si="2"/>
        <v>0</v>
      </c>
      <c r="T7" s="59">
        <f t="shared" si="2"/>
        <v>1.0366</v>
      </c>
      <c r="U7" s="14"/>
      <c r="V7" s="27" t="str">
        <f>M7</f>
        <v>攻击性</v>
      </c>
      <c r="W7" s="59">
        <f>'M1'!B5*1</f>
        <v>47.218899999999998</v>
      </c>
      <c r="X7" s="59">
        <f>'M1'!C5*1</f>
        <v>8.6456400000000002</v>
      </c>
      <c r="Y7" s="59">
        <f>'M1'!D5*1</f>
        <v>18.309699999999999</v>
      </c>
      <c r="Z7" s="59">
        <f>'M1'!E5*1</f>
        <v>20</v>
      </c>
      <c r="AA7" s="59">
        <f>'M1'!F5*1</f>
        <v>22.7866</v>
      </c>
      <c r="AB7" s="59">
        <f>'M1'!G5*1</f>
        <v>50</v>
      </c>
      <c r="AC7" s="59">
        <f>'M1'!H5*1</f>
        <v>59.099899999999998</v>
      </c>
      <c r="AE7" s="27" t="str">
        <f>V7</f>
        <v>攻击性</v>
      </c>
      <c r="AF7" s="59">
        <f>'M2'!B5*1</f>
        <v>50.174199999999999</v>
      </c>
      <c r="AG7" s="59">
        <f>'M2'!C5*1</f>
        <v>3.8459599999999998</v>
      </c>
      <c r="AH7" s="59">
        <f>'M2'!D5*1</f>
        <v>7.6652199999999997</v>
      </c>
      <c r="AI7" s="59">
        <f>'M2'!E5*1</f>
        <v>20</v>
      </c>
      <c r="AJ7" s="59">
        <f>'M2'!F5*1</f>
        <v>44.965400000000002</v>
      </c>
      <c r="AK7" s="59">
        <f>'M2'!G5*1</f>
        <v>50</v>
      </c>
      <c r="AL7" s="59">
        <f>'M2'!H5*1</f>
        <v>60.136499999999998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-0.29739999999999966</v>
      </c>
      <c r="O8" s="59">
        <f t="shared" ref="O8:O16" si="5">AG8-X8</f>
        <v>-0.24376399999999998</v>
      </c>
      <c r="P8" s="59">
        <f t="shared" ref="P8:P16" si="6">AH8-Y8</f>
        <v>-0.74072000000000005</v>
      </c>
      <c r="Q8" s="59">
        <f t="shared" ref="Q8:Q16" si="7">AI8-Z8</f>
        <v>0</v>
      </c>
      <c r="R8" s="59">
        <f t="shared" ref="R8:R16" si="8">AJ8-AA8</f>
        <v>1.0432999999999986</v>
      </c>
      <c r="S8" s="59">
        <f t="shared" ref="S8:S16" si="9">AK8-AB8</f>
        <v>0</v>
      </c>
      <c r="T8" s="59">
        <f t="shared" ref="T8:T16" si="10">AL8-AC8</f>
        <v>-1.7813000000000017</v>
      </c>
      <c r="U8" s="15"/>
      <c r="V8" s="27" t="str">
        <f t="shared" ref="V8:V16" si="11">M8</f>
        <v>压力</v>
      </c>
      <c r="W8" s="59">
        <f>'M1'!B6*1</f>
        <v>31.655100000000001</v>
      </c>
      <c r="X8" s="59">
        <f>'M1'!C6*1</f>
        <v>1.22298</v>
      </c>
      <c r="Y8" s="59">
        <f>'M1'!D6*1</f>
        <v>3.8634499999999998</v>
      </c>
      <c r="Z8" s="59">
        <f>'M1'!E6*1</f>
        <v>20</v>
      </c>
      <c r="AA8" s="59">
        <f>'M1'!F6*1</f>
        <v>28.871700000000001</v>
      </c>
      <c r="AB8" s="59">
        <f>'M1'!G6*1</f>
        <v>40</v>
      </c>
      <c r="AC8" s="59">
        <f>'M1'!H6*1</f>
        <v>35.745600000000003</v>
      </c>
      <c r="AE8" s="27" t="str">
        <f t="shared" ref="AE8:AE16" si="12">V8</f>
        <v>压力</v>
      </c>
      <c r="AF8" s="59">
        <f>'M2'!B6*1</f>
        <v>31.357700000000001</v>
      </c>
      <c r="AG8" s="59">
        <f>'M2'!C6*1</f>
        <v>0.97921599999999998</v>
      </c>
      <c r="AH8" s="59">
        <f>'M2'!D6*1</f>
        <v>3.1227299999999998</v>
      </c>
      <c r="AI8" s="59">
        <f>'M2'!E6*1</f>
        <v>20</v>
      </c>
      <c r="AJ8" s="59">
        <f>'M2'!F6*1</f>
        <v>29.914999999999999</v>
      </c>
      <c r="AK8" s="59">
        <f>'M2'!G6*1</f>
        <v>40</v>
      </c>
      <c r="AL8" s="59">
        <f>'M2'!H6*1</f>
        <v>33.964300000000001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22.178800000000003</v>
      </c>
      <c r="D9" s="78">
        <f>N7</f>
        <v>2.9553000000000011</v>
      </c>
      <c r="E9" s="79">
        <f>T7</f>
        <v>1.0366</v>
      </c>
      <c r="F9" s="79">
        <f>P7</f>
        <v>-10.64448</v>
      </c>
      <c r="G9" s="80" t="str">
        <f>CONCATENATE(M8,"
(20 ~ 40)")</f>
        <v>压力
(20 ~ 40)</v>
      </c>
      <c r="H9" s="77">
        <f>R8</f>
        <v>1.0432999999999986</v>
      </c>
      <c r="I9" s="81">
        <f>N8</f>
        <v>-0.29739999999999966</v>
      </c>
      <c r="J9" s="77">
        <f>T8</f>
        <v>-1.7813000000000017</v>
      </c>
      <c r="K9" s="82">
        <f>P8</f>
        <v>-0.74072000000000005</v>
      </c>
      <c r="L9" s="6"/>
      <c r="M9" s="27" t="str">
        <f>lang!B16</f>
        <v>焦虑</v>
      </c>
      <c r="N9" s="59">
        <f t="shared" si="4"/>
        <v>9.6553000000000004</v>
      </c>
      <c r="O9" s="59">
        <f t="shared" si="5"/>
        <v>0.48113000000000028</v>
      </c>
      <c r="P9" s="59">
        <f t="shared" si="6"/>
        <v>-10.436800000000005</v>
      </c>
      <c r="Q9" s="59">
        <f t="shared" si="7"/>
        <v>0</v>
      </c>
      <c r="R9" s="59">
        <f t="shared" si="8"/>
        <v>4.6022600000000011</v>
      </c>
      <c r="S9" s="59">
        <f t="shared" si="9"/>
        <v>0</v>
      </c>
      <c r="T9" s="59">
        <f t="shared" si="10"/>
        <v>2.299199999999999</v>
      </c>
      <c r="U9" s="14"/>
      <c r="V9" s="27" t="str">
        <f t="shared" si="11"/>
        <v>焦虑</v>
      </c>
      <c r="W9" s="59">
        <f>'M1'!B7*1</f>
        <v>23.227799999999998</v>
      </c>
      <c r="X9" s="59">
        <f>'M1'!C7*1</f>
        <v>9.4136299999999995</v>
      </c>
      <c r="Y9" s="59">
        <f>'M1'!D7*1</f>
        <v>40.527500000000003</v>
      </c>
      <c r="Z9" s="59">
        <f>'M1'!E7*1</f>
        <v>15</v>
      </c>
      <c r="AA9" s="59">
        <f>'M1'!F7*1</f>
        <v>9.6924399999999995</v>
      </c>
      <c r="AB9" s="59">
        <f>'M1'!G7*1</f>
        <v>40</v>
      </c>
      <c r="AC9" s="59">
        <f>'M1'!H7*1</f>
        <v>47.833100000000002</v>
      </c>
      <c r="AE9" s="27" t="str">
        <f t="shared" si="12"/>
        <v>焦虑</v>
      </c>
      <c r="AF9" s="59">
        <f>'M2'!B7*1</f>
        <v>32.883099999999999</v>
      </c>
      <c r="AG9" s="59">
        <f>'M2'!C7*1</f>
        <v>9.8947599999999998</v>
      </c>
      <c r="AH9" s="59">
        <f>'M2'!D7*1</f>
        <v>30.090699999999998</v>
      </c>
      <c r="AI9" s="59">
        <f>'M2'!E7*1</f>
        <v>15</v>
      </c>
      <c r="AJ9" s="59">
        <f>'M2'!F7*1</f>
        <v>14.294700000000001</v>
      </c>
      <c r="AK9" s="59">
        <f>'M2'!G7*1</f>
        <v>40</v>
      </c>
      <c r="AL9" s="59">
        <f>'M2'!H7*1</f>
        <v>50.132300000000001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4.6022600000000011</v>
      </c>
      <c r="D10" s="51">
        <f>N9</f>
        <v>9.6553000000000004</v>
      </c>
      <c r="E10" s="53">
        <f>T9</f>
        <v>2.299199999999999</v>
      </c>
      <c r="F10" s="53">
        <f>P9</f>
        <v>-10.436800000000005</v>
      </c>
      <c r="G10" s="73" t="str">
        <f>CONCATENATE(M10,"
(20 ~ 50)")</f>
        <v>可疑
(20 ~ 50)</v>
      </c>
      <c r="H10" s="24">
        <f>R10</f>
        <v>7.1760000000000019</v>
      </c>
      <c r="I10" s="52">
        <f>N10</f>
        <v>3.6736000000000004</v>
      </c>
      <c r="J10" s="24">
        <f>T10</f>
        <v>2.4977000000000018</v>
      </c>
      <c r="K10" s="25">
        <f>P10</f>
        <v>-5.2159899999999997</v>
      </c>
      <c r="L10" s="4"/>
      <c r="M10" s="27" t="str">
        <f>lang!B17</f>
        <v>可疑</v>
      </c>
      <c r="N10" s="59">
        <f t="shared" si="4"/>
        <v>3.6736000000000004</v>
      </c>
      <c r="O10" s="59">
        <f t="shared" si="5"/>
        <v>-1.4710300000000003</v>
      </c>
      <c r="P10" s="59">
        <f t="shared" si="6"/>
        <v>-5.2159899999999997</v>
      </c>
      <c r="Q10" s="59">
        <f t="shared" si="7"/>
        <v>0</v>
      </c>
      <c r="R10" s="59">
        <f t="shared" si="8"/>
        <v>7.1760000000000019</v>
      </c>
      <c r="S10" s="59">
        <f t="shared" si="9"/>
        <v>0</v>
      </c>
      <c r="T10" s="59">
        <f t="shared" si="10"/>
        <v>2.4977000000000018</v>
      </c>
      <c r="U10" s="14"/>
      <c r="V10" s="27" t="str">
        <f t="shared" si="11"/>
        <v>可疑</v>
      </c>
      <c r="W10" s="59">
        <f>'M1'!B8*1</f>
        <v>34.547600000000003</v>
      </c>
      <c r="X10" s="59">
        <f>'M1'!C8*1</f>
        <v>4.9144300000000003</v>
      </c>
      <c r="Y10" s="59">
        <f>'M1'!D8*1</f>
        <v>14.225099999999999</v>
      </c>
      <c r="Z10" s="59">
        <f>'M1'!E8*1</f>
        <v>20</v>
      </c>
      <c r="AA10" s="59">
        <f>'M1'!F8*1</f>
        <v>25.859200000000001</v>
      </c>
      <c r="AB10" s="59">
        <f>'M1'!G8*1</f>
        <v>50</v>
      </c>
      <c r="AC10" s="59">
        <f>'M1'!H8*1</f>
        <v>43.267899999999997</v>
      </c>
      <c r="AE10" s="27" t="str">
        <f t="shared" si="12"/>
        <v>可疑</v>
      </c>
      <c r="AF10" s="59">
        <f>'M2'!B8*1</f>
        <v>38.221200000000003</v>
      </c>
      <c r="AG10" s="59">
        <f>'M2'!C8*1</f>
        <v>3.4434</v>
      </c>
      <c r="AH10" s="59">
        <f>'M2'!D8*1</f>
        <v>9.0091099999999997</v>
      </c>
      <c r="AI10" s="59">
        <f>'M2'!E8*1</f>
        <v>20</v>
      </c>
      <c r="AJ10" s="59">
        <f>'M2'!F8*1</f>
        <v>33.035200000000003</v>
      </c>
      <c r="AK10" s="59">
        <f>'M2'!G8*1</f>
        <v>50</v>
      </c>
      <c r="AL10" s="59">
        <f>'M2'!H8*1</f>
        <v>45.765599999999999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-10.444600000000001</v>
      </c>
      <c r="D11" s="52">
        <f>N11</f>
        <v>-0.91850000000000165</v>
      </c>
      <c r="E11" s="24">
        <f>T11</f>
        <v>-3.7472999999999956</v>
      </c>
      <c r="F11" s="24">
        <f>P11</f>
        <v>5.9725000000000001</v>
      </c>
      <c r="G11" s="73" t="str">
        <f>CONCATENATE(M12,"
(40 ~ 100)")</f>
        <v>自信
(40 ~ 100)</v>
      </c>
      <c r="H11" s="24">
        <f>R12</f>
        <v>-2.886099999999999</v>
      </c>
      <c r="I11" s="52">
        <f>N12</f>
        <v>-1.806200000000004</v>
      </c>
      <c r="J11" s="24">
        <f>T12</f>
        <v>-2.6136000000000053</v>
      </c>
      <c r="K11" s="25">
        <f>P12</f>
        <v>0.25025999999999993</v>
      </c>
      <c r="L11" s="4"/>
      <c r="M11" s="27" t="str">
        <f>lang!B18</f>
        <v>平衡</v>
      </c>
      <c r="N11" s="59">
        <f t="shared" si="4"/>
        <v>-0.91850000000000165</v>
      </c>
      <c r="O11" s="59">
        <f t="shared" si="5"/>
        <v>3.419550000000001</v>
      </c>
      <c r="P11" s="59">
        <f t="shared" si="6"/>
        <v>5.9725000000000001</v>
      </c>
      <c r="Q11" s="59">
        <f t="shared" si="7"/>
        <v>0</v>
      </c>
      <c r="R11" s="59">
        <f t="shared" si="8"/>
        <v>-10.444600000000001</v>
      </c>
      <c r="S11" s="59">
        <f t="shared" si="9"/>
        <v>0</v>
      </c>
      <c r="T11" s="59">
        <f t="shared" si="10"/>
        <v>-3.7472999999999956</v>
      </c>
      <c r="U11" s="14"/>
      <c r="V11" s="27" t="str">
        <f t="shared" si="11"/>
        <v>平衡</v>
      </c>
      <c r="W11" s="59">
        <f>'M1'!B9*1</f>
        <v>59.490400000000001</v>
      </c>
      <c r="X11" s="59">
        <f>'M1'!C9*1</f>
        <v>5.0944599999999998</v>
      </c>
      <c r="Y11" s="59">
        <f>'M1'!D9*1</f>
        <v>8.5634999999999994</v>
      </c>
      <c r="Z11" s="59">
        <f>'M1'!E9*1</f>
        <v>50</v>
      </c>
      <c r="AA11" s="59">
        <f>'M1'!F9*1</f>
        <v>49.154699999999998</v>
      </c>
      <c r="AB11" s="59">
        <f>'M1'!G9*1</f>
        <v>100</v>
      </c>
      <c r="AC11" s="59">
        <f>'M1'!H9*1</f>
        <v>74.296300000000002</v>
      </c>
      <c r="AE11" s="27" t="str">
        <f t="shared" si="12"/>
        <v>平衡</v>
      </c>
      <c r="AF11" s="59">
        <f>'M2'!B9*1</f>
        <v>58.571899999999999</v>
      </c>
      <c r="AG11" s="59">
        <f>'M2'!C9*1</f>
        <v>8.5140100000000007</v>
      </c>
      <c r="AH11" s="59">
        <f>'M2'!D9*1</f>
        <v>14.536</v>
      </c>
      <c r="AI11" s="59">
        <f>'M2'!E9*1</f>
        <v>50</v>
      </c>
      <c r="AJ11" s="59">
        <f>'M2'!F9*1</f>
        <v>38.710099999999997</v>
      </c>
      <c r="AK11" s="59">
        <f>'M2'!G9*1</f>
        <v>100</v>
      </c>
      <c r="AL11" s="59">
        <f>'M2'!H9*1</f>
        <v>70.549000000000007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14.598600000000001</v>
      </c>
      <c r="D12" s="51">
        <f>N13</f>
        <v>2.6662999999999961</v>
      </c>
      <c r="E12" s="53">
        <f>T13</f>
        <v>5.128700000000002</v>
      </c>
      <c r="F12" s="53">
        <f>P13</f>
        <v>-10.559449999999998</v>
      </c>
      <c r="G12" s="73" t="str">
        <f>CONCATENATE(M14,"
(50 ~ 100)")</f>
        <v>自我调节
(50 ~ 100)</v>
      </c>
      <c r="H12" s="24">
        <f>R14</f>
        <v>-8.2286000000000001</v>
      </c>
      <c r="I12" s="52">
        <f>N14</f>
        <v>-1.77770000000001</v>
      </c>
      <c r="J12" s="24">
        <f>T14</f>
        <v>-1.5134999999999934</v>
      </c>
      <c r="K12" s="25">
        <f>P14</f>
        <v>3.8290799999999998</v>
      </c>
      <c r="L12" s="4"/>
      <c r="M12" s="27" t="str">
        <f>lang!B19</f>
        <v>自信</v>
      </c>
      <c r="N12" s="59">
        <f t="shared" si="4"/>
        <v>-1.806200000000004</v>
      </c>
      <c r="O12" s="59">
        <f t="shared" si="5"/>
        <v>0.14470999999999989</v>
      </c>
      <c r="P12" s="59">
        <f t="shared" si="6"/>
        <v>0.25025999999999993</v>
      </c>
      <c r="Q12" s="59">
        <f t="shared" si="7"/>
        <v>0</v>
      </c>
      <c r="R12" s="59">
        <f t="shared" si="8"/>
        <v>-2.886099999999999</v>
      </c>
      <c r="S12" s="59">
        <f t="shared" si="9"/>
        <v>0</v>
      </c>
      <c r="T12" s="59">
        <f t="shared" si="10"/>
        <v>-2.6136000000000053</v>
      </c>
      <c r="U12" s="15"/>
      <c r="V12" s="27" t="str">
        <f t="shared" si="11"/>
        <v>自信</v>
      </c>
      <c r="W12" s="59">
        <f>'M1'!B10*1</f>
        <v>76.238100000000003</v>
      </c>
      <c r="X12" s="59">
        <f>'M1'!C10*1</f>
        <v>1.75404</v>
      </c>
      <c r="Y12" s="59">
        <f>'M1'!D10*1</f>
        <v>2.3007300000000002</v>
      </c>
      <c r="Z12" s="59">
        <f>'M1'!E10*1</f>
        <v>40</v>
      </c>
      <c r="AA12" s="59">
        <f>'M1'!F10*1</f>
        <v>71.435000000000002</v>
      </c>
      <c r="AB12" s="59">
        <f>'M1'!G10*1</f>
        <v>100</v>
      </c>
      <c r="AC12" s="59">
        <f>'M1'!H10*1</f>
        <v>79.855500000000006</v>
      </c>
      <c r="AE12" s="27" t="str">
        <f t="shared" si="12"/>
        <v>自信</v>
      </c>
      <c r="AF12" s="59">
        <f>'M2'!B10*1</f>
        <v>74.431899999999999</v>
      </c>
      <c r="AG12" s="59">
        <f>'M2'!C10*1</f>
        <v>1.8987499999999999</v>
      </c>
      <c r="AH12" s="59">
        <f>'M2'!D10*1</f>
        <v>2.5509900000000001</v>
      </c>
      <c r="AI12" s="59">
        <f>'M2'!E10*1</f>
        <v>40</v>
      </c>
      <c r="AJ12" s="59">
        <f>'M2'!F10*1</f>
        <v>68.548900000000003</v>
      </c>
      <c r="AK12" s="59">
        <f>'M2'!G10*1</f>
        <v>100</v>
      </c>
      <c r="AL12" s="59">
        <f>'M2'!H10*1</f>
        <v>77.241900000000001</v>
      </c>
    </row>
    <row r="13" spans="2:38" ht="25.5" customHeight="1" thickBot="1">
      <c r="B13" s="72" t="str">
        <f>CONCATENATE(M15,"
(10 ~ 25)")</f>
        <v>抑郁
(10 ~ 25)</v>
      </c>
      <c r="C13" s="54">
        <f>R15</f>
        <v>-0.88090000000000046</v>
      </c>
      <c r="D13" s="55">
        <f>N15</f>
        <v>-3.5717999999999996</v>
      </c>
      <c r="E13" s="56">
        <f>T15</f>
        <v>-0.57160000000000011</v>
      </c>
      <c r="F13" s="56">
        <f>P15</f>
        <v>3.8691000000000013</v>
      </c>
      <c r="G13" s="74" t="str">
        <f>CONCATENATE(M16,"
(10 ~ 50)")</f>
        <v>神经质
(10 ~ 50)</v>
      </c>
      <c r="H13" s="54">
        <f>R16</f>
        <v>1.7024210000000002</v>
      </c>
      <c r="I13" s="55">
        <f>N16</f>
        <v>2.9059999999999988</v>
      </c>
      <c r="J13" s="56">
        <f>T16</f>
        <v>-16.142099999999999</v>
      </c>
      <c r="K13" s="57">
        <f>P16</f>
        <v>-8.860199999999999</v>
      </c>
      <c r="M13" s="27" t="str">
        <f>lang!B20</f>
        <v>活力</v>
      </c>
      <c r="N13" s="59">
        <f t="shared" si="4"/>
        <v>2.6662999999999961</v>
      </c>
      <c r="O13" s="59">
        <f t="shared" si="5"/>
        <v>-2.8814800000000003</v>
      </c>
      <c r="P13" s="59">
        <f t="shared" si="6"/>
        <v>-10.559449999999998</v>
      </c>
      <c r="Q13" s="59">
        <f t="shared" si="7"/>
        <v>0</v>
      </c>
      <c r="R13" s="59">
        <f t="shared" si="8"/>
        <v>14.598600000000001</v>
      </c>
      <c r="S13" s="59">
        <f t="shared" si="9"/>
        <v>0</v>
      </c>
      <c r="T13" s="59">
        <f t="shared" si="10"/>
        <v>5.128700000000002</v>
      </c>
      <c r="U13" s="14"/>
      <c r="V13" s="27" t="str">
        <f t="shared" si="11"/>
        <v>活力</v>
      </c>
      <c r="W13" s="59">
        <f>'M1'!B11*1</f>
        <v>29.754000000000001</v>
      </c>
      <c r="X13" s="59">
        <f>'M1'!C11*1</f>
        <v>6.0471500000000002</v>
      </c>
      <c r="Y13" s="59">
        <f>'M1'!D11*1</f>
        <v>20.323899999999998</v>
      </c>
      <c r="Z13" s="59">
        <f>'M1'!E11*1</f>
        <v>10</v>
      </c>
      <c r="AA13" s="59">
        <f>'M1'!F11*1</f>
        <v>13.8964</v>
      </c>
      <c r="AB13" s="59">
        <f>'M1'!G11*1</f>
        <v>50</v>
      </c>
      <c r="AC13" s="59">
        <f>'M1'!H11*1</f>
        <v>34.007100000000001</v>
      </c>
      <c r="AE13" s="27" t="str">
        <f t="shared" si="12"/>
        <v>活力</v>
      </c>
      <c r="AF13" s="59">
        <f>'M2'!B11*1</f>
        <v>32.420299999999997</v>
      </c>
      <c r="AG13" s="59">
        <f>'M2'!C11*1</f>
        <v>3.16567</v>
      </c>
      <c r="AH13" s="59">
        <f>'M2'!D11*1</f>
        <v>9.7644500000000001</v>
      </c>
      <c r="AI13" s="59">
        <f>'M2'!E11*1</f>
        <v>10</v>
      </c>
      <c r="AJ13" s="59">
        <f>'M2'!F11*1</f>
        <v>28.495000000000001</v>
      </c>
      <c r="AK13" s="59">
        <f>'M2'!G11*1</f>
        <v>50</v>
      </c>
      <c r="AL13" s="59">
        <f>'M2'!H11*1</f>
        <v>39.135800000000003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-1.77770000000001</v>
      </c>
      <c r="O14" s="59">
        <f t="shared" si="5"/>
        <v>2.4711099999999995</v>
      </c>
      <c r="P14" s="59">
        <f t="shared" si="6"/>
        <v>3.8290799999999998</v>
      </c>
      <c r="Q14" s="59">
        <f t="shared" si="7"/>
        <v>0</v>
      </c>
      <c r="R14" s="59">
        <f t="shared" si="8"/>
        <v>-8.2286000000000001</v>
      </c>
      <c r="S14" s="59">
        <f t="shared" si="9"/>
        <v>0</v>
      </c>
      <c r="T14" s="59">
        <f t="shared" si="10"/>
        <v>-1.5134999999999934</v>
      </c>
      <c r="U14" s="14"/>
      <c r="V14" s="27" t="str">
        <f t="shared" si="11"/>
        <v>自我调节</v>
      </c>
      <c r="W14" s="59">
        <f>'M1'!B12*1</f>
        <v>67.979200000000006</v>
      </c>
      <c r="X14" s="59">
        <f>'M1'!C12*1</f>
        <v>2.4397700000000002</v>
      </c>
      <c r="Y14" s="59">
        <f>'M1'!D12*1</f>
        <v>3.589</v>
      </c>
      <c r="Z14" s="59">
        <f>'M1'!E12*1</f>
        <v>50</v>
      </c>
      <c r="AA14" s="59">
        <f>'M1'!F12*1</f>
        <v>61.8581</v>
      </c>
      <c r="AB14" s="59">
        <f>'M1'!G12*1</f>
        <v>100</v>
      </c>
      <c r="AC14" s="59">
        <f>'M1'!H12*1</f>
        <v>74.696299999999994</v>
      </c>
      <c r="AE14" s="27" t="str">
        <f t="shared" si="12"/>
        <v>自我调节</v>
      </c>
      <c r="AF14" s="59">
        <f>'M2'!B12*1</f>
        <v>66.201499999999996</v>
      </c>
      <c r="AG14" s="59">
        <f>'M2'!C12*1</f>
        <v>4.9108799999999997</v>
      </c>
      <c r="AH14" s="59">
        <f>'M2'!D12*1</f>
        <v>7.4180799999999998</v>
      </c>
      <c r="AI14" s="59">
        <f>'M2'!E12*1</f>
        <v>50</v>
      </c>
      <c r="AJ14" s="59">
        <f>'M2'!F12*1</f>
        <v>53.6295</v>
      </c>
      <c r="AK14" s="59">
        <f>'M2'!G12*1</f>
        <v>100</v>
      </c>
      <c r="AL14" s="59">
        <f>'M2'!H12*1</f>
        <v>73.1828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-3.5717999999999996</v>
      </c>
      <c r="O15" s="59">
        <f t="shared" si="5"/>
        <v>0.29059999999999997</v>
      </c>
      <c r="P15" s="59">
        <f t="shared" si="6"/>
        <v>3.8691000000000013</v>
      </c>
      <c r="Q15" s="59">
        <f t="shared" si="7"/>
        <v>0</v>
      </c>
      <c r="R15" s="59">
        <f t="shared" si="8"/>
        <v>-0.88090000000000046</v>
      </c>
      <c r="S15" s="59">
        <f t="shared" si="9"/>
        <v>0</v>
      </c>
      <c r="T15" s="59">
        <f t="shared" si="10"/>
        <v>-0.57160000000000011</v>
      </c>
      <c r="U15" s="14"/>
      <c r="V15" s="27" t="str">
        <f t="shared" si="11"/>
        <v>抑郁</v>
      </c>
      <c r="W15" s="59">
        <f>'M1'!B13*1</f>
        <v>23.886600000000001</v>
      </c>
      <c r="X15" s="59">
        <f>'M1'!C13*1</f>
        <v>3.3130600000000001</v>
      </c>
      <c r="Y15" s="59">
        <f>'M1'!D13*1</f>
        <v>13.87</v>
      </c>
      <c r="Z15" s="59">
        <f>'M1'!E13*1</f>
        <v>10</v>
      </c>
      <c r="AA15" s="59">
        <f>'M1'!F13*1</f>
        <v>15.0931</v>
      </c>
      <c r="AB15" s="59">
        <f>'M1'!G13*1</f>
        <v>25</v>
      </c>
      <c r="AC15" s="59">
        <f>'M1'!H13*1</f>
        <v>31.748799999999999</v>
      </c>
      <c r="AE15" s="27" t="str">
        <f t="shared" si="12"/>
        <v>抑郁</v>
      </c>
      <c r="AF15" s="59">
        <f>'M2'!B13*1</f>
        <v>20.314800000000002</v>
      </c>
      <c r="AG15" s="59">
        <f>'M2'!C13*1</f>
        <v>3.6036600000000001</v>
      </c>
      <c r="AH15" s="59">
        <f>'M2'!D13*1</f>
        <v>17.739100000000001</v>
      </c>
      <c r="AI15" s="59">
        <f>'M2'!E13*1</f>
        <v>10</v>
      </c>
      <c r="AJ15" s="59">
        <f>'M2'!F13*1</f>
        <v>14.212199999999999</v>
      </c>
      <c r="AK15" s="59">
        <f>'M2'!G13*1</f>
        <v>25</v>
      </c>
      <c r="AL15" s="59">
        <f>'M2'!H13*1</f>
        <v>31.177199999999999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2.9059999999999988</v>
      </c>
      <c r="O16" s="59">
        <f t="shared" si="5"/>
        <v>-1.9254999999999995</v>
      </c>
      <c r="P16" s="59">
        <f t="shared" si="6"/>
        <v>-8.860199999999999</v>
      </c>
      <c r="Q16" s="59">
        <f t="shared" si="7"/>
        <v>0</v>
      </c>
      <c r="R16" s="59">
        <f t="shared" si="8"/>
        <v>1.7024210000000002</v>
      </c>
      <c r="S16" s="59">
        <f t="shared" si="9"/>
        <v>0</v>
      </c>
      <c r="T16" s="59">
        <f t="shared" si="10"/>
        <v>-16.142099999999999</v>
      </c>
      <c r="U16" s="15"/>
      <c r="V16" s="27" t="str">
        <f t="shared" si="11"/>
        <v>神经质</v>
      </c>
      <c r="W16" s="59">
        <f>'M1'!B14*1</f>
        <v>33.130600000000001</v>
      </c>
      <c r="X16" s="59">
        <f>'M1'!C14*1</f>
        <v>14.449</v>
      </c>
      <c r="Y16" s="59">
        <f>'M1'!D14*1</f>
        <v>43.612299999999998</v>
      </c>
      <c r="Z16" s="59">
        <f>'M1'!E14*1</f>
        <v>10</v>
      </c>
      <c r="AA16" s="59">
        <f>'M1'!F14*1</f>
        <v>0.60249900000000001</v>
      </c>
      <c r="AB16" s="59">
        <f>'M1'!G14*1</f>
        <v>50</v>
      </c>
      <c r="AC16" s="59">
        <f>'M1'!H14*1</f>
        <v>55.6098</v>
      </c>
      <c r="AE16" s="27" t="str">
        <f t="shared" si="12"/>
        <v>神经质</v>
      </c>
      <c r="AF16" s="59">
        <f>'M2'!B14*1</f>
        <v>36.0366</v>
      </c>
      <c r="AG16" s="59">
        <f>'M2'!C14*1</f>
        <v>12.5235</v>
      </c>
      <c r="AH16" s="59">
        <f>'M2'!D14*1</f>
        <v>34.752099999999999</v>
      </c>
      <c r="AI16" s="59">
        <f>'M2'!E14*1</f>
        <v>10</v>
      </c>
      <c r="AJ16" s="59">
        <f>'M2'!F14*1</f>
        <v>2.3049200000000001</v>
      </c>
      <c r="AK16" s="59">
        <f>'M2'!G14*1</f>
        <v>50</v>
      </c>
      <c r="AL16" s="59">
        <f>'M2'!H14*1</f>
        <v>39.467700000000001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-0.4590250000000049</v>
      </c>
      <c r="O17" s="22">
        <f>N17/(N17+N18+N19)</f>
        <v>-0.14323158412057183</v>
      </c>
      <c r="P17" s="65">
        <f>SUM(P11:P14)/4</f>
        <v>-0.12690249999999959</v>
      </c>
      <c r="Q17" s="22">
        <f>P17/(P17+P18+P19)</f>
        <v>1.3526239214662153E-2</v>
      </c>
      <c r="R17" s="14"/>
      <c r="S17" s="14"/>
      <c r="T17" s="14"/>
      <c r="U17" s="14"/>
      <c r="V17" s="21" t="str">
        <f>M17</f>
        <v>Positive</v>
      </c>
      <c r="W17" s="65">
        <f>SUM(W11:W14)/4</f>
        <v>58.365425000000002</v>
      </c>
      <c r="X17" s="22">
        <f>W17/(W17+W18+W19)</f>
        <v>0.48221392122822582</v>
      </c>
      <c r="Y17" s="65">
        <f>SUM(Y11:Y14)/4</f>
        <v>8.6942824999999999</v>
      </c>
      <c r="Z17" s="22">
        <f>Y17/(Y17+Y18+Y19)</f>
        <v>0.15342796417024621</v>
      </c>
      <c r="AA17" s="14"/>
      <c r="AB17" s="14"/>
      <c r="AC17" s="14"/>
      <c r="AE17" s="21" t="str">
        <f>V17</f>
        <v>Positive</v>
      </c>
      <c r="AF17" s="65">
        <f>SUM(AF11:AF14)/4</f>
        <v>57.906400000000005</v>
      </c>
      <c r="AG17" s="22">
        <f>AF17/(AF17+AF18+AF19)</f>
        <v>0.46608068260797653</v>
      </c>
      <c r="AH17" s="65">
        <f>SUM(AH11:AH14)/4</f>
        <v>8.56738</v>
      </c>
      <c r="AI17" s="22">
        <f>AH17/(AH17+AH18+AH19)</f>
        <v>0.18118630633191302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3.9967000000000006</v>
      </c>
      <c r="O18" s="22">
        <f>N18/(N17+N18+N19)</f>
        <v>1.2471078312830095</v>
      </c>
      <c r="P18" s="18">
        <f>SUM(P7:P10)/4</f>
        <v>-6.7594975000000002</v>
      </c>
      <c r="Q18" s="22">
        <f>P18/(P17+P18+P19)</f>
        <v>0.72047895160387765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34.162350000000004</v>
      </c>
      <c r="X18" s="22">
        <f>W18/(W17+W18+W19)</f>
        <v>0.28224862154042535</v>
      </c>
      <c r="Y18" s="18">
        <f>SUM(Y7:Y10)/4</f>
        <v>19.231437500000002</v>
      </c>
      <c r="Z18" s="22">
        <f>Y18/(Y17+Y18+Y19)</f>
        <v>0.33937709105867325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38.159050000000001</v>
      </c>
      <c r="AG18" s="22">
        <f>AF18/(AF17+AF18+AF19)</f>
        <v>0.30713696709986987</v>
      </c>
      <c r="AH18" s="18">
        <f>SUM(AH7:AH10)/4</f>
        <v>12.471939999999998</v>
      </c>
      <c r="AI18" s="22">
        <f>AH18/(AH17+AH18+AH19)</f>
        <v>0.2637614698301276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-0.33290000000000042</v>
      </c>
      <c r="O19" s="22">
        <f>N19/(N17+N18+N19)</f>
        <v>-0.10387624716243758</v>
      </c>
      <c r="P19" s="18">
        <f>(P15+P16)/2</f>
        <v>-2.4955499999999988</v>
      </c>
      <c r="Q19" s="22">
        <f>P19/(P17+P18+P19)</f>
        <v>0.26599480918146001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28.508600000000001</v>
      </c>
      <c r="X19" s="22">
        <f>W19/(W17+W18+W19)</f>
        <v>0.23553745723134883</v>
      </c>
      <c r="Y19" s="18">
        <f>(Y15+Y16)/2</f>
        <v>28.741149999999998</v>
      </c>
      <c r="Z19" s="22">
        <f>Y19/(Y17+Y18+Y19)</f>
        <v>0.5071949447710804</v>
      </c>
      <c r="AA19" s="14"/>
      <c r="AB19" s="14"/>
      <c r="AC19" s="14"/>
      <c r="AE19" s="21" t="str">
        <f t="shared" si="14"/>
        <v>Physiological</v>
      </c>
      <c r="AF19" s="18">
        <f>(AF15+AF16)/2</f>
        <v>28.175699999999999</v>
      </c>
      <c r="AG19" s="22">
        <f>AF19/(AF17+AF18+AF19)</f>
        <v>0.2267823502921536</v>
      </c>
      <c r="AH19" s="18">
        <f>(AH15+AH16)/2</f>
        <v>26.2456</v>
      </c>
      <c r="AI19" s="22">
        <f>AH19/(AH17+AH18+AH19)</f>
        <v>0.55505222383795938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2.04/2.4</v>
      </c>
      <c r="D24" s="44" t="str">
        <f>lang!B11</f>
        <v>频率方差</v>
      </c>
      <c r="E24" s="142" t="str">
        <f ca="1">CONCATENATE(ROUND('FH1'!L3,2),"/",ROUND('FH2'!L3,2))</f>
        <v>0.73/0.74</v>
      </c>
      <c r="F24" s="143"/>
      <c r="G24" s="134" t="str">
        <f>lang!B12</f>
        <v>生理变化率</v>
      </c>
      <c r="H24" s="135"/>
      <c r="I24" s="62" t="str">
        <f ca="1">CONCATENATE(info!M7,"-",info!M8)</f>
        <v>20.4-41.3</v>
      </c>
      <c r="J24" s="42" t="str">
        <f>lang!B13</f>
        <v>千卡l/分钟</v>
      </c>
      <c r="K24" s="41" t="str">
        <f ca="1">CONCATENATE(info!M5,"-",info!M6)</f>
        <v>3.1-5.3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5.4837000000000025</v>
      </c>
      <c r="F27" s="164"/>
      <c r="G27" s="178" t="str">
        <f>lang!B33</f>
        <v>稳定性</v>
      </c>
      <c r="H27" s="179"/>
      <c r="I27" s="180"/>
      <c r="J27" s="181">
        <f>dM!B19*100</f>
        <v>8.7440000000000015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-0.54967445658499581</v>
      </c>
      <c r="C2">
        <f t="array" aca="1" ref="C2" ca="1">CORREL(FT_E02,FT_PH02)</f>
        <v>0.29440053239983188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3.06562</v>
      </c>
      <c r="G2" s="61">
        <f>IF(FT!B2&lt;&gt;"",FT!B2*100,"")</f>
        <v>41.3491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3.1393900000000001</v>
      </c>
      <c r="G3" s="61">
        <f>IF(FT!B3&lt;&gt;"",FT!B3*100,"")</f>
        <v>39.936399999999999</v>
      </c>
      <c r="H3" s="61">
        <f t="shared" ref="H3:H66" si="1">(IF(F3&lt;&gt;"",1,""))</f>
        <v>1</v>
      </c>
      <c r="I3" t="str">
        <f>IF(FT!B3&lt;&gt;"",FT!E3,"")</f>
        <v>1 [0.385045]</v>
      </c>
      <c r="J3">
        <f>IF(FT!B3&lt;&gt;"",FT!C3,"")</f>
        <v>0.38504500000000003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0.31551428378378371</v>
      </c>
      <c r="V3">
        <f ca="1">AVERAGE(OFFSET(FT!B2,info!$L$3/2,0,info!$L$3/2,1))</f>
        <v>0.24094328378378371</v>
      </c>
      <c r="W3">
        <f ca="1">AVERAGE(OFFSET(FT!A2,0,0,info!$L$3/2,1))</f>
        <v>0.43147104054054053</v>
      </c>
      <c r="X3">
        <f ca="1">AVERAGE(OFFSET(FT!A2,info!$L$3/2,0,info!$L$3/2,1))</f>
        <v>0.49092447297297331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3.2091700000000003</v>
      </c>
      <c r="G4" s="61">
        <f>IF(FT!B4&lt;&gt;"",FT!B4*100,"")</f>
        <v>38.671399999999998</v>
      </c>
      <c r="H4" s="61">
        <f t="shared" si="1"/>
        <v>1</v>
      </c>
      <c r="I4" t="str">
        <f>IF(FT!B4&lt;&gt;"",FT!E4,"")</f>
        <v>1 [0.788340]</v>
      </c>
      <c r="J4">
        <f>IF(FT!B4&lt;&gt;"",FT!C4,"")</f>
        <v>0.78834000000000004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14.939975</v>
      </c>
      <c r="V4">
        <f>U4*3</f>
        <v>44.819924999999998</v>
      </c>
      <c r="W4">
        <f>U4</f>
        <v>14.939975</v>
      </c>
      <c r="X4">
        <f>V4</f>
        <v>44.819924999999998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3.2789800000000002</v>
      </c>
      <c r="G5" s="61">
        <f>IF(FT!B5&lt;&gt;"",FT!B5*100,"")</f>
        <v>37.323599999999999</v>
      </c>
      <c r="H5" s="61">
        <f t="shared" si="1"/>
        <v>1</v>
      </c>
      <c r="I5" t="str">
        <f>IF(FT!B5&lt;&gt;"",FT!E5,"")</f>
        <v>1 [1.193690]</v>
      </c>
      <c r="J5">
        <f>IF(FT!B5&lt;&gt;"",FT!C5,"")</f>
        <v>1.1936899999999999</v>
      </c>
      <c r="K5" t="s">
        <v>53</v>
      </c>
      <c r="L5" s="63">
        <f ca="1">MIN(FT_E)</f>
        <v>3.06562</v>
      </c>
      <c r="M5" s="63">
        <f ca="1">ROUND(L5,1)</f>
        <v>3.1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31.551428378378372</v>
      </c>
      <c r="V5">
        <f ca="1">V3*100</f>
        <v>24.094328378378371</v>
      </c>
      <c r="W5">
        <f ca="1">W3*10</f>
        <v>4.3147104054054051</v>
      </c>
      <c r="X5">
        <f ca="1">X3*10</f>
        <v>4.9092447297297328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3.34544</v>
      </c>
      <c r="G6" s="61">
        <f>IF(FT!B6&lt;&gt;"",FT!B6*100,"")</f>
        <v>36.062899999999999</v>
      </c>
      <c r="H6" s="61">
        <f t="shared" si="1"/>
        <v>1</v>
      </c>
      <c r="I6" t="str">
        <f>IF(FT!B6&lt;&gt;"",FT!E6,"")</f>
        <v>1 [1.603381]</v>
      </c>
      <c r="J6">
        <f>IF(FT!B6&lt;&gt;"",FT!C6,"")</f>
        <v>1.60338</v>
      </c>
      <c r="K6" t="s">
        <v>54</v>
      </c>
      <c r="L6" s="63">
        <f ca="1">MAX(FT_E)</f>
        <v>5.2529700000000004</v>
      </c>
      <c r="M6" s="63">
        <f ca="1">ROUND(L6,1)</f>
        <v>5.3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3.40768</v>
      </c>
      <c r="G7" s="61">
        <f>IF(FT!B7&lt;&gt;"",FT!B7*100,"")</f>
        <v>34.992100000000001</v>
      </c>
      <c r="H7" s="61">
        <f t="shared" si="1"/>
        <v>1</v>
      </c>
      <c r="I7" t="str">
        <f>IF(FT!B7&lt;&gt;"",FT!E7,"")</f>
        <v>1 [2.013069]</v>
      </c>
      <c r="J7">
        <f>IF(FT!B7&lt;&gt;"",FT!C7,"")</f>
        <v>2.0130699999999999</v>
      </c>
      <c r="K7" t="s">
        <v>55</v>
      </c>
      <c r="L7" s="63">
        <f ca="1">MIN(FT_PH)</f>
        <v>20.387</v>
      </c>
      <c r="M7" s="63">
        <f ca="1">ROUND(L7,1)</f>
        <v>20.399999999999999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3895</v>
      </c>
      <c r="D8" s="61">
        <f>FH!B8*1</f>
        <v>3895</v>
      </c>
      <c r="E8">
        <f t="shared" si="3"/>
        <v>6</v>
      </c>
      <c r="F8" s="61">
        <f>IF(FT!A8&lt;&gt;"",FT!A8*10,"")</f>
        <v>3.4685199999999998</v>
      </c>
      <c r="G8" s="61">
        <f>IF(FT!B8&lt;&gt;"",FT!B8*100,"")</f>
        <v>34.018100000000004</v>
      </c>
      <c r="H8" s="61">
        <f t="shared" si="1"/>
        <v>1</v>
      </c>
      <c r="I8" t="str">
        <f>IF(FT!B8&lt;&gt;"",FT!E8,"")</f>
        <v>1 [2.414933]</v>
      </c>
      <c r="J8">
        <f>IF(FT!B8&lt;&gt;"",FT!C8,"")</f>
        <v>2.41493</v>
      </c>
      <c r="K8" t="s">
        <v>56</v>
      </c>
      <c r="L8" s="63">
        <f ca="1">MAX(FT_PH)</f>
        <v>41.3491</v>
      </c>
      <c r="M8" s="63">
        <f ca="1">ROUND(L8,1)</f>
        <v>41.3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3.5274200000000002</v>
      </c>
      <c r="G9" s="61">
        <f>IF(FT!B9&lt;&gt;"",FT!B9*100,"")</f>
        <v>33.147599999999997</v>
      </c>
      <c r="H9" s="61">
        <f t="shared" si="1"/>
        <v>1</v>
      </c>
      <c r="I9" t="str">
        <f>IF(FT!B9&lt;&gt;"",FT!E9,"")</f>
        <v>1 [2.820016]</v>
      </c>
      <c r="J9">
        <f>IF(FT!B9&lt;&gt;"",FT!C9,"")</f>
        <v>2.82002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7757</v>
      </c>
      <c r="D10" s="61">
        <f>FH!B10*1</f>
        <v>7757</v>
      </c>
      <c r="E10">
        <f t="shared" si="3"/>
        <v>8</v>
      </c>
      <c r="F10" s="61">
        <f>IF(FT!A10&lt;&gt;"",FT!A10*10,"")</f>
        <v>3.5850900000000001</v>
      </c>
      <c r="G10" s="61">
        <f>IF(FT!B10&lt;&gt;"",FT!B10*100,"")</f>
        <v>32.427299999999995</v>
      </c>
      <c r="H10" s="61">
        <f t="shared" si="1"/>
        <v>1</v>
      </c>
      <c r="I10" t="str">
        <f>IF(FT!B10&lt;&gt;"",FT!E10,"")</f>
        <v>1 [3.225548]</v>
      </c>
      <c r="J10">
        <f>IF(FT!B10&lt;&gt;"",FT!C10,"")</f>
        <v>3.2255500000000001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3.6411100000000003</v>
      </c>
      <c r="G11" s="61">
        <f>IF(FT!B11&lt;&gt;"",FT!B11*100,"")</f>
        <v>31.852699999999999</v>
      </c>
      <c r="H11" s="61">
        <f t="shared" si="1"/>
        <v>1</v>
      </c>
      <c r="I11" t="str">
        <f>IF(FT!B11&lt;&gt;"",FT!E11,"")</f>
        <v>1 [3.635958]</v>
      </c>
      <c r="J11">
        <f>IF(FT!B11&lt;&gt;"",FT!C11,"")</f>
        <v>3.6359599999999999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3.6982200000000001</v>
      </c>
      <c r="G12" s="61">
        <f>IF(FT!B12&lt;&gt;"",FT!B12*100,"")</f>
        <v>31.341999999999999</v>
      </c>
      <c r="H12" s="61">
        <f t="shared" si="1"/>
        <v>1</v>
      </c>
      <c r="I12" t="str">
        <f>IF(FT!B12&lt;&gt;"",FT!E12,"")</f>
        <v>1 [4.040875]</v>
      </c>
      <c r="J12">
        <f>IF(FT!B12&lt;&gt;"",FT!C12,"")</f>
        <v>4.04087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13667</v>
      </c>
      <c r="D13" s="61">
        <f>FH!B13*1</f>
        <v>13667</v>
      </c>
      <c r="E13">
        <f t="shared" si="3"/>
        <v>11</v>
      </c>
      <c r="F13" s="61">
        <f>IF(FT!A13&lt;&gt;"",FT!A13*10,"")</f>
        <v>3.7547100000000002</v>
      </c>
      <c r="G13" s="61">
        <f>IF(FT!B13&lt;&gt;"",FT!B13*100,"")</f>
        <v>30.854399999999998</v>
      </c>
      <c r="H13" s="61">
        <f t="shared" si="1"/>
        <v>1</v>
      </c>
      <c r="I13" t="str">
        <f>IF(FT!B13&lt;&gt;"",FT!E13,"")</f>
        <v>1 [4.447622]</v>
      </c>
      <c r="J13">
        <f>IF(FT!B13&lt;&gt;"",FT!C13,"")</f>
        <v>4.4476199999999997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3.81108</v>
      </c>
      <c r="G14" s="61">
        <f>IF(FT!B14&lt;&gt;"",FT!B14*100,"")</f>
        <v>30.307000000000002</v>
      </c>
      <c r="H14" s="61">
        <f t="shared" si="1"/>
        <v>1</v>
      </c>
      <c r="I14" t="str">
        <f>IF(FT!B14&lt;&gt;"",FT!E14,"")</f>
        <v>1 [4.851834]</v>
      </c>
      <c r="J14">
        <f>IF(FT!B14&lt;&gt;"",FT!C14,"")</f>
        <v>4.8518299999999996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14138</v>
      </c>
      <c r="D15" s="61">
        <f>FH!B15*1</f>
        <v>14138</v>
      </c>
      <c r="E15">
        <f t="shared" si="3"/>
        <v>13</v>
      </c>
      <c r="F15" s="61">
        <f>IF(FT!A15&lt;&gt;"",FT!A15*10,"")</f>
        <v>3.8652199999999999</v>
      </c>
      <c r="G15" s="61">
        <f>IF(FT!B15&lt;&gt;"",FT!B15*100,"")</f>
        <v>29.797800000000002</v>
      </c>
      <c r="H15" s="61">
        <f t="shared" si="1"/>
        <v>1</v>
      </c>
      <c r="I15" t="str">
        <f>IF(FT!B15&lt;&gt;"",FT!E15,"")</f>
        <v>1 [5.259149]</v>
      </c>
      <c r="J15">
        <f>IF(FT!B15&lt;&gt;"",FT!C15,"")</f>
        <v>5.25915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3.91974</v>
      </c>
      <c r="G16" s="61">
        <f>IF(FT!B16&lt;&gt;"",FT!B16*100,"")</f>
        <v>29.2974</v>
      </c>
      <c r="H16" s="61">
        <f t="shared" si="1"/>
        <v>1</v>
      </c>
      <c r="I16" t="str">
        <f>IF(FT!B16&lt;&gt;"",FT!E16,"")</f>
        <v>1 [5.665260]</v>
      </c>
      <c r="J16">
        <f>IF(FT!B16&lt;&gt;"",FT!C16,"")</f>
        <v>5.66526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3.9735300000000002</v>
      </c>
      <c r="G17" s="61">
        <f>IF(FT!B17&lt;&gt;"",FT!B17*100,"")</f>
        <v>28.876400000000004</v>
      </c>
      <c r="H17" s="61">
        <f t="shared" si="1"/>
        <v>1</v>
      </c>
      <c r="I17" t="str">
        <f>IF(FT!B17&lt;&gt;"",FT!E17,"")</f>
        <v>1 [6.074121]</v>
      </c>
      <c r="J17">
        <f>IF(FT!B17&lt;&gt;"",FT!C17,"")</f>
        <v>6.0741199999999997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16460</v>
      </c>
      <c r="D18" s="61">
        <f>FH!B18*1</f>
        <v>16460</v>
      </c>
      <c r="E18">
        <f t="shared" si="3"/>
        <v>16</v>
      </c>
      <c r="F18" s="61">
        <f>IF(FT!A18&lt;&gt;"",FT!A18*10,"")</f>
        <v>4.0261500000000003</v>
      </c>
      <c r="G18" s="61">
        <f>IF(FT!B18&lt;&gt;"",FT!B18*100,"")</f>
        <v>28.637699999999999</v>
      </c>
      <c r="H18" s="61">
        <f t="shared" si="1"/>
        <v>1</v>
      </c>
      <c r="I18" t="str">
        <f>IF(FT!B18&lt;&gt;"",FT!E18,"")</f>
        <v>1 [6.478687]</v>
      </c>
      <c r="J18">
        <f>IF(FT!B18&lt;&gt;"",FT!C18,"")</f>
        <v>6.4786900000000003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4.0768399999999998</v>
      </c>
      <c r="G19" s="61">
        <f>IF(FT!B19&lt;&gt;"",FT!B19*100,"")</f>
        <v>28.565200000000001</v>
      </c>
      <c r="H19" s="61">
        <f t="shared" si="1"/>
        <v>1</v>
      </c>
      <c r="I19" t="str">
        <f>IF(FT!B19&lt;&gt;"",FT!E19,"")</f>
        <v>1 [6.883633]</v>
      </c>
      <c r="J19">
        <f>IF(FT!B19&lt;&gt;"",FT!C19,"")</f>
        <v>6.8836300000000001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4.1231099999999996</v>
      </c>
      <c r="G20" s="61">
        <f>IF(FT!B20&lt;&gt;"",FT!B20*100,"")</f>
        <v>28.604499999999998</v>
      </c>
      <c r="H20" s="61">
        <f t="shared" si="1"/>
        <v>1</v>
      </c>
      <c r="I20" t="str">
        <f>IF(FT!B20&lt;&gt;"",FT!E20,"")</f>
        <v>1 [7.290885]</v>
      </c>
      <c r="J20">
        <f>IF(FT!B20&lt;&gt;"",FT!C20,"")</f>
        <v>7.2908900000000001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19699</v>
      </c>
      <c r="D21" s="61">
        <f>FH!B21*1</f>
        <v>19699</v>
      </c>
      <c r="E21">
        <f t="shared" si="3"/>
        <v>19</v>
      </c>
      <c r="F21" s="61">
        <f>IF(FT!A21&lt;&gt;"",FT!A21*10,"")</f>
        <v>4.1677599999999995</v>
      </c>
      <c r="G21" s="61">
        <f>IF(FT!B21&lt;&gt;"",FT!B21*100,"")</f>
        <v>28.709600000000002</v>
      </c>
      <c r="H21" s="61">
        <f t="shared" si="1"/>
        <v>1</v>
      </c>
      <c r="I21" t="str">
        <f>IF(FT!B21&lt;&gt;"",FT!E21,"")</f>
        <v>1 [7.694442]</v>
      </c>
      <c r="J21">
        <f>IF(FT!B21&lt;&gt;"",FT!C21,"")</f>
        <v>7.6944400000000002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4.2119400000000002</v>
      </c>
      <c r="G22" s="61">
        <f>IF(FT!B22&lt;&gt;"",FT!B22*100,"")</f>
        <v>28.813800000000001</v>
      </c>
      <c r="H22" s="61">
        <f t="shared" si="1"/>
        <v>1</v>
      </c>
      <c r="I22" t="str">
        <f>IF(FT!B22&lt;&gt;"",FT!E22,"")</f>
        <v>1 [8.104183]</v>
      </c>
      <c r="J22">
        <f>IF(FT!B22&lt;&gt;"",FT!C22,"")</f>
        <v>8.1041799999999995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24872</v>
      </c>
      <c r="D23" s="61">
        <f>FH!B23*1</f>
        <v>24872</v>
      </c>
      <c r="E23">
        <f t="shared" si="3"/>
        <v>21</v>
      </c>
      <c r="F23" s="61">
        <f>IF(FT!A23&lt;&gt;"",FT!A23*10,"")</f>
        <v>4.2530900000000003</v>
      </c>
      <c r="G23" s="61">
        <f>IF(FT!B23&lt;&gt;"",FT!B23*100,"")</f>
        <v>28.977700000000002</v>
      </c>
      <c r="H23" s="61">
        <f t="shared" si="1"/>
        <v>1</v>
      </c>
      <c r="I23" t="str">
        <f>IF(FT!B23&lt;&gt;"",FT!E23,"")</f>
        <v>1 [8.509346]</v>
      </c>
      <c r="J23">
        <f>IF(FT!B23&lt;&gt;"",FT!C23,"")</f>
        <v>8.5093499999999995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4.2924699999999998</v>
      </c>
      <c r="G24" s="61">
        <f>IF(FT!B24&lt;&gt;"",FT!B24*100,"")</f>
        <v>29.151199999999999</v>
      </c>
      <c r="H24" s="61">
        <f t="shared" si="1"/>
        <v>1</v>
      </c>
      <c r="I24" t="str">
        <f>IF(FT!B24&lt;&gt;"",FT!E24,"")</f>
        <v>1 [8.915102]</v>
      </c>
      <c r="J24">
        <f>IF(FT!B24&lt;&gt;"",FT!C24,"")</f>
        <v>8.9151000000000007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4.3306100000000001</v>
      </c>
      <c r="G25" s="61">
        <f>IF(FT!B25&lt;&gt;"",FT!B25*100,"")</f>
        <v>29.274799999999999</v>
      </c>
      <c r="H25" s="61">
        <f t="shared" si="1"/>
        <v>1</v>
      </c>
      <c r="I25" t="str">
        <f>IF(FT!B25&lt;&gt;"",FT!E25,"")</f>
        <v>1 [9.323000]</v>
      </c>
      <c r="J25">
        <f>IF(FT!B25&lt;&gt;"",FT!C25,"")</f>
        <v>9.3230000000000004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23638</v>
      </c>
      <c r="D26" s="61">
        <f>FH!B26*1</f>
        <v>23638</v>
      </c>
      <c r="E26">
        <f t="shared" si="3"/>
        <v>24</v>
      </c>
      <c r="F26" s="61">
        <f>IF(FT!A26&lt;&gt;"",FT!A26*10,"")</f>
        <v>4.3664800000000001</v>
      </c>
      <c r="G26" s="61">
        <f>IF(FT!B26&lt;&gt;"",FT!B26*100,"")</f>
        <v>29.374400000000001</v>
      </c>
      <c r="H26" s="61">
        <f t="shared" si="1"/>
        <v>1</v>
      </c>
      <c r="I26" t="str">
        <f>IF(FT!B26&lt;&gt;"",FT!E26,"")</f>
        <v>1 [9.729015]</v>
      </c>
      <c r="J26">
        <f>IF(FT!B26&lt;&gt;"",FT!C26,"")</f>
        <v>9.7290100000000006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4.3972199999999999</v>
      </c>
      <c r="G27" s="61">
        <f>IF(FT!B27&lt;&gt;"",FT!B27*100,"")</f>
        <v>29.497</v>
      </c>
      <c r="H27" s="61">
        <f t="shared" si="1"/>
        <v>1</v>
      </c>
      <c r="I27" t="str">
        <f>IF(FT!B27&lt;&gt;"",FT!E27,"")</f>
        <v>1 [10.135561]</v>
      </c>
      <c r="J27">
        <f>IF(FT!B27&lt;&gt;"",FT!C27,"")</f>
        <v>10.1356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26860</v>
      </c>
      <c r="D28" s="61">
        <f>FH!B28*1</f>
        <v>26860</v>
      </c>
      <c r="E28">
        <f t="shared" si="3"/>
        <v>26</v>
      </c>
      <c r="F28" s="61">
        <f>IF(FT!A28&lt;&gt;"",FT!A28*10,"")</f>
        <v>4.42136</v>
      </c>
      <c r="G28" s="61">
        <f>IF(FT!B28&lt;&gt;"",FT!B28*100,"")</f>
        <v>29.674299999999999</v>
      </c>
      <c r="H28" s="61">
        <f t="shared" si="1"/>
        <v>1</v>
      </c>
      <c r="I28" t="str">
        <f>IF(FT!B28&lt;&gt;"",FT!E28,"")</f>
        <v>1 [10.541252]</v>
      </c>
      <c r="J28">
        <f>IF(FT!B28&lt;&gt;"",FT!C28,"")</f>
        <v>10.5413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4.4428999999999998</v>
      </c>
      <c r="G29" s="61">
        <f>IF(FT!B29&lt;&gt;"",FT!B29*100,"")</f>
        <v>29.843700000000002</v>
      </c>
      <c r="H29" s="61">
        <f t="shared" si="1"/>
        <v>1</v>
      </c>
      <c r="I29" t="str">
        <f>IF(FT!B29&lt;&gt;"",FT!E29,"")</f>
        <v>1 [10.945350]</v>
      </c>
      <c r="J29">
        <f>IF(FT!B29&lt;&gt;"",FT!C29,"")</f>
        <v>10.945399999999999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4.4599200000000003</v>
      </c>
      <c r="G30" s="61">
        <f>IF(FT!B30&lt;&gt;"",FT!B30*100,"")</f>
        <v>30.040899999999997</v>
      </c>
      <c r="H30" s="61">
        <f t="shared" si="1"/>
        <v>1</v>
      </c>
      <c r="I30" t="str">
        <f>IF(FT!B30&lt;&gt;"",FT!E30,"")</f>
        <v>1 [11.351345]</v>
      </c>
      <c r="J30">
        <f>IF(FT!B30&lt;&gt;"",FT!C30,"")</f>
        <v>11.3513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24079</v>
      </c>
      <c r="D31" s="61">
        <f>FH!B31*1</f>
        <v>24079</v>
      </c>
      <c r="E31">
        <f t="shared" si="3"/>
        <v>29</v>
      </c>
      <c r="F31" s="61">
        <f>IF(FT!A31&lt;&gt;"",FT!A31*10,"")</f>
        <v>4.4762899999999997</v>
      </c>
      <c r="G31" s="61">
        <f>IF(FT!B31&lt;&gt;"",FT!B31*100,"")</f>
        <v>30.3309</v>
      </c>
      <c r="H31" s="61">
        <f t="shared" si="1"/>
        <v>1</v>
      </c>
      <c r="I31" t="str">
        <f>IF(FT!B31&lt;&gt;"",FT!E31,"")</f>
        <v>1 [11.759796]</v>
      </c>
      <c r="J31">
        <f>IF(FT!B31&lt;&gt;"",FT!C31,"")</f>
        <v>11.7598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4.4892799999999999</v>
      </c>
      <c r="G32" s="61">
        <f>IF(FT!B32&lt;&gt;"",FT!B32*100,"")</f>
        <v>30.677100000000003</v>
      </c>
      <c r="H32" s="61">
        <f t="shared" si="1"/>
        <v>1</v>
      </c>
      <c r="I32" t="str">
        <f>IF(FT!B32&lt;&gt;"",FT!E32,"")</f>
        <v>1 [12.166560]</v>
      </c>
      <c r="J32">
        <f>IF(FT!B32&lt;&gt;"",FT!C32,"")</f>
        <v>12.166600000000001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30460</v>
      </c>
      <c r="D33" s="61">
        <f>FH!B33*1</f>
        <v>30460</v>
      </c>
      <c r="E33">
        <f t="shared" si="3"/>
        <v>31</v>
      </c>
      <c r="F33" s="61">
        <f>IF(FT!A33&lt;&gt;"",FT!A33*10,"")</f>
        <v>4.4994300000000003</v>
      </c>
      <c r="G33" s="61">
        <f>IF(FT!B33&lt;&gt;"",FT!B33*100,"")</f>
        <v>31.037599999999998</v>
      </c>
      <c r="H33" s="61">
        <f t="shared" si="1"/>
        <v>1</v>
      </c>
      <c r="I33" t="str">
        <f>IF(FT!B33&lt;&gt;"",FT!E33,"")</f>
        <v>1 [12.574174]</v>
      </c>
      <c r="J33">
        <f>IF(FT!B33&lt;&gt;"",FT!C33,"")</f>
        <v>12.574199999999999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4.5106400000000004</v>
      </c>
      <c r="G34" s="61">
        <f>IF(FT!B34&lt;&gt;"",FT!B34*100,"")</f>
        <v>31.404799999999998</v>
      </c>
      <c r="H34" s="61">
        <f t="shared" si="1"/>
        <v>1</v>
      </c>
      <c r="I34" t="str">
        <f>IF(FT!B34&lt;&gt;"",FT!E34,"")</f>
        <v>1 [12.975450]</v>
      </c>
      <c r="J34">
        <f>IF(FT!B34&lt;&gt;"",FT!C34,"")</f>
        <v>12.9755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4.52407</v>
      </c>
      <c r="G35" s="61">
        <f>IF(FT!B35&lt;&gt;"",FT!B35*100,"")</f>
        <v>31.698999999999998</v>
      </c>
      <c r="H35" s="61">
        <f t="shared" si="1"/>
        <v>1</v>
      </c>
      <c r="I35" t="str">
        <f>IF(FT!B35&lt;&gt;"",FT!E35,"")</f>
        <v>1 [13.381598]</v>
      </c>
      <c r="J35">
        <f>IF(FT!B35&lt;&gt;"",FT!C35,"")</f>
        <v>13.381600000000001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31626</v>
      </c>
      <c r="D36" s="61">
        <f>FH!B36*1</f>
        <v>31626</v>
      </c>
      <c r="E36">
        <f t="shared" si="3"/>
        <v>34</v>
      </c>
      <c r="F36" s="61">
        <f>IF(FT!A36&lt;&gt;"",FT!A36*10,"")</f>
        <v>4.5407399999999996</v>
      </c>
      <c r="G36" s="61">
        <f>IF(FT!B36&lt;&gt;"",FT!B36*100,"")</f>
        <v>31.927600000000002</v>
      </c>
      <c r="H36" s="61">
        <f t="shared" si="1"/>
        <v>1</v>
      </c>
      <c r="I36" t="str">
        <f>IF(FT!B36&lt;&gt;"",FT!E36,"")</f>
        <v>1 [13.789523]</v>
      </c>
      <c r="J36">
        <f>IF(FT!B36&lt;&gt;"",FT!C36,"")</f>
        <v>13.7895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4.5556099999999997</v>
      </c>
      <c r="G37" s="61">
        <f>IF(FT!B37&lt;&gt;"",FT!B37*100,"")</f>
        <v>32.086399999999998</v>
      </c>
      <c r="H37" s="61">
        <f t="shared" si="1"/>
        <v>1</v>
      </c>
      <c r="I37" t="str">
        <f>IF(FT!B37&lt;&gt;"",FT!E37,"")</f>
        <v>1 [14.197009]</v>
      </c>
      <c r="J37">
        <f>IF(FT!B37&lt;&gt;"",FT!C37,"")</f>
        <v>14.196999999999999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4.5697799999999997</v>
      </c>
      <c r="G38" s="61">
        <f>IF(FT!B38&lt;&gt;"",FT!B38*100,"")</f>
        <v>32.223500000000001</v>
      </c>
      <c r="H38" s="61">
        <f t="shared" si="1"/>
        <v>1</v>
      </c>
      <c r="I38" t="str">
        <f>IF(FT!B38&lt;&gt;"",FT!E38,"")</f>
        <v>1 [14.603365]</v>
      </c>
      <c r="J38">
        <f>IF(FT!B38&lt;&gt;"",FT!C38,"")</f>
        <v>14.603400000000001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35617</v>
      </c>
      <c r="D39" s="61">
        <f>FH!B39*1</f>
        <v>35617</v>
      </c>
      <c r="E39">
        <f t="shared" si="3"/>
        <v>37</v>
      </c>
      <c r="F39" s="61">
        <f>IF(FT!A39&lt;&gt;"",FT!A39*10,"")</f>
        <v>4.5812499999999998</v>
      </c>
      <c r="G39" s="61">
        <f>IF(FT!B39&lt;&gt;"",FT!B39*100,"")</f>
        <v>32.345500000000001</v>
      </c>
      <c r="H39" s="61">
        <f t="shared" si="1"/>
        <v>1</v>
      </c>
      <c r="I39" t="str">
        <f>IF(FT!B39&lt;&gt;"",FT!E39,"")</f>
        <v>1 [15.007547]</v>
      </c>
      <c r="J39">
        <f>IF(FT!B39&lt;&gt;"",FT!C39,"")</f>
        <v>15.0075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4.59</v>
      </c>
      <c r="G40" s="61">
        <f>IF(FT!B40&lt;&gt;"",FT!B40*100,"")</f>
        <v>32.4739</v>
      </c>
      <c r="H40" s="61">
        <f t="shared" si="1"/>
        <v>1</v>
      </c>
      <c r="I40" t="str">
        <f>IF(FT!B40&lt;&gt;"",FT!E40,"")</f>
        <v>1 [15.413827]</v>
      </c>
      <c r="J40">
        <f>IF(FT!B40&lt;&gt;"",FT!C40,"")</f>
        <v>15.4138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38624</v>
      </c>
      <c r="D41" s="61">
        <f>FH!B41*1</f>
        <v>38624</v>
      </c>
      <c r="E41">
        <f t="shared" si="3"/>
        <v>39</v>
      </c>
      <c r="F41" s="61">
        <f>IF(FT!A41&lt;&gt;"",FT!A41*10,"")</f>
        <v>4.59823</v>
      </c>
      <c r="G41" s="61">
        <f>IF(FT!B41&lt;&gt;"",FT!B41*100,"")</f>
        <v>32.593299999999999</v>
      </c>
      <c r="H41" s="61">
        <f t="shared" si="1"/>
        <v>1</v>
      </c>
      <c r="I41" t="str">
        <f>IF(FT!B41&lt;&gt;"",FT!E41,"")</f>
        <v>1 [15.824715]</v>
      </c>
      <c r="J41">
        <f>IF(FT!B41&lt;&gt;"",FT!C41,"")</f>
        <v>15.8247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4.6046199999999997</v>
      </c>
      <c r="G42" s="61">
        <f>IF(FT!B42&lt;&gt;"",FT!B42*100,"")</f>
        <v>32.676300000000005</v>
      </c>
      <c r="H42" s="61">
        <f t="shared" si="1"/>
        <v>1</v>
      </c>
      <c r="I42" t="str">
        <f>IF(FT!B42&lt;&gt;"",FT!E42,"")</f>
        <v>1 [16.230411]</v>
      </c>
      <c r="J42">
        <f>IF(FT!B42&lt;&gt;"",FT!C42,"")</f>
        <v>16.230399999999999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4.61097</v>
      </c>
      <c r="G43" s="61">
        <f>IF(FT!B43&lt;&gt;"",FT!B43*100,"")</f>
        <v>32.646799999999999</v>
      </c>
      <c r="H43" s="61">
        <f t="shared" si="1"/>
        <v>1</v>
      </c>
      <c r="I43" t="str">
        <f>IF(FT!B43&lt;&gt;"",FT!E43,"")</f>
        <v>1 [16.633151]</v>
      </c>
      <c r="J43">
        <f>IF(FT!B43&lt;&gt;"",FT!C43,"")</f>
        <v>16.633199999999999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41288</v>
      </c>
      <c r="D44" s="61">
        <f>FH!B44*1</f>
        <v>41288</v>
      </c>
      <c r="E44">
        <f t="shared" si="3"/>
        <v>42</v>
      </c>
      <c r="F44" s="61">
        <f>IF(FT!A44&lt;&gt;"",FT!A44*10,"")</f>
        <v>4.6178499999999998</v>
      </c>
      <c r="G44" s="61">
        <f>IF(FT!B44&lt;&gt;"",FT!B44*100,"")</f>
        <v>32.581400000000002</v>
      </c>
      <c r="H44" s="61">
        <f t="shared" si="1"/>
        <v>1</v>
      </c>
      <c r="I44" t="str">
        <f>IF(FT!B44&lt;&gt;"",FT!E44,"")</f>
        <v>1 [17.038872]</v>
      </c>
      <c r="J44">
        <f>IF(FT!B44&lt;&gt;"",FT!C44,"")</f>
        <v>17.038900000000002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4.6275699999999995</v>
      </c>
      <c r="G45" s="61">
        <f>IF(FT!B45&lt;&gt;"",FT!B45*100,"")</f>
        <v>32.504199999999997</v>
      </c>
      <c r="H45" s="61">
        <f t="shared" si="1"/>
        <v>1</v>
      </c>
      <c r="I45" t="str">
        <f>IF(FT!B45&lt;&gt;"",FT!E45,"")</f>
        <v>1 [17.445589]</v>
      </c>
      <c r="J45">
        <f>IF(FT!B45&lt;&gt;"",FT!C45,"")</f>
        <v>17.445599999999999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40910</v>
      </c>
      <c r="D46" s="61">
        <f>FH!B46*1</f>
        <v>40910</v>
      </c>
      <c r="E46">
        <f t="shared" si="3"/>
        <v>44</v>
      </c>
      <c r="F46" s="61">
        <f>IF(FT!A46&lt;&gt;"",FT!A46*10,"")</f>
        <v>4.6362899999999998</v>
      </c>
      <c r="G46" s="61">
        <f>IF(FT!B46&lt;&gt;"",FT!B46*100,"")</f>
        <v>32.359000000000002</v>
      </c>
      <c r="H46" s="61">
        <f t="shared" si="1"/>
        <v>1</v>
      </c>
      <c r="I46" t="str">
        <f>IF(FT!B46&lt;&gt;"",FT!E46,"")</f>
        <v>1 [17.853242]</v>
      </c>
      <c r="J46">
        <f>IF(FT!B46&lt;&gt;"",FT!C46,"")</f>
        <v>17.853200000000001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4.6417399999999995</v>
      </c>
      <c r="G47" s="61">
        <f>IF(FT!B47&lt;&gt;"",FT!B47*100,"")</f>
        <v>32.2425</v>
      </c>
      <c r="H47" s="61">
        <f t="shared" si="1"/>
        <v>1</v>
      </c>
      <c r="I47" t="str">
        <f>IF(FT!B47&lt;&gt;"",FT!E47,"")</f>
        <v>1 [18.260960]</v>
      </c>
      <c r="J47">
        <f>IF(FT!B47&lt;&gt;"",FT!C47,"")</f>
        <v>18.260999999999999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4.6450800000000001</v>
      </c>
      <c r="G48" s="61">
        <f>IF(FT!B48&lt;&gt;"",FT!B48*100,"")</f>
        <v>32.098300000000002</v>
      </c>
      <c r="H48" s="61">
        <f t="shared" si="1"/>
        <v>1</v>
      </c>
      <c r="I48" t="str">
        <f>IF(FT!B48&lt;&gt;"",FT!E48,"")</f>
        <v>1 [18.666045]</v>
      </c>
      <c r="J48">
        <f>IF(FT!B48&lt;&gt;"",FT!C48,"")</f>
        <v>18.666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46132</v>
      </c>
      <c r="D49" s="61">
        <f>FH!B49*1</f>
        <v>46132</v>
      </c>
      <c r="E49">
        <f t="shared" si="3"/>
        <v>47</v>
      </c>
      <c r="F49" s="61">
        <f>IF(FT!A49&lt;&gt;"",FT!A49*10,"")</f>
        <v>4.6442399999999999</v>
      </c>
      <c r="G49" s="61">
        <f>IF(FT!B49&lt;&gt;"",FT!B49*100,"")</f>
        <v>31.969199999999997</v>
      </c>
      <c r="H49" s="61">
        <f t="shared" si="1"/>
        <v>1</v>
      </c>
      <c r="I49" t="str">
        <f>IF(FT!B49&lt;&gt;"",FT!E49,"")</f>
        <v>1 [19.072102]</v>
      </c>
      <c r="J49">
        <f>IF(FT!B49&lt;&gt;"",FT!C49,"")</f>
        <v>19.072099999999999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4.6401300000000001</v>
      </c>
      <c r="G50" s="61">
        <f>IF(FT!B50&lt;&gt;"",FT!B50*100,"")</f>
        <v>31.817400000000003</v>
      </c>
      <c r="H50" s="61">
        <f t="shared" si="1"/>
        <v>1</v>
      </c>
      <c r="I50" t="str">
        <f>IF(FT!B50&lt;&gt;"",FT!E50,"")</f>
        <v>1 [19.475465]</v>
      </c>
      <c r="J50">
        <f>IF(FT!B50&lt;&gt;"",FT!C50,"")</f>
        <v>19.4755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51787</v>
      </c>
      <c r="D51" s="61">
        <f>FH!B51*1</f>
        <v>51787</v>
      </c>
      <c r="E51">
        <f t="shared" si="3"/>
        <v>49</v>
      </c>
      <c r="F51" s="61">
        <f>IF(FT!A51&lt;&gt;"",FT!A51*10,"")</f>
        <v>4.63443</v>
      </c>
      <c r="G51" s="61">
        <f>IF(FT!B51&lt;&gt;"",FT!B51*100,"")</f>
        <v>31.6998</v>
      </c>
      <c r="H51" s="61">
        <f t="shared" si="1"/>
        <v>1</v>
      </c>
      <c r="I51" t="str">
        <f>IF(FT!B51&lt;&gt;"",FT!E51,"")</f>
        <v>1 [19.882578]</v>
      </c>
      <c r="J51">
        <f>IF(FT!B51&lt;&gt;"",FT!C51,"")</f>
        <v>19.8826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4.6304400000000001</v>
      </c>
      <c r="G52" s="61">
        <f>IF(FT!B52&lt;&gt;"",FT!B52*100,"")</f>
        <v>31.594200000000001</v>
      </c>
      <c r="H52" s="61">
        <f t="shared" si="1"/>
        <v>1</v>
      </c>
      <c r="I52" t="str">
        <f>IF(FT!B52&lt;&gt;"",FT!E52,"")</f>
        <v>1 [20.291384]</v>
      </c>
      <c r="J52">
        <f>IF(FT!B52&lt;&gt;"",FT!C52,"")</f>
        <v>20.291399999999999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4.62812</v>
      </c>
      <c r="G53" s="61">
        <f>IF(FT!B53&lt;&gt;"",FT!B53*100,"")</f>
        <v>31.485700000000001</v>
      </c>
      <c r="H53" s="61">
        <f t="shared" si="1"/>
        <v>1</v>
      </c>
      <c r="I53" t="str">
        <f>IF(FT!B53&lt;&gt;"",FT!E53,"")</f>
        <v>1 [20.694918]</v>
      </c>
      <c r="J53">
        <f>IF(FT!B53&lt;&gt;"",FT!C53,"")</f>
        <v>20.694900000000001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50520</v>
      </c>
      <c r="D54" s="61">
        <f>FH!B54*1</f>
        <v>50520</v>
      </c>
      <c r="E54">
        <f t="shared" si="3"/>
        <v>52</v>
      </c>
      <c r="F54" s="61">
        <f>IF(FT!A54&lt;&gt;"",FT!A54*10,"")</f>
        <v>4.6267100000000001</v>
      </c>
      <c r="G54" s="61">
        <f>IF(FT!B54&lt;&gt;"",FT!B54*100,"")</f>
        <v>31.433899999999998</v>
      </c>
      <c r="H54" s="61">
        <f t="shared" si="1"/>
        <v>1</v>
      </c>
      <c r="I54" t="str">
        <f>IF(FT!B54&lt;&gt;"",FT!E54,"")</f>
        <v>1 [21.103316]</v>
      </c>
      <c r="J54">
        <f>IF(FT!B54&lt;&gt;"",FT!C54,"")</f>
        <v>21.103300000000001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4.6262600000000003</v>
      </c>
      <c r="G55" s="61">
        <f>IF(FT!B55&lt;&gt;"",FT!B55*100,"")</f>
        <v>31.436599999999999</v>
      </c>
      <c r="H55" s="61">
        <f t="shared" si="1"/>
        <v>1</v>
      </c>
      <c r="I55" t="str">
        <f>IF(FT!B55&lt;&gt;"",FT!E55,"")</f>
        <v>1 [21.506758]</v>
      </c>
      <c r="J55">
        <f>IF(FT!B55&lt;&gt;"",FT!C55,"")</f>
        <v>21.506799999999998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4.6268900000000004</v>
      </c>
      <c r="G56" s="61">
        <f>IF(FT!B56&lt;&gt;"",FT!B56*100,"")</f>
        <v>31.377899999999997</v>
      </c>
      <c r="H56" s="61">
        <f t="shared" si="1"/>
        <v>1</v>
      </c>
      <c r="I56" t="str">
        <f>IF(FT!B56&lt;&gt;"",FT!E56,"")</f>
        <v>1 [21.912834]</v>
      </c>
      <c r="J56">
        <f>IF(FT!B56&lt;&gt;"",FT!C56,"")</f>
        <v>21.912800000000001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50392</v>
      </c>
      <c r="D57" s="61">
        <f>FH!B57*1</f>
        <v>50392</v>
      </c>
      <c r="E57">
        <f t="shared" si="3"/>
        <v>55</v>
      </c>
      <c r="F57" s="61">
        <f>IF(FT!A57&lt;&gt;"",FT!A57*10,"")</f>
        <v>4.6318399999999995</v>
      </c>
      <c r="G57" s="61">
        <f>IF(FT!B57&lt;&gt;"",FT!B57*100,"")</f>
        <v>31.275799999999997</v>
      </c>
      <c r="H57" s="61">
        <f t="shared" si="1"/>
        <v>1</v>
      </c>
      <c r="I57" t="str">
        <f>IF(FT!B57&lt;&gt;"",FT!E57,"")</f>
        <v>1 [22.322301]</v>
      </c>
      <c r="J57">
        <f>IF(FT!B57&lt;&gt;"",FT!C57,"")</f>
        <v>22.322299999999998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4.6379299999999999</v>
      </c>
      <c r="G58" s="61">
        <f>IF(FT!B58&lt;&gt;"",FT!B58*100,"")</f>
        <v>31.162400000000002</v>
      </c>
      <c r="H58" s="61">
        <f t="shared" si="1"/>
        <v>1</v>
      </c>
      <c r="I58" t="str">
        <f>IF(FT!B58&lt;&gt;"",FT!E58,"")</f>
        <v>1 [22.728133]</v>
      </c>
      <c r="J58">
        <f>IF(FT!B58&lt;&gt;"",FT!C58,"")</f>
        <v>22.728100000000001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59918</v>
      </c>
      <c r="D59" s="61">
        <f>FH!B59*1</f>
        <v>59918</v>
      </c>
      <c r="E59">
        <f t="shared" si="3"/>
        <v>57</v>
      </c>
      <c r="F59" s="61">
        <f>IF(FT!A59&lt;&gt;"",FT!A59*10,"")</f>
        <v>4.6423699999999997</v>
      </c>
      <c r="G59" s="61">
        <f>IF(FT!B59&lt;&gt;"",FT!B59*100,"")</f>
        <v>31.011699999999998</v>
      </c>
      <c r="H59" s="61">
        <f t="shared" si="1"/>
        <v>1</v>
      </c>
      <c r="I59" t="str">
        <f>IF(FT!B59&lt;&gt;"",FT!E59,"")</f>
        <v>1 [23.134770]</v>
      </c>
      <c r="J59">
        <f>IF(FT!B59&lt;&gt;"",FT!C59,"")</f>
        <v>23.134799999999998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4.6435599999999999</v>
      </c>
      <c r="G60" s="61">
        <f>IF(FT!B60&lt;&gt;"",FT!B60*100,"")</f>
        <v>30.904999999999998</v>
      </c>
      <c r="H60" s="61">
        <f t="shared" si="1"/>
        <v>1</v>
      </c>
      <c r="I60" t="str">
        <f>IF(FT!B60&lt;&gt;"",FT!E60,"")</f>
        <v>1 [23.540136]</v>
      </c>
      <c r="J60">
        <f>IF(FT!B60&lt;&gt;"",FT!C60,"")</f>
        <v>23.540099999999999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4.6399699999999999</v>
      </c>
      <c r="G61" s="61">
        <f>IF(FT!B61&lt;&gt;"",FT!B61*100,"")</f>
        <v>30.874099999999999</v>
      </c>
      <c r="H61" s="61">
        <f t="shared" si="1"/>
        <v>1</v>
      </c>
      <c r="I61" t="str">
        <f>IF(FT!B61&lt;&gt;"",FT!E61,"")</f>
        <v>1 [23.946123]</v>
      </c>
      <c r="J61">
        <f>IF(FT!B61&lt;&gt;"",FT!C61,"")</f>
        <v>23.946100000000001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62998</v>
      </c>
      <c r="D62" s="61">
        <f>FH!B62*1</f>
        <v>62998</v>
      </c>
      <c r="E62">
        <f t="shared" si="3"/>
        <v>60</v>
      </c>
      <c r="F62" s="61">
        <f>IF(FT!A62&lt;&gt;"",FT!A62*10,"")</f>
        <v>4.6335999999999995</v>
      </c>
      <c r="G62" s="61">
        <f>IF(FT!B62&lt;&gt;"",FT!B62*100,"")</f>
        <v>30.924699999999998</v>
      </c>
      <c r="H62" s="61">
        <f t="shared" si="1"/>
        <v>1</v>
      </c>
      <c r="I62" t="str">
        <f>IF(FT!B62&lt;&gt;"",FT!E62,"")</f>
        <v>1 [24.353596]</v>
      </c>
      <c r="J62">
        <f>IF(FT!B62&lt;&gt;"",FT!C62,"")</f>
        <v>24.3536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4.6268199999999995</v>
      </c>
      <c r="G63" s="61">
        <f>IF(FT!B63&lt;&gt;"",FT!B63*100,"")</f>
        <v>30.945399999999999</v>
      </c>
      <c r="H63" s="61">
        <f t="shared" si="1"/>
        <v>1</v>
      </c>
      <c r="I63" t="str">
        <f>IF(FT!B63&lt;&gt;"",FT!E63,"")</f>
        <v>1 [24.759924]</v>
      </c>
      <c r="J63">
        <f>IF(FT!B63&lt;&gt;"",FT!C63,"")</f>
        <v>24.759899999999998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65033</v>
      </c>
      <c r="D64" s="61">
        <f>FH!B64*1</f>
        <v>65033</v>
      </c>
      <c r="E64">
        <f t="shared" si="3"/>
        <v>62</v>
      </c>
      <c r="F64" s="61">
        <f>IF(FT!A64&lt;&gt;"",FT!A64*10,"")</f>
        <v>4.6193499999999998</v>
      </c>
      <c r="G64" s="61">
        <f>IF(FT!B64&lt;&gt;"",FT!B64*100,"")</f>
        <v>30.965199999999999</v>
      </c>
      <c r="H64" s="61">
        <f t="shared" si="1"/>
        <v>1</v>
      </c>
      <c r="I64" t="str">
        <f>IF(FT!B64&lt;&gt;"",FT!E64,"")</f>
        <v>1 [25.165491]</v>
      </c>
      <c r="J64">
        <f>IF(FT!B64&lt;&gt;"",FT!C64,"")</f>
        <v>25.165500000000002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4.6146700000000003</v>
      </c>
      <c r="G65" s="61">
        <f>IF(FT!B65&lt;&gt;"",FT!B65*100,"")</f>
        <v>30.989499999999996</v>
      </c>
      <c r="H65" s="61">
        <f t="shared" si="1"/>
        <v>1</v>
      </c>
      <c r="I65" t="str">
        <f>IF(FT!B65&lt;&gt;"",FT!E65,"")</f>
        <v>1 [25.569719]</v>
      </c>
      <c r="J65">
        <f>IF(FT!B65&lt;&gt;"",FT!C65,"")</f>
        <v>25.569700000000001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4.6119599999999998</v>
      </c>
      <c r="G66" s="61">
        <f>IF(FT!B66&lt;&gt;"",FT!B66*100,"")</f>
        <v>31.035499999999999</v>
      </c>
      <c r="H66" s="61">
        <f t="shared" si="1"/>
        <v>1</v>
      </c>
      <c r="I66" t="str">
        <f>IF(FT!B66&lt;&gt;"",FT!E66,"")</f>
        <v>1 [25.978011]</v>
      </c>
      <c r="J66">
        <f>IF(FT!B66&lt;&gt;"",FT!C66,"")</f>
        <v>25.978000000000002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64201</v>
      </c>
      <c r="D67" s="61">
        <f>FH!B67*1</f>
        <v>64201</v>
      </c>
      <c r="E67">
        <f t="shared" si="3"/>
        <v>65</v>
      </c>
      <c r="F67" s="61">
        <f>IF(FT!A67&lt;&gt;"",FT!A67*10,"")</f>
        <v>4.6117900000000001</v>
      </c>
      <c r="G67" s="61">
        <f>IF(FT!B67&lt;&gt;"",FT!B67*100,"")</f>
        <v>31.084400000000002</v>
      </c>
      <c r="H67" s="61">
        <f t="shared" ref="H67:H130" si="9">(IF(F67&lt;&gt;"",1,""))</f>
        <v>1</v>
      </c>
      <c r="I67" t="str">
        <f>IF(FT!B67&lt;&gt;"",FT!E67,"")</f>
        <v>1 [26.384447]</v>
      </c>
      <c r="J67">
        <f>IF(FT!B67&lt;&gt;"",FT!C67,"")</f>
        <v>26.384399999999999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4.6101000000000001</v>
      </c>
      <c r="G68" s="61">
        <f>IF(FT!B68&lt;&gt;"",FT!B68*100,"")</f>
        <v>31.128699999999998</v>
      </c>
      <c r="H68" s="61">
        <f t="shared" si="9"/>
        <v>1</v>
      </c>
      <c r="I68" t="str">
        <f>IF(FT!B68&lt;&gt;"",FT!E68,"")</f>
        <v>1 [26.787112]</v>
      </c>
      <c r="J68">
        <f>IF(FT!B68&lt;&gt;"",FT!C68,"")</f>
        <v>26.787099999999999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66514</v>
      </c>
      <c r="D69" s="61">
        <f>FH!B69*1</f>
        <v>66514</v>
      </c>
      <c r="E69">
        <f t="shared" si="11"/>
        <v>67</v>
      </c>
      <c r="F69" s="61">
        <f>IF(FT!A69&lt;&gt;"",FT!A69*10,"")</f>
        <v>4.6076199999999998</v>
      </c>
      <c r="G69" s="61">
        <f>IF(FT!B69&lt;&gt;"",FT!B69*100,"")</f>
        <v>31.126799999999999</v>
      </c>
      <c r="H69" s="61">
        <f t="shared" si="9"/>
        <v>1</v>
      </c>
      <c r="I69" t="str">
        <f>IF(FT!B69&lt;&gt;"",FT!E69,"")</f>
        <v>1 [27.197934]</v>
      </c>
      <c r="J69">
        <f>IF(FT!B69&lt;&gt;"",FT!C69,"")</f>
        <v>27.197900000000001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4.60229</v>
      </c>
      <c r="G70" s="61">
        <f>IF(FT!B70&lt;&gt;"",FT!B70*100,"")</f>
        <v>31.070999999999998</v>
      </c>
      <c r="H70" s="61">
        <f t="shared" si="9"/>
        <v>1</v>
      </c>
      <c r="I70" t="str">
        <f>IF(FT!B70&lt;&gt;"",FT!E70,"")</f>
        <v>1 [27.602111]</v>
      </c>
      <c r="J70">
        <f>IF(FT!B70&lt;&gt;"",FT!C70,"")</f>
        <v>27.6021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4.5952000000000002</v>
      </c>
      <c r="G71" s="61">
        <f>IF(FT!B71&lt;&gt;"",FT!B71*100,"")</f>
        <v>30.979200000000002</v>
      </c>
      <c r="H71" s="61">
        <f t="shared" si="9"/>
        <v>1</v>
      </c>
      <c r="I71" t="str">
        <f>IF(FT!B71&lt;&gt;"",FT!E71,"")</f>
        <v>1 [28.007121]</v>
      </c>
      <c r="J71">
        <f>IF(FT!B71&lt;&gt;"",FT!C71,"")</f>
        <v>28.007100000000001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75005</v>
      </c>
      <c r="D72" s="61">
        <f>FH!B72*1</f>
        <v>75005</v>
      </c>
      <c r="E72">
        <f t="shared" si="11"/>
        <v>70</v>
      </c>
      <c r="F72" s="61">
        <f>IF(FT!A72&lt;&gt;"",FT!A72*10,"")</f>
        <v>4.5891599999999997</v>
      </c>
      <c r="G72" s="61">
        <f>IF(FT!B72&lt;&gt;"",FT!B72*100,"")</f>
        <v>30.811100000000003</v>
      </c>
      <c r="H72" s="61">
        <f t="shared" si="9"/>
        <v>1</v>
      </c>
      <c r="I72" t="str">
        <f>IF(FT!B72&lt;&gt;"",FT!E72,"")</f>
        <v>1 [28.412636]</v>
      </c>
      <c r="J72">
        <f>IF(FT!B72&lt;&gt;"",FT!C72,"")</f>
        <v>28.412600000000001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4.5821399999999999</v>
      </c>
      <c r="G73" s="61">
        <f>IF(FT!B73&lt;&gt;"",FT!B73*100,"")</f>
        <v>30.528100000000002</v>
      </c>
      <c r="H73" s="61">
        <f t="shared" si="9"/>
        <v>1</v>
      </c>
      <c r="I73" t="str">
        <f>IF(FT!B73&lt;&gt;"",FT!E73,"")</f>
        <v>1 [28.819399]</v>
      </c>
      <c r="J73">
        <f>IF(FT!B73&lt;&gt;"",FT!C73,"")</f>
        <v>28.819400000000002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4.57714</v>
      </c>
      <c r="G74" s="61">
        <f>IF(FT!B74&lt;&gt;"",FT!B74*100,"")</f>
        <v>30.131200000000003</v>
      </c>
      <c r="H74" s="61">
        <f t="shared" si="9"/>
        <v>1</v>
      </c>
      <c r="I74" t="str">
        <f>IF(FT!B74&lt;&gt;"",FT!E74,"")</f>
        <v>1 [29.224685]</v>
      </c>
      <c r="J74">
        <f>IF(FT!B74&lt;&gt;"",FT!C74,"")</f>
        <v>29.224699999999999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80378</v>
      </c>
      <c r="D75" s="61">
        <f>FH!B75*1</f>
        <v>80378</v>
      </c>
      <c r="E75">
        <f t="shared" si="11"/>
        <v>73</v>
      </c>
      <c r="F75" s="61">
        <f>IF(FT!A75&lt;&gt;"",FT!A75*10,"")</f>
        <v>4.5736300000000005</v>
      </c>
      <c r="G75" s="61">
        <f>IF(FT!B75&lt;&gt;"",FT!B75*100,"")</f>
        <v>29.712100000000003</v>
      </c>
      <c r="H75" s="61">
        <f t="shared" si="9"/>
        <v>1</v>
      </c>
      <c r="I75" t="str">
        <f>IF(FT!B75&lt;&gt;"",FT!E75,"")</f>
        <v>1 [29.635233]</v>
      </c>
      <c r="J75">
        <f>IF(FT!B75&lt;&gt;"",FT!C75,"")</f>
        <v>29.635200000000001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4.5707300000000002</v>
      </c>
      <c r="G76" s="61">
        <f>IF(FT!B76&lt;&gt;"",FT!B76*100,"")</f>
        <v>29.223199999999999</v>
      </c>
      <c r="H76" s="61">
        <f t="shared" si="9"/>
        <v>1</v>
      </c>
      <c r="I76" t="str">
        <f>IF(FT!B76&lt;&gt;"",FT!E76,"")</f>
        <v>2 [30.042333]</v>
      </c>
      <c r="J76">
        <f>IF(FT!B76&lt;&gt;"",FT!C76,"")</f>
        <v>30.042300000000001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86500</v>
      </c>
      <c r="D77" s="61">
        <f>FH!B77*1</f>
        <v>86500</v>
      </c>
      <c r="E77">
        <f t="shared" si="11"/>
        <v>75</v>
      </c>
      <c r="F77" s="61">
        <f>IF(FT!A77&lt;&gt;"",FT!A77*10,"")</f>
        <v>4.5709800000000005</v>
      </c>
      <c r="G77" s="61">
        <f>IF(FT!B77&lt;&gt;"",FT!B77*100,"")</f>
        <v>28.526800000000001</v>
      </c>
      <c r="H77" s="61">
        <f t="shared" si="9"/>
        <v>1</v>
      </c>
      <c r="I77" t="str">
        <f>IF(FT!B77&lt;&gt;"",FT!E77,"")</f>
        <v>2 [30.635634]</v>
      </c>
      <c r="J77">
        <f>IF(FT!B77&lt;&gt;"",FT!C77,"")</f>
        <v>30.6356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4.5755299999999997</v>
      </c>
      <c r="G78" s="61">
        <f>IF(FT!B78&lt;&gt;"",FT!B78*100,"")</f>
        <v>28.021099999999997</v>
      </c>
      <c r="H78" s="61">
        <f t="shared" si="9"/>
        <v>1</v>
      </c>
      <c r="I78" t="str">
        <f>IF(FT!B78&lt;&gt;"",FT!E78,"")</f>
        <v>2 [31.007218]</v>
      </c>
      <c r="J78">
        <f>IF(FT!B78&lt;&gt;"",FT!C78,"")</f>
        <v>31.007200000000001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4.5812100000000004</v>
      </c>
      <c r="G79" s="61">
        <f>IF(FT!B79&lt;&gt;"",FT!B79*100,"")</f>
        <v>27.506499999999999</v>
      </c>
      <c r="H79" s="61">
        <f t="shared" si="9"/>
        <v>1</v>
      </c>
      <c r="I79" t="str">
        <f>IF(FT!B79&lt;&gt;"",FT!E79,"")</f>
        <v>2 [31.382182]</v>
      </c>
      <c r="J79">
        <f>IF(FT!B79&lt;&gt;"",FT!C79,"")</f>
        <v>31.382200000000001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94362</v>
      </c>
      <c r="D80" s="61">
        <f>FH!B80*1</f>
        <v>94362</v>
      </c>
      <c r="E80">
        <f t="shared" si="11"/>
        <v>78</v>
      </c>
      <c r="F80" s="61">
        <f>IF(FT!A80&lt;&gt;"",FT!A80*10,"")</f>
        <v>4.5902700000000003</v>
      </c>
      <c r="G80" s="61">
        <f>IF(FT!B80&lt;&gt;"",FT!B80*100,"")</f>
        <v>27.0061</v>
      </c>
      <c r="H80" s="61">
        <f t="shared" si="9"/>
        <v>1</v>
      </c>
      <c r="I80" t="str">
        <f>IF(FT!B80&lt;&gt;"",FT!E80,"")</f>
        <v>2 [31.755323]</v>
      </c>
      <c r="J80">
        <f>IF(FT!B80&lt;&gt;"",FT!C80,"")</f>
        <v>31.755299999999998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4.6020300000000001</v>
      </c>
      <c r="G81" s="61">
        <f>IF(FT!B81&lt;&gt;"",FT!B81*100,"")</f>
        <v>26.565299999999997</v>
      </c>
      <c r="H81" s="61">
        <f t="shared" si="9"/>
        <v>1</v>
      </c>
      <c r="I81" t="str">
        <f>IF(FT!B81&lt;&gt;"",FT!E81,"")</f>
        <v>2 [32.135757]</v>
      </c>
      <c r="J81">
        <f>IF(FT!B81&lt;&gt;"",FT!C81,"")</f>
        <v>32.135800000000003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111199</v>
      </c>
      <c r="D82" s="61">
        <f>FH!B82*1</f>
        <v>111199</v>
      </c>
      <c r="E82">
        <f t="shared" si="11"/>
        <v>80</v>
      </c>
      <c r="F82" s="61">
        <f>IF(FT!A82&lt;&gt;"",FT!A82*10,"")</f>
        <v>4.61564</v>
      </c>
      <c r="G82" s="61">
        <f>IF(FT!B82&lt;&gt;"",FT!B82*100,"")</f>
        <v>26.108499999999999</v>
      </c>
      <c r="H82" s="61">
        <f t="shared" si="9"/>
        <v>1</v>
      </c>
      <c r="I82" t="str">
        <f>IF(FT!B82&lt;&gt;"",FT!E82,"")</f>
        <v>2 [32.541503]</v>
      </c>
      <c r="J82">
        <f>IF(FT!B82&lt;&gt;"",FT!C82,"")</f>
        <v>32.541499999999999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4.62906</v>
      </c>
      <c r="G83" s="61">
        <f>IF(FT!B83&lt;&gt;"",FT!B83*100,"")</f>
        <v>25.703099999999999</v>
      </c>
      <c r="H83" s="61">
        <f t="shared" si="9"/>
        <v>1</v>
      </c>
      <c r="I83" t="str">
        <f>IF(FT!B83&lt;&gt;"",FT!E83,"")</f>
        <v>2 [32.944204]</v>
      </c>
      <c r="J83">
        <f>IF(FT!B83&lt;&gt;"",FT!C83,"")</f>
        <v>32.944200000000002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4.6463999999999999</v>
      </c>
      <c r="G84" s="61">
        <f>IF(FT!B84&lt;&gt;"",FT!B84*100,"")</f>
        <v>25.295299999999997</v>
      </c>
      <c r="H84" s="61">
        <f t="shared" si="9"/>
        <v>1</v>
      </c>
      <c r="I84" t="str">
        <f>IF(FT!B84&lt;&gt;"",FT!E84,"")</f>
        <v>2 [33.352742]</v>
      </c>
      <c r="J84">
        <f>IF(FT!B84&lt;&gt;"",FT!C84,"")</f>
        <v>33.352699999999999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122586</v>
      </c>
      <c r="D85" s="61">
        <f>FH!B85*1</f>
        <v>122586</v>
      </c>
      <c r="E85">
        <f t="shared" si="11"/>
        <v>83</v>
      </c>
      <c r="F85" s="61">
        <f>IF(FT!A85&lt;&gt;"",FT!A85*10,"")</f>
        <v>4.66859</v>
      </c>
      <c r="G85" s="61">
        <f>IF(FT!B85&lt;&gt;"",FT!B85*100,"")</f>
        <v>24.8401</v>
      </c>
      <c r="H85" s="61">
        <f t="shared" si="9"/>
        <v>1</v>
      </c>
      <c r="I85" t="str">
        <f>IF(FT!B85&lt;&gt;"",FT!E85,"")</f>
        <v>2 [33.757436]</v>
      </c>
      <c r="J85">
        <f>IF(FT!B85&lt;&gt;"",FT!C85,"")</f>
        <v>33.757399999999997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4.6937899999999999</v>
      </c>
      <c r="G86" s="61">
        <f>IF(FT!B86&lt;&gt;"",FT!B86*100,"")</f>
        <v>24.338000000000001</v>
      </c>
      <c r="H86" s="61">
        <f t="shared" si="9"/>
        <v>1</v>
      </c>
      <c r="I86" t="str">
        <f>IF(FT!B86&lt;&gt;"",FT!E86,"")</f>
        <v>2 [34.164675]</v>
      </c>
      <c r="J86">
        <f>IF(FT!B86&lt;&gt;"",FT!C86,"")</f>
        <v>34.164700000000003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4.7237</v>
      </c>
      <c r="G87" s="61">
        <f>IF(FT!B87&lt;&gt;"",FT!B87*100,"")</f>
        <v>23.826499999999999</v>
      </c>
      <c r="H87" s="61">
        <f t="shared" si="9"/>
        <v>1</v>
      </c>
      <c r="I87" t="str">
        <f>IF(FT!B87&lt;&gt;"",FT!E87,"")</f>
        <v>2 [34.572702]</v>
      </c>
      <c r="J87">
        <f>IF(FT!B87&lt;&gt;"",FT!C87,"")</f>
        <v>34.572699999999998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143010</v>
      </c>
      <c r="D88" s="61">
        <f>FH!B88*1</f>
        <v>143010</v>
      </c>
      <c r="E88">
        <f t="shared" si="11"/>
        <v>86</v>
      </c>
      <c r="F88" s="61">
        <f>IF(FT!A88&lt;&gt;"",FT!A88*10,"")</f>
        <v>4.7521899999999997</v>
      </c>
      <c r="G88" s="61">
        <f>IF(FT!B88&lt;&gt;"",FT!B88*100,"")</f>
        <v>23.428999999999998</v>
      </c>
      <c r="H88" s="61">
        <f t="shared" si="9"/>
        <v>1</v>
      </c>
      <c r="I88" t="str">
        <f>IF(FT!B88&lt;&gt;"",FT!E88,"")</f>
        <v>2 [34.977974]</v>
      </c>
      <c r="J88">
        <f>IF(FT!B88&lt;&gt;"",FT!C88,"")</f>
        <v>34.978000000000002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4.7802800000000003</v>
      </c>
      <c r="G89" s="61">
        <f>IF(FT!B89&lt;&gt;"",FT!B89*100,"")</f>
        <v>23.124200000000002</v>
      </c>
      <c r="H89" s="61">
        <f t="shared" si="9"/>
        <v>1</v>
      </c>
      <c r="I89" t="str">
        <f>IF(FT!B89&lt;&gt;"",FT!E89,"")</f>
        <v>2 [35.381352]</v>
      </c>
      <c r="J89">
        <f>IF(FT!B89&lt;&gt;"",FT!C89,"")</f>
        <v>35.381399999999999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173633</v>
      </c>
      <c r="D90" s="61">
        <f>FH!B90*1</f>
        <v>173633</v>
      </c>
      <c r="E90">
        <f t="shared" si="11"/>
        <v>88</v>
      </c>
      <c r="F90" s="61">
        <f>IF(FT!A90&lt;&gt;"",FT!A90*10,"")</f>
        <v>4.8054300000000003</v>
      </c>
      <c r="G90" s="61">
        <f>IF(FT!B90&lt;&gt;"",FT!B90*100,"")</f>
        <v>22.8034</v>
      </c>
      <c r="H90" s="61">
        <f t="shared" si="9"/>
        <v>1</v>
      </c>
      <c r="I90" t="str">
        <f>IF(FT!B90&lt;&gt;"",FT!E90,"")</f>
        <v>2 [35.788761]</v>
      </c>
      <c r="J90">
        <f>IF(FT!B90&lt;&gt;"",FT!C90,"")</f>
        <v>35.788800000000002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4.8284799999999999</v>
      </c>
      <c r="G91" s="61">
        <f>IF(FT!B91&lt;&gt;"",FT!B91*100,"")</f>
        <v>22.494900000000001</v>
      </c>
      <c r="H91" s="61">
        <f t="shared" si="9"/>
        <v>1</v>
      </c>
      <c r="I91" t="str">
        <f>IF(FT!B91&lt;&gt;"",FT!E91,"")</f>
        <v>2 [36.197662]</v>
      </c>
      <c r="J91">
        <f>IF(FT!B91&lt;&gt;"",FT!C91,"")</f>
        <v>36.197699999999998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4.8516500000000002</v>
      </c>
      <c r="G92" s="61">
        <f>IF(FT!B92&lt;&gt;"",FT!B92*100,"")</f>
        <v>22.278200000000002</v>
      </c>
      <c r="H92" s="61">
        <f t="shared" si="9"/>
        <v>1</v>
      </c>
      <c r="I92" t="str">
        <f>IF(FT!B92&lt;&gt;"",FT!E92,"")</f>
        <v>2 [36.603863]</v>
      </c>
      <c r="J92">
        <f>IF(FT!B92&lt;&gt;"",FT!C92,"")</f>
        <v>36.603900000000003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185476</v>
      </c>
      <c r="D93" s="61">
        <f>FH!B93*1</f>
        <v>185476</v>
      </c>
      <c r="E93">
        <f t="shared" si="11"/>
        <v>91</v>
      </c>
      <c r="F93" s="61">
        <f>IF(FT!A93&lt;&gt;"",FT!A93*10,"")</f>
        <v>4.87683</v>
      </c>
      <c r="G93" s="61">
        <f>IF(FT!B93&lt;&gt;"",FT!B93*100,"")</f>
        <v>22.118099999999998</v>
      </c>
      <c r="H93" s="61">
        <f t="shared" si="9"/>
        <v>1</v>
      </c>
      <c r="I93" t="str">
        <f>IF(FT!B93&lt;&gt;"",FT!E93,"")</f>
        <v>2 [37.008306]</v>
      </c>
      <c r="J93">
        <f>IF(FT!B93&lt;&gt;"",FT!C93,"")</f>
        <v>37.008299999999998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4.9055300000000006</v>
      </c>
      <c r="G94" s="61">
        <f>IF(FT!B94&lt;&gt;"",FT!B94*100,"")</f>
        <v>21.988599999999998</v>
      </c>
      <c r="H94" s="61">
        <f t="shared" si="9"/>
        <v>1</v>
      </c>
      <c r="I94" t="str">
        <f>IF(FT!B94&lt;&gt;"",FT!E94,"")</f>
        <v>2 [37.414397]</v>
      </c>
      <c r="J94">
        <f>IF(FT!B94&lt;&gt;"",FT!C94,"")</f>
        <v>37.414400000000001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196057</v>
      </c>
      <c r="D95" s="61">
        <f>FH!B95*1</f>
        <v>196057</v>
      </c>
      <c r="E95">
        <f t="shared" si="11"/>
        <v>93</v>
      </c>
      <c r="F95" s="61">
        <f>IF(FT!A95&lt;&gt;"",FT!A95*10,"")</f>
        <v>4.9361500000000005</v>
      </c>
      <c r="G95" s="61">
        <f>IF(FT!B95&lt;&gt;"",FT!B95*100,"")</f>
        <v>22.033300000000001</v>
      </c>
      <c r="H95" s="61">
        <f t="shared" si="9"/>
        <v>1</v>
      </c>
      <c r="I95" t="str">
        <f>IF(FT!B95&lt;&gt;"",FT!E95,"")</f>
        <v>2 [37.821473]</v>
      </c>
      <c r="J95">
        <f>IF(FT!B95&lt;&gt;"",FT!C95,"")</f>
        <v>37.8215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4.9680999999999997</v>
      </c>
      <c r="G96" s="61">
        <f>IF(FT!B96&lt;&gt;"",FT!B96*100,"")</f>
        <v>22.160900000000002</v>
      </c>
      <c r="H96" s="61">
        <f t="shared" si="9"/>
        <v>1</v>
      </c>
      <c r="I96" t="str">
        <f>IF(FT!B96&lt;&gt;"",FT!E96,"")</f>
        <v>2 [38.227080]</v>
      </c>
      <c r="J96">
        <f>IF(FT!B96&lt;&gt;"",FT!C96,"")</f>
        <v>38.2271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5.0016999999999996</v>
      </c>
      <c r="G97" s="61">
        <f>IF(FT!B97&lt;&gt;"",FT!B97*100,"")</f>
        <v>22.419800000000002</v>
      </c>
      <c r="H97" s="61">
        <f t="shared" si="9"/>
        <v>1</v>
      </c>
      <c r="I97" t="str">
        <f>IF(FT!B97&lt;&gt;"",FT!E97,"")</f>
        <v>2 [38.633067]</v>
      </c>
      <c r="J97">
        <f>IF(FT!B97&lt;&gt;"",FT!C97,"")</f>
        <v>38.633099999999999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198177</v>
      </c>
      <c r="D98" s="61">
        <f>FH!B98*1</f>
        <v>198177</v>
      </c>
      <c r="E98">
        <f t="shared" si="11"/>
        <v>96</v>
      </c>
      <c r="F98" s="61">
        <f>IF(FT!A98&lt;&gt;"",FT!A98*10,"")</f>
        <v>5.0375800000000002</v>
      </c>
      <c r="G98" s="61">
        <f>IF(FT!B98&lt;&gt;"",FT!B98*100,"")</f>
        <v>22.8447</v>
      </c>
      <c r="H98" s="61">
        <f t="shared" si="9"/>
        <v>1</v>
      </c>
      <c r="I98" t="str">
        <f>IF(FT!B98&lt;&gt;"",FT!E98,"")</f>
        <v>2 [39.040540]</v>
      </c>
      <c r="J98">
        <f>IF(FT!B98&lt;&gt;"",FT!C98,"")</f>
        <v>39.040500000000002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5.0723900000000004</v>
      </c>
      <c r="G99" s="61">
        <f>IF(FT!B99&lt;&gt;"",FT!B99*100,"")</f>
        <v>23.310300000000002</v>
      </c>
      <c r="H99" s="61">
        <f t="shared" si="9"/>
        <v>1</v>
      </c>
      <c r="I99" t="str">
        <f>IF(FT!B99&lt;&gt;"",FT!E99,"")</f>
        <v>2 [39.443715]</v>
      </c>
      <c r="J99">
        <f>IF(FT!B99&lt;&gt;"",FT!C99,"")</f>
        <v>39.4437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199126</v>
      </c>
      <c r="D100" s="61">
        <f>FH!B100*1</f>
        <v>199126</v>
      </c>
      <c r="E100">
        <f t="shared" si="11"/>
        <v>98</v>
      </c>
      <c r="F100" s="61">
        <f>IF(FT!A100&lt;&gt;"",FT!A100*10,"")</f>
        <v>5.1061199999999998</v>
      </c>
      <c r="G100" s="61">
        <f>IF(FT!B100&lt;&gt;"",FT!B100*100,"")</f>
        <v>23.889099999999999</v>
      </c>
      <c r="H100" s="61">
        <f t="shared" si="9"/>
        <v>1</v>
      </c>
      <c r="I100" t="str">
        <f>IF(FT!B100&lt;&gt;"",FT!E100,"")</f>
        <v>2 [39.857420]</v>
      </c>
      <c r="J100">
        <f>IF(FT!B100&lt;&gt;"",FT!C100,"")</f>
        <v>39.857399999999998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5.1355599999999999</v>
      </c>
      <c r="G101" s="61">
        <f>IF(FT!B101&lt;&gt;"",FT!B101*100,"")</f>
        <v>24.557499999999997</v>
      </c>
      <c r="H101" s="61">
        <f t="shared" si="9"/>
        <v>1</v>
      </c>
      <c r="I101" t="str">
        <f>IF(FT!B101&lt;&gt;"",FT!E101,"")</f>
        <v>2 [40.257215]</v>
      </c>
      <c r="J101">
        <f>IF(FT!B101&lt;&gt;"",FT!C101,"")</f>
        <v>40.257199999999997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5.16289</v>
      </c>
      <c r="G102" s="61">
        <f>IF(FT!B102&lt;&gt;"",FT!B102*100,"")</f>
        <v>25.175599999999999</v>
      </c>
      <c r="H102" s="61">
        <f t="shared" si="9"/>
        <v>1</v>
      </c>
      <c r="I102" t="str">
        <f>IF(FT!B102&lt;&gt;"",FT!E102,"")</f>
        <v>2 [40.667781]</v>
      </c>
      <c r="J102">
        <f>IF(FT!B102&lt;&gt;"",FT!C102,"")</f>
        <v>40.6678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188163</v>
      </c>
      <c r="D103" s="61">
        <f>FH!B103*1</f>
        <v>188163</v>
      </c>
      <c r="E103">
        <f t="shared" si="11"/>
        <v>101</v>
      </c>
      <c r="F103" s="61">
        <f>IF(FT!A103&lt;&gt;"",FT!A103*10,"")</f>
        <v>5.1888800000000002</v>
      </c>
      <c r="G103" s="61">
        <f>IF(FT!B103&lt;&gt;"",FT!B103*100,"")</f>
        <v>25.732600000000001</v>
      </c>
      <c r="H103" s="61">
        <f t="shared" si="9"/>
        <v>1</v>
      </c>
      <c r="I103" t="str">
        <f>IF(FT!B103&lt;&gt;"",FT!E103,"")</f>
        <v>2 [41.072014]</v>
      </c>
      <c r="J103">
        <f>IF(FT!B103&lt;&gt;"",FT!C103,"")</f>
        <v>41.072000000000003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5.2133799999999999</v>
      </c>
      <c r="G104" s="61">
        <f>IF(FT!B104&lt;&gt;"",FT!B104*100,"")</f>
        <v>26.255200000000002</v>
      </c>
      <c r="H104" s="61">
        <f t="shared" si="9"/>
        <v>1</v>
      </c>
      <c r="I104" t="str">
        <f>IF(FT!B104&lt;&gt;"",FT!E104,"")</f>
        <v>2 [41.474442]</v>
      </c>
      <c r="J104">
        <f>IF(FT!B104&lt;&gt;"",FT!C104,"")</f>
        <v>41.474400000000003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5.2320999999999991</v>
      </c>
      <c r="G105" s="61">
        <f>IF(FT!B105&lt;&gt;"",FT!B105*100,"")</f>
        <v>26.6922</v>
      </c>
      <c r="H105" s="61">
        <f t="shared" si="9"/>
        <v>1</v>
      </c>
      <c r="I105" t="str">
        <f>IF(FT!B105&lt;&gt;"",FT!E105,"")</f>
        <v>2 [41.884298]</v>
      </c>
      <c r="J105">
        <f>IF(FT!B105&lt;&gt;"",FT!C105,"")</f>
        <v>41.884300000000003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191218</v>
      </c>
      <c r="D106" s="61">
        <f>FH!B106*1</f>
        <v>191218</v>
      </c>
      <c r="E106">
        <f t="shared" si="11"/>
        <v>104</v>
      </c>
      <c r="F106" s="61">
        <f>IF(FT!A106&lt;&gt;"",FT!A106*10,"")</f>
        <v>5.2427000000000001</v>
      </c>
      <c r="G106" s="61">
        <f>IF(FT!B106&lt;&gt;"",FT!B106*100,"")</f>
        <v>27.054099999999998</v>
      </c>
      <c r="H106" s="61">
        <f t="shared" si="9"/>
        <v>1</v>
      </c>
      <c r="I106" t="str">
        <f>IF(FT!B106&lt;&gt;"",FT!E106,"")</f>
        <v>2 [42.288306]</v>
      </c>
      <c r="J106">
        <f>IF(FT!B106&lt;&gt;"",FT!C106,"")</f>
        <v>42.2883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5.2492200000000002</v>
      </c>
      <c r="G107" s="61">
        <f>IF(FT!B107&lt;&gt;"",FT!B107*100,"")</f>
        <v>27.3995</v>
      </c>
      <c r="H107" s="61">
        <f t="shared" si="9"/>
        <v>1</v>
      </c>
      <c r="I107" t="str">
        <f>IF(FT!B107&lt;&gt;"",FT!E107,"")</f>
        <v>2 [42.698485]</v>
      </c>
      <c r="J107">
        <f>IF(FT!B107&lt;&gt;"",FT!C107,"")</f>
        <v>42.698500000000003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185354</v>
      </c>
      <c r="D108" s="61">
        <f>FH!B108*1</f>
        <v>185354</v>
      </c>
      <c r="E108">
        <f t="shared" si="11"/>
        <v>106</v>
      </c>
      <c r="F108" s="61">
        <f>IF(FT!A108&lt;&gt;"",FT!A108*10,"")</f>
        <v>5.2529700000000004</v>
      </c>
      <c r="G108" s="61">
        <f>IF(FT!B108&lt;&gt;"",FT!B108*100,"")</f>
        <v>27.685399999999998</v>
      </c>
      <c r="H108" s="61">
        <f t="shared" si="9"/>
        <v>1</v>
      </c>
      <c r="I108" t="str">
        <f>IF(FT!B108&lt;&gt;"",FT!E108,"")</f>
        <v>2 [43.101216]</v>
      </c>
      <c r="J108">
        <f>IF(FT!B108&lt;&gt;"",FT!C108,"")</f>
        <v>43.101199999999999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5.2495499999999993</v>
      </c>
      <c r="G109" s="61">
        <f>IF(FT!B109&lt;&gt;"",FT!B109*100,"")</f>
        <v>27.843200000000003</v>
      </c>
      <c r="H109" s="61">
        <f t="shared" si="9"/>
        <v>1</v>
      </c>
      <c r="I109" t="str">
        <f>IF(FT!B109&lt;&gt;"",FT!E109,"")</f>
        <v>2 [43.510127]</v>
      </c>
      <c r="J109">
        <f>IF(FT!B109&lt;&gt;"",FT!C109,"")</f>
        <v>43.510100000000001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5.2407599999999999</v>
      </c>
      <c r="G110" s="61">
        <f>IF(FT!B110&lt;&gt;"",FT!B110*100,"")</f>
        <v>27.869699999999998</v>
      </c>
      <c r="H110" s="61">
        <f t="shared" si="9"/>
        <v>1</v>
      </c>
      <c r="I110" t="str">
        <f>IF(FT!B110&lt;&gt;"",FT!E110,"")</f>
        <v>2 [43.912744]</v>
      </c>
      <c r="J110">
        <f>IF(FT!B110&lt;&gt;"",FT!C110,"")</f>
        <v>43.912700000000001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181745</v>
      </c>
      <c r="D111" s="61">
        <f>FH!B111*1</f>
        <v>181745</v>
      </c>
      <c r="E111">
        <f t="shared" si="11"/>
        <v>109</v>
      </c>
      <c r="F111" s="61">
        <f>IF(FT!A111&lt;&gt;"",FT!A111*10,"")</f>
        <v>5.2302099999999996</v>
      </c>
      <c r="G111" s="61">
        <f>IF(FT!B111&lt;&gt;"",FT!B111*100,"")</f>
        <v>27.815099999999997</v>
      </c>
      <c r="H111" s="61">
        <f t="shared" si="9"/>
        <v>1</v>
      </c>
      <c r="I111" t="str">
        <f>IF(FT!B111&lt;&gt;"",FT!E111,"")</f>
        <v>2 [44.322558]</v>
      </c>
      <c r="J111">
        <f>IF(FT!B111&lt;&gt;"",FT!C111,"")</f>
        <v>44.322600000000001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5.2140299999999993</v>
      </c>
      <c r="G112" s="61">
        <f>IF(FT!B112&lt;&gt;"",FT!B112*100,"")</f>
        <v>27.7148</v>
      </c>
      <c r="H112" s="61">
        <f t="shared" si="9"/>
        <v>1</v>
      </c>
      <c r="I112" t="str">
        <f>IF(FT!B112&lt;&gt;"",FT!E112,"")</f>
        <v>2 [44.729265]</v>
      </c>
      <c r="J112">
        <f>IF(FT!B112&lt;&gt;"",FT!C112,"")</f>
        <v>44.729300000000002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157181</v>
      </c>
      <c r="D113" s="61">
        <f>FH!B113*1</f>
        <v>157181</v>
      </c>
      <c r="E113">
        <f t="shared" si="11"/>
        <v>111</v>
      </c>
      <c r="F113" s="61">
        <f>IF(FT!A113&lt;&gt;"",FT!A113*10,"")</f>
        <v>5.1976300000000002</v>
      </c>
      <c r="G113" s="61">
        <f>IF(FT!B113&lt;&gt;"",FT!B113*100,"")</f>
        <v>27.531899999999997</v>
      </c>
      <c r="H113" s="61">
        <f t="shared" si="9"/>
        <v>1</v>
      </c>
      <c r="I113" t="str">
        <f>IF(FT!B113&lt;&gt;"",FT!E113,"")</f>
        <v>2 [45.137255]</v>
      </c>
      <c r="J113">
        <f>IF(FT!B113&lt;&gt;"",FT!C113,"")</f>
        <v>45.137300000000003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5.1805699999999995</v>
      </c>
      <c r="G114" s="61">
        <f>IF(FT!B114&lt;&gt;"",FT!B114*100,"")</f>
        <v>27.244299999999999</v>
      </c>
      <c r="H114" s="61">
        <f t="shared" si="9"/>
        <v>1</v>
      </c>
      <c r="I114" t="str">
        <f>IF(FT!B114&lt;&gt;"",FT!E114,"")</f>
        <v>2 [45.539673]</v>
      </c>
      <c r="J114">
        <f>IF(FT!B114&lt;&gt;"",FT!C114,"")</f>
        <v>45.539700000000003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5.1631099999999996</v>
      </c>
      <c r="G115" s="61">
        <f>IF(FT!B115&lt;&gt;"",FT!B115*100,"")</f>
        <v>26.934000000000001</v>
      </c>
      <c r="H115" s="61">
        <f t="shared" si="9"/>
        <v>1</v>
      </c>
      <c r="I115" t="str">
        <f>IF(FT!B115&lt;&gt;"",FT!E115,"")</f>
        <v>2 [45.947147]</v>
      </c>
      <c r="J115">
        <f>IF(FT!B115&lt;&gt;"",FT!C115,"")</f>
        <v>45.947099999999999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159045</v>
      </c>
      <c r="D116" s="61">
        <f>FH!B116*1</f>
        <v>159045</v>
      </c>
      <c r="E116">
        <f t="shared" si="11"/>
        <v>114</v>
      </c>
      <c r="F116" s="61">
        <f>IF(FT!A116&lt;&gt;"",FT!A116*10,"")</f>
        <v>5.1431899999999997</v>
      </c>
      <c r="G116" s="61">
        <f>IF(FT!B116&lt;&gt;"",FT!B116*100,"")</f>
        <v>26.611499999999999</v>
      </c>
      <c r="H116" s="61">
        <f t="shared" si="9"/>
        <v>1</v>
      </c>
      <c r="I116" t="str">
        <f>IF(FT!B116&lt;&gt;"",FT!E116,"")</f>
        <v>2 [46.353755]</v>
      </c>
      <c r="J116">
        <f>IF(FT!B116&lt;&gt;"",FT!C116,"")</f>
        <v>46.3538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5.1252600000000008</v>
      </c>
      <c r="G117" s="61">
        <f>IF(FT!B117&lt;&gt;"",FT!B117*100,"")</f>
        <v>26.225300000000001</v>
      </c>
      <c r="H117" s="61">
        <f t="shared" si="9"/>
        <v>1</v>
      </c>
      <c r="I117" t="str">
        <f>IF(FT!B117&lt;&gt;"",FT!E117,"")</f>
        <v>2 [46.760254]</v>
      </c>
      <c r="J117">
        <f>IF(FT!B117&lt;&gt;"",FT!C117,"")</f>
        <v>46.760300000000001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167791</v>
      </c>
      <c r="D118" s="61">
        <f>FH!B118*1</f>
        <v>167791</v>
      </c>
      <c r="E118">
        <f t="shared" si="11"/>
        <v>116</v>
      </c>
      <c r="F118" s="61">
        <f>IF(FT!A118&lt;&gt;"",FT!A118*10,"")</f>
        <v>5.1052200000000001</v>
      </c>
      <c r="G118" s="61">
        <f>IF(FT!B118&lt;&gt;"",FT!B118*100,"")</f>
        <v>25.811699999999998</v>
      </c>
      <c r="H118" s="61">
        <f t="shared" si="9"/>
        <v>1</v>
      </c>
      <c r="I118" t="str">
        <f>IF(FT!B118&lt;&gt;"",FT!E118,"")</f>
        <v>2 [47.163819]</v>
      </c>
      <c r="J118">
        <f>IF(FT!B118&lt;&gt;"",FT!C118,"")</f>
        <v>47.163800000000002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5.0823099999999997</v>
      </c>
      <c r="G119" s="61">
        <f>IF(FT!B119&lt;&gt;"",FT!B119*100,"")</f>
        <v>25.424900000000001</v>
      </c>
      <c r="H119" s="61">
        <f t="shared" si="9"/>
        <v>1</v>
      </c>
      <c r="I119" t="str">
        <f>IF(FT!B119&lt;&gt;"",FT!E119,"")</f>
        <v>2 [47.569582]</v>
      </c>
      <c r="J119">
        <f>IF(FT!B119&lt;&gt;"",FT!C119,"")</f>
        <v>47.569600000000001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5.0607000000000006</v>
      </c>
      <c r="G120" s="61">
        <f>IF(FT!B120&lt;&gt;"",FT!B120*100,"")</f>
        <v>25.000600000000002</v>
      </c>
      <c r="H120" s="61">
        <f t="shared" si="9"/>
        <v>1</v>
      </c>
      <c r="I120" t="str">
        <f>IF(FT!B120&lt;&gt;"",FT!E120,"")</f>
        <v>2 [47.976076]</v>
      </c>
      <c r="J120">
        <f>IF(FT!B120&lt;&gt;"",FT!C120,"")</f>
        <v>47.976100000000002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171970</v>
      </c>
      <c r="D121" s="61">
        <f>FH!B121*1</f>
        <v>171970</v>
      </c>
      <c r="E121">
        <f t="shared" si="11"/>
        <v>119</v>
      </c>
      <c r="F121" s="61">
        <f>IF(FT!A121&lt;&gt;"",FT!A121*10,"")</f>
        <v>5.03993</v>
      </c>
      <c r="G121" s="61">
        <f>IF(FT!B121&lt;&gt;"",FT!B121*100,"")</f>
        <v>24.627099999999999</v>
      </c>
      <c r="H121" s="61">
        <f t="shared" si="9"/>
        <v>1</v>
      </c>
      <c r="I121" t="str">
        <f>IF(FT!B121&lt;&gt;"",FT!E121,"")</f>
        <v>2 [48.387134]</v>
      </c>
      <c r="J121">
        <f>IF(FT!B121&lt;&gt;"",FT!C121,"")</f>
        <v>48.387099999999997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5.0199099999999994</v>
      </c>
      <c r="G122" s="61">
        <f>IF(FT!B122&lt;&gt;"",FT!B122*100,"")</f>
        <v>24.267199999999999</v>
      </c>
      <c r="H122" s="61">
        <f t="shared" si="9"/>
        <v>1</v>
      </c>
      <c r="I122" t="str">
        <f>IF(FT!B122&lt;&gt;"",FT!E122,"")</f>
        <v>2 [48.791974]</v>
      </c>
      <c r="J122">
        <f>IF(FT!B122&lt;&gt;"",FT!C122,"")</f>
        <v>48.792000000000002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4.9971100000000002</v>
      </c>
      <c r="G123" s="61">
        <f>IF(FT!B123&lt;&gt;"",FT!B123*100,"")</f>
        <v>23.954900000000002</v>
      </c>
      <c r="H123" s="61">
        <f t="shared" si="9"/>
        <v>1</v>
      </c>
      <c r="I123" t="str">
        <f>IF(FT!B123&lt;&gt;"",FT!E123,"")</f>
        <v>2 [49.196706]</v>
      </c>
      <c r="J123">
        <f>IF(FT!B123&lt;&gt;"",FT!C123,"")</f>
        <v>49.1967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177117</v>
      </c>
      <c r="D124" s="61">
        <f>FH!B124*1</f>
        <v>177117</v>
      </c>
      <c r="E124">
        <f t="shared" si="11"/>
        <v>122</v>
      </c>
      <c r="F124" s="61">
        <f>IF(FT!A124&lt;&gt;"",FT!A124*10,"")</f>
        <v>4.9721200000000003</v>
      </c>
      <c r="G124" s="61">
        <f>IF(FT!B124&lt;&gt;"",FT!B124*100,"")</f>
        <v>23.694399999999998</v>
      </c>
      <c r="H124" s="61">
        <f t="shared" si="9"/>
        <v>1</v>
      </c>
      <c r="I124" t="str">
        <f>IF(FT!B124&lt;&gt;"",FT!E124,"")</f>
        <v>2 [49.599802]</v>
      </c>
      <c r="J124">
        <f>IF(FT!B124&lt;&gt;"",FT!C124,"")</f>
        <v>49.599800000000002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4.9483899999999998</v>
      </c>
      <c r="G125" s="61">
        <f>IF(FT!B125&lt;&gt;"",FT!B125*100,"")</f>
        <v>23.449400000000001</v>
      </c>
      <c r="H125" s="61">
        <f t="shared" si="9"/>
        <v>1</v>
      </c>
      <c r="I125" t="str">
        <f>IF(FT!B125&lt;&gt;"",FT!E125,"")</f>
        <v>2 [50.008261]</v>
      </c>
      <c r="J125">
        <f>IF(FT!B125&lt;&gt;"",FT!C125,"")</f>
        <v>50.008299999999998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172679</v>
      </c>
      <c r="D126" s="61">
        <f>FH!B126*1</f>
        <v>172679</v>
      </c>
      <c r="E126">
        <f t="shared" si="11"/>
        <v>124</v>
      </c>
      <c r="F126" s="61">
        <f>IF(FT!A126&lt;&gt;"",FT!A126*10,"")</f>
        <v>4.9354700000000005</v>
      </c>
      <c r="G126" s="61">
        <f>IF(FT!B126&lt;&gt;"",FT!B126*100,"")</f>
        <v>23.277800000000003</v>
      </c>
      <c r="H126" s="61">
        <f t="shared" si="9"/>
        <v>1</v>
      </c>
      <c r="I126" t="str">
        <f>IF(FT!B126&lt;&gt;"",FT!E126,"")</f>
        <v>2 [50.414240]</v>
      </c>
      <c r="J126">
        <f>IF(FT!B126&lt;&gt;"",FT!C126,"")</f>
        <v>50.414200000000001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4.92089</v>
      </c>
      <c r="G127" s="61">
        <f>IF(FT!B127&lt;&gt;"",FT!B127*100,"")</f>
        <v>23.1142</v>
      </c>
      <c r="H127" s="61">
        <f t="shared" si="9"/>
        <v>1</v>
      </c>
      <c r="I127" t="str">
        <f>IF(FT!B127&lt;&gt;"",FT!E127,"")</f>
        <v>2 [50.824316]</v>
      </c>
      <c r="J127">
        <f>IF(FT!B127&lt;&gt;"",FT!C127,"")</f>
        <v>50.824300000000001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4.9030899999999997</v>
      </c>
      <c r="G128" s="61">
        <f>IF(FT!B128&lt;&gt;"",FT!B128*100,"")</f>
        <v>22.987199999999998</v>
      </c>
      <c r="H128" s="61">
        <f t="shared" si="9"/>
        <v>1</v>
      </c>
      <c r="I128" t="str">
        <f>IF(FT!B128&lt;&gt;"",FT!E128,"")</f>
        <v>2 [51.226638]</v>
      </c>
      <c r="J128">
        <f>IF(FT!B128&lt;&gt;"",FT!C128,"")</f>
        <v>51.226599999999998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172001</v>
      </c>
      <c r="D129" s="61">
        <f>FH!B129*1</f>
        <v>172001</v>
      </c>
      <c r="E129">
        <f t="shared" si="11"/>
        <v>127</v>
      </c>
      <c r="F129" s="61">
        <f>IF(FT!A129&lt;&gt;"",FT!A129*10,"")</f>
        <v>4.8831999999999995</v>
      </c>
      <c r="G129" s="61">
        <f>IF(FT!B129&lt;&gt;"",FT!B129*100,"")</f>
        <v>22.892399999999999</v>
      </c>
      <c r="H129" s="61">
        <f t="shared" si="9"/>
        <v>1</v>
      </c>
      <c r="I129" t="str">
        <f>IF(FT!B129&lt;&gt;"",FT!E129,"")</f>
        <v>2 [51.636492]</v>
      </c>
      <c r="J129">
        <f>IF(FT!B129&lt;&gt;"",FT!C129,"")</f>
        <v>51.636499999999998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4.8633600000000001</v>
      </c>
      <c r="G130" s="61">
        <f>IF(FT!B130&lt;&gt;"",FT!B130*100,"")</f>
        <v>22.783200000000001</v>
      </c>
      <c r="H130" s="61">
        <f t="shared" si="9"/>
        <v>1</v>
      </c>
      <c r="I130" t="str">
        <f>IF(FT!B130&lt;&gt;"",FT!E130,"")</f>
        <v>2 [52.040090]</v>
      </c>
      <c r="J130">
        <f>IF(FT!B130&lt;&gt;"",FT!C130,"")</f>
        <v>52.040100000000002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163948</v>
      </c>
      <c r="D131" s="61">
        <f>FH!B131*1</f>
        <v>163948</v>
      </c>
      <c r="E131">
        <f t="shared" si="11"/>
        <v>129</v>
      </c>
      <c r="F131" s="61">
        <f>IF(FT!A131&lt;&gt;"",FT!A131*10,"")</f>
        <v>4.8461699999999999</v>
      </c>
      <c r="G131" s="61">
        <f>IF(FT!B131&lt;&gt;"",FT!B131*100,"")</f>
        <v>22.5976</v>
      </c>
      <c r="H131" s="61">
        <f t="shared" ref="H131:H194" si="13">(IF(F131&lt;&gt;"",1,""))</f>
        <v>1</v>
      </c>
      <c r="I131" t="str">
        <f>IF(FT!B131&lt;&gt;"",FT!E131,"")</f>
        <v>2 [52.446339]</v>
      </c>
      <c r="J131">
        <f>IF(FT!B131&lt;&gt;"",FT!C131,"")</f>
        <v>52.446300000000001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4.8298999999999994</v>
      </c>
      <c r="G132" s="61">
        <f>IF(FT!B132&lt;&gt;"",FT!B132*100,"")</f>
        <v>22.3599</v>
      </c>
      <c r="H132" s="61">
        <f t="shared" si="13"/>
        <v>1</v>
      </c>
      <c r="I132" t="str">
        <f>IF(FT!B132&lt;&gt;"",FT!E132,"")</f>
        <v>2 [52.852524]</v>
      </c>
      <c r="J132">
        <f>IF(FT!B132&lt;&gt;"",FT!C132,"")</f>
        <v>52.852499999999999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4.8149899999999999</v>
      </c>
      <c r="G133" s="61">
        <f>IF(FT!B133&lt;&gt;"",FT!B133*100,"")</f>
        <v>22.098000000000003</v>
      </c>
      <c r="H133" s="61">
        <f t="shared" si="13"/>
        <v>1</v>
      </c>
      <c r="I133" t="str">
        <f>IF(FT!B133&lt;&gt;"",FT!E133,"")</f>
        <v>2 [53.259866]</v>
      </c>
      <c r="J133">
        <f>IF(FT!B133&lt;&gt;"",FT!C133,"")</f>
        <v>53.259900000000002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165950</v>
      </c>
      <c r="D134" s="61">
        <f>FH!B134*1</f>
        <v>165950</v>
      </c>
      <c r="E134">
        <f t="shared" si="15"/>
        <v>132</v>
      </c>
      <c r="F134" s="61">
        <f>IF(FT!A134&lt;&gt;"",FT!A134*10,"")</f>
        <v>4.8038499999999997</v>
      </c>
      <c r="G134" s="61">
        <f>IF(FT!B134&lt;&gt;"",FT!B134*100,"")</f>
        <v>21.7973</v>
      </c>
      <c r="H134" s="61">
        <f t="shared" si="13"/>
        <v>1</v>
      </c>
      <c r="I134" t="str">
        <f>IF(FT!B134&lt;&gt;"",FT!E134,"")</f>
        <v>2 [53.663134]</v>
      </c>
      <c r="J134">
        <f>IF(FT!B134&lt;&gt;"",FT!C134,"")</f>
        <v>53.6631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4.7937500000000002</v>
      </c>
      <c r="G135" s="61">
        <f>IF(FT!B135&lt;&gt;"",FT!B135*100,"")</f>
        <v>21.522500000000001</v>
      </c>
      <c r="H135" s="61">
        <f t="shared" si="13"/>
        <v>1</v>
      </c>
      <c r="I135" t="str">
        <f>IF(FT!B135&lt;&gt;"",FT!E135,"")</f>
        <v>2 [54.069590]</v>
      </c>
      <c r="J135">
        <f>IF(FT!B135&lt;&gt;"",FT!C135,"")</f>
        <v>54.069600000000001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159611</v>
      </c>
      <c r="D136" s="61">
        <f>FH!B136*1</f>
        <v>159611</v>
      </c>
      <c r="E136">
        <f t="shared" si="15"/>
        <v>134</v>
      </c>
      <c r="F136" s="61">
        <f>IF(FT!A136&lt;&gt;"",FT!A136*10,"")</f>
        <v>4.7827399999999995</v>
      </c>
      <c r="G136" s="61">
        <f>IF(FT!B136&lt;&gt;"",FT!B136*100,"")</f>
        <v>21.329799999999999</v>
      </c>
      <c r="H136" s="61">
        <f t="shared" si="13"/>
        <v>1</v>
      </c>
      <c r="I136" t="str">
        <f>IF(FT!B136&lt;&gt;"",FT!E136,"")</f>
        <v>2 [54.473927]</v>
      </c>
      <c r="J136">
        <f>IF(FT!B136&lt;&gt;"",FT!C136,"")</f>
        <v>54.4739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4.7756799999999995</v>
      </c>
      <c r="G137" s="61">
        <f>IF(FT!B137&lt;&gt;"",FT!B137*100,"")</f>
        <v>21.069299999999998</v>
      </c>
      <c r="H137" s="61">
        <f t="shared" si="13"/>
        <v>1</v>
      </c>
      <c r="I137" t="str">
        <f>IF(FT!B137&lt;&gt;"",FT!E137,"")</f>
        <v>2 [54.885537]</v>
      </c>
      <c r="J137">
        <f>IF(FT!B137&lt;&gt;"",FT!C137,"")</f>
        <v>54.8855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4.7690200000000003</v>
      </c>
      <c r="G138" s="61">
        <f>IF(FT!B138&lt;&gt;"",FT!B138*100,"")</f>
        <v>20.855699999999999</v>
      </c>
      <c r="H138" s="61">
        <f t="shared" si="13"/>
        <v>1</v>
      </c>
      <c r="I138" t="str">
        <f>IF(FT!B138&lt;&gt;"",FT!E138,"")</f>
        <v>2 [55.292142]</v>
      </c>
      <c r="J138">
        <f>IF(FT!B138&lt;&gt;"",FT!C138,"")</f>
        <v>55.292099999999998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168064</v>
      </c>
      <c r="D139" s="61">
        <f>FH!B139*1</f>
        <v>168064</v>
      </c>
      <c r="E139">
        <f t="shared" si="15"/>
        <v>137</v>
      </c>
      <c r="F139" s="61">
        <f>IF(FT!A139&lt;&gt;"",FT!A139*10,"")</f>
        <v>4.7673700000000006</v>
      </c>
      <c r="G139" s="61">
        <f>IF(FT!B139&lt;&gt;"",FT!B139*100,"")</f>
        <v>20.681799999999999</v>
      </c>
      <c r="H139" s="61">
        <f t="shared" si="13"/>
        <v>1</v>
      </c>
      <c r="I139" t="str">
        <f>IF(FT!B139&lt;&gt;"",FT!E139,"")</f>
        <v>2 [55.695372]</v>
      </c>
      <c r="J139">
        <f>IF(FT!B139&lt;&gt;"",FT!C139,"")</f>
        <v>55.695399999999999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4.7664400000000002</v>
      </c>
      <c r="G140" s="61">
        <f>IF(FT!B140&lt;&gt;"",FT!B140*100,"")</f>
        <v>20.568300000000001</v>
      </c>
      <c r="H140" s="61">
        <f t="shared" si="13"/>
        <v>1</v>
      </c>
      <c r="I140" t="str">
        <f>IF(FT!B140&lt;&gt;"",FT!E140,"")</f>
        <v>2 [56.103177]</v>
      </c>
      <c r="J140">
        <f>IF(FT!B140&lt;&gt;"",FT!C140,"")</f>
        <v>56.103200000000001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4.7677800000000001</v>
      </c>
      <c r="G141" s="61">
        <f>IF(FT!B141&lt;&gt;"",FT!B141*100,"")</f>
        <v>20.4373</v>
      </c>
      <c r="H141" s="61">
        <f t="shared" si="13"/>
        <v>1</v>
      </c>
      <c r="I141" t="str">
        <f>IF(FT!B141&lt;&gt;"",FT!E141,"")</f>
        <v>2 [56.512736]</v>
      </c>
      <c r="J141">
        <f>IF(FT!B141&lt;&gt;"",FT!C141,"")</f>
        <v>56.512700000000002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175789</v>
      </c>
      <c r="D142" s="61">
        <f>FH!B142*1</f>
        <v>175789</v>
      </c>
      <c r="E142">
        <f t="shared" si="15"/>
        <v>140</v>
      </c>
      <c r="F142" s="61">
        <f>IF(FT!A142&lt;&gt;"",FT!A142*10,"")</f>
        <v>4.7653099999999995</v>
      </c>
      <c r="G142" s="61">
        <f>IF(FT!B142&lt;&gt;"",FT!B142*100,"")</f>
        <v>20.387</v>
      </c>
      <c r="H142" s="61">
        <f t="shared" si="13"/>
        <v>1</v>
      </c>
      <c r="I142" t="str">
        <f>IF(FT!B142&lt;&gt;"",FT!E142,"")</f>
        <v>2 [56.915962]</v>
      </c>
      <c r="J142">
        <f>IF(FT!B142&lt;&gt;"",FT!C142,"")</f>
        <v>56.915999999999997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4.76417</v>
      </c>
      <c r="G143" s="61">
        <f>IF(FT!B143&lt;&gt;"",FT!B143*100,"")</f>
        <v>20.402799999999999</v>
      </c>
      <c r="H143" s="61">
        <f t="shared" si="13"/>
        <v>1</v>
      </c>
      <c r="I143" t="str">
        <f>IF(FT!B143&lt;&gt;"",FT!E143,"")</f>
        <v>2 [57.322348]</v>
      </c>
      <c r="J143">
        <f>IF(FT!B143&lt;&gt;"",FT!C143,"")</f>
        <v>57.322299999999998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175675</v>
      </c>
      <c r="D144" s="61">
        <f>FH!B144*1</f>
        <v>175675</v>
      </c>
      <c r="E144">
        <f t="shared" si="15"/>
        <v>142</v>
      </c>
      <c r="F144" s="61">
        <f>IF(FT!A144&lt;&gt;"",FT!A144*10,"")</f>
        <v>4.7675099999999997</v>
      </c>
      <c r="G144" s="61">
        <f>IF(FT!B144&lt;&gt;"",FT!B144*100,"")</f>
        <v>20.5029</v>
      </c>
      <c r="H144" s="61">
        <f t="shared" si="13"/>
        <v>1</v>
      </c>
      <c r="I144" t="str">
        <f>IF(FT!B144&lt;&gt;"",FT!E144,"")</f>
        <v>2 [57.730143]</v>
      </c>
      <c r="J144">
        <f>IF(FT!B144&lt;&gt;"",FT!C144,"")</f>
        <v>57.7301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4.7680099999999994</v>
      </c>
      <c r="G145" s="61">
        <f>IF(FT!B145&lt;&gt;"",FT!B145*100,"")</f>
        <v>20.74</v>
      </c>
      <c r="H145" s="61">
        <f t="shared" si="13"/>
        <v>1</v>
      </c>
      <c r="I145" t="str">
        <f>IF(FT!B145&lt;&gt;"",FT!E145,"")</f>
        <v>2 [58.132839]</v>
      </c>
      <c r="J145">
        <f>IF(FT!B145&lt;&gt;"",FT!C145,"")</f>
        <v>58.132800000000003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4.7590300000000001</v>
      </c>
      <c r="G146" s="61">
        <f>IF(FT!B146&lt;&gt;"",FT!B146*100,"")</f>
        <v>21.005299999999998</v>
      </c>
      <c r="H146" s="61">
        <f t="shared" si="13"/>
        <v>1</v>
      </c>
      <c r="I146" t="str">
        <f>IF(FT!B146&lt;&gt;"",FT!E146,"")</f>
        <v>2 [58.537666]</v>
      </c>
      <c r="J146">
        <f>IF(FT!B146&lt;&gt;"",FT!C146,"")</f>
        <v>58.537700000000001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172444</v>
      </c>
      <c r="D147" s="61">
        <f>FH!B147*1</f>
        <v>172444</v>
      </c>
      <c r="E147">
        <f t="shared" si="15"/>
        <v>145</v>
      </c>
      <c r="F147" s="61">
        <f>IF(FT!A147&lt;&gt;"",FT!A147*10,"")</f>
        <v>4.7397200000000002</v>
      </c>
      <c r="G147" s="61">
        <f>IF(FT!B147&lt;&gt;"",FT!B147*100,"")</f>
        <v>21.384900000000002</v>
      </c>
      <c r="H147" s="61">
        <f t="shared" si="13"/>
        <v>1</v>
      </c>
      <c r="I147" t="str">
        <f>IF(FT!B147&lt;&gt;"",FT!E147,"")</f>
        <v>2 [58.944457]</v>
      </c>
      <c r="J147">
        <f>IF(FT!B147&lt;&gt;"",FT!C147,"")</f>
        <v>58.944499999999998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4.7300500000000003</v>
      </c>
      <c r="G148" s="61">
        <f>IF(FT!B148&lt;&gt;"",FT!B148*100,"")</f>
        <v>21.710099999999997</v>
      </c>
      <c r="H148" s="61">
        <f t="shared" si="13"/>
        <v>1</v>
      </c>
      <c r="I148" t="str">
        <f>IF(FT!B148&lt;&gt;"",FT!E148,"")</f>
        <v>2 [59.354552]</v>
      </c>
      <c r="J148">
        <f>IF(FT!B148&lt;&gt;"",FT!C148,"")</f>
        <v>59.354599999999998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170457</v>
      </c>
      <c r="D149" s="61">
        <f>FH!B149*1</f>
        <v>170457</v>
      </c>
      <c r="E149">
        <f t="shared" si="15"/>
        <v>147</v>
      </c>
      <c r="F149" s="61">
        <f>IF(FT!A149&lt;&gt;"",FT!A149*10,"")</f>
        <v>4.7285500000000003</v>
      </c>
      <c r="G149" s="61">
        <f>IF(FT!B149&lt;&gt;"",FT!B149*100,"")</f>
        <v>22.047900000000002</v>
      </c>
      <c r="H149" s="61">
        <f t="shared" si="13"/>
        <v>1</v>
      </c>
      <c r="I149" t="str">
        <f>IF(FT!B149&lt;&gt;"",FT!E149,"")</f>
        <v>2 [59.759879]</v>
      </c>
      <c r="J149">
        <f>IF(FT!B149&lt;&gt;"",FT!C149,"")</f>
        <v>59.759900000000002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166211</v>
      </c>
      <c r="D152" s="61">
        <f>FH!B152*1</f>
        <v>166211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159787</v>
      </c>
      <c r="D154" s="61">
        <f>FH!B154*1</f>
        <v>159787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147681</v>
      </c>
      <c r="D157" s="61">
        <f>FH!B157*1</f>
        <v>147681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135248</v>
      </c>
      <c r="D160" s="61">
        <f>FH!B160*1</f>
        <v>135248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123846</v>
      </c>
      <c r="D162" s="61">
        <f>FH!B162*1</f>
        <v>123846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120407</v>
      </c>
      <c r="D165" s="61">
        <f>FH!B165*1</f>
        <v>120407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100019</v>
      </c>
      <c r="D167" s="61">
        <f>FH!B167*1</f>
        <v>100019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94800</v>
      </c>
      <c r="D170" s="61">
        <f>FH!B170*1</f>
        <v>94800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83320</v>
      </c>
      <c r="D173" s="61">
        <f>FH!B173*1</f>
        <v>83320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71855</v>
      </c>
      <c r="D175" s="61">
        <f>FH!B175*1</f>
        <v>71855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68731</v>
      </c>
      <c r="D178" s="61">
        <f>FH!B178*1</f>
        <v>68731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54907</v>
      </c>
      <c r="D180" s="61">
        <f>FH!B180*1</f>
        <v>54907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52663</v>
      </c>
      <c r="D183" s="61">
        <f>FH!B183*1</f>
        <v>52663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49319</v>
      </c>
      <c r="D185" s="61">
        <f>FH!B185*1</f>
        <v>49319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45436</v>
      </c>
      <c r="D188" s="61">
        <f>FH!B188*1</f>
        <v>45436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39672</v>
      </c>
      <c r="D191" s="61">
        <f>FH!B191*1</f>
        <v>39672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37711</v>
      </c>
      <c r="D193" s="61">
        <f>FH!B193*1</f>
        <v>37711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32432</v>
      </c>
      <c r="D196" s="61">
        <f>FH!B196*1</f>
        <v>32432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22341</v>
      </c>
      <c r="D198" s="61">
        <f>FH!B198*1</f>
        <v>22341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17138</v>
      </c>
      <c r="D201" s="61">
        <f>FH!B201*1</f>
        <v>17138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10441</v>
      </c>
      <c r="D203" s="61">
        <f>FH!B203*1</f>
        <v>10441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5488</v>
      </c>
      <c r="D206" s="61">
        <f>FH!B206*1</f>
        <v>5488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2161</v>
      </c>
      <c r="D209" s="61">
        <f>FH!B209*1</f>
        <v>2161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1674</v>
      </c>
      <c r="D211" s="61">
        <f>FH!B211*1</f>
        <v>1674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1537</v>
      </c>
      <c r="D214" s="61">
        <f>FH!B214*1</f>
        <v>1537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688</v>
      </c>
      <c r="D216" s="61">
        <f>FH!B216*1</f>
        <v>688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49.545900000000003</v>
      </c>
      <c r="C5" s="66">
        <v>7.1027500000000003</v>
      </c>
      <c r="D5" s="66">
        <v>14.335699999999999</v>
      </c>
      <c r="E5" s="66">
        <v>20</v>
      </c>
      <c r="F5" s="66">
        <v>22.7866</v>
      </c>
      <c r="G5" s="66">
        <v>50</v>
      </c>
      <c r="H5" s="66">
        <v>60.136499999999998</v>
      </c>
    </row>
    <row r="6" spans="1:8">
      <c r="A6" s="58" t="s">
        <v>303</v>
      </c>
      <c r="B6" s="66">
        <v>31.5214</v>
      </c>
      <c r="C6" s="66">
        <v>1.11398</v>
      </c>
      <c r="D6" s="66">
        <v>3.5340400000000001</v>
      </c>
      <c r="E6" s="66">
        <v>20</v>
      </c>
      <c r="F6" s="66">
        <v>28.871700000000001</v>
      </c>
      <c r="G6" s="66">
        <v>40</v>
      </c>
      <c r="H6" s="66">
        <v>35.745600000000003</v>
      </c>
    </row>
    <row r="7" spans="1:8">
      <c r="A7" s="58" t="s">
        <v>304</v>
      </c>
      <c r="B7" s="66">
        <v>30.092500000000001</v>
      </c>
      <c r="C7" s="66">
        <v>11.120799999999999</v>
      </c>
      <c r="D7" s="66">
        <v>36.955300000000001</v>
      </c>
      <c r="E7" s="66">
        <v>15</v>
      </c>
      <c r="F7" s="66">
        <v>9.6924399999999995</v>
      </c>
      <c r="G7" s="66">
        <v>40</v>
      </c>
      <c r="H7" s="66">
        <v>50.132300000000001</v>
      </c>
    </row>
    <row r="8" spans="1:8">
      <c r="A8" s="58" t="s">
        <v>305</v>
      </c>
      <c r="B8" s="66">
        <v>37.058300000000003</v>
      </c>
      <c r="C8" s="66">
        <v>5.0732699999999999</v>
      </c>
      <c r="D8" s="66">
        <v>13.69</v>
      </c>
      <c r="E8" s="66">
        <v>20</v>
      </c>
      <c r="F8" s="66">
        <v>25.859200000000001</v>
      </c>
      <c r="G8" s="66">
        <v>50</v>
      </c>
      <c r="H8" s="66">
        <v>45.765599999999999</v>
      </c>
    </row>
    <row r="9" spans="1:8">
      <c r="A9" s="58" t="s">
        <v>306</v>
      </c>
      <c r="B9" s="66">
        <v>59.2684</v>
      </c>
      <c r="C9" s="66">
        <v>7.2065200000000003</v>
      </c>
      <c r="D9" s="66">
        <v>12.1591</v>
      </c>
      <c r="E9" s="66">
        <v>50</v>
      </c>
      <c r="F9" s="66">
        <v>38.710099999999997</v>
      </c>
      <c r="G9" s="66">
        <v>100</v>
      </c>
      <c r="H9" s="66">
        <v>74.296300000000002</v>
      </c>
    </row>
    <row r="10" spans="1:8">
      <c r="A10" s="58" t="s">
        <v>307</v>
      </c>
      <c r="B10" s="66">
        <v>75.170400000000001</v>
      </c>
      <c r="C10" s="66">
        <v>2.0975799999999998</v>
      </c>
      <c r="D10" s="66">
        <v>2.7904300000000002</v>
      </c>
      <c r="E10" s="66">
        <v>40</v>
      </c>
      <c r="F10" s="66">
        <v>68.548900000000003</v>
      </c>
      <c r="G10" s="66">
        <v>100</v>
      </c>
      <c r="H10" s="66">
        <v>79.855500000000006</v>
      </c>
    </row>
    <row r="11" spans="1:8">
      <c r="A11" s="58" t="s">
        <v>308</v>
      </c>
      <c r="B11" s="66">
        <v>31.917200000000001</v>
      </c>
      <c r="C11" s="66">
        <v>5.8703000000000003</v>
      </c>
      <c r="D11" s="66">
        <v>18.392299999999999</v>
      </c>
      <c r="E11" s="66">
        <v>10</v>
      </c>
      <c r="F11" s="66">
        <v>13.8964</v>
      </c>
      <c r="G11" s="66">
        <v>50</v>
      </c>
      <c r="H11" s="66">
        <v>39.135800000000003</v>
      </c>
    </row>
    <row r="12" spans="1:8">
      <c r="A12" s="58" t="s">
        <v>309</v>
      </c>
      <c r="B12" s="66">
        <v>67.572900000000004</v>
      </c>
      <c r="C12" s="66">
        <v>4.1018299999999996</v>
      </c>
      <c r="D12" s="66">
        <v>6.0702299999999996</v>
      </c>
      <c r="E12" s="66">
        <v>50</v>
      </c>
      <c r="F12" s="66">
        <v>53.6295</v>
      </c>
      <c r="G12" s="66">
        <v>100</v>
      </c>
      <c r="H12" s="66">
        <v>74.696299999999994</v>
      </c>
    </row>
    <row r="13" spans="1:8">
      <c r="A13" s="58" t="s">
        <v>310</v>
      </c>
      <c r="B13" s="66">
        <v>22.0915</v>
      </c>
      <c r="C13" s="66">
        <v>3.91906</v>
      </c>
      <c r="D13" s="66">
        <v>17.740100000000002</v>
      </c>
      <c r="E13" s="66">
        <v>10</v>
      </c>
      <c r="F13" s="66">
        <v>14.212199999999999</v>
      </c>
      <c r="G13" s="66">
        <v>25</v>
      </c>
      <c r="H13" s="66">
        <v>31.748799999999999</v>
      </c>
    </row>
    <row r="14" spans="1:8">
      <c r="A14" s="58" t="s">
        <v>311</v>
      </c>
      <c r="B14" s="66">
        <v>39.190600000000003</v>
      </c>
      <c r="C14" s="66">
        <v>13.5632</v>
      </c>
      <c r="D14" s="66">
        <v>34.608199999999997</v>
      </c>
      <c r="E14" s="66">
        <v>10</v>
      </c>
      <c r="F14" s="66">
        <v>0.60249900000000001</v>
      </c>
      <c r="G14" s="66">
        <v>50</v>
      </c>
      <c r="H14" s="66">
        <v>55.6098</v>
      </c>
    </row>
    <row r="15" spans="1:8">
      <c r="A15" s="58" t="s">
        <v>312</v>
      </c>
      <c r="B15" s="66">
        <v>-4.1286900000000001E-2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-4.74638E-2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16.0275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0.357933</v>
      </c>
      <c r="C18" s="66">
        <v>3.5968300000000002E-2</v>
      </c>
      <c r="D18" s="66">
        <v>0.10048899999999999</v>
      </c>
      <c r="E18" s="66">
        <v>0</v>
      </c>
      <c r="F18" s="66">
        <v>0.32196399999999997</v>
      </c>
      <c r="G18" s="66">
        <v>0</v>
      </c>
      <c r="H18" s="66">
        <v>0.393901</v>
      </c>
    </row>
    <row r="19" spans="1:8">
      <c r="A19" s="58" t="s">
        <v>316</v>
      </c>
      <c r="B19" s="66">
        <v>0.474883</v>
      </c>
      <c r="C19" s="66">
        <v>1.5312900000000001E-2</v>
      </c>
      <c r="D19" s="66">
        <v>3.2245599999999999E-2</v>
      </c>
      <c r="E19" s="66">
        <v>0</v>
      </c>
      <c r="F19" s="66">
        <v>0.45956999999999998</v>
      </c>
      <c r="G19" s="66">
        <v>0</v>
      </c>
      <c r="H19" s="66">
        <v>0.49019600000000002</v>
      </c>
    </row>
    <row r="20" spans="1:8">
      <c r="A20" s="58" t="s">
        <v>317</v>
      </c>
      <c r="B20" s="66">
        <v>7.2263500000000003E-3</v>
      </c>
      <c r="C20" s="66">
        <v>6.2308500000000003E-2</v>
      </c>
      <c r="D20" s="66">
        <v>8.6224000000000007</v>
      </c>
      <c r="E20" s="66">
        <v>0</v>
      </c>
      <c r="F20" s="66">
        <v>0</v>
      </c>
      <c r="G20" s="66">
        <v>0</v>
      </c>
      <c r="H20" s="66">
        <v>1.2803100000000001</v>
      </c>
    </row>
    <row r="21" spans="1:8">
      <c r="A21" s="58" t="s">
        <v>318</v>
      </c>
      <c r="B21" s="66">
        <v>0.30389699999999997</v>
      </c>
      <c r="C21" s="66">
        <v>0.52643700000000004</v>
      </c>
      <c r="D21" s="66">
        <v>1.7322900000000001</v>
      </c>
      <c r="E21" s="66">
        <v>0</v>
      </c>
      <c r="F21" s="66">
        <v>1.77433E-3</v>
      </c>
      <c r="G21" s="66">
        <v>0</v>
      </c>
      <c r="H21" s="66">
        <v>3.3012199999999998</v>
      </c>
    </row>
    <row r="22" spans="1:8">
      <c r="A22" s="58" t="s">
        <v>319</v>
      </c>
      <c r="B22" s="66">
        <v>58.3812</v>
      </c>
      <c r="C22" s="66">
        <v>13.630100000000001</v>
      </c>
      <c r="D22" s="66">
        <v>0.23346700000000001</v>
      </c>
      <c r="E22" s="66">
        <v>0</v>
      </c>
      <c r="F22" s="66">
        <v>28.587</v>
      </c>
      <c r="G22" s="66">
        <v>0</v>
      </c>
      <c r="H22" s="66">
        <v>109.215</v>
      </c>
    </row>
    <row r="23" spans="1:8">
      <c r="A23" s="58" t="s">
        <v>320</v>
      </c>
      <c r="B23" s="66">
        <v>25.402799999999999</v>
      </c>
      <c r="C23" s="66">
        <v>3.20031</v>
      </c>
      <c r="D23" s="66">
        <v>0.12598300000000001</v>
      </c>
      <c r="E23" s="66">
        <v>0</v>
      </c>
      <c r="F23" s="66">
        <v>12.6091</v>
      </c>
      <c r="G23" s="66">
        <v>0</v>
      </c>
      <c r="H23" s="66">
        <v>31.942299999999999</v>
      </c>
    </row>
    <row r="24" spans="1:8">
      <c r="A24" s="58" t="s">
        <v>321</v>
      </c>
      <c r="B24" s="66">
        <v>1.6970099999999998E-2</v>
      </c>
      <c r="C24" s="66">
        <v>3.65691E-2</v>
      </c>
      <c r="D24" s="66">
        <v>2.1549100000000001</v>
      </c>
      <c r="E24" s="66">
        <v>0</v>
      </c>
      <c r="F24" s="196">
        <v>5.8240099999999998E-5</v>
      </c>
      <c r="G24" s="66">
        <v>0</v>
      </c>
      <c r="H24" s="66">
        <v>0.24080299999999999</v>
      </c>
    </row>
    <row r="25" spans="1:8">
      <c r="A25" s="58" t="s">
        <v>322</v>
      </c>
      <c r="B25" s="66">
        <v>0.35406500000000002</v>
      </c>
      <c r="C25" s="66">
        <v>0.321467</v>
      </c>
      <c r="D25" s="66">
        <v>0.90793199999999996</v>
      </c>
      <c r="E25" s="66">
        <v>0</v>
      </c>
      <c r="F25" s="66">
        <v>0.11673799999999999</v>
      </c>
      <c r="G25" s="66">
        <v>0</v>
      </c>
      <c r="H25" s="66">
        <v>1.8896200000000001</v>
      </c>
    </row>
    <row r="26" spans="1:8">
      <c r="A26" s="58" t="s">
        <v>323</v>
      </c>
      <c r="B26" s="66">
        <v>2.2091599999999999E-3</v>
      </c>
      <c r="C26" s="66">
        <v>7.3597599999999999E-3</v>
      </c>
      <c r="D26" s="66">
        <v>3.3314699999999999</v>
      </c>
      <c r="E26" s="66">
        <v>0</v>
      </c>
      <c r="F26" s="66">
        <v>0</v>
      </c>
      <c r="G26" s="66">
        <v>0</v>
      </c>
      <c r="H26" s="66">
        <v>0.164378</v>
      </c>
    </row>
    <row r="27" spans="1:8">
      <c r="A27" s="58" t="s">
        <v>324</v>
      </c>
      <c r="B27" s="196">
        <v>-2.2977899999999999E-5</v>
      </c>
      <c r="C27" s="66">
        <v>7.2886599999999998E-3</v>
      </c>
      <c r="D27" s="66">
        <v>-317.20299999999997</v>
      </c>
      <c r="E27" s="66">
        <v>0</v>
      </c>
      <c r="F27" s="66">
        <v>-0.162408</v>
      </c>
      <c r="G27" s="66">
        <v>0</v>
      </c>
      <c r="H27" s="66">
        <v>0.16172500000000001</v>
      </c>
    </row>
    <row r="28" spans="1:8">
      <c r="A28" s="58" t="s">
        <v>325</v>
      </c>
      <c r="B28" s="66">
        <v>3.1261400000000002E-2</v>
      </c>
      <c r="C28" s="66">
        <v>3.2719600000000001E-2</v>
      </c>
      <c r="D28" s="66">
        <v>1.04664</v>
      </c>
      <c r="E28" s="66">
        <v>0</v>
      </c>
      <c r="F28" s="66">
        <v>6.7708299999999998E-4</v>
      </c>
      <c r="G28" s="66">
        <v>0</v>
      </c>
      <c r="H28" s="66">
        <v>0.19357099999999999</v>
      </c>
    </row>
    <row r="29" spans="1:8">
      <c r="A29" s="58" t="s">
        <v>326</v>
      </c>
      <c r="B29" s="66">
        <v>87.565700000000007</v>
      </c>
      <c r="C29" s="66">
        <v>12.3553</v>
      </c>
      <c r="D29" s="66">
        <v>0.141098</v>
      </c>
      <c r="E29" s="66">
        <v>0</v>
      </c>
      <c r="F29" s="66">
        <v>51.671300000000002</v>
      </c>
      <c r="G29" s="66">
        <v>0</v>
      </c>
      <c r="H29" s="66">
        <v>117.276</v>
      </c>
    </row>
    <row r="30" spans="1:8">
      <c r="A30" s="58" t="s">
        <v>327</v>
      </c>
      <c r="B30" s="66">
        <v>30.593800000000002</v>
      </c>
      <c r="C30" s="66">
        <v>4.5305099999999996</v>
      </c>
      <c r="D30" s="66">
        <v>0.148086</v>
      </c>
      <c r="E30" s="66">
        <v>0</v>
      </c>
      <c r="F30" s="66">
        <v>15.4087</v>
      </c>
      <c r="G30" s="66">
        <v>0</v>
      </c>
      <c r="H30" s="66">
        <v>37.553199999999997</v>
      </c>
    </row>
    <row r="31" spans="1:8">
      <c r="A31" s="58" t="s">
        <v>328</v>
      </c>
      <c r="B31" s="66">
        <v>273.89800000000002</v>
      </c>
      <c r="C31" s="66">
        <v>84.879000000000005</v>
      </c>
      <c r="D31" s="66">
        <v>0.30989299999999997</v>
      </c>
      <c r="E31" s="66">
        <v>0</v>
      </c>
      <c r="F31" s="66">
        <v>116.982</v>
      </c>
      <c r="G31" s="66">
        <v>0</v>
      </c>
      <c r="H31" s="66">
        <v>429.75700000000001</v>
      </c>
    </row>
    <row r="32" spans="1:8">
      <c r="A32" s="58" t="s">
        <v>329</v>
      </c>
      <c r="B32" s="66">
        <v>0.300925</v>
      </c>
      <c r="C32" s="66">
        <v>0.111208</v>
      </c>
      <c r="D32" s="66">
        <v>0.36955300000000002</v>
      </c>
      <c r="E32" s="66">
        <v>0.15</v>
      </c>
      <c r="F32" s="66">
        <v>9.6924399999999994E-2</v>
      </c>
      <c r="G32" s="66">
        <v>0.4</v>
      </c>
      <c r="H32" s="66">
        <v>0.50132299999999996</v>
      </c>
    </row>
    <row r="33" spans="1:8">
      <c r="A33" s="58" t="s">
        <v>330</v>
      </c>
      <c r="B33" s="66">
        <v>0.39225900000000002</v>
      </c>
      <c r="C33" s="66">
        <v>5.4547900000000003E-2</v>
      </c>
      <c r="D33" s="66">
        <v>0.13906099999999999</v>
      </c>
      <c r="E33" s="66">
        <v>0</v>
      </c>
      <c r="F33" s="66">
        <v>0.259044</v>
      </c>
      <c r="G33" s="66">
        <v>0</v>
      </c>
      <c r="H33" s="66">
        <v>0.45885999999999999</v>
      </c>
    </row>
    <row r="34" spans="1:8">
      <c r="A34" s="58" t="s">
        <v>331</v>
      </c>
      <c r="B34" s="66">
        <v>0.220915</v>
      </c>
      <c r="C34" s="66">
        <v>3.9190599999999999E-2</v>
      </c>
      <c r="D34" s="66">
        <v>0.177401</v>
      </c>
      <c r="E34" s="66">
        <v>0.1</v>
      </c>
      <c r="F34" s="66">
        <v>0.142122</v>
      </c>
      <c r="G34" s="66">
        <v>0.25</v>
      </c>
      <c r="H34" s="66">
        <v>0.31748799999999999</v>
      </c>
    </row>
    <row r="35" spans="1:8">
      <c r="A35" s="58" t="s">
        <v>332</v>
      </c>
      <c r="B35" s="66">
        <v>8.9144600000000004E-2</v>
      </c>
      <c r="C35" s="66">
        <v>2.8413299999999999E-2</v>
      </c>
      <c r="D35" s="66">
        <v>0.31873200000000002</v>
      </c>
      <c r="E35" s="66">
        <v>0</v>
      </c>
      <c r="F35" s="66">
        <v>3.6903900000000003E-2</v>
      </c>
      <c r="G35" s="66">
        <v>0</v>
      </c>
      <c r="H35" s="66">
        <v>0.17461699999999999</v>
      </c>
    </row>
    <row r="36" spans="1:8">
      <c r="A36" s="58" t="s">
        <v>333</v>
      </c>
      <c r="B36" s="66">
        <v>0.19475500000000001</v>
      </c>
      <c r="C36" s="66">
        <v>0.110316</v>
      </c>
      <c r="D36" s="66">
        <v>0.56643500000000002</v>
      </c>
      <c r="E36" s="66">
        <v>0</v>
      </c>
      <c r="F36" s="66">
        <v>4.0580699999999997E-2</v>
      </c>
      <c r="G36" s="66">
        <v>0</v>
      </c>
      <c r="H36" s="66">
        <v>0.55390499999999998</v>
      </c>
    </row>
    <row r="37" spans="1:8">
      <c r="A37" s="58" t="s">
        <v>334</v>
      </c>
      <c r="B37" s="66">
        <v>0.39190599999999998</v>
      </c>
      <c r="C37" s="66">
        <v>0.135632</v>
      </c>
      <c r="D37" s="66">
        <v>0.346082</v>
      </c>
      <c r="E37" s="66">
        <v>0.1</v>
      </c>
      <c r="F37" s="66">
        <v>6.02499E-3</v>
      </c>
      <c r="G37" s="66">
        <v>0.5</v>
      </c>
      <c r="H37" s="66">
        <v>0.55609799999999998</v>
      </c>
    </row>
    <row r="38" spans="1:8">
      <c r="A38" s="58" t="s">
        <v>335</v>
      </c>
      <c r="B38" s="66">
        <v>-2.4178299999999999</v>
      </c>
      <c r="C38" s="66">
        <v>36.603000000000002</v>
      </c>
      <c r="D38" s="66">
        <v>-15.1388</v>
      </c>
      <c r="E38" s="66">
        <v>0</v>
      </c>
      <c r="F38" s="66">
        <v>-231.126</v>
      </c>
      <c r="G38" s="66">
        <v>0</v>
      </c>
      <c r="H38" s="66">
        <v>265.851</v>
      </c>
    </row>
    <row r="39" spans="1:8">
      <c r="A39" s="58" t="s">
        <v>336</v>
      </c>
      <c r="B39" s="66">
        <v>-1.78827</v>
      </c>
      <c r="C39" s="66">
        <v>4.6106400000000001</v>
      </c>
      <c r="D39" s="66">
        <v>-2.5782699999999998</v>
      </c>
      <c r="E39" s="66">
        <v>0</v>
      </c>
      <c r="F39" s="66">
        <v>-14.1014</v>
      </c>
      <c r="G39" s="66">
        <v>0</v>
      </c>
      <c r="H39" s="66">
        <v>7.3597400000000004</v>
      </c>
    </row>
    <row r="40" spans="1:8">
      <c r="A40" s="58" t="s">
        <v>337</v>
      </c>
      <c r="B40" s="66">
        <v>0.174175</v>
      </c>
      <c r="C40" s="66">
        <v>1.1775100000000001</v>
      </c>
      <c r="D40" s="66">
        <v>6.7604899999999999</v>
      </c>
      <c r="E40" s="66">
        <v>0</v>
      </c>
      <c r="F40" s="66">
        <v>-3.6466799999999999</v>
      </c>
      <c r="G40" s="66">
        <v>0</v>
      </c>
      <c r="H40" s="66">
        <v>1.7407699999999999</v>
      </c>
    </row>
    <row r="41" spans="1:8">
      <c r="A41" s="58" t="s">
        <v>338</v>
      </c>
      <c r="B41" s="66">
        <v>-5.7351600000000003E-2</v>
      </c>
      <c r="C41" s="66">
        <v>0.18682099999999999</v>
      </c>
      <c r="D41" s="66">
        <v>-3.2574700000000001</v>
      </c>
      <c r="E41" s="66">
        <v>0</v>
      </c>
      <c r="F41" s="66">
        <v>-0.73732299999999995</v>
      </c>
      <c r="G41" s="66">
        <v>0</v>
      </c>
      <c r="H41" s="66">
        <v>1</v>
      </c>
    </row>
    <row r="42" spans="1:8">
      <c r="A42" s="58" t="s">
        <v>339</v>
      </c>
      <c r="B42" s="66">
        <v>-6.5504099999999996E-2</v>
      </c>
      <c r="C42" s="66">
        <v>6.8546300000000004E-2</v>
      </c>
      <c r="D42" s="66">
        <v>-1.04644</v>
      </c>
      <c r="E42" s="66">
        <v>0</v>
      </c>
      <c r="F42" s="66">
        <v>-0.265378</v>
      </c>
      <c r="G42" s="66">
        <v>0</v>
      </c>
      <c r="H42" s="66">
        <v>0.138792</v>
      </c>
    </row>
    <row r="43" spans="1:8">
      <c r="A43" s="58" t="s">
        <v>340</v>
      </c>
      <c r="B43" s="66">
        <v>-5.0556799999999999E-3</v>
      </c>
      <c r="C43" s="66">
        <v>5.12846E-2</v>
      </c>
      <c r="D43" s="66">
        <v>-10.144</v>
      </c>
      <c r="E43" s="66">
        <v>0</v>
      </c>
      <c r="F43" s="66">
        <v>-8.3113099999999995E-2</v>
      </c>
      <c r="G43" s="66">
        <v>0</v>
      </c>
      <c r="H43" s="66">
        <v>0.1147</v>
      </c>
    </row>
    <row r="44" spans="1:8">
      <c r="A44" s="58" t="s">
        <v>341</v>
      </c>
      <c r="B44" s="66">
        <v>-39.398499999999999</v>
      </c>
      <c r="C44" s="66">
        <v>22.533799999999999</v>
      </c>
      <c r="D44" s="66">
        <v>-0.57194400000000001</v>
      </c>
      <c r="E44" s="66">
        <v>0</v>
      </c>
      <c r="F44" s="66">
        <v>-79.1477</v>
      </c>
      <c r="G44" s="66">
        <v>0</v>
      </c>
      <c r="H44" s="66">
        <v>6.0000900000000001</v>
      </c>
    </row>
    <row r="45" spans="1:8">
      <c r="A45" s="58" t="s">
        <v>342</v>
      </c>
      <c r="B45" s="66">
        <v>61.905000000000001</v>
      </c>
      <c r="C45" s="66">
        <v>7.8723099999999997</v>
      </c>
      <c r="D45" s="66">
        <v>0.127168</v>
      </c>
      <c r="E45" s="66">
        <v>0</v>
      </c>
      <c r="F45" s="66">
        <v>39.264200000000002</v>
      </c>
      <c r="G45" s="66">
        <v>0</v>
      </c>
      <c r="H45" s="66">
        <v>78.016099999999994</v>
      </c>
    </row>
    <row r="46" spans="1:8">
      <c r="A46" s="58" t="s">
        <v>343</v>
      </c>
      <c r="B46" s="66">
        <v>40.864800000000002</v>
      </c>
      <c r="C46" s="66">
        <v>5.9256500000000001</v>
      </c>
      <c r="D46" s="66">
        <v>0.145006</v>
      </c>
      <c r="E46" s="66">
        <v>0</v>
      </c>
      <c r="F46" s="66">
        <v>20.757300000000001</v>
      </c>
      <c r="G46" s="66">
        <v>0</v>
      </c>
      <c r="H46" s="66">
        <v>47.126899999999999</v>
      </c>
    </row>
    <row r="47" spans="1:8">
      <c r="A47" s="58" t="s">
        <v>344</v>
      </c>
      <c r="B47" s="66">
        <v>1.66659</v>
      </c>
      <c r="C47" s="66">
        <v>0.69922200000000001</v>
      </c>
      <c r="D47" s="66">
        <v>0.41955199999999998</v>
      </c>
      <c r="E47" s="66">
        <v>0</v>
      </c>
      <c r="F47" s="66">
        <v>0.46651599999999999</v>
      </c>
      <c r="G47" s="66">
        <v>0</v>
      </c>
      <c r="H47" s="66">
        <v>4.2082300000000004</v>
      </c>
    </row>
    <row r="48" spans="1:8">
      <c r="A48" s="58" t="s">
        <v>345</v>
      </c>
      <c r="B48" s="66">
        <v>1.04498</v>
      </c>
      <c r="C48" s="66">
        <v>0.13214100000000001</v>
      </c>
      <c r="D48" s="66">
        <v>0.12645300000000001</v>
      </c>
      <c r="E48" s="66">
        <v>0</v>
      </c>
      <c r="F48" s="66">
        <v>0.87573299999999998</v>
      </c>
      <c r="G48" s="66">
        <v>0</v>
      </c>
      <c r="H48" s="66">
        <v>1.4536100000000001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2.9553000000000011</v>
      </c>
      <c r="C5" s="66">
        <f>'M2'!C5-'M1'!C5</f>
        <v>-4.7996800000000004</v>
      </c>
      <c r="D5" s="66">
        <f>'M2'!D5-'M1'!D5</f>
        <v>-10.64448</v>
      </c>
      <c r="E5" s="66">
        <f>'M2'!E5-'M1'!E5</f>
        <v>0</v>
      </c>
      <c r="F5" s="66">
        <f>'M2'!F5-'M1'!F5</f>
        <v>22.178800000000003</v>
      </c>
      <c r="G5" s="66">
        <f>'M2'!G5-'M1'!G5</f>
        <v>0</v>
      </c>
      <c r="H5" s="66">
        <f>'M2'!H5-'M1'!H5</f>
        <v>1.0366</v>
      </c>
    </row>
    <row r="6" spans="1:8">
      <c r="A6" s="66" t="s">
        <v>244</v>
      </c>
      <c r="B6" s="66">
        <f>'M2'!B6-'M1'!B6</f>
        <v>-0.29739999999999966</v>
      </c>
      <c r="C6" s="66">
        <f>'M2'!C6-'M1'!C6</f>
        <v>-0.24376399999999998</v>
      </c>
      <c r="D6" s="66">
        <f>'M2'!D6-'M1'!D6</f>
        <v>-0.74072000000000005</v>
      </c>
      <c r="E6" s="66">
        <f>'M2'!E6-'M1'!E6</f>
        <v>0</v>
      </c>
      <c r="F6" s="66">
        <f>'M2'!F6-'M1'!F6</f>
        <v>1.0432999999999986</v>
      </c>
      <c r="G6" s="66">
        <f>'M2'!G6-'M1'!G6</f>
        <v>0</v>
      </c>
      <c r="H6" s="66">
        <f>'M2'!H6-'M1'!H6</f>
        <v>-1.7813000000000017</v>
      </c>
    </row>
    <row r="7" spans="1:8">
      <c r="A7" s="66" t="s">
        <v>245</v>
      </c>
      <c r="B7" s="66">
        <f>'M2'!B7-'M1'!B7</f>
        <v>9.6553000000000004</v>
      </c>
      <c r="C7" s="66">
        <f>'M2'!C7-'M1'!C7</f>
        <v>0.48113000000000028</v>
      </c>
      <c r="D7" s="66">
        <f>'M2'!D7-'M1'!D7</f>
        <v>-10.436800000000005</v>
      </c>
      <c r="E7" s="66">
        <f>'M2'!E7-'M1'!E7</f>
        <v>0</v>
      </c>
      <c r="F7" s="66">
        <f>'M2'!F7-'M1'!F7</f>
        <v>4.6022600000000011</v>
      </c>
      <c r="G7" s="66">
        <f>'M2'!G7-'M1'!G7</f>
        <v>0</v>
      </c>
      <c r="H7" s="66">
        <f>'M2'!H7-'M1'!H7</f>
        <v>2.299199999999999</v>
      </c>
    </row>
    <row r="8" spans="1:8">
      <c r="A8" s="66" t="s">
        <v>246</v>
      </c>
      <c r="B8" s="66">
        <f>'M2'!B8-'M1'!B8</f>
        <v>3.6736000000000004</v>
      </c>
      <c r="C8" s="66">
        <f>'M2'!C8-'M1'!C8</f>
        <v>-1.4710300000000003</v>
      </c>
      <c r="D8" s="66">
        <f>'M2'!D8-'M1'!D8</f>
        <v>-5.2159899999999997</v>
      </c>
      <c r="E8" s="66">
        <f>'M2'!E8-'M1'!E8</f>
        <v>0</v>
      </c>
      <c r="F8" s="66">
        <f>'M2'!F8-'M1'!F8</f>
        <v>7.1760000000000019</v>
      </c>
      <c r="G8" s="66">
        <f>'M2'!G8-'M1'!G8</f>
        <v>0</v>
      </c>
      <c r="H8" s="66">
        <f>'M2'!H8-'M1'!H8</f>
        <v>2.4977000000000018</v>
      </c>
    </row>
    <row r="9" spans="1:8">
      <c r="A9" s="66" t="s">
        <v>247</v>
      </c>
      <c r="B9" s="66">
        <f>'M2'!B9-'M1'!B9</f>
        <v>-0.91850000000000165</v>
      </c>
      <c r="C9" s="66">
        <f>'M2'!C9-'M1'!C9</f>
        <v>3.419550000000001</v>
      </c>
      <c r="D9" s="66">
        <f>'M2'!D9-'M1'!D9</f>
        <v>5.9725000000000001</v>
      </c>
      <c r="E9" s="66">
        <f>'M2'!E9-'M1'!E9</f>
        <v>0</v>
      </c>
      <c r="F9" s="66">
        <f>'M2'!F9-'M1'!F9</f>
        <v>-10.444600000000001</v>
      </c>
      <c r="G9" s="66">
        <f>'M2'!G9-'M1'!G9</f>
        <v>0</v>
      </c>
      <c r="H9" s="66">
        <f>'M2'!H9-'M1'!H9</f>
        <v>-3.7472999999999956</v>
      </c>
    </row>
    <row r="10" spans="1:8">
      <c r="A10" s="66" t="s">
        <v>248</v>
      </c>
      <c r="B10" s="66">
        <f>'M2'!B10-'M1'!B10</f>
        <v>-1.806200000000004</v>
      </c>
      <c r="C10" s="66">
        <f>'M2'!C10-'M1'!C10</f>
        <v>0.14470999999999989</v>
      </c>
      <c r="D10" s="66">
        <f>'M2'!D10-'M1'!D10</f>
        <v>0.25025999999999993</v>
      </c>
      <c r="E10" s="66">
        <f>'M2'!E10-'M1'!E10</f>
        <v>0</v>
      </c>
      <c r="F10" s="66">
        <f>'M2'!F10-'M1'!F10</f>
        <v>-2.886099999999999</v>
      </c>
      <c r="G10" s="66">
        <f>'M2'!G10-'M1'!G10</f>
        <v>0</v>
      </c>
      <c r="H10" s="66">
        <f>'M2'!H10-'M1'!H10</f>
        <v>-2.6136000000000053</v>
      </c>
    </row>
    <row r="11" spans="1:8">
      <c r="A11" s="66" t="s">
        <v>249</v>
      </c>
      <c r="B11" s="66">
        <f>'M2'!B11-'M1'!B11</f>
        <v>2.6662999999999961</v>
      </c>
      <c r="C11" s="66">
        <f>'M2'!C11-'M1'!C11</f>
        <v>-2.8814800000000003</v>
      </c>
      <c r="D11" s="66">
        <f>'M2'!D11-'M1'!D11</f>
        <v>-10.559449999999998</v>
      </c>
      <c r="E11" s="66">
        <f>'M2'!E11-'M1'!E11</f>
        <v>0</v>
      </c>
      <c r="F11" s="66">
        <f>'M2'!F11-'M1'!F11</f>
        <v>14.598600000000001</v>
      </c>
      <c r="G11" s="66">
        <f>'M2'!G11-'M1'!G11</f>
        <v>0</v>
      </c>
      <c r="H11" s="66">
        <f>'M2'!H11-'M1'!H11</f>
        <v>5.128700000000002</v>
      </c>
    </row>
    <row r="12" spans="1:8">
      <c r="A12" s="66" t="s">
        <v>250</v>
      </c>
      <c r="B12" s="66">
        <f>'M2'!B12-'M1'!B12</f>
        <v>-1.77770000000001</v>
      </c>
      <c r="C12" s="66">
        <f>'M2'!C12-'M1'!C12</f>
        <v>2.4711099999999995</v>
      </c>
      <c r="D12" s="66">
        <f>'M2'!D12-'M1'!D12</f>
        <v>3.8290799999999998</v>
      </c>
      <c r="E12" s="66">
        <f>'M2'!E12-'M1'!E12</f>
        <v>0</v>
      </c>
      <c r="F12" s="66">
        <f>'M2'!F12-'M1'!F12</f>
        <v>-8.2286000000000001</v>
      </c>
      <c r="G12" s="66">
        <f>'M2'!G12-'M1'!G12</f>
        <v>0</v>
      </c>
      <c r="H12" s="66">
        <f>'M2'!H12-'M1'!H12</f>
        <v>-1.5134999999999934</v>
      </c>
    </row>
    <row r="13" spans="1:8">
      <c r="A13" s="66" t="s">
        <v>251</v>
      </c>
      <c r="B13" s="66">
        <f>'M2'!B13-'M1'!B13</f>
        <v>-3.5717999999999996</v>
      </c>
      <c r="C13" s="66">
        <f>'M2'!C13-'M1'!C13</f>
        <v>0.29059999999999997</v>
      </c>
      <c r="D13" s="66">
        <f>'M2'!D13-'M1'!D13</f>
        <v>3.8691000000000013</v>
      </c>
      <c r="E13" s="66">
        <f>'M2'!E13-'M1'!E13</f>
        <v>0</v>
      </c>
      <c r="F13" s="66">
        <f>'M2'!F13-'M1'!F13</f>
        <v>-0.88090000000000046</v>
      </c>
      <c r="G13" s="66">
        <f>'M2'!G13-'M1'!G13</f>
        <v>0</v>
      </c>
      <c r="H13" s="66">
        <f>'M2'!H13-'M1'!H13</f>
        <v>-0.57160000000000011</v>
      </c>
    </row>
    <row r="14" spans="1:8">
      <c r="A14" s="66" t="s">
        <v>252</v>
      </c>
      <c r="B14" s="66">
        <f>'M2'!B14-'M1'!B14</f>
        <v>2.9059999999999988</v>
      </c>
      <c r="C14" s="66">
        <f>'M2'!C14-'M1'!C14</f>
        <v>-1.9254999999999995</v>
      </c>
      <c r="D14" s="66">
        <f>'M2'!D14-'M1'!D14</f>
        <v>-8.860199999999999</v>
      </c>
      <c r="E14" s="66">
        <f>'M2'!E14-'M1'!E14</f>
        <v>0</v>
      </c>
      <c r="F14" s="66">
        <f>'M2'!F14-'M1'!F14</f>
        <v>1.7024210000000002</v>
      </c>
      <c r="G14" s="66">
        <f>'M2'!G14-'M1'!G14</f>
        <v>0</v>
      </c>
      <c r="H14" s="66">
        <f>'M2'!H14-'M1'!H14</f>
        <v>-16.142099999999999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5.4837000000000025E-2</v>
      </c>
      <c r="C18" s="66">
        <f>'M2'!C18-'M1'!C18</f>
        <v>3.5968300000000002E-2</v>
      </c>
      <c r="D18" s="66">
        <f>'M2'!D18-'M1'!D18</f>
        <v>0.10048899999999999</v>
      </c>
      <c r="E18" s="66">
        <f>'M2'!E18-'M1'!E18</f>
        <v>0</v>
      </c>
      <c r="F18" s="66">
        <f>'M2'!F18-'M1'!F18</f>
        <v>0.32196399999999997</v>
      </c>
      <c r="G18" s="66">
        <f>'M2'!G18-'M1'!G18</f>
        <v>0</v>
      </c>
      <c r="H18" s="66">
        <f>'M2'!H18-'M1'!H18</f>
        <v>0.393901</v>
      </c>
    </row>
    <row r="19" spans="1:8">
      <c r="A19" s="66" t="s">
        <v>256</v>
      </c>
      <c r="B19" s="66">
        <f>'M2'!B19-'M1'!B19</f>
        <v>8.7440000000000018E-2</v>
      </c>
      <c r="C19" s="66">
        <f>'M2'!C19-'M1'!C19</f>
        <v>1.5312900000000001E-2</v>
      </c>
      <c r="D19" s="66">
        <f>'M2'!D19-'M1'!D19</f>
        <v>3.2245599999999999E-2</v>
      </c>
      <c r="E19" s="66">
        <f>'M2'!E19-'M1'!E19</f>
        <v>0</v>
      </c>
      <c r="F19" s="66">
        <f>'M2'!F19-'M1'!F19</f>
        <v>0.45956999999999998</v>
      </c>
      <c r="G19" s="66">
        <f>'M2'!G19-'M1'!G19</f>
        <v>0</v>
      </c>
      <c r="H19" s="66">
        <f>'M2'!H19-'M1'!H19</f>
        <v>0.49019600000000002</v>
      </c>
    </row>
    <row r="20" spans="1:8">
      <c r="A20" s="66" t="s">
        <v>63</v>
      </c>
      <c r="B20" s="66">
        <f>'M2'!B20-'M1'!B20</f>
        <v>5.8285400000000001E-3</v>
      </c>
      <c r="C20" s="66">
        <f>'M2'!C20-'M1'!C20</f>
        <v>4.0502999999999997E-3</v>
      </c>
      <c r="D20" s="66">
        <f>'M2'!D20-'M1'!D20</f>
        <v>-7.7326299999999994</v>
      </c>
      <c r="E20" s="66">
        <f>'M2'!E20-'M1'!E20</f>
        <v>0</v>
      </c>
      <c r="F20" s="66">
        <f>'M2'!F20-'M1'!F20</f>
        <v>9.6803400000000006E-6</v>
      </c>
      <c r="G20" s="66">
        <f>'M2'!G20-'M1'!G20</f>
        <v>0</v>
      </c>
      <c r="H20" s="66">
        <f>'M2'!H20-'M1'!H20</f>
        <v>0.7182630000000001</v>
      </c>
    </row>
    <row r="21" spans="1:8">
      <c r="A21" s="66" t="s">
        <v>64</v>
      </c>
      <c r="B21" s="66">
        <f>'M2'!B21-'M1'!B21</f>
        <v>0.13568100000000002</v>
      </c>
      <c r="C21" s="66">
        <f>'M2'!C21-'M1'!C21</f>
        <v>-0.16355800000000004</v>
      </c>
      <c r="D21" s="66">
        <f>'M2'!D21-'M1'!D21</f>
        <v>-1.52023</v>
      </c>
      <c r="E21" s="66">
        <f>'M2'!E21-'M1'!E21</f>
        <v>0</v>
      </c>
      <c r="F21" s="66">
        <f>'M2'!F21-'M1'!F21</f>
        <v>-3.4019999999999996E-3</v>
      </c>
      <c r="G21" s="66">
        <f>'M2'!G21-'M1'!G21</f>
        <v>0</v>
      </c>
      <c r="H21" s="66">
        <f>'M2'!H21-'M1'!H21</f>
        <v>-0.86917</v>
      </c>
    </row>
    <row r="22" spans="1:8">
      <c r="A22" s="66" t="s">
        <v>65</v>
      </c>
      <c r="B22" s="66">
        <f>'M2'!B22-'M1'!B22</f>
        <v>5.57</v>
      </c>
      <c r="C22" s="66">
        <f>'M2'!C22-'M1'!C22</f>
        <v>-5.1272000000000002</v>
      </c>
      <c r="D22" s="66">
        <f>'M2'!D22-'M1'!D22</f>
        <v>-0.111013</v>
      </c>
      <c r="E22" s="66">
        <f>'M2'!E22-'M1'!E22</f>
        <v>0</v>
      </c>
      <c r="F22" s="66">
        <f>'M2'!F22-'M1'!F22</f>
        <v>11.153000000000002</v>
      </c>
      <c r="G22" s="66">
        <f>'M2'!G22-'M1'!G22</f>
        <v>0</v>
      </c>
      <c r="H22" s="66">
        <f>'M2'!H22-'M1'!H22</f>
        <v>-22.634</v>
      </c>
    </row>
    <row r="23" spans="1:8">
      <c r="A23" s="66" t="s">
        <v>66</v>
      </c>
      <c r="B23" s="66">
        <f>'M2'!B23-'M1'!B23</f>
        <v>3.0216999999999992</v>
      </c>
      <c r="C23" s="66">
        <f>'M2'!C23-'M1'!C23</f>
        <v>-1.9250399999999999</v>
      </c>
      <c r="D23" s="66">
        <f>'M2'!D23-'M1'!D23</f>
        <v>-9.1533900000000015E-2</v>
      </c>
      <c r="E23" s="66">
        <f>'M2'!E23-'M1'!E23</f>
        <v>0</v>
      </c>
      <c r="F23" s="66">
        <f>'M2'!F23-'M1'!F23</f>
        <v>10.143500000000001</v>
      </c>
      <c r="G23" s="66">
        <f>'M2'!G23-'M1'!G23</f>
        <v>0</v>
      </c>
      <c r="H23" s="66">
        <f>'M2'!H23-'M1'!H23</f>
        <v>3.3671000000000006</v>
      </c>
    </row>
    <row r="24" spans="1:8">
      <c r="A24" s="66" t="s">
        <v>67</v>
      </c>
      <c r="B24" s="66">
        <f>'M2'!B24-'M1'!B24</f>
        <v>9.3334999999999998E-3</v>
      </c>
      <c r="C24" s="66">
        <f>'M2'!C24-'M1'!C24</f>
        <v>-1.3150500000000002E-2</v>
      </c>
      <c r="D24" s="66">
        <f>'M2'!D24-'M1'!D24</f>
        <v>-2.0368500000000003</v>
      </c>
      <c r="E24" s="66">
        <f>'M2'!E24-'M1'!E24</f>
        <v>0</v>
      </c>
      <c r="F24" s="66">
        <f>'M2'!F24-'M1'!F24</f>
        <v>2.1527200000000006E-5</v>
      </c>
      <c r="G24" s="66">
        <f>'M2'!G24-'M1'!G24</f>
        <v>0</v>
      </c>
      <c r="H24" s="66">
        <f>'M2'!H24-'M1'!H24</f>
        <v>-8.5649000000000003E-2</v>
      </c>
    </row>
    <row r="25" spans="1:8">
      <c r="A25" s="66" t="s">
        <v>68</v>
      </c>
      <c r="B25" s="66">
        <f>'M2'!B25-'M1'!B25</f>
        <v>3.2894000000000034E-2</v>
      </c>
      <c r="C25" s="66">
        <f>'M2'!C25-'M1'!C25</f>
        <v>-9.1984999999999983E-2</v>
      </c>
      <c r="D25" s="66">
        <f>'M2'!D25-'M1'!D25</f>
        <v>-0.34494000000000002</v>
      </c>
      <c r="E25" s="66">
        <f>'M2'!E25-'M1'!E25</f>
        <v>0</v>
      </c>
      <c r="F25" s="66">
        <f>'M2'!F25-'M1'!F25</f>
        <v>2.0928000000000016E-2</v>
      </c>
      <c r="G25" s="66">
        <f>'M2'!G25-'M1'!G25</f>
        <v>0</v>
      </c>
      <c r="H25" s="66">
        <f>'M2'!H25-'M1'!H25</f>
        <v>-0.62753000000000014</v>
      </c>
    </row>
    <row r="26" spans="1:8">
      <c r="A26" s="66" t="s">
        <v>69</v>
      </c>
      <c r="B26" s="66">
        <f>'M2'!B26-'M1'!B26</f>
        <v>1.3753900000000002E-3</v>
      </c>
      <c r="C26" s="66">
        <f>'M2'!C26-'M1'!C26</f>
        <v>6.218300000000003E-4</v>
      </c>
      <c r="D26" s="66">
        <f>'M2'!D26-'M1'!D26</f>
        <v>-2.08833</v>
      </c>
      <c r="E26" s="66">
        <f>'M2'!E26-'M1'!E26</f>
        <v>0</v>
      </c>
      <c r="F26" s="66">
        <f>'M2'!F26-'M1'!F26</f>
        <v>3.2825599999999999E-6</v>
      </c>
      <c r="G26" s="66">
        <f>'M2'!G26-'M1'!G26</f>
        <v>0</v>
      </c>
      <c r="H26" s="66">
        <f>'M2'!H26-'M1'!H26</f>
        <v>9.2325699999999997E-2</v>
      </c>
    </row>
    <row r="27" spans="1:8">
      <c r="A27" s="66" t="s">
        <v>70</v>
      </c>
      <c r="B27" s="66">
        <f>'M2'!B27-'M1'!B27</f>
        <v>4.9237999999999985E-6</v>
      </c>
      <c r="C27" s="66">
        <f>'M2'!C27-'M1'!C27</f>
        <v>4.0738000000000007E-3</v>
      </c>
      <c r="D27" s="66">
        <f>'M2'!D27-'M1'!D27</f>
        <v>-257.26599999999996</v>
      </c>
      <c r="E27" s="66">
        <f>'M2'!E27-'M1'!E27</f>
        <v>0</v>
      </c>
      <c r="F27" s="66">
        <f>'M2'!F27-'M1'!F27</f>
        <v>-9.07004E-2</v>
      </c>
      <c r="G27" s="66">
        <f>'M2'!G27-'M1'!G27</f>
        <v>0</v>
      </c>
      <c r="H27" s="66">
        <f>'M2'!H27-'M1'!H27</f>
        <v>8.9728500000000003E-2</v>
      </c>
    </row>
    <row r="28" spans="1:8">
      <c r="A28" s="66" t="s">
        <v>71</v>
      </c>
      <c r="B28" s="66">
        <f>'M2'!B28-'M1'!B28</f>
        <v>9.8258999999999951E-3</v>
      </c>
      <c r="C28" s="66">
        <f>'M2'!C28-'M1'!C28</f>
        <v>-5.3894999999999985E-3</v>
      </c>
      <c r="D28" s="66">
        <f>'M2'!D28-'M1'!D28</f>
        <v>-0.5268719999999999</v>
      </c>
      <c r="E28" s="66">
        <f>'M2'!E28-'M1'!E28</f>
        <v>0</v>
      </c>
      <c r="F28" s="66">
        <f>'M2'!F28-'M1'!F28</f>
        <v>-6.7057700000000011E-4</v>
      </c>
      <c r="G28" s="66">
        <f>'M2'!G28-'M1'!G28</f>
        <v>0</v>
      </c>
      <c r="H28" s="66">
        <f>'M2'!H28-'M1'!H28</f>
        <v>2.0946999999999993E-2</v>
      </c>
    </row>
    <row r="29" spans="1:8">
      <c r="A29" s="66" t="s">
        <v>72</v>
      </c>
      <c r="B29" s="66">
        <f>'M2'!B29-'M1'!B29</f>
        <v>8.0533999999999963</v>
      </c>
      <c r="C29" s="66">
        <f>'M2'!C29-'M1'!C29</f>
        <v>-3.6791699999999992</v>
      </c>
      <c r="D29" s="66">
        <f>'M2'!D29-'M1'!D29</f>
        <v>-5.4523000000000002E-2</v>
      </c>
      <c r="E29" s="66">
        <f>'M2'!E29-'M1'!E29</f>
        <v>0</v>
      </c>
      <c r="F29" s="66">
        <f>'M2'!F29-'M1'!F29</f>
        <v>14.081099999999992</v>
      </c>
      <c r="G29" s="66">
        <f>'M2'!G29-'M1'!G29</f>
        <v>0</v>
      </c>
      <c r="H29" s="66">
        <f>'M2'!H29-'M1'!H29</f>
        <v>6.3819999999999908</v>
      </c>
    </row>
    <row r="30" spans="1:8">
      <c r="A30" s="66" t="s">
        <v>73</v>
      </c>
      <c r="B30" s="66">
        <f>'M2'!B30-'M1'!B30</f>
        <v>4.8296000000000028</v>
      </c>
      <c r="C30" s="66">
        <f>'M2'!C30-'M1'!C30</f>
        <v>-3.4982500000000005</v>
      </c>
      <c r="D30" s="66">
        <f>'M2'!D30-'M1'!D30</f>
        <v>-0.14051730000000001</v>
      </c>
      <c r="E30" s="66">
        <f>'M2'!E30-'M1'!E30</f>
        <v>0</v>
      </c>
      <c r="F30" s="66">
        <f>'M2'!F30-'M1'!F30</f>
        <v>12.580500000000001</v>
      </c>
      <c r="G30" s="66">
        <f>'M2'!G30-'M1'!G30</f>
        <v>0</v>
      </c>
      <c r="H30" s="66">
        <f>'M2'!H30-'M1'!H30</f>
        <v>1.5011999999999972</v>
      </c>
    </row>
    <row r="31" spans="1:8">
      <c r="A31" s="66" t="s">
        <v>74</v>
      </c>
      <c r="B31" s="66">
        <f>'M2'!B31-'M1'!B31</f>
        <v>133.92700000000002</v>
      </c>
      <c r="C31" s="66">
        <f>'M2'!C31-'M1'!C31</f>
        <v>-2.1270000000000024</v>
      </c>
      <c r="D31" s="66">
        <f>'M2'!D31-'M1'!D31</f>
        <v>-7.9111000000000015E-2</v>
      </c>
      <c r="E31" s="66">
        <f>'M2'!E31-'M1'!E31</f>
        <v>0</v>
      </c>
      <c r="F31" s="66">
        <f>'M2'!F31-'M1'!F31</f>
        <v>151.05300000000003</v>
      </c>
      <c r="G31" s="66">
        <f>'M2'!G31-'M1'!G31</f>
        <v>0</v>
      </c>
      <c r="H31" s="66">
        <f>'M2'!H31-'M1'!H31</f>
        <v>153.00799999999998</v>
      </c>
    </row>
    <row r="32" spans="1:8">
      <c r="A32" s="66" t="s">
        <v>75</v>
      </c>
      <c r="B32" s="66">
        <f>'M2'!B32-'M1'!B32</f>
        <v>9.6552999999999972E-2</v>
      </c>
      <c r="C32" s="66">
        <f>'M2'!C32-'M1'!C32</f>
        <v>4.8112999999999906E-3</v>
      </c>
      <c r="D32" s="66">
        <f>'M2'!D32-'M1'!D32</f>
        <v>-0.10436800000000002</v>
      </c>
      <c r="E32" s="66">
        <f>'M2'!E32-'M1'!E32</f>
        <v>0</v>
      </c>
      <c r="F32" s="66">
        <f>'M2'!F32-'M1'!F32</f>
        <v>4.6022599999999997E-2</v>
      </c>
      <c r="G32" s="66">
        <f>'M2'!G32-'M1'!G32</f>
        <v>0</v>
      </c>
      <c r="H32" s="66">
        <f>'M2'!H32-'M1'!H32</f>
        <v>2.2991999999999957E-2</v>
      </c>
    </row>
    <row r="33" spans="1:8">
      <c r="A33" s="66" t="s">
        <v>76</v>
      </c>
      <c r="B33" s="66">
        <f>'M2'!B33-'M1'!B33</f>
        <v>9.7864000000000007E-2</v>
      </c>
      <c r="C33" s="66">
        <f>'M2'!C33-'M1'!C33</f>
        <v>-1.88107E-2</v>
      </c>
      <c r="D33" s="66">
        <f>'M2'!D33-'M1'!D33</f>
        <v>-7.5523300000000015E-2</v>
      </c>
      <c r="E33" s="66">
        <f>'M2'!E33-'M1'!E33</f>
        <v>0</v>
      </c>
      <c r="F33" s="66">
        <f>'M2'!F33-'M1'!F33</f>
        <v>0.11325099999999999</v>
      </c>
      <c r="G33" s="66">
        <f>'M2'!G33-'M1'!G33</f>
        <v>0</v>
      </c>
      <c r="H33" s="66">
        <f>'M2'!H33-'M1'!H33</f>
        <v>3.3418000000000003E-2</v>
      </c>
    </row>
    <row r="34" spans="1:8">
      <c r="A34" s="66" t="s">
        <v>77</v>
      </c>
      <c r="B34" s="66">
        <f>'M2'!B34-'M1'!B34</f>
        <v>-3.5718E-2</v>
      </c>
      <c r="C34" s="66">
        <f>'M2'!C34-'M1'!C34</f>
        <v>2.9059999999999989E-3</v>
      </c>
      <c r="D34" s="66">
        <f>'M2'!D34-'M1'!D34</f>
        <v>3.8691000000000003E-2</v>
      </c>
      <c r="E34" s="66">
        <f>'M2'!E34-'M1'!E34</f>
        <v>0</v>
      </c>
      <c r="F34" s="66">
        <f>'M2'!F34-'M1'!F34</f>
        <v>-8.8090000000000113E-3</v>
      </c>
      <c r="G34" s="66">
        <f>'M2'!G34-'M1'!G34</f>
        <v>0</v>
      </c>
      <c r="H34" s="66">
        <f>'M2'!H34-'M1'!H34</f>
        <v>-5.7159999999999989E-3</v>
      </c>
    </row>
    <row r="35" spans="1:8">
      <c r="A35" s="66" t="s">
        <v>78</v>
      </c>
      <c r="B35" s="66">
        <f>'M2'!B35-'M1'!B35</f>
        <v>-9.4071000000000016E-3</v>
      </c>
      <c r="C35" s="66">
        <f>'M2'!C35-'M1'!C35</f>
        <v>-6.0351000000000016E-3</v>
      </c>
      <c r="D35" s="66">
        <f>'M2'!D35-'M1'!D35</f>
        <v>-3.5006999999999955E-2</v>
      </c>
      <c r="E35" s="66">
        <f>'M2'!E35-'M1'!E35</f>
        <v>0</v>
      </c>
      <c r="F35" s="66">
        <f>'M2'!F35-'M1'!F35</f>
        <v>7.2835999999999942E-3</v>
      </c>
      <c r="G35" s="66">
        <f>'M2'!G35-'M1'!G35</f>
        <v>0</v>
      </c>
      <c r="H35" s="66">
        <f>'M2'!H35-'M1'!H35</f>
        <v>-1.9308999999999993E-2</v>
      </c>
    </row>
    <row r="36" spans="1:8">
      <c r="A36" s="66" t="s">
        <v>79</v>
      </c>
      <c r="B36" s="66">
        <f>'M2'!B36-'M1'!B36</f>
        <v>-5.1459000000000005E-2</v>
      </c>
      <c r="C36" s="66">
        <f>'M2'!C36-'M1'!C36</f>
        <v>-9.8390000000000005E-3</v>
      </c>
      <c r="D36" s="66">
        <f>'M2'!D36-'M1'!D36</f>
        <v>9.9075999999999942E-2</v>
      </c>
      <c r="E36" s="66">
        <f>'M2'!E36-'M1'!E36</f>
        <v>0</v>
      </c>
      <c r="F36" s="66">
        <f>'M2'!F36-'M1'!F36</f>
        <v>9.3967000000000009E-3</v>
      </c>
      <c r="G36" s="66">
        <f>'M2'!G36-'M1'!G36</f>
        <v>0</v>
      </c>
      <c r="H36" s="66">
        <f>'M2'!H36-'M1'!H36</f>
        <v>-2.3146E-2</v>
      </c>
    </row>
    <row r="37" spans="1:8">
      <c r="A37" s="66" t="s">
        <v>80</v>
      </c>
      <c r="B37" s="66">
        <f>'M2'!B37-'M1'!B37</f>
        <v>2.906000000000003E-2</v>
      </c>
      <c r="C37" s="66">
        <f>'M2'!C37-'M1'!C37</f>
        <v>-1.9254999999999994E-2</v>
      </c>
      <c r="D37" s="66">
        <f>'M2'!D37-'M1'!D37</f>
        <v>-8.8601999999999959E-2</v>
      </c>
      <c r="E37" s="66">
        <f>'M2'!E37-'M1'!E37</f>
        <v>0</v>
      </c>
      <c r="F37" s="66">
        <f>'M2'!F37-'M1'!F37</f>
        <v>1.7024209999999998E-2</v>
      </c>
      <c r="G37" s="66">
        <f>'M2'!G37-'M1'!G37</f>
        <v>0</v>
      </c>
      <c r="H37" s="66">
        <f>'M2'!H37-'M1'!H37</f>
        <v>-0.16142099999999998</v>
      </c>
    </row>
    <row r="38" spans="1:8">
      <c r="A38" s="66" t="s">
        <v>81</v>
      </c>
      <c r="B38" s="66">
        <f>'M2'!B38-'M1'!B38</f>
        <v>-4.0484900000000001</v>
      </c>
      <c r="C38" s="66">
        <f>'M2'!C38-'M1'!C38</f>
        <v>4.8688000000000002</v>
      </c>
      <c r="D38" s="66">
        <f>'M2'!D38-'M1'!D38</f>
        <v>28.337159999999997</v>
      </c>
      <c r="E38" s="66">
        <f>'M2'!E38-'M1'!E38</f>
        <v>0</v>
      </c>
      <c r="F38" s="66">
        <f>'M2'!F38-'M1'!F38</f>
        <v>-153.22020000000001</v>
      </c>
      <c r="G38" s="66">
        <f>'M2'!G38-'M1'!G38</f>
        <v>0</v>
      </c>
      <c r="H38" s="66">
        <f>'M2'!H38-'M1'!H38</f>
        <v>-51.596000000000004</v>
      </c>
    </row>
    <row r="39" spans="1:8">
      <c r="A39" s="66" t="s">
        <v>82</v>
      </c>
      <c r="B39" s="66">
        <f>'M2'!B39-'M1'!B39</f>
        <v>-2.740659</v>
      </c>
      <c r="C39" s="66">
        <f>'M2'!C39-'M1'!C39</f>
        <v>0.80432000000000059</v>
      </c>
      <c r="D39" s="66">
        <f>'M2'!D39-'M1'!D39</f>
        <v>6.942330000000001</v>
      </c>
      <c r="E39" s="66">
        <f>'M2'!E39-'M1'!E39</f>
        <v>0</v>
      </c>
      <c r="F39" s="66">
        <f>'M2'!F39-'M1'!F39</f>
        <v>-0.85110000000000063</v>
      </c>
      <c r="G39" s="66">
        <f>'M2'!G39-'M1'!G39</f>
        <v>0</v>
      </c>
      <c r="H39" s="66">
        <f>'M2'!H39-'M1'!H39</f>
        <v>-0.68193999999999999</v>
      </c>
    </row>
    <row r="40" spans="1:8">
      <c r="A40" s="66" t="s">
        <v>83</v>
      </c>
      <c r="B40" s="66">
        <f>'M2'!B40-'M1'!B40</f>
        <v>-0.37655700000000003</v>
      </c>
      <c r="C40" s="66">
        <f>'M2'!C40-'M1'!C40</f>
        <v>-0.35912600000000006</v>
      </c>
      <c r="D40" s="66">
        <f>'M2'!D40-'M1'!D40</f>
        <v>5.7600999999999996</v>
      </c>
      <c r="E40" s="66">
        <f>'M2'!E40-'M1'!E40</f>
        <v>0</v>
      </c>
      <c r="F40" s="66">
        <f>'M2'!F40-'M1'!F40</f>
        <v>-1.0168300000000001</v>
      </c>
      <c r="G40" s="66">
        <f>'M2'!G40-'M1'!G40</f>
        <v>0</v>
      </c>
      <c r="H40" s="66">
        <f>'M2'!H40-'M1'!H40</f>
        <v>-0.84545899999999996</v>
      </c>
    </row>
    <row r="41" spans="1:8">
      <c r="A41" s="66" t="s">
        <v>84</v>
      </c>
      <c r="B41" s="66">
        <f>'M2'!B41-'M1'!B41</f>
        <v>-2.6716299999999998E-2</v>
      </c>
      <c r="C41" s="66">
        <f>'M2'!C41-'M1'!C41</f>
        <v>3.6949999999999983E-2</v>
      </c>
      <c r="D41" s="66">
        <f>'M2'!D41-'M1'!D41</f>
        <v>0.66208</v>
      </c>
      <c r="E41" s="66">
        <f>'M2'!E41-'M1'!E41</f>
        <v>0</v>
      </c>
      <c r="F41" s="66">
        <f>'M2'!F41-'M1'!F41</f>
        <v>-0.11735499999999999</v>
      </c>
      <c r="G41" s="66">
        <f>'M2'!G41-'M1'!G41</f>
        <v>0</v>
      </c>
      <c r="H41" s="66">
        <f>'M2'!H41-'M1'!H41</f>
        <v>0.45103000000000004</v>
      </c>
    </row>
    <row r="42" spans="1:8">
      <c r="A42" s="66" t="s">
        <v>85</v>
      </c>
      <c r="B42" s="66">
        <f>'M2'!B42-'M1'!B42</f>
        <v>-3.4064799999999999E-2</v>
      </c>
      <c r="C42" s="66">
        <f>'M2'!C42-'M1'!C42</f>
        <v>-1.4286399999999998E-2</v>
      </c>
      <c r="D42" s="66">
        <f>'M2'!D42-'M1'!D42</f>
        <v>0.85472199999999998</v>
      </c>
      <c r="E42" s="66">
        <f>'M2'!E42-'M1'!E42</f>
        <v>0</v>
      </c>
      <c r="F42" s="66">
        <f>'M2'!F42-'M1'!F42</f>
        <v>2.3622000000000004E-2</v>
      </c>
      <c r="G42" s="66">
        <f>'M2'!G42-'M1'!G42</f>
        <v>0</v>
      </c>
      <c r="H42" s="66">
        <f>'M2'!H42-'M1'!H42</f>
        <v>-0.110916</v>
      </c>
    </row>
    <row r="43" spans="1:8">
      <c r="A43" s="66" t="s">
        <v>86</v>
      </c>
      <c r="B43" s="66">
        <f>'M2'!B43-'M1'!B43</f>
        <v>-6.3032599999999994E-2</v>
      </c>
      <c r="C43" s="66">
        <f>'M2'!C43-'M1'!C43</f>
        <v>-1.2464799999999998E-2</v>
      </c>
      <c r="D43" s="66">
        <f>'M2'!D43-'M1'!D43</f>
        <v>-3.2252999999999998</v>
      </c>
      <c r="E43" s="66">
        <f>'M2'!E43-'M1'!E43</f>
        <v>0</v>
      </c>
      <c r="F43" s="66">
        <f>'M2'!F43-'M1'!F43</f>
        <v>-3.1256999999999951E-3</v>
      </c>
      <c r="G43" s="66">
        <f>'M2'!G43-'M1'!G43</f>
        <v>0</v>
      </c>
      <c r="H43" s="66">
        <f>'M2'!H43-'M1'!H43</f>
        <v>-5.0629800000000003E-2</v>
      </c>
    </row>
    <row r="44" spans="1:8">
      <c r="A44" s="66" t="s">
        <v>87</v>
      </c>
      <c r="B44" s="66">
        <f>'M2'!B44-'M1'!B44</f>
        <v>-41.227600000000002</v>
      </c>
      <c r="C44" s="66">
        <f>'M2'!C44-'M1'!C44</f>
        <v>-5.0748999999999995</v>
      </c>
      <c r="D44" s="66">
        <f>'M2'!D44-'M1'!D44</f>
        <v>0.94511400000000001</v>
      </c>
      <c r="E44" s="66">
        <f>'M2'!E44-'M1'!E44</f>
        <v>0</v>
      </c>
      <c r="F44" s="66">
        <f>'M2'!F44-'M1'!F44</f>
        <v>-14.7059</v>
      </c>
      <c r="G44" s="66">
        <f>'M2'!G44-'M1'!G44</f>
        <v>0</v>
      </c>
      <c r="H44" s="66">
        <f>'M2'!H44-'M1'!H44</f>
        <v>-32.209890000000001</v>
      </c>
    </row>
    <row r="45" spans="1:8">
      <c r="A45" s="66" t="s">
        <v>88</v>
      </c>
      <c r="B45" s="66">
        <f>'M2'!B45-'M1'!B45</f>
        <v>1.6085999999999956</v>
      </c>
      <c r="C45" s="66">
        <f>'M2'!C45-'M1'!C45</f>
        <v>-0.70113999999999965</v>
      </c>
      <c r="D45" s="66">
        <f>'M2'!D45-'M1'!D45</f>
        <v>-1.4653999999999986E-2</v>
      </c>
      <c r="E45" s="66">
        <f>'M2'!E45-'M1'!E45</f>
        <v>0</v>
      </c>
      <c r="F45" s="66">
        <f>'M2'!F45-'M1'!F45</f>
        <v>-1.4359999999999999</v>
      </c>
      <c r="G45" s="66">
        <f>'M2'!G45-'M1'!G45</f>
        <v>0</v>
      </c>
      <c r="H45" s="66">
        <f>'M2'!H45-'M1'!H45</f>
        <v>-2.6966999999999928</v>
      </c>
    </row>
    <row r="46" spans="1:8">
      <c r="A46" s="66" t="s">
        <v>89</v>
      </c>
      <c r="B46" s="66">
        <f>'M2'!B46-'M1'!B46</f>
        <v>3.0427999999999997</v>
      </c>
      <c r="C46" s="66">
        <f>'M2'!C46-'M1'!C46</f>
        <v>-4.4074500000000008</v>
      </c>
      <c r="D46" s="66">
        <f>'M2'!D46-'M1'!D46</f>
        <v>-0.11563499999999999</v>
      </c>
      <c r="E46" s="66">
        <f>'M2'!E46-'M1'!E46</f>
        <v>0</v>
      </c>
      <c r="F46" s="66">
        <f>'M2'!F46-'M1'!F46</f>
        <v>18.104300000000002</v>
      </c>
      <c r="G46" s="66">
        <f>'M2'!G46-'M1'!G46</f>
        <v>0</v>
      </c>
      <c r="H46" s="66">
        <f>'M2'!H46-'M1'!H46</f>
        <v>4.4919999999999973</v>
      </c>
    </row>
    <row r="47" spans="1:8">
      <c r="A47" s="66" t="s">
        <v>90</v>
      </c>
      <c r="B47" s="66">
        <f>'M2'!B47-'M1'!B47</f>
        <v>0.34803999999999991</v>
      </c>
      <c r="C47" s="66">
        <f>'M2'!C47-'M1'!C47</f>
        <v>-0.12143300000000001</v>
      </c>
      <c r="D47" s="66">
        <f>'M2'!D47-'M1'!D47</f>
        <v>-0.15672200000000003</v>
      </c>
      <c r="E47" s="66">
        <f>'M2'!E47-'M1'!E47</f>
        <v>0</v>
      </c>
      <c r="F47" s="66">
        <f>'M2'!F47-'M1'!F47</f>
        <v>0.38935999999999998</v>
      </c>
      <c r="G47" s="66">
        <f>'M2'!G47-'M1'!G47</f>
        <v>0</v>
      </c>
      <c r="H47" s="66">
        <f>'M2'!H47-'M1'!H47</f>
        <v>-0.54444000000000026</v>
      </c>
    </row>
    <row r="48" spans="1:8">
      <c r="A48" s="66" t="s">
        <v>91</v>
      </c>
      <c r="B48" s="66">
        <f>'M2'!B48-'M1'!B48</f>
        <v>-2.2250000000000103E-2</v>
      </c>
      <c r="C48" s="66">
        <f>'M2'!C48-'M1'!C48</f>
        <v>8.9389099999999999E-2</v>
      </c>
      <c r="D48" s="66">
        <f>'M2'!D48-'M1'!D48</f>
        <v>8.8126699999999988E-2</v>
      </c>
      <c r="E48" s="66">
        <f>'M2'!E48-'M1'!E48</f>
        <v>0</v>
      </c>
      <c r="F48" s="66">
        <f>'M2'!F48-'M1'!F48</f>
        <v>-2.7343000000000006E-2</v>
      </c>
      <c r="G48" s="66">
        <f>'M2'!G48-'M1'!G48</f>
        <v>0</v>
      </c>
      <c r="H48" s="66">
        <f>'M2'!H48-'M1'!H48</f>
        <v>0.19983000000000017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295</v>
      </c>
      <c r="E1" s="66" t="s">
        <v>350</v>
      </c>
      <c r="F1" s="66" t="s">
        <v>297</v>
      </c>
      <c r="G1" s="66" t="s">
        <v>298</v>
      </c>
      <c r="H1" s="66" t="s">
        <v>299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351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352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47.218899999999998</v>
      </c>
      <c r="C5" s="66">
        <v>8.6456400000000002</v>
      </c>
      <c r="D5" s="66">
        <v>18.309699999999999</v>
      </c>
      <c r="E5" s="66">
        <v>20</v>
      </c>
      <c r="F5" s="66">
        <v>22.7866</v>
      </c>
      <c r="G5" s="66">
        <v>50</v>
      </c>
      <c r="H5" s="66">
        <v>59.099899999999998</v>
      </c>
    </row>
    <row r="6" spans="1:8">
      <c r="A6" s="66" t="s">
        <v>303</v>
      </c>
      <c r="B6" s="66">
        <v>31.655100000000001</v>
      </c>
      <c r="C6" s="66">
        <v>1.22298</v>
      </c>
      <c r="D6" s="66">
        <v>3.8634499999999998</v>
      </c>
      <c r="E6" s="66">
        <v>20</v>
      </c>
      <c r="F6" s="66">
        <v>28.871700000000001</v>
      </c>
      <c r="G6" s="66">
        <v>40</v>
      </c>
      <c r="H6" s="66">
        <v>35.745600000000003</v>
      </c>
    </row>
    <row r="7" spans="1:8">
      <c r="A7" s="66" t="s">
        <v>304</v>
      </c>
      <c r="B7" s="66">
        <v>23.227799999999998</v>
      </c>
      <c r="C7" s="66">
        <v>9.4136299999999995</v>
      </c>
      <c r="D7" s="66">
        <v>40.527500000000003</v>
      </c>
      <c r="E7" s="66">
        <v>15</v>
      </c>
      <c r="F7" s="66">
        <v>9.6924399999999995</v>
      </c>
      <c r="G7" s="66">
        <v>40</v>
      </c>
      <c r="H7" s="66">
        <v>47.833100000000002</v>
      </c>
    </row>
    <row r="8" spans="1:8">
      <c r="A8" s="66" t="s">
        <v>305</v>
      </c>
      <c r="B8" s="66">
        <v>34.547600000000003</v>
      </c>
      <c r="C8" s="66">
        <v>4.9144300000000003</v>
      </c>
      <c r="D8" s="66">
        <v>14.225099999999999</v>
      </c>
      <c r="E8" s="66">
        <v>20</v>
      </c>
      <c r="F8" s="66">
        <v>25.859200000000001</v>
      </c>
      <c r="G8" s="66">
        <v>50</v>
      </c>
      <c r="H8" s="66">
        <v>43.267899999999997</v>
      </c>
    </row>
    <row r="9" spans="1:8">
      <c r="A9" s="66" t="s">
        <v>306</v>
      </c>
      <c r="B9" s="66">
        <v>59.490400000000001</v>
      </c>
      <c r="C9" s="66">
        <v>5.0944599999999998</v>
      </c>
      <c r="D9" s="66">
        <v>8.5634999999999994</v>
      </c>
      <c r="E9" s="66">
        <v>50</v>
      </c>
      <c r="F9" s="66">
        <v>49.154699999999998</v>
      </c>
      <c r="G9" s="66">
        <v>100</v>
      </c>
      <c r="H9" s="66">
        <v>74.296300000000002</v>
      </c>
    </row>
    <row r="10" spans="1:8">
      <c r="A10" s="66" t="s">
        <v>307</v>
      </c>
      <c r="B10" s="66">
        <v>76.238100000000003</v>
      </c>
      <c r="C10" s="66">
        <v>1.75404</v>
      </c>
      <c r="D10" s="66">
        <v>2.3007300000000002</v>
      </c>
      <c r="E10" s="66">
        <v>40</v>
      </c>
      <c r="F10" s="66">
        <v>71.435000000000002</v>
      </c>
      <c r="G10" s="66">
        <v>100</v>
      </c>
      <c r="H10" s="66">
        <v>79.855500000000006</v>
      </c>
    </row>
    <row r="11" spans="1:8">
      <c r="A11" s="66" t="s">
        <v>308</v>
      </c>
      <c r="B11" s="66">
        <v>29.754000000000001</v>
      </c>
      <c r="C11" s="66">
        <v>6.0471500000000002</v>
      </c>
      <c r="D11" s="66">
        <v>20.323899999999998</v>
      </c>
      <c r="E11" s="66">
        <v>10</v>
      </c>
      <c r="F11" s="66">
        <v>13.8964</v>
      </c>
      <c r="G11" s="66">
        <v>50</v>
      </c>
      <c r="H11" s="66">
        <v>34.007100000000001</v>
      </c>
    </row>
    <row r="12" spans="1:8">
      <c r="A12" s="66" t="s">
        <v>309</v>
      </c>
      <c r="B12" s="66">
        <v>67.979200000000006</v>
      </c>
      <c r="C12" s="66">
        <v>2.4397700000000002</v>
      </c>
      <c r="D12" s="66">
        <v>3.589</v>
      </c>
      <c r="E12" s="66">
        <v>50</v>
      </c>
      <c r="F12" s="66">
        <v>61.8581</v>
      </c>
      <c r="G12" s="66">
        <v>100</v>
      </c>
      <c r="H12" s="66">
        <v>74.696299999999994</v>
      </c>
    </row>
    <row r="13" spans="1:8">
      <c r="A13" s="66" t="s">
        <v>310</v>
      </c>
      <c r="B13" s="66">
        <v>23.886600000000001</v>
      </c>
      <c r="C13" s="66">
        <v>3.3130600000000001</v>
      </c>
      <c r="D13" s="66">
        <v>13.87</v>
      </c>
      <c r="E13" s="66">
        <v>10</v>
      </c>
      <c r="F13" s="66">
        <v>15.0931</v>
      </c>
      <c r="G13" s="66">
        <v>25</v>
      </c>
      <c r="H13" s="66">
        <v>31.748799999999999</v>
      </c>
    </row>
    <row r="14" spans="1:8">
      <c r="A14" s="66" t="s">
        <v>311</v>
      </c>
      <c r="B14" s="66">
        <v>33.130600000000001</v>
      </c>
      <c r="C14" s="66">
        <v>14.449</v>
      </c>
      <c r="D14" s="66">
        <v>43.612299999999998</v>
      </c>
      <c r="E14" s="66">
        <v>10</v>
      </c>
      <c r="F14" s="66">
        <v>0.60249900000000001</v>
      </c>
      <c r="G14" s="66">
        <v>50</v>
      </c>
      <c r="H14" s="66">
        <v>55.6098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0.30309599999999998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0.38744299999999998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353</v>
      </c>
      <c r="B20" s="66">
        <v>4.2746599999999996E-3</v>
      </c>
      <c r="C20" s="66">
        <v>6.0266599999999997E-2</v>
      </c>
      <c r="D20" s="66">
        <v>14.098599999999999</v>
      </c>
      <c r="E20" s="66">
        <v>0</v>
      </c>
      <c r="F20" s="66">
        <v>0</v>
      </c>
      <c r="G20" s="66">
        <v>0</v>
      </c>
      <c r="H20" s="66">
        <v>0.56204699999999996</v>
      </c>
    </row>
    <row r="21" spans="1:8">
      <c r="A21" s="66" t="s">
        <v>318</v>
      </c>
      <c r="B21" s="66">
        <v>0.21813099999999999</v>
      </c>
      <c r="C21" s="66">
        <v>0.60178200000000004</v>
      </c>
      <c r="D21" s="66">
        <v>2.75881</v>
      </c>
      <c r="E21" s="66">
        <v>0</v>
      </c>
      <c r="F21" s="66">
        <v>5.1763299999999998E-3</v>
      </c>
      <c r="G21" s="66">
        <v>0</v>
      </c>
      <c r="H21" s="66">
        <v>3.3012199999999998</v>
      </c>
    </row>
    <row r="22" spans="1:8">
      <c r="A22" s="66" t="s">
        <v>319</v>
      </c>
      <c r="B22" s="66">
        <v>55.037700000000001</v>
      </c>
      <c r="C22" s="66">
        <v>15.820399999999999</v>
      </c>
      <c r="D22" s="66">
        <v>0.28744700000000001</v>
      </c>
      <c r="E22" s="66">
        <v>0</v>
      </c>
      <c r="F22" s="66">
        <v>28.587</v>
      </c>
      <c r="G22" s="66">
        <v>0</v>
      </c>
      <c r="H22" s="66">
        <v>109.215</v>
      </c>
    </row>
    <row r="23" spans="1:8">
      <c r="A23" s="66" t="s">
        <v>320</v>
      </c>
      <c r="B23" s="66">
        <v>23.36</v>
      </c>
      <c r="C23" s="66">
        <v>3.7864599999999999</v>
      </c>
      <c r="D23" s="66">
        <v>0.16209100000000001</v>
      </c>
      <c r="E23" s="66">
        <v>0</v>
      </c>
      <c r="F23" s="66">
        <v>12.6091</v>
      </c>
      <c r="G23" s="66">
        <v>0</v>
      </c>
      <c r="H23" s="66">
        <v>28.575199999999999</v>
      </c>
    </row>
    <row r="24" spans="1:8">
      <c r="A24" s="66" t="s">
        <v>321</v>
      </c>
      <c r="B24" s="66">
        <v>1.2598E-2</v>
      </c>
      <c r="C24" s="66">
        <v>4.2545600000000003E-2</v>
      </c>
      <c r="D24" s="66">
        <v>3.37717</v>
      </c>
      <c r="E24" s="66">
        <v>0</v>
      </c>
      <c r="F24" s="196">
        <v>5.8240099999999998E-5</v>
      </c>
      <c r="G24" s="66">
        <v>0</v>
      </c>
      <c r="H24" s="66">
        <v>0.24080299999999999</v>
      </c>
    </row>
    <row r="25" spans="1:8">
      <c r="A25" s="66" t="s">
        <v>322</v>
      </c>
      <c r="B25" s="66">
        <v>0.33685799999999999</v>
      </c>
      <c r="C25" s="66">
        <v>0.36412299999999997</v>
      </c>
      <c r="D25" s="66">
        <v>1.08094</v>
      </c>
      <c r="E25" s="66">
        <v>0</v>
      </c>
      <c r="F25" s="66">
        <v>0.11673799999999999</v>
      </c>
      <c r="G25" s="66">
        <v>0</v>
      </c>
      <c r="H25" s="66">
        <v>1.8896200000000001</v>
      </c>
    </row>
    <row r="26" spans="1:8">
      <c r="A26" s="66" t="s">
        <v>323</v>
      </c>
      <c r="B26" s="66">
        <v>1.47387E-3</v>
      </c>
      <c r="C26" s="66">
        <v>7.0425799999999997E-3</v>
      </c>
      <c r="D26" s="66">
        <v>4.7782900000000001</v>
      </c>
      <c r="E26" s="66">
        <v>0</v>
      </c>
      <c r="F26" s="66">
        <v>0</v>
      </c>
      <c r="G26" s="66">
        <v>0</v>
      </c>
      <c r="H26" s="66">
        <v>7.20523E-2</v>
      </c>
    </row>
    <row r="27" spans="1:8">
      <c r="A27" s="66" t="s">
        <v>324</v>
      </c>
      <c r="B27" s="196">
        <v>-2.46192E-5</v>
      </c>
      <c r="C27" s="66">
        <v>4.9657199999999999E-3</v>
      </c>
      <c r="D27" s="66">
        <v>-201.70099999999999</v>
      </c>
      <c r="E27" s="66">
        <v>0</v>
      </c>
      <c r="F27" s="66">
        <v>-7.1707599999999996E-2</v>
      </c>
      <c r="G27" s="66">
        <v>0</v>
      </c>
      <c r="H27" s="66">
        <v>7.1996500000000005E-2</v>
      </c>
    </row>
    <row r="28" spans="1:8">
      <c r="A28" s="66" t="s">
        <v>325</v>
      </c>
      <c r="B28" s="66">
        <v>2.5844700000000002E-2</v>
      </c>
      <c r="C28" s="66">
        <v>3.5256799999999998E-2</v>
      </c>
      <c r="D28" s="66">
        <v>1.3641799999999999</v>
      </c>
      <c r="E28" s="66">
        <v>0</v>
      </c>
      <c r="F28" s="66">
        <v>1.3476600000000001E-3</v>
      </c>
      <c r="G28" s="66">
        <v>0</v>
      </c>
      <c r="H28" s="66">
        <v>0.172624</v>
      </c>
    </row>
    <row r="29" spans="1:8">
      <c r="A29" s="66" t="s">
        <v>326</v>
      </c>
      <c r="B29" s="66">
        <v>83.318100000000001</v>
      </c>
      <c r="C29" s="66">
        <v>13.4765</v>
      </c>
      <c r="D29" s="66">
        <v>0.161748</v>
      </c>
      <c r="E29" s="66">
        <v>0</v>
      </c>
      <c r="F29" s="66">
        <v>51.671300000000002</v>
      </c>
      <c r="G29" s="66">
        <v>0</v>
      </c>
      <c r="H29" s="66">
        <v>110.89400000000001</v>
      </c>
    </row>
    <row r="30" spans="1:8">
      <c r="A30" s="66" t="s">
        <v>327</v>
      </c>
      <c r="B30" s="66">
        <v>27.026599999999998</v>
      </c>
      <c r="C30" s="66">
        <v>5.4735500000000004</v>
      </c>
      <c r="D30" s="66">
        <v>0.20252400000000001</v>
      </c>
      <c r="E30" s="66">
        <v>0</v>
      </c>
      <c r="F30" s="66">
        <v>15.4087</v>
      </c>
      <c r="G30" s="66">
        <v>0</v>
      </c>
      <c r="H30" s="66">
        <v>36.052</v>
      </c>
    </row>
    <row r="31" spans="1:8">
      <c r="A31" s="66" t="s">
        <v>328</v>
      </c>
      <c r="B31" s="66">
        <v>240.178</v>
      </c>
      <c r="C31" s="66">
        <v>49.261200000000002</v>
      </c>
      <c r="D31" s="66">
        <v>0.20510300000000001</v>
      </c>
      <c r="E31" s="66">
        <v>0</v>
      </c>
      <c r="F31" s="66">
        <v>116.982</v>
      </c>
      <c r="G31" s="66">
        <v>0</v>
      </c>
      <c r="H31" s="66">
        <v>276.74900000000002</v>
      </c>
    </row>
    <row r="32" spans="1:8">
      <c r="A32" s="66" t="s">
        <v>329</v>
      </c>
      <c r="B32" s="66">
        <v>0.23227800000000001</v>
      </c>
      <c r="C32" s="66">
        <v>9.4136300000000006E-2</v>
      </c>
      <c r="D32" s="66">
        <v>0.405275</v>
      </c>
      <c r="E32" s="66">
        <v>0.15</v>
      </c>
      <c r="F32" s="66">
        <v>9.6924399999999994E-2</v>
      </c>
      <c r="G32" s="66">
        <v>0.4</v>
      </c>
      <c r="H32" s="66">
        <v>0.47833100000000001</v>
      </c>
    </row>
    <row r="33" spans="1:8">
      <c r="A33" s="66" t="s">
        <v>330</v>
      </c>
      <c r="B33" s="66">
        <v>0.30993599999999999</v>
      </c>
      <c r="C33" s="66">
        <v>3.7965699999999998E-2</v>
      </c>
      <c r="D33" s="66">
        <v>0.12249500000000001</v>
      </c>
      <c r="E33" s="66">
        <v>0</v>
      </c>
      <c r="F33" s="66">
        <v>0.259044</v>
      </c>
      <c r="G33" s="66">
        <v>0</v>
      </c>
      <c r="H33" s="66">
        <v>0.42544199999999999</v>
      </c>
    </row>
    <row r="34" spans="1:8">
      <c r="A34" s="66" t="s">
        <v>331</v>
      </c>
      <c r="B34" s="66">
        <v>0.23886599999999999</v>
      </c>
      <c r="C34" s="66">
        <v>3.3130600000000003E-2</v>
      </c>
      <c r="D34" s="66">
        <v>0.13869999999999999</v>
      </c>
      <c r="E34" s="66">
        <v>0.1</v>
      </c>
      <c r="F34" s="66">
        <v>0.15093100000000001</v>
      </c>
      <c r="G34" s="66">
        <v>0.25</v>
      </c>
      <c r="H34" s="66">
        <v>0.31748799999999999</v>
      </c>
    </row>
    <row r="35" spans="1:8">
      <c r="A35" s="66" t="s">
        <v>332</v>
      </c>
      <c r="B35" s="66">
        <v>9.5881300000000003E-2</v>
      </c>
      <c r="C35" s="66">
        <v>3.0658000000000001E-2</v>
      </c>
      <c r="D35" s="66">
        <v>0.31974999999999998</v>
      </c>
      <c r="E35" s="66">
        <v>0</v>
      </c>
      <c r="F35" s="66">
        <v>3.6903900000000003E-2</v>
      </c>
      <c r="G35" s="66">
        <v>0</v>
      </c>
      <c r="H35" s="66">
        <v>0.17461699999999999</v>
      </c>
    </row>
    <row r="36" spans="1:8">
      <c r="A36" s="66" t="s">
        <v>333</v>
      </c>
      <c r="B36" s="66">
        <v>0.22078600000000001</v>
      </c>
      <c r="C36" s="66">
        <v>0.114191</v>
      </c>
      <c r="D36" s="66">
        <v>0.51720200000000005</v>
      </c>
      <c r="E36" s="66">
        <v>0</v>
      </c>
      <c r="F36" s="66">
        <v>4.0580699999999997E-2</v>
      </c>
      <c r="G36" s="66">
        <v>0</v>
      </c>
      <c r="H36" s="66">
        <v>0.55390499999999998</v>
      </c>
    </row>
    <row r="37" spans="1:8">
      <c r="A37" s="66" t="s">
        <v>334</v>
      </c>
      <c r="B37" s="66">
        <v>0.33130599999999999</v>
      </c>
      <c r="C37" s="66">
        <v>0.14449000000000001</v>
      </c>
      <c r="D37" s="66">
        <v>0.43612299999999998</v>
      </c>
      <c r="E37" s="66">
        <v>0.1</v>
      </c>
      <c r="F37" s="66">
        <v>6.02499E-3</v>
      </c>
      <c r="G37" s="66">
        <v>0.5</v>
      </c>
      <c r="H37" s="66">
        <v>0.55609799999999998</v>
      </c>
    </row>
    <row r="38" spans="1:8">
      <c r="A38" s="66" t="s">
        <v>335</v>
      </c>
      <c r="B38" s="66">
        <v>-0.93998999999999999</v>
      </c>
      <c r="C38" s="66">
        <v>33.951700000000002</v>
      </c>
      <c r="D38" s="66">
        <v>-36.119199999999999</v>
      </c>
      <c r="E38" s="66">
        <v>0</v>
      </c>
      <c r="F38" s="66">
        <v>-77.905799999999999</v>
      </c>
      <c r="G38" s="66">
        <v>0</v>
      </c>
      <c r="H38" s="66">
        <v>265.851</v>
      </c>
    </row>
    <row r="39" spans="1:8">
      <c r="A39" s="66" t="s">
        <v>336</v>
      </c>
      <c r="B39" s="66">
        <v>-0.482931</v>
      </c>
      <c r="C39" s="66">
        <v>4.0851699999999997</v>
      </c>
      <c r="D39" s="66">
        <v>-8.4591100000000008</v>
      </c>
      <c r="E39" s="66">
        <v>0</v>
      </c>
      <c r="F39" s="66">
        <v>-13.250299999999999</v>
      </c>
      <c r="G39" s="66">
        <v>0</v>
      </c>
      <c r="H39" s="66">
        <v>7.3597400000000004</v>
      </c>
    </row>
    <row r="40" spans="1:8">
      <c r="A40" s="66" t="s">
        <v>337</v>
      </c>
      <c r="B40" s="66">
        <v>0.49247800000000003</v>
      </c>
      <c r="C40" s="66">
        <v>1.3429500000000001</v>
      </c>
      <c r="D40" s="66">
        <v>2.7269199999999998</v>
      </c>
      <c r="E40" s="66">
        <v>0</v>
      </c>
      <c r="F40" s="66">
        <v>-2.6298499999999998</v>
      </c>
      <c r="G40" s="66">
        <v>0</v>
      </c>
      <c r="H40" s="66">
        <v>1.7407699999999999</v>
      </c>
    </row>
    <row r="41" spans="1:8">
      <c r="A41" s="66" t="s">
        <v>338</v>
      </c>
      <c r="B41" s="66">
        <v>-5.0692899999999999E-2</v>
      </c>
      <c r="C41" s="66">
        <v>0.16735700000000001</v>
      </c>
      <c r="D41" s="66">
        <v>-3.30139</v>
      </c>
      <c r="E41" s="66">
        <v>0</v>
      </c>
      <c r="F41" s="66">
        <v>-0.61996799999999996</v>
      </c>
      <c r="G41" s="66">
        <v>0</v>
      </c>
      <c r="H41" s="66">
        <v>0.54896999999999996</v>
      </c>
    </row>
    <row r="42" spans="1:8">
      <c r="A42" s="66" t="s">
        <v>339</v>
      </c>
      <c r="B42" s="66">
        <v>-4.6230100000000003E-2</v>
      </c>
      <c r="C42" s="66">
        <v>7.3750999999999997E-2</v>
      </c>
      <c r="D42" s="66">
        <v>-1.5952999999999999</v>
      </c>
      <c r="E42" s="66">
        <v>0</v>
      </c>
      <c r="F42" s="66">
        <v>-0.265378</v>
      </c>
      <c r="G42" s="66">
        <v>0</v>
      </c>
      <c r="H42" s="66">
        <v>0.138792</v>
      </c>
    </row>
    <row r="43" spans="1:8">
      <c r="A43" s="66" t="s">
        <v>340</v>
      </c>
      <c r="B43" s="66">
        <v>3.9730500000000002E-2</v>
      </c>
      <c r="C43" s="66">
        <v>5.5229199999999999E-2</v>
      </c>
      <c r="D43" s="66">
        <v>1.39009</v>
      </c>
      <c r="E43" s="66">
        <v>0</v>
      </c>
      <c r="F43" s="66">
        <v>-7.99874E-2</v>
      </c>
      <c r="G43" s="66">
        <v>0</v>
      </c>
      <c r="H43" s="66">
        <v>0.1147</v>
      </c>
    </row>
    <row r="44" spans="1:8">
      <c r="A44" s="66" t="s">
        <v>341</v>
      </c>
      <c r="B44" s="66">
        <v>-15.600099999999999</v>
      </c>
      <c r="C44" s="66">
        <v>18.4025</v>
      </c>
      <c r="D44" s="66">
        <v>-1.17964</v>
      </c>
      <c r="E44" s="66">
        <v>0</v>
      </c>
      <c r="F44" s="66">
        <v>-64.441800000000001</v>
      </c>
      <c r="G44" s="66">
        <v>0</v>
      </c>
      <c r="H44" s="66">
        <v>6.0000900000000001</v>
      </c>
    </row>
    <row r="45" spans="1:8">
      <c r="A45" s="66" t="s">
        <v>342</v>
      </c>
      <c r="B45" s="66">
        <v>60.992600000000003</v>
      </c>
      <c r="C45" s="66">
        <v>8.1970899999999993</v>
      </c>
      <c r="D45" s="66">
        <v>0.13439499999999999</v>
      </c>
      <c r="E45" s="66">
        <v>0</v>
      </c>
      <c r="F45" s="66">
        <v>40.700200000000002</v>
      </c>
      <c r="G45" s="66">
        <v>0</v>
      </c>
      <c r="H45" s="66">
        <v>78.016099999999994</v>
      </c>
    </row>
    <row r="46" spans="1:8">
      <c r="A46" s="66" t="s">
        <v>343</v>
      </c>
      <c r="B46" s="66">
        <v>39.435099999999998</v>
      </c>
      <c r="C46" s="66">
        <v>6.5378400000000001</v>
      </c>
      <c r="D46" s="66">
        <v>0.16578799999999999</v>
      </c>
      <c r="E46" s="66">
        <v>0</v>
      </c>
      <c r="F46" s="66">
        <v>20.757300000000001</v>
      </c>
      <c r="G46" s="66">
        <v>0</v>
      </c>
      <c r="H46" s="66">
        <v>42.634900000000002</v>
      </c>
    </row>
    <row r="47" spans="1:8">
      <c r="A47" s="66" t="s">
        <v>344</v>
      </c>
      <c r="B47" s="66">
        <v>1.51214</v>
      </c>
      <c r="C47" s="66">
        <v>0.73902599999999996</v>
      </c>
      <c r="D47" s="66">
        <v>0.48872900000000002</v>
      </c>
      <c r="E47" s="66">
        <v>0</v>
      </c>
      <c r="F47" s="66">
        <v>0.46651599999999999</v>
      </c>
      <c r="G47" s="66">
        <v>0</v>
      </c>
      <c r="H47" s="66">
        <v>4.2082300000000004</v>
      </c>
    </row>
    <row r="48" spans="1:8">
      <c r="A48" s="66" t="s">
        <v>345</v>
      </c>
      <c r="B48" s="66">
        <v>1.05511</v>
      </c>
      <c r="C48" s="66">
        <v>7.7430899999999997E-2</v>
      </c>
      <c r="D48" s="66">
        <v>7.3386300000000002E-2</v>
      </c>
      <c r="E48" s="66">
        <v>0</v>
      </c>
      <c r="F48" s="66">
        <v>0.90307599999999999</v>
      </c>
      <c r="G48" s="66">
        <v>0</v>
      </c>
      <c r="H48" s="66">
        <v>1.2537799999999999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295</v>
      </c>
      <c r="E1" s="66" t="s">
        <v>350</v>
      </c>
      <c r="F1" s="66" t="s">
        <v>297</v>
      </c>
      <c r="G1" s="66" t="s">
        <v>298</v>
      </c>
      <c r="H1" s="66" t="s">
        <v>299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351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352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50.174199999999999</v>
      </c>
      <c r="C5" s="66">
        <v>3.8459599999999998</v>
      </c>
      <c r="D5" s="66">
        <v>7.6652199999999997</v>
      </c>
      <c r="E5" s="66">
        <v>20</v>
      </c>
      <c r="F5" s="66">
        <v>44.965400000000002</v>
      </c>
      <c r="G5" s="66">
        <v>50</v>
      </c>
      <c r="H5" s="66">
        <v>60.136499999999998</v>
      </c>
    </row>
    <row r="6" spans="1:8">
      <c r="A6" s="66" t="s">
        <v>303</v>
      </c>
      <c r="B6" s="66">
        <v>31.357700000000001</v>
      </c>
      <c r="C6" s="66">
        <v>0.97921599999999998</v>
      </c>
      <c r="D6" s="66">
        <v>3.1227299999999998</v>
      </c>
      <c r="E6" s="66">
        <v>20</v>
      </c>
      <c r="F6" s="66">
        <v>29.914999999999999</v>
      </c>
      <c r="G6" s="66">
        <v>40</v>
      </c>
      <c r="H6" s="66">
        <v>33.964300000000001</v>
      </c>
    </row>
    <row r="7" spans="1:8">
      <c r="A7" s="66" t="s">
        <v>304</v>
      </c>
      <c r="B7" s="66">
        <v>32.883099999999999</v>
      </c>
      <c r="C7" s="66">
        <v>9.8947599999999998</v>
      </c>
      <c r="D7" s="66">
        <v>30.090699999999998</v>
      </c>
      <c r="E7" s="66">
        <v>15</v>
      </c>
      <c r="F7" s="66">
        <v>14.294700000000001</v>
      </c>
      <c r="G7" s="66">
        <v>40</v>
      </c>
      <c r="H7" s="66">
        <v>50.132300000000001</v>
      </c>
    </row>
    <row r="8" spans="1:8">
      <c r="A8" s="66" t="s">
        <v>305</v>
      </c>
      <c r="B8" s="66">
        <v>38.221200000000003</v>
      </c>
      <c r="C8" s="66">
        <v>3.4434</v>
      </c>
      <c r="D8" s="66">
        <v>9.0091099999999997</v>
      </c>
      <c r="E8" s="66">
        <v>20</v>
      </c>
      <c r="F8" s="66">
        <v>33.035200000000003</v>
      </c>
      <c r="G8" s="66">
        <v>50</v>
      </c>
      <c r="H8" s="66">
        <v>45.765599999999999</v>
      </c>
    </row>
    <row r="9" spans="1:8">
      <c r="A9" s="66" t="s">
        <v>306</v>
      </c>
      <c r="B9" s="66">
        <v>58.571899999999999</v>
      </c>
      <c r="C9" s="66">
        <v>8.5140100000000007</v>
      </c>
      <c r="D9" s="66">
        <v>14.536</v>
      </c>
      <c r="E9" s="66">
        <v>50</v>
      </c>
      <c r="F9" s="66">
        <v>38.710099999999997</v>
      </c>
      <c r="G9" s="66">
        <v>100</v>
      </c>
      <c r="H9" s="66">
        <v>70.549000000000007</v>
      </c>
    </row>
    <row r="10" spans="1:8">
      <c r="A10" s="66" t="s">
        <v>307</v>
      </c>
      <c r="B10" s="66">
        <v>74.431899999999999</v>
      </c>
      <c r="C10" s="66">
        <v>1.8987499999999999</v>
      </c>
      <c r="D10" s="66">
        <v>2.5509900000000001</v>
      </c>
      <c r="E10" s="66">
        <v>40</v>
      </c>
      <c r="F10" s="66">
        <v>68.548900000000003</v>
      </c>
      <c r="G10" s="66">
        <v>100</v>
      </c>
      <c r="H10" s="66">
        <v>77.241900000000001</v>
      </c>
    </row>
    <row r="11" spans="1:8">
      <c r="A11" s="66" t="s">
        <v>308</v>
      </c>
      <c r="B11" s="66">
        <v>32.420299999999997</v>
      </c>
      <c r="C11" s="66">
        <v>3.16567</v>
      </c>
      <c r="D11" s="66">
        <v>9.7644500000000001</v>
      </c>
      <c r="E11" s="66">
        <v>10</v>
      </c>
      <c r="F11" s="66">
        <v>28.495000000000001</v>
      </c>
      <c r="G11" s="66">
        <v>50</v>
      </c>
      <c r="H11" s="66">
        <v>39.135800000000003</v>
      </c>
    </row>
    <row r="12" spans="1:8">
      <c r="A12" s="66" t="s">
        <v>309</v>
      </c>
      <c r="B12" s="66">
        <v>66.201499999999996</v>
      </c>
      <c r="C12" s="66">
        <v>4.9108799999999997</v>
      </c>
      <c r="D12" s="66">
        <v>7.4180799999999998</v>
      </c>
      <c r="E12" s="66">
        <v>50</v>
      </c>
      <c r="F12" s="66">
        <v>53.6295</v>
      </c>
      <c r="G12" s="66">
        <v>100</v>
      </c>
      <c r="H12" s="66">
        <v>73.1828</v>
      </c>
    </row>
    <row r="13" spans="1:8">
      <c r="A13" s="66" t="s">
        <v>310</v>
      </c>
      <c r="B13" s="66">
        <v>20.314800000000002</v>
      </c>
      <c r="C13" s="66">
        <v>3.6036600000000001</v>
      </c>
      <c r="D13" s="66">
        <v>17.739100000000001</v>
      </c>
      <c r="E13" s="66">
        <v>10</v>
      </c>
      <c r="F13" s="66">
        <v>14.212199999999999</v>
      </c>
      <c r="G13" s="66">
        <v>25</v>
      </c>
      <c r="H13" s="66">
        <v>31.177199999999999</v>
      </c>
    </row>
    <row r="14" spans="1:8">
      <c r="A14" s="66" t="s">
        <v>311</v>
      </c>
      <c r="B14" s="66">
        <v>36.0366</v>
      </c>
      <c r="C14" s="66">
        <v>12.5235</v>
      </c>
      <c r="D14" s="66">
        <v>34.752099999999999</v>
      </c>
      <c r="E14" s="66">
        <v>10</v>
      </c>
      <c r="F14" s="66">
        <v>2.3049200000000001</v>
      </c>
      <c r="G14" s="66">
        <v>50</v>
      </c>
      <c r="H14" s="66">
        <v>39.467700000000001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0.357933</v>
      </c>
      <c r="C18" s="66">
        <v>3.5968300000000002E-2</v>
      </c>
      <c r="D18" s="66">
        <v>0.10048899999999999</v>
      </c>
      <c r="E18" s="66">
        <v>0</v>
      </c>
      <c r="F18" s="66">
        <v>0.32196399999999997</v>
      </c>
      <c r="G18" s="66">
        <v>0</v>
      </c>
      <c r="H18" s="66">
        <v>0.393901</v>
      </c>
    </row>
    <row r="19" spans="1:8">
      <c r="A19" s="66" t="s">
        <v>316</v>
      </c>
      <c r="B19" s="66">
        <v>0.474883</v>
      </c>
      <c r="C19" s="66">
        <v>1.5312900000000001E-2</v>
      </c>
      <c r="D19" s="66">
        <v>3.2245599999999999E-2</v>
      </c>
      <c r="E19" s="66">
        <v>0</v>
      </c>
      <c r="F19" s="66">
        <v>0.45956999999999998</v>
      </c>
      <c r="G19" s="66">
        <v>0</v>
      </c>
      <c r="H19" s="66">
        <v>0.49019600000000002</v>
      </c>
    </row>
    <row r="20" spans="1:8">
      <c r="A20" s="66" t="s">
        <v>317</v>
      </c>
      <c r="B20" s="66">
        <v>1.01032E-2</v>
      </c>
      <c r="C20" s="66">
        <v>6.4316899999999996E-2</v>
      </c>
      <c r="D20" s="66">
        <v>6.3659699999999999</v>
      </c>
      <c r="E20" s="66">
        <v>0</v>
      </c>
      <c r="F20" s="196">
        <v>9.6803400000000006E-6</v>
      </c>
      <c r="G20" s="66">
        <v>0</v>
      </c>
      <c r="H20" s="66">
        <v>1.2803100000000001</v>
      </c>
    </row>
    <row r="21" spans="1:8">
      <c r="A21" s="66" t="s">
        <v>318</v>
      </c>
      <c r="B21" s="66">
        <v>0.35381200000000002</v>
      </c>
      <c r="C21" s="66">
        <v>0.438224</v>
      </c>
      <c r="D21" s="66">
        <v>1.23858</v>
      </c>
      <c r="E21" s="66">
        <v>0</v>
      </c>
      <c r="F21" s="66">
        <v>1.77433E-3</v>
      </c>
      <c r="G21" s="66">
        <v>0</v>
      </c>
      <c r="H21" s="66">
        <v>2.4320499999999998</v>
      </c>
    </row>
    <row r="22" spans="1:8">
      <c r="A22" s="66" t="s">
        <v>319</v>
      </c>
      <c r="B22" s="66">
        <v>60.607700000000001</v>
      </c>
      <c r="C22" s="66">
        <v>10.693199999999999</v>
      </c>
      <c r="D22" s="66">
        <v>0.17643400000000001</v>
      </c>
      <c r="E22" s="66">
        <v>0</v>
      </c>
      <c r="F22" s="66">
        <v>39.74</v>
      </c>
      <c r="G22" s="66">
        <v>0</v>
      </c>
      <c r="H22" s="66">
        <v>86.581000000000003</v>
      </c>
    </row>
    <row r="23" spans="1:8">
      <c r="A23" s="66" t="s">
        <v>320</v>
      </c>
      <c r="B23" s="66">
        <v>26.381699999999999</v>
      </c>
      <c r="C23" s="66">
        <v>1.8614200000000001</v>
      </c>
      <c r="D23" s="66">
        <v>7.0557099999999998E-2</v>
      </c>
      <c r="E23" s="66">
        <v>0</v>
      </c>
      <c r="F23" s="66">
        <v>22.752600000000001</v>
      </c>
      <c r="G23" s="66">
        <v>0</v>
      </c>
      <c r="H23" s="66">
        <v>31.942299999999999</v>
      </c>
    </row>
    <row r="24" spans="1:8">
      <c r="A24" s="66" t="s">
        <v>321</v>
      </c>
      <c r="B24" s="66">
        <v>2.19315E-2</v>
      </c>
      <c r="C24" s="66">
        <v>2.93951E-2</v>
      </c>
      <c r="D24" s="66">
        <v>1.34032</v>
      </c>
      <c r="E24" s="66">
        <v>0</v>
      </c>
      <c r="F24" s="196">
        <v>7.9767300000000005E-5</v>
      </c>
      <c r="G24" s="66">
        <v>0</v>
      </c>
      <c r="H24" s="66">
        <v>0.15515399999999999</v>
      </c>
    </row>
    <row r="25" spans="1:8">
      <c r="A25" s="66" t="s">
        <v>322</v>
      </c>
      <c r="B25" s="66">
        <v>0.36975200000000003</v>
      </c>
      <c r="C25" s="66">
        <v>0.27213799999999999</v>
      </c>
      <c r="D25" s="66">
        <v>0.73599999999999999</v>
      </c>
      <c r="E25" s="66">
        <v>0</v>
      </c>
      <c r="F25" s="66">
        <v>0.13766600000000001</v>
      </c>
      <c r="G25" s="66">
        <v>0</v>
      </c>
      <c r="H25" s="66">
        <v>1.2620899999999999</v>
      </c>
    </row>
    <row r="26" spans="1:8">
      <c r="A26" s="66" t="s">
        <v>323</v>
      </c>
      <c r="B26" s="66">
        <v>2.8492600000000002E-3</v>
      </c>
      <c r="C26" s="66">
        <v>7.66441E-3</v>
      </c>
      <c r="D26" s="66">
        <v>2.6899600000000001</v>
      </c>
      <c r="E26" s="66">
        <v>0</v>
      </c>
      <c r="F26" s="196">
        <v>3.2825599999999999E-6</v>
      </c>
      <c r="G26" s="66">
        <v>0</v>
      </c>
      <c r="H26" s="66">
        <v>0.164378</v>
      </c>
    </row>
    <row r="27" spans="1:8">
      <c r="A27" s="66" t="s">
        <v>324</v>
      </c>
      <c r="B27" s="196">
        <v>-1.9695400000000001E-5</v>
      </c>
      <c r="C27" s="66">
        <v>9.0395200000000005E-3</v>
      </c>
      <c r="D27" s="66">
        <v>-458.96699999999998</v>
      </c>
      <c r="E27" s="66">
        <v>0</v>
      </c>
      <c r="F27" s="66">
        <v>-0.162408</v>
      </c>
      <c r="G27" s="66">
        <v>0</v>
      </c>
      <c r="H27" s="66">
        <v>0.16172500000000001</v>
      </c>
    </row>
    <row r="28" spans="1:8">
      <c r="A28" s="66" t="s">
        <v>325</v>
      </c>
      <c r="B28" s="66">
        <v>3.5670599999999997E-2</v>
      </c>
      <c r="C28" s="66">
        <v>2.9867299999999999E-2</v>
      </c>
      <c r="D28" s="66">
        <v>0.83730800000000005</v>
      </c>
      <c r="E28" s="66">
        <v>0</v>
      </c>
      <c r="F28" s="66">
        <v>6.7708299999999998E-4</v>
      </c>
      <c r="G28" s="66">
        <v>0</v>
      </c>
      <c r="H28" s="66">
        <v>0.19357099999999999</v>
      </c>
    </row>
    <row r="29" spans="1:8">
      <c r="A29" s="66" t="s">
        <v>326</v>
      </c>
      <c r="B29" s="66">
        <v>91.371499999999997</v>
      </c>
      <c r="C29" s="66">
        <v>9.7973300000000005</v>
      </c>
      <c r="D29" s="66">
        <v>0.107225</v>
      </c>
      <c r="E29" s="66">
        <v>0</v>
      </c>
      <c r="F29" s="66">
        <v>65.752399999999994</v>
      </c>
      <c r="G29" s="66">
        <v>0</v>
      </c>
      <c r="H29" s="66">
        <v>117.276</v>
      </c>
    </row>
    <row r="30" spans="1:8">
      <c r="A30" s="66" t="s">
        <v>327</v>
      </c>
      <c r="B30" s="66">
        <v>31.856200000000001</v>
      </c>
      <c r="C30" s="66">
        <v>1.9753000000000001</v>
      </c>
      <c r="D30" s="66">
        <v>6.2006699999999998E-2</v>
      </c>
      <c r="E30" s="66">
        <v>0</v>
      </c>
      <c r="F30" s="66">
        <v>27.9892</v>
      </c>
      <c r="G30" s="66">
        <v>0</v>
      </c>
      <c r="H30" s="66">
        <v>37.553199999999997</v>
      </c>
    </row>
    <row r="31" spans="1:8">
      <c r="A31" s="66" t="s">
        <v>328</v>
      </c>
      <c r="B31" s="66">
        <v>374.10500000000002</v>
      </c>
      <c r="C31" s="66">
        <v>47.1342</v>
      </c>
      <c r="D31" s="66">
        <v>0.12599199999999999</v>
      </c>
      <c r="E31" s="66">
        <v>0</v>
      </c>
      <c r="F31" s="66">
        <v>268.03500000000003</v>
      </c>
      <c r="G31" s="66">
        <v>0</v>
      </c>
      <c r="H31" s="66">
        <v>429.75700000000001</v>
      </c>
    </row>
    <row r="32" spans="1:8">
      <c r="A32" s="66" t="s">
        <v>329</v>
      </c>
      <c r="B32" s="66">
        <v>0.32883099999999998</v>
      </c>
      <c r="C32" s="66">
        <v>9.8947599999999997E-2</v>
      </c>
      <c r="D32" s="66">
        <v>0.30090699999999998</v>
      </c>
      <c r="E32" s="66">
        <v>0.15</v>
      </c>
      <c r="F32" s="66">
        <v>0.14294699999999999</v>
      </c>
      <c r="G32" s="66">
        <v>0.4</v>
      </c>
      <c r="H32" s="66">
        <v>0.50132299999999996</v>
      </c>
    </row>
    <row r="33" spans="1:8">
      <c r="A33" s="66" t="s">
        <v>330</v>
      </c>
      <c r="B33" s="66">
        <v>0.4078</v>
      </c>
      <c r="C33" s="66">
        <v>1.9154999999999998E-2</v>
      </c>
      <c r="D33" s="66">
        <v>4.6971699999999998E-2</v>
      </c>
      <c r="E33" s="66">
        <v>0</v>
      </c>
      <c r="F33" s="66">
        <v>0.37229499999999999</v>
      </c>
      <c r="G33" s="66">
        <v>0</v>
      </c>
      <c r="H33" s="66">
        <v>0.45885999999999999</v>
      </c>
    </row>
    <row r="34" spans="1:8">
      <c r="A34" s="66" t="s">
        <v>331</v>
      </c>
      <c r="B34" s="66">
        <v>0.203148</v>
      </c>
      <c r="C34" s="66">
        <v>3.6036600000000002E-2</v>
      </c>
      <c r="D34" s="66">
        <v>0.17739099999999999</v>
      </c>
      <c r="E34" s="66">
        <v>0.1</v>
      </c>
      <c r="F34" s="66">
        <v>0.142122</v>
      </c>
      <c r="G34" s="66">
        <v>0.25</v>
      </c>
      <c r="H34" s="66">
        <v>0.31177199999999999</v>
      </c>
    </row>
    <row r="35" spans="1:8">
      <c r="A35" s="66" t="s">
        <v>332</v>
      </c>
      <c r="B35" s="66">
        <v>8.6474200000000001E-2</v>
      </c>
      <c r="C35" s="66">
        <v>2.46229E-2</v>
      </c>
      <c r="D35" s="66">
        <v>0.28474300000000002</v>
      </c>
      <c r="E35" s="66">
        <v>0</v>
      </c>
      <c r="F35" s="66">
        <v>4.4187499999999998E-2</v>
      </c>
      <c r="G35" s="66">
        <v>0</v>
      </c>
      <c r="H35" s="66">
        <v>0.155308</v>
      </c>
    </row>
    <row r="36" spans="1:8">
      <c r="A36" s="66" t="s">
        <v>333</v>
      </c>
      <c r="B36" s="66">
        <v>0.16932700000000001</v>
      </c>
      <c r="C36" s="66">
        <v>0.104352</v>
      </c>
      <c r="D36" s="66">
        <v>0.61627799999999999</v>
      </c>
      <c r="E36" s="66">
        <v>0</v>
      </c>
      <c r="F36" s="66">
        <v>4.9977399999999998E-2</v>
      </c>
      <c r="G36" s="66">
        <v>0</v>
      </c>
      <c r="H36" s="66">
        <v>0.53075899999999998</v>
      </c>
    </row>
    <row r="37" spans="1:8">
      <c r="A37" s="66" t="s">
        <v>334</v>
      </c>
      <c r="B37" s="66">
        <v>0.36036600000000002</v>
      </c>
      <c r="C37" s="66">
        <v>0.12523500000000001</v>
      </c>
      <c r="D37" s="66">
        <v>0.34752100000000002</v>
      </c>
      <c r="E37" s="66">
        <v>0.1</v>
      </c>
      <c r="F37" s="66">
        <v>2.3049199999999999E-2</v>
      </c>
      <c r="G37" s="66">
        <v>0.5</v>
      </c>
      <c r="H37" s="66">
        <v>0.394677</v>
      </c>
    </row>
    <row r="38" spans="1:8">
      <c r="A38" s="66" t="s">
        <v>335</v>
      </c>
      <c r="B38" s="66">
        <v>-4.98848</v>
      </c>
      <c r="C38" s="66">
        <v>38.820500000000003</v>
      </c>
      <c r="D38" s="66">
        <v>-7.7820400000000003</v>
      </c>
      <c r="E38" s="66">
        <v>0</v>
      </c>
      <c r="F38" s="66">
        <v>-231.126</v>
      </c>
      <c r="G38" s="66">
        <v>0</v>
      </c>
      <c r="H38" s="66">
        <v>214.255</v>
      </c>
    </row>
    <row r="39" spans="1:8">
      <c r="A39" s="66" t="s">
        <v>336</v>
      </c>
      <c r="B39" s="66">
        <v>-3.2235900000000002</v>
      </c>
      <c r="C39" s="66">
        <v>4.8894900000000003</v>
      </c>
      <c r="D39" s="66">
        <v>-1.51678</v>
      </c>
      <c r="E39" s="66">
        <v>0</v>
      </c>
      <c r="F39" s="66">
        <v>-14.1014</v>
      </c>
      <c r="G39" s="66">
        <v>0</v>
      </c>
      <c r="H39" s="66">
        <v>6.6778000000000004</v>
      </c>
    </row>
    <row r="40" spans="1:8">
      <c r="A40" s="66" t="s">
        <v>337</v>
      </c>
      <c r="B40" s="66">
        <v>0.115921</v>
      </c>
      <c r="C40" s="66">
        <v>0.98382400000000003</v>
      </c>
      <c r="D40" s="66">
        <v>8.4870199999999993</v>
      </c>
      <c r="E40" s="66">
        <v>0</v>
      </c>
      <c r="F40" s="66">
        <v>-3.6466799999999999</v>
      </c>
      <c r="G40" s="66">
        <v>0</v>
      </c>
      <c r="H40" s="66">
        <v>0.89531099999999997</v>
      </c>
    </row>
    <row r="41" spans="1:8">
      <c r="A41" s="66" t="s">
        <v>338</v>
      </c>
      <c r="B41" s="66">
        <v>-7.7409199999999997E-2</v>
      </c>
      <c r="C41" s="66">
        <v>0.20430699999999999</v>
      </c>
      <c r="D41" s="66">
        <v>-2.63931</v>
      </c>
      <c r="E41" s="66">
        <v>0</v>
      </c>
      <c r="F41" s="66">
        <v>-0.73732299999999995</v>
      </c>
      <c r="G41" s="66">
        <v>0</v>
      </c>
      <c r="H41" s="66">
        <v>1</v>
      </c>
    </row>
    <row r="42" spans="1:8">
      <c r="A42" s="66" t="s">
        <v>339</v>
      </c>
      <c r="B42" s="66">
        <v>-8.0294900000000002E-2</v>
      </c>
      <c r="C42" s="66">
        <v>5.9464599999999999E-2</v>
      </c>
      <c r="D42" s="66">
        <v>-0.74057799999999996</v>
      </c>
      <c r="E42" s="66">
        <v>0</v>
      </c>
      <c r="F42" s="66">
        <v>-0.241756</v>
      </c>
      <c r="G42" s="66">
        <v>0</v>
      </c>
      <c r="H42" s="66">
        <v>2.7876000000000001E-2</v>
      </c>
    </row>
    <row r="43" spans="1:8">
      <c r="A43" s="66" t="s">
        <v>340</v>
      </c>
      <c r="B43" s="66">
        <v>-2.3302099999999999E-2</v>
      </c>
      <c r="C43" s="66">
        <v>4.2764400000000001E-2</v>
      </c>
      <c r="D43" s="66">
        <v>-1.83521</v>
      </c>
      <c r="E43" s="66">
        <v>0</v>
      </c>
      <c r="F43" s="66">
        <v>-8.3113099999999995E-2</v>
      </c>
      <c r="G43" s="66">
        <v>0</v>
      </c>
      <c r="H43" s="66">
        <v>6.4070199999999994E-2</v>
      </c>
    </row>
    <row r="44" spans="1:8">
      <c r="A44" s="66" t="s">
        <v>341</v>
      </c>
      <c r="B44" s="66">
        <v>-56.8277</v>
      </c>
      <c r="C44" s="66">
        <v>13.3276</v>
      </c>
      <c r="D44" s="66">
        <v>-0.23452600000000001</v>
      </c>
      <c r="E44" s="66">
        <v>0</v>
      </c>
      <c r="F44" s="66">
        <v>-79.1477</v>
      </c>
      <c r="G44" s="66">
        <v>0</v>
      </c>
      <c r="H44" s="66">
        <v>-26.209800000000001</v>
      </c>
    </row>
    <row r="45" spans="1:8">
      <c r="A45" s="66" t="s">
        <v>342</v>
      </c>
      <c r="B45" s="66">
        <v>62.601199999999999</v>
      </c>
      <c r="C45" s="66">
        <v>7.4959499999999997</v>
      </c>
      <c r="D45" s="66">
        <v>0.119741</v>
      </c>
      <c r="E45" s="66">
        <v>0</v>
      </c>
      <c r="F45" s="66">
        <v>39.264200000000002</v>
      </c>
      <c r="G45" s="66">
        <v>0</v>
      </c>
      <c r="H45" s="66">
        <v>75.319400000000002</v>
      </c>
    </row>
    <row r="46" spans="1:8">
      <c r="A46" s="66" t="s">
        <v>343</v>
      </c>
      <c r="B46" s="66">
        <v>42.477899999999998</v>
      </c>
      <c r="C46" s="66">
        <v>2.1303899999999998</v>
      </c>
      <c r="D46" s="66">
        <v>5.0153000000000003E-2</v>
      </c>
      <c r="E46" s="66">
        <v>0</v>
      </c>
      <c r="F46" s="66">
        <v>38.861600000000003</v>
      </c>
      <c r="G46" s="66">
        <v>0</v>
      </c>
      <c r="H46" s="66">
        <v>47.126899999999999</v>
      </c>
    </row>
    <row r="47" spans="1:8">
      <c r="A47" s="66" t="s">
        <v>344</v>
      </c>
      <c r="B47" s="66">
        <v>1.8601799999999999</v>
      </c>
      <c r="C47" s="66">
        <v>0.61759299999999995</v>
      </c>
      <c r="D47" s="66">
        <v>0.332007</v>
      </c>
      <c r="E47" s="66">
        <v>0</v>
      </c>
      <c r="F47" s="66">
        <v>0.85587599999999997</v>
      </c>
      <c r="G47" s="66">
        <v>0</v>
      </c>
      <c r="H47" s="66">
        <v>3.6637900000000001</v>
      </c>
    </row>
    <row r="48" spans="1:8">
      <c r="A48" s="66" t="s">
        <v>345</v>
      </c>
      <c r="B48" s="66">
        <v>1.0328599999999999</v>
      </c>
      <c r="C48" s="66">
        <v>0.16682</v>
      </c>
      <c r="D48" s="66">
        <v>0.16151299999999999</v>
      </c>
      <c r="E48" s="66">
        <v>0</v>
      </c>
      <c r="F48" s="66">
        <v>0.87573299999999998</v>
      </c>
      <c r="G48" s="66">
        <v>0</v>
      </c>
      <c r="H48" s="66">
        <v>1.4536100000000001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354</v>
      </c>
      <c r="B1" s="60" t="s">
        <v>355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115.64355496685985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2.2327868037623038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0.75915497566368528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3895</v>
      </c>
      <c r="B8" s="66">
        <v>3895</v>
      </c>
      <c r="D8">
        <f t="shared" si="0"/>
        <v>1.9560479294517038E-2</v>
      </c>
      <c r="E8">
        <f t="shared" si="0"/>
        <v>1.9560479294517038E-2</v>
      </c>
      <c r="G8">
        <f t="shared" ca="1" si="1"/>
        <v>6</v>
      </c>
      <c r="H8">
        <f t="shared" ca="1" si="2"/>
        <v>0.11736287576710222</v>
      </c>
      <c r="I8">
        <f t="shared" ca="1" si="3"/>
        <v>235.15039283055617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7757</v>
      </c>
      <c r="B10" s="66">
        <v>7757</v>
      </c>
      <c r="D10">
        <f t="shared" si="0"/>
        <v>3.8955234374215324E-2</v>
      </c>
      <c r="E10">
        <f t="shared" si="0"/>
        <v>3.8955234374215324E-2</v>
      </c>
      <c r="G10">
        <f t="shared" ca="1" si="1"/>
        <v>8</v>
      </c>
      <c r="H10">
        <f t="shared" ca="1" si="2"/>
        <v>0.31164187499372259</v>
      </c>
      <c r="I10">
        <f t="shared" ca="1" si="3"/>
        <v>451.37955676422217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13667</v>
      </c>
      <c r="B13" s="66">
        <v>13667</v>
      </c>
      <c r="D13">
        <f t="shared" si="0"/>
        <v>6.8634934664483796E-2</v>
      </c>
      <c r="E13">
        <f t="shared" si="0"/>
        <v>6.8634934664483796E-2</v>
      </c>
      <c r="G13">
        <f t="shared" ca="1" si="1"/>
        <v>11</v>
      </c>
      <c r="H13">
        <f t="shared" ca="1" si="2"/>
        <v>0.75498428130932171</v>
      </c>
      <c r="I13">
        <f t="shared" ca="1" si="3"/>
        <v>751.57131282669786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14138</v>
      </c>
      <c r="B15" s="66">
        <v>14138</v>
      </c>
      <c r="D15">
        <f t="shared" si="0"/>
        <v>7.1000271185078789E-2</v>
      </c>
      <c r="E15">
        <f t="shared" si="0"/>
        <v>7.1000271185078789E-2</v>
      </c>
      <c r="G15">
        <f t="shared" ca="1" si="1"/>
        <v>13</v>
      </c>
      <c r="H15">
        <f t="shared" ca="1" si="2"/>
        <v>0.92300352540602426</v>
      </c>
      <c r="I15">
        <f t="shared" ca="1" si="3"/>
        <v>748.03751283713473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16460</v>
      </c>
      <c r="B18" s="66">
        <v>16460</v>
      </c>
      <c r="D18">
        <f t="shared" si="0"/>
        <v>8.2661229573235032E-2</v>
      </c>
      <c r="E18">
        <f t="shared" si="0"/>
        <v>8.2661229573235032E-2</v>
      </c>
      <c r="G18">
        <f t="shared" ca="1" si="1"/>
        <v>16</v>
      </c>
      <c r="H18">
        <f t="shared" ca="1" si="2"/>
        <v>1.3225796731717605</v>
      </c>
      <c r="I18">
        <f t="shared" ca="1" si="3"/>
        <v>820.72996115171998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19699</v>
      </c>
      <c r="B21" s="66">
        <v>19699</v>
      </c>
      <c r="D21">
        <f t="shared" si="0"/>
        <v>9.8927312354991317E-2</v>
      </c>
      <c r="E21">
        <f t="shared" si="0"/>
        <v>9.8927312354991317E-2</v>
      </c>
      <c r="G21">
        <f t="shared" ca="1" si="1"/>
        <v>19</v>
      </c>
      <c r="H21">
        <f t="shared" ca="1" si="2"/>
        <v>1.8796189347448351</v>
      </c>
      <c r="I21">
        <f t="shared" ca="1" si="3"/>
        <v>923.97879403464583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24872</v>
      </c>
      <c r="B23" s="66">
        <v>24872</v>
      </c>
      <c r="D23">
        <f t="shared" si="0"/>
        <v>0.12490583851430752</v>
      </c>
      <c r="E23">
        <f t="shared" si="0"/>
        <v>0.12490583851430752</v>
      </c>
      <c r="G23">
        <f t="shared" ca="1" si="1"/>
        <v>21</v>
      </c>
      <c r="H23">
        <f t="shared" ca="1" si="2"/>
        <v>2.6230226088004578</v>
      </c>
      <c r="I23">
        <f t="shared" ca="1" si="3"/>
        <v>1118.8318697685868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23638</v>
      </c>
      <c r="B26" s="66">
        <v>23638</v>
      </c>
      <c r="D26">
        <f t="shared" si="0"/>
        <v>0.11870875726926669</v>
      </c>
      <c r="E26">
        <f t="shared" si="0"/>
        <v>0.11870875726926669</v>
      </c>
      <c r="G26">
        <f t="shared" ca="1" si="1"/>
        <v>24</v>
      </c>
      <c r="H26">
        <f t="shared" ca="1" si="2"/>
        <v>2.8490101744624008</v>
      </c>
      <c r="I26">
        <f t="shared" ca="1" si="3"/>
        <v>996.98038480505704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26860</v>
      </c>
      <c r="B28" s="66">
        <v>26860</v>
      </c>
      <c r="D28">
        <f t="shared" si="0"/>
        <v>0.13488946697066179</v>
      </c>
      <c r="E28">
        <f t="shared" si="0"/>
        <v>0.13488946697066179</v>
      </c>
      <c r="G28">
        <f t="shared" ca="1" si="1"/>
        <v>26</v>
      </c>
      <c r="H28">
        <f t="shared" ca="1" si="2"/>
        <v>3.5071261412372063</v>
      </c>
      <c r="I28">
        <f t="shared" ca="1" si="3"/>
        <v>1083.9672980876928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24079</v>
      </c>
      <c r="B31" s="66">
        <v>24079</v>
      </c>
      <c r="D31">
        <f t="shared" si="0"/>
        <v>0.12092343541275373</v>
      </c>
      <c r="E31">
        <f t="shared" si="0"/>
        <v>0.12092343541275373</v>
      </c>
      <c r="G31">
        <f t="shared" ca="1" si="1"/>
        <v>29</v>
      </c>
      <c r="H31">
        <f t="shared" ca="1" si="2"/>
        <v>3.5067796269698581</v>
      </c>
      <c r="I31">
        <f t="shared" ca="1" si="3"/>
        <v>907.7850012497247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30460</v>
      </c>
      <c r="B33" s="66">
        <v>30460</v>
      </c>
      <c r="D33">
        <f t="shared" si="0"/>
        <v>0.1529684722236172</v>
      </c>
      <c r="E33">
        <f t="shared" si="0"/>
        <v>0.1529684722236172</v>
      </c>
      <c r="G33">
        <f t="shared" ca="1" si="1"/>
        <v>31</v>
      </c>
      <c r="H33">
        <f t="shared" ca="1" si="2"/>
        <v>4.7420226389321334</v>
      </c>
      <c r="I33">
        <f t="shared" ca="1" si="3"/>
        <v>1095.9474220626716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31626</v>
      </c>
      <c r="B36" s="66">
        <v>31626</v>
      </c>
      <c r="D36">
        <f t="shared" si="0"/>
        <v>0.15882406114721331</v>
      </c>
      <c r="E36">
        <f t="shared" si="0"/>
        <v>0.15882406114721331</v>
      </c>
      <c r="G36">
        <f t="shared" ca="1" si="1"/>
        <v>34</v>
      </c>
      <c r="H36">
        <f t="shared" ca="1" si="2"/>
        <v>5.4000180790052523</v>
      </c>
      <c r="I36">
        <f t="shared" ca="1" si="3"/>
        <v>1058.6687904078872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35617</v>
      </c>
      <c r="B39" s="66">
        <v>35617</v>
      </c>
      <c r="D39">
        <f t="shared" si="0"/>
        <v>0.17886664724847584</v>
      </c>
      <c r="E39">
        <f t="shared" si="0"/>
        <v>0.17886664724847584</v>
      </c>
      <c r="G39">
        <f t="shared" ca="1" si="1"/>
        <v>37</v>
      </c>
      <c r="H39">
        <f t="shared" ca="1" si="2"/>
        <v>6.6180659481936059</v>
      </c>
      <c r="I39">
        <f t="shared" ca="1" si="3"/>
        <v>1106.2560028079261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38624</v>
      </c>
      <c r="B41" s="66">
        <v>38624</v>
      </c>
      <c r="D41">
        <f t="shared" si="0"/>
        <v>0.19396763858059721</v>
      </c>
      <c r="E41">
        <f t="shared" si="0"/>
        <v>0.19396763858059721</v>
      </c>
      <c r="G41">
        <f t="shared" ca="1" si="1"/>
        <v>39</v>
      </c>
      <c r="H41">
        <f t="shared" ca="1" si="2"/>
        <v>7.564737904643291</v>
      </c>
      <c r="I41">
        <f t="shared" ca="1" si="3"/>
        <v>1139.4113979169592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41288</v>
      </c>
      <c r="B44" s="66">
        <v>41288</v>
      </c>
      <c r="D44">
        <f t="shared" si="0"/>
        <v>0.2073461024677842</v>
      </c>
      <c r="E44">
        <f t="shared" si="0"/>
        <v>0.2073461024677842</v>
      </c>
      <c r="G44">
        <f t="shared" ca="1" si="1"/>
        <v>42</v>
      </c>
      <c r="H44">
        <f t="shared" ca="1" si="2"/>
        <v>8.7085363036469374</v>
      </c>
      <c r="I44">
        <f t="shared" ca="1" si="3"/>
        <v>1124.5152927926158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40910</v>
      </c>
      <c r="B46" s="66">
        <v>40910</v>
      </c>
      <c r="D46">
        <f t="shared" si="0"/>
        <v>0.20544780691622389</v>
      </c>
      <c r="E46">
        <f t="shared" si="0"/>
        <v>0.20544780691622389</v>
      </c>
      <c r="G46">
        <f t="shared" ca="1" si="1"/>
        <v>44</v>
      </c>
      <c r="H46">
        <f t="shared" ca="1" si="2"/>
        <v>9.0397035043138505</v>
      </c>
      <c r="I46">
        <f t="shared" ca="1" si="3"/>
        <v>1054.522291376928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46132</v>
      </c>
      <c r="B49" s="66">
        <v>46132</v>
      </c>
      <c r="D49">
        <f t="shared" si="0"/>
        <v>0.23167240842481646</v>
      </c>
      <c r="E49">
        <f t="shared" si="0"/>
        <v>0.23167240842481646</v>
      </c>
      <c r="G49">
        <f t="shared" ca="1" si="1"/>
        <v>47</v>
      </c>
      <c r="H49">
        <f t="shared" ca="1" si="2"/>
        <v>10.888603195966374</v>
      </c>
      <c r="I49">
        <f t="shared" ca="1" si="3"/>
        <v>1091.6259410561288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51787</v>
      </c>
      <c r="B51" s="66">
        <v>51787</v>
      </c>
      <c r="D51">
        <f t="shared" si="0"/>
        <v>0.26007151250966726</v>
      </c>
      <c r="E51">
        <f t="shared" si="0"/>
        <v>0.26007151250966726</v>
      </c>
      <c r="G51">
        <f t="shared" ca="1" si="1"/>
        <v>49</v>
      </c>
      <c r="H51">
        <f t="shared" ca="1" si="2"/>
        <v>12.743504112973696</v>
      </c>
      <c r="I51">
        <f t="shared" ca="1" si="3"/>
        <v>1155.0721018858362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50520</v>
      </c>
      <c r="B54" s="66">
        <v>50520</v>
      </c>
      <c r="D54">
        <f t="shared" si="0"/>
        <v>0.25370870704980764</v>
      </c>
      <c r="E54">
        <f t="shared" si="0"/>
        <v>0.25370870704980764</v>
      </c>
      <c r="G54">
        <f t="shared" ca="1" si="1"/>
        <v>52</v>
      </c>
      <c r="H54">
        <f t="shared" ca="1" si="2"/>
        <v>13.192852766589997</v>
      </c>
      <c r="I54">
        <f t="shared" ca="1" si="3"/>
        <v>1027.6476478569941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50392</v>
      </c>
      <c r="B57" s="66">
        <v>50392</v>
      </c>
      <c r="D57">
        <f t="shared" si="0"/>
        <v>0.25306589797414702</v>
      </c>
      <c r="E57">
        <f t="shared" si="0"/>
        <v>0.25306589797414702</v>
      </c>
      <c r="G57">
        <f t="shared" ca="1" si="1"/>
        <v>55</v>
      </c>
      <c r="H57">
        <f t="shared" ca="1" si="2"/>
        <v>13.918624388578086</v>
      </c>
      <c r="I57">
        <f t="shared" ca="1" si="3"/>
        <v>930.6854611073536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59918</v>
      </c>
      <c r="B59" s="66">
        <v>59918</v>
      </c>
      <c r="D59">
        <f t="shared" si="0"/>
        <v>0.30090495465182848</v>
      </c>
      <c r="E59">
        <f t="shared" si="0"/>
        <v>0.30090495465182848</v>
      </c>
      <c r="G59">
        <f t="shared" ca="1" si="1"/>
        <v>57</v>
      </c>
      <c r="H59">
        <f t="shared" ca="1" si="2"/>
        <v>17.151582415154223</v>
      </c>
      <c r="I59">
        <f t="shared" ca="1" si="3"/>
        <v>1034.8321610078863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62998</v>
      </c>
      <c r="B62" s="66">
        <v>62998</v>
      </c>
      <c r="D62">
        <f t="shared" si="0"/>
        <v>0.31637254803491255</v>
      </c>
      <c r="E62">
        <f t="shared" si="0"/>
        <v>0.31637254803491255</v>
      </c>
      <c r="G62">
        <f t="shared" ca="1" si="1"/>
        <v>60</v>
      </c>
      <c r="H62">
        <f t="shared" ca="1" si="2"/>
        <v>18.982352882094752</v>
      </c>
      <c r="I62">
        <f t="shared" ca="1" si="3"/>
        <v>979.55433132101473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65033</v>
      </c>
      <c r="B64" s="66">
        <v>65033</v>
      </c>
      <c r="D64">
        <f t="shared" si="0"/>
        <v>0.326592207948736</v>
      </c>
      <c r="E64">
        <f t="shared" si="0"/>
        <v>0.326592207948736</v>
      </c>
      <c r="G64">
        <f t="shared" ca="1" si="1"/>
        <v>62</v>
      </c>
      <c r="H64">
        <f t="shared" ca="1" si="2"/>
        <v>20.248716892821633</v>
      </c>
      <c r="I64">
        <f t="shared" ca="1" si="3"/>
        <v>939.81185851680027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64201</v>
      </c>
      <c r="B67" s="66">
        <v>64201</v>
      </c>
      <c r="D67">
        <f t="shared" ref="D67:E130" si="4">IFERROR( A67/MAX(A$2:A$257), 0 )</f>
        <v>0.32241394895694181</v>
      </c>
      <c r="E67">
        <f t="shared" si="4"/>
        <v>0.32241394895694181</v>
      </c>
      <c r="G67">
        <f t="shared" ref="G67:G130" ca="1" si="5">CELL("row",D67)-2</f>
        <v>65</v>
      </c>
      <c r="H67">
        <f t="shared" ref="H67:H130" ca="1" si="6">D67*G67</f>
        <v>20.956906682201218</v>
      </c>
      <c r="I67">
        <f t="shared" ref="I67:I130" ca="1" si="7">D67*((G67-$L$1)^2)</f>
        <v>826.91751414281748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66514</v>
      </c>
      <c r="B69" s="66">
        <v>66514</v>
      </c>
      <c r="D69">
        <f t="shared" si="4"/>
        <v>0.33402970983196567</v>
      </c>
      <c r="E69">
        <f t="shared" si="4"/>
        <v>0.33402970983196567</v>
      </c>
      <c r="G69">
        <f t="shared" ca="1" si="5"/>
        <v>67</v>
      </c>
      <c r="H69">
        <f t="shared" ca="1" si="6"/>
        <v>22.379990558741699</v>
      </c>
      <c r="I69">
        <f t="shared" ca="1" si="7"/>
        <v>790.37957616676272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75005</v>
      </c>
      <c r="B72" s="66">
        <v>75005</v>
      </c>
      <c r="D72">
        <f t="shared" si="4"/>
        <v>0.37667105249942245</v>
      </c>
      <c r="E72">
        <f t="shared" si="4"/>
        <v>0.37667105249942245</v>
      </c>
      <c r="G72">
        <f t="shared" ca="1" si="5"/>
        <v>70</v>
      </c>
      <c r="H72">
        <f t="shared" ca="1" si="6"/>
        <v>26.366973674959571</v>
      </c>
      <c r="I72">
        <f t="shared" ca="1" si="7"/>
        <v>784.73165192645263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80378</v>
      </c>
      <c r="B75" s="66">
        <v>80378</v>
      </c>
      <c r="D75">
        <f t="shared" si="4"/>
        <v>0.40365396783945845</v>
      </c>
      <c r="E75">
        <f t="shared" si="4"/>
        <v>0.40365396783945845</v>
      </c>
      <c r="G75">
        <f t="shared" ca="1" si="5"/>
        <v>73</v>
      </c>
      <c r="H75">
        <f t="shared" ca="1" si="6"/>
        <v>29.466739652280467</v>
      </c>
      <c r="I75">
        <f t="shared" ca="1" si="7"/>
        <v>734.03375314046286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86500</v>
      </c>
      <c r="B77" s="66">
        <v>86500</v>
      </c>
      <c r="D77">
        <f t="shared" si="4"/>
        <v>0.43439832066128986</v>
      </c>
      <c r="E77">
        <f t="shared" si="4"/>
        <v>0.43439832066128986</v>
      </c>
      <c r="G77">
        <f t="shared" ca="1" si="5"/>
        <v>75</v>
      </c>
      <c r="H77">
        <f t="shared" ca="1" si="6"/>
        <v>32.579874049596739</v>
      </c>
      <c r="I77">
        <f t="shared" ca="1" si="7"/>
        <v>717.58196051630466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94362</v>
      </c>
      <c r="B80" s="66">
        <v>94362</v>
      </c>
      <c r="D80">
        <f t="shared" si="4"/>
        <v>0.47388085935538304</v>
      </c>
      <c r="E80">
        <f t="shared" si="4"/>
        <v>0.47388085935538304</v>
      </c>
      <c r="G80">
        <f t="shared" ca="1" si="5"/>
        <v>78</v>
      </c>
      <c r="H80">
        <f t="shared" ca="1" si="6"/>
        <v>36.96270702971988</v>
      </c>
      <c r="I80">
        <f t="shared" ca="1" si="7"/>
        <v>671.50682054828849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111199</v>
      </c>
      <c r="B82" s="66">
        <v>111199</v>
      </c>
      <c r="D82">
        <f t="shared" si="4"/>
        <v>0.55843536253427473</v>
      </c>
      <c r="E82">
        <f t="shared" si="4"/>
        <v>0.55843536253427473</v>
      </c>
      <c r="G82">
        <f t="shared" ca="1" si="5"/>
        <v>80</v>
      </c>
      <c r="H82">
        <f t="shared" ca="1" si="6"/>
        <v>44.67482900274198</v>
      </c>
      <c r="I82">
        <f t="shared" ca="1" si="7"/>
        <v>709.47147195299226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122586</v>
      </c>
      <c r="B85" s="66">
        <v>122586</v>
      </c>
      <c r="D85">
        <f t="shared" si="4"/>
        <v>0.61562026053855345</v>
      </c>
      <c r="E85">
        <f t="shared" si="4"/>
        <v>0.61562026053855345</v>
      </c>
      <c r="G85">
        <f t="shared" ca="1" si="5"/>
        <v>83</v>
      </c>
      <c r="H85">
        <f t="shared" ca="1" si="6"/>
        <v>51.096481624699933</v>
      </c>
      <c r="I85">
        <f t="shared" ca="1" si="7"/>
        <v>656.00598441021896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143010</v>
      </c>
      <c r="B88" s="66">
        <v>143010</v>
      </c>
      <c r="D88">
        <f t="shared" si="4"/>
        <v>0.71818848367365384</v>
      </c>
      <c r="E88">
        <f t="shared" si="4"/>
        <v>0.71818848367365384</v>
      </c>
      <c r="G88">
        <f t="shared" ca="1" si="5"/>
        <v>86</v>
      </c>
      <c r="H88">
        <f t="shared" ca="1" si="6"/>
        <v>61.764209595934233</v>
      </c>
      <c r="I88">
        <f t="shared" ca="1" si="7"/>
        <v>631.10120028014546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173633</v>
      </c>
      <c r="B90" s="66">
        <v>173633</v>
      </c>
      <c r="D90">
        <f t="shared" si="4"/>
        <v>0.87197553307955766</v>
      </c>
      <c r="E90">
        <f t="shared" si="4"/>
        <v>0.87197553307955766</v>
      </c>
      <c r="G90">
        <f t="shared" ca="1" si="5"/>
        <v>88</v>
      </c>
      <c r="H90">
        <f t="shared" ca="1" si="6"/>
        <v>76.733846911001081</v>
      </c>
      <c r="I90">
        <f t="shared" ca="1" si="7"/>
        <v>666.33416961952241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185476</v>
      </c>
      <c r="B93" s="66">
        <v>185476</v>
      </c>
      <c r="D93">
        <f t="shared" si="4"/>
        <v>0.93145043841587738</v>
      </c>
      <c r="E93">
        <f t="shared" si="4"/>
        <v>0.93145043841587738</v>
      </c>
      <c r="G93">
        <f t="shared" ca="1" si="5"/>
        <v>91</v>
      </c>
      <c r="H93">
        <f t="shared" ca="1" si="6"/>
        <v>84.761989895844835</v>
      </c>
      <c r="I93">
        <f t="shared" ca="1" si="7"/>
        <v>565.67432352042204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196057</v>
      </c>
      <c r="B95" s="66">
        <v>196057</v>
      </c>
      <c r="D95">
        <f t="shared" si="4"/>
        <v>0.9845876480218555</v>
      </c>
      <c r="E95">
        <f t="shared" si="4"/>
        <v>0.9845876480218555</v>
      </c>
      <c r="G95">
        <f t="shared" ca="1" si="5"/>
        <v>93</v>
      </c>
      <c r="H95">
        <f t="shared" ca="1" si="6"/>
        <v>91.566651266032565</v>
      </c>
      <c r="I95">
        <f t="shared" ca="1" si="7"/>
        <v>504.82819734459343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198177</v>
      </c>
      <c r="B98" s="66">
        <v>198177</v>
      </c>
      <c r="D98">
        <f t="shared" si="4"/>
        <v>0.99523417333748476</v>
      </c>
      <c r="E98">
        <f t="shared" si="4"/>
        <v>0.99523417333748476</v>
      </c>
      <c r="G98">
        <f t="shared" ca="1" si="5"/>
        <v>96</v>
      </c>
      <c r="H98">
        <f t="shared" ca="1" si="6"/>
        <v>95.542480640398537</v>
      </c>
      <c r="I98">
        <f t="shared" ca="1" si="7"/>
        <v>384.0302657678759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199126</v>
      </c>
      <c r="B100" s="66">
        <v>199126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311.29503186860495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188163</v>
      </c>
      <c r="B103" s="66">
        <v>188163</v>
      </c>
      <c r="D103">
        <f t="shared" si="4"/>
        <v>0.94494440705884719</v>
      </c>
      <c r="E103">
        <f t="shared" si="4"/>
        <v>0.94494440705884719</v>
      </c>
      <c r="G103">
        <f t="shared" ca="1" si="5"/>
        <v>101</v>
      </c>
      <c r="H103">
        <f t="shared" ca="1" si="6"/>
        <v>95.439385112943569</v>
      </c>
      <c r="I103">
        <f t="shared" ca="1" si="7"/>
        <v>202.62792745355614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191218</v>
      </c>
      <c r="B106" s="66">
        <v>191218</v>
      </c>
      <c r="D106">
        <f t="shared" si="4"/>
        <v>0.96028645179434124</v>
      </c>
      <c r="E106">
        <f t="shared" si="4"/>
        <v>0.96028645179434124</v>
      </c>
      <c r="G106">
        <f t="shared" ca="1" si="5"/>
        <v>104</v>
      </c>
      <c r="H106">
        <f t="shared" ca="1" si="6"/>
        <v>99.869790986611491</v>
      </c>
      <c r="I106">
        <f t="shared" ca="1" si="7"/>
        <v>130.18831232493406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185354</v>
      </c>
      <c r="B108" s="66">
        <v>185354</v>
      </c>
      <c r="D108">
        <f t="shared" si="4"/>
        <v>0.93083776101563831</v>
      </c>
      <c r="E108">
        <f t="shared" si="4"/>
        <v>0.93083776101563831</v>
      </c>
      <c r="G108">
        <f t="shared" ca="1" si="5"/>
        <v>106</v>
      </c>
      <c r="H108">
        <f t="shared" ca="1" si="6"/>
        <v>98.668802667657658</v>
      </c>
      <c r="I108">
        <f t="shared" ca="1" si="7"/>
        <v>86.566191957534173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181745</v>
      </c>
      <c r="B111" s="66">
        <v>181745</v>
      </c>
      <c r="D111">
        <f t="shared" si="4"/>
        <v>0.91271355824955058</v>
      </c>
      <c r="E111">
        <f t="shared" si="4"/>
        <v>0.91271355824955058</v>
      </c>
      <c r="G111">
        <f t="shared" ca="1" si="5"/>
        <v>109</v>
      </c>
      <c r="H111">
        <f t="shared" ca="1" si="6"/>
        <v>99.485777849201014</v>
      </c>
      <c r="I111">
        <f t="shared" ca="1" si="7"/>
        <v>40.284276402965183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157181</v>
      </c>
      <c r="B113" s="66">
        <v>157181</v>
      </c>
      <c r="D113">
        <f t="shared" si="4"/>
        <v>0.78935447907355138</v>
      </c>
      <c r="E113">
        <f t="shared" si="4"/>
        <v>0.78935447907355138</v>
      </c>
      <c r="G113">
        <f t="shared" ca="1" si="5"/>
        <v>111</v>
      </c>
      <c r="H113">
        <f t="shared" ca="1" si="6"/>
        <v>87.61834717716421</v>
      </c>
      <c r="I113">
        <f t="shared" ca="1" si="7"/>
        <v>17.020537045605483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159045</v>
      </c>
      <c r="B116" s="66">
        <v>159045</v>
      </c>
      <c r="D116">
        <f t="shared" si="4"/>
        <v>0.79871538623785943</v>
      </c>
      <c r="E116">
        <f t="shared" si="4"/>
        <v>0.79871538623785943</v>
      </c>
      <c r="G116">
        <f t="shared" ca="1" si="5"/>
        <v>114</v>
      </c>
      <c r="H116">
        <f t="shared" ca="1" si="6"/>
        <v>91.053554031115979</v>
      </c>
      <c r="I116">
        <f t="shared" ca="1" si="7"/>
        <v>2.1575482508917467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167791</v>
      </c>
      <c r="B118" s="66">
        <v>167791</v>
      </c>
      <c r="D118">
        <f t="shared" si="4"/>
        <v>0.84263732511073386</v>
      </c>
      <c r="E118">
        <f t="shared" si="4"/>
        <v>0.84263732511073386</v>
      </c>
      <c r="G118">
        <f t="shared" ca="1" si="5"/>
        <v>116</v>
      </c>
      <c r="H118">
        <f t="shared" ca="1" si="6"/>
        <v>97.745929712845125</v>
      </c>
      <c r="I118">
        <f t="shared" ca="1" si="7"/>
        <v>0.10705965201612178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171970</v>
      </c>
      <c r="B121" s="66">
        <v>171970</v>
      </c>
      <c r="D121">
        <f t="shared" si="4"/>
        <v>0.86362403704187296</v>
      </c>
      <c r="E121">
        <f t="shared" si="4"/>
        <v>0.86362403704187296</v>
      </c>
      <c r="G121">
        <f t="shared" ca="1" si="5"/>
        <v>119</v>
      </c>
      <c r="H121">
        <f t="shared" ca="1" si="6"/>
        <v>102.77126040798288</v>
      </c>
      <c r="I121">
        <f t="shared" ca="1" si="7"/>
        <v>9.7293494024219118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177117</v>
      </c>
      <c r="B124" s="66">
        <v>177117</v>
      </c>
      <c r="D124">
        <f t="shared" si="4"/>
        <v>0.88947199260769561</v>
      </c>
      <c r="E124">
        <f t="shared" si="4"/>
        <v>0.88947199260769561</v>
      </c>
      <c r="G124">
        <f t="shared" ca="1" si="5"/>
        <v>122</v>
      </c>
      <c r="H124">
        <f t="shared" ca="1" si="6"/>
        <v>108.51558309813886</v>
      </c>
      <c r="I124">
        <f t="shared" ca="1" si="7"/>
        <v>35.938576360377418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172679</v>
      </c>
      <c r="B126" s="66">
        <v>172679</v>
      </c>
      <c r="D126">
        <f t="shared" si="4"/>
        <v>0.86718459668752446</v>
      </c>
      <c r="E126">
        <f t="shared" si="4"/>
        <v>0.86718459668752446</v>
      </c>
      <c r="G126">
        <f t="shared" ca="1" si="5"/>
        <v>124</v>
      </c>
      <c r="H126">
        <f t="shared" ca="1" si="6"/>
        <v>107.53088998925303</v>
      </c>
      <c r="I126">
        <f t="shared" ca="1" si="7"/>
        <v>60.555650922905244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172001</v>
      </c>
      <c r="B129" s="66">
        <v>172001</v>
      </c>
      <c r="D129">
        <f t="shared" si="4"/>
        <v>0.86377971736488457</v>
      </c>
      <c r="E129">
        <f t="shared" si="4"/>
        <v>0.86377971736488457</v>
      </c>
      <c r="G129">
        <f t="shared" ca="1" si="5"/>
        <v>127</v>
      </c>
      <c r="H129">
        <f t="shared" ca="1" si="6"/>
        <v>109.70002410534035</v>
      </c>
      <c r="I129">
        <f t="shared" ca="1" si="7"/>
        <v>111.40067143843575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163948</v>
      </c>
      <c r="B131" s="66">
        <v>163948</v>
      </c>
      <c r="D131">
        <f t="shared" ref="D131:E194" si="8">IFERROR( A131/MAX(A$2:A$257), 0 )</f>
        <v>0.82333798700320404</v>
      </c>
      <c r="E131">
        <f t="shared" si="8"/>
        <v>0.82333798700320404</v>
      </c>
      <c r="G131">
        <f t="shared" ref="G131:G194" ca="1" si="9">CELL("row",D131)-2</f>
        <v>129</v>
      </c>
      <c r="H131">
        <f t="shared" ref="H131:H194" ca="1" si="10">D131*G131</f>
        <v>106.21060032341332</v>
      </c>
      <c r="I131">
        <f t="shared" ref="I131:I194" ca="1" si="11">D131*((G131-$L$1)^2)</f>
        <v>146.8790705531986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165950</v>
      </c>
      <c r="B134" s="66">
        <v>165950</v>
      </c>
      <c r="D134">
        <f t="shared" si="8"/>
        <v>0.83339192270220863</v>
      </c>
      <c r="E134">
        <f t="shared" si="8"/>
        <v>0.83339192270220863</v>
      </c>
      <c r="G134">
        <f t="shared" ca="1" si="9"/>
        <v>132</v>
      </c>
      <c r="H134">
        <f t="shared" ca="1" si="10"/>
        <v>110.00773379669154</v>
      </c>
      <c r="I134">
        <f t="shared" ca="1" si="11"/>
        <v>222.96008637530156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159611</v>
      </c>
      <c r="B136" s="66">
        <v>159611</v>
      </c>
      <c r="D136">
        <f t="shared" si="8"/>
        <v>0.80155780761929629</v>
      </c>
      <c r="E136">
        <f t="shared" si="8"/>
        <v>0.80155780761929629</v>
      </c>
      <c r="G136">
        <f t="shared" ca="1" si="9"/>
        <v>134</v>
      </c>
      <c r="H136">
        <f t="shared" ca="1" si="10"/>
        <v>107.40874622098571</v>
      </c>
      <c r="I136">
        <f t="shared" ca="1" si="11"/>
        <v>270.09217681702142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168064</v>
      </c>
      <c r="B139" s="66">
        <v>168064</v>
      </c>
      <c r="D139">
        <f t="shared" si="8"/>
        <v>0.84400831634241635</v>
      </c>
      <c r="E139">
        <f t="shared" si="8"/>
        <v>0.84400831634241635</v>
      </c>
      <c r="G139">
        <f t="shared" ca="1" si="9"/>
        <v>137</v>
      </c>
      <c r="H139">
        <f t="shared" ca="1" si="10"/>
        <v>115.62913933891105</v>
      </c>
      <c r="I139">
        <f t="shared" ca="1" si="11"/>
        <v>384.95028938380295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175789</v>
      </c>
      <c r="B142" s="66">
        <v>175789</v>
      </c>
      <c r="D142">
        <f t="shared" si="8"/>
        <v>0.8828028484477165</v>
      </c>
      <c r="E142">
        <f t="shared" si="8"/>
        <v>0.8828028484477165</v>
      </c>
      <c r="G142">
        <f t="shared" ca="1" si="9"/>
        <v>140</v>
      </c>
      <c r="H142">
        <f t="shared" ca="1" si="10"/>
        <v>123.59239878268031</v>
      </c>
      <c r="I142">
        <f t="shared" ca="1" si="11"/>
        <v>523.71079665802938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175675</v>
      </c>
      <c r="B144" s="66">
        <v>175675</v>
      </c>
      <c r="D144">
        <f t="shared" si="8"/>
        <v>0.88223034661470623</v>
      </c>
      <c r="E144">
        <f t="shared" si="8"/>
        <v>0.88223034661470623</v>
      </c>
      <c r="G144">
        <f t="shared" ca="1" si="9"/>
        <v>142</v>
      </c>
      <c r="H144">
        <f t="shared" ca="1" si="10"/>
        <v>125.27670921928828</v>
      </c>
      <c r="I144">
        <f t="shared" ca="1" si="11"/>
        <v>612.8520688852484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172444</v>
      </c>
      <c r="B147" s="66">
        <v>172444</v>
      </c>
      <c r="D147">
        <f t="shared" si="8"/>
        <v>0.86600443940017879</v>
      </c>
      <c r="E147">
        <f t="shared" si="8"/>
        <v>0.86600443940017879</v>
      </c>
      <c r="G147">
        <f t="shared" ca="1" si="9"/>
        <v>145</v>
      </c>
      <c r="H147">
        <f t="shared" ca="1" si="10"/>
        <v>125.57064371302593</v>
      </c>
      <c r="I147">
        <f t="shared" ca="1" si="11"/>
        <v>746.32337495486661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170457</v>
      </c>
      <c r="B149" s="66">
        <v>170457</v>
      </c>
      <c r="D149">
        <f t="shared" si="8"/>
        <v>0.85602583288972811</v>
      </c>
      <c r="E149">
        <f t="shared" si="8"/>
        <v>0.85602583288972811</v>
      </c>
      <c r="G149">
        <f t="shared" ca="1" si="9"/>
        <v>147</v>
      </c>
      <c r="H149">
        <f t="shared" ca="1" si="10"/>
        <v>125.83579743479004</v>
      </c>
      <c r="I149">
        <f t="shared" ca="1" si="11"/>
        <v>841.66740780508758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166211</v>
      </c>
      <c r="B152" s="66">
        <v>166211</v>
      </c>
      <c r="D152">
        <f t="shared" si="8"/>
        <v>0.83470265058304793</v>
      </c>
      <c r="E152">
        <f t="shared" si="8"/>
        <v>0.83470265058304793</v>
      </c>
      <c r="G152">
        <f t="shared" ca="1" si="9"/>
        <v>150</v>
      </c>
      <c r="H152">
        <f t="shared" ca="1" si="10"/>
        <v>125.20539758745718</v>
      </c>
      <c r="I152">
        <f t="shared" ca="1" si="11"/>
        <v>985.25405734987623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159787</v>
      </c>
      <c r="B154" s="66">
        <v>159787</v>
      </c>
      <c r="D154">
        <f t="shared" si="8"/>
        <v>0.80244167009832967</v>
      </c>
      <c r="E154">
        <f t="shared" si="8"/>
        <v>0.80244167009832967</v>
      </c>
      <c r="G154">
        <f t="shared" ca="1" si="9"/>
        <v>152</v>
      </c>
      <c r="H154">
        <f t="shared" ca="1" si="10"/>
        <v>121.97113385494612</v>
      </c>
      <c r="I154">
        <f t="shared" ca="1" si="11"/>
        <v>1060.6602541521859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147681</v>
      </c>
      <c r="B157" s="66">
        <v>147681</v>
      </c>
      <c r="D157">
        <f t="shared" si="8"/>
        <v>0.74164599298936351</v>
      </c>
      <c r="E157">
        <f t="shared" si="8"/>
        <v>0.74164599298936351</v>
      </c>
      <c r="G157">
        <f t="shared" ca="1" si="9"/>
        <v>155</v>
      </c>
      <c r="H157">
        <f t="shared" ca="1" si="10"/>
        <v>114.95512891335134</v>
      </c>
      <c r="I157">
        <f t="shared" ca="1" si="11"/>
        <v>1148.7575541137412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135248</v>
      </c>
      <c r="B160" s="66">
        <v>135248</v>
      </c>
      <c r="D160">
        <f t="shared" si="8"/>
        <v>0.67920813956992054</v>
      </c>
      <c r="E160">
        <f t="shared" si="8"/>
        <v>0.67920813956992054</v>
      </c>
      <c r="G160">
        <f t="shared" ca="1" si="9"/>
        <v>158</v>
      </c>
      <c r="H160">
        <f t="shared" ca="1" si="10"/>
        <v>107.31488605204744</v>
      </c>
      <c r="I160">
        <f t="shared" ca="1" si="11"/>
        <v>1218.5458845716869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123846</v>
      </c>
      <c r="B162" s="66">
        <v>123846</v>
      </c>
      <c r="D162">
        <f t="shared" si="8"/>
        <v>0.62194791237708791</v>
      </c>
      <c r="E162">
        <f t="shared" si="8"/>
        <v>0.62194791237708791</v>
      </c>
      <c r="G162">
        <f t="shared" ca="1" si="9"/>
        <v>160</v>
      </c>
      <c r="H162">
        <f t="shared" ca="1" si="10"/>
        <v>99.511665980334072</v>
      </c>
      <c r="I162">
        <f t="shared" ca="1" si="11"/>
        <v>1223.6789202415021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120407</v>
      </c>
      <c r="B165" s="66">
        <v>120407</v>
      </c>
      <c r="D165">
        <f t="shared" si="8"/>
        <v>0.6046774404146118</v>
      </c>
      <c r="E165">
        <f t="shared" si="8"/>
        <v>0.6046774404146118</v>
      </c>
      <c r="G165">
        <f t="shared" ca="1" si="9"/>
        <v>163</v>
      </c>
      <c r="H165">
        <f t="shared" ca="1" si="10"/>
        <v>98.562422787581724</v>
      </c>
      <c r="I165">
        <f t="shared" ca="1" si="11"/>
        <v>1356.0695134030354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100019</v>
      </c>
      <c r="B167" s="66">
        <v>100019</v>
      </c>
      <c r="D167">
        <f t="shared" si="8"/>
        <v>0.50229000733204099</v>
      </c>
      <c r="E167">
        <f t="shared" si="8"/>
        <v>0.50229000733204099</v>
      </c>
      <c r="G167">
        <f t="shared" ca="1" si="9"/>
        <v>165</v>
      </c>
      <c r="H167">
        <f t="shared" ca="1" si="10"/>
        <v>82.877851209786769</v>
      </c>
      <c r="I167">
        <f t="shared" ca="1" si="11"/>
        <v>1223.6079253618227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94800</v>
      </c>
      <c r="B170" s="66">
        <v>94800</v>
      </c>
      <c r="D170">
        <f t="shared" si="8"/>
        <v>0.47608047166115924</v>
      </c>
      <c r="E170">
        <f t="shared" si="8"/>
        <v>0.47608047166115924</v>
      </c>
      <c r="G170">
        <f t="shared" ca="1" si="9"/>
        <v>168</v>
      </c>
      <c r="H170">
        <f t="shared" ca="1" si="10"/>
        <v>79.981519239074757</v>
      </c>
      <c r="I170">
        <f t="shared" ca="1" si="11"/>
        <v>1305.0305208811496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83320</v>
      </c>
      <c r="B173" s="66">
        <v>83320</v>
      </c>
      <c r="D173">
        <f t="shared" si="8"/>
        <v>0.41842853268784591</v>
      </c>
      <c r="E173">
        <f t="shared" si="8"/>
        <v>0.41842853268784591</v>
      </c>
      <c r="G173">
        <f t="shared" ca="1" si="9"/>
        <v>171</v>
      </c>
      <c r="H173">
        <f t="shared" ca="1" si="10"/>
        <v>71.551279089621644</v>
      </c>
      <c r="I173">
        <f t="shared" ca="1" si="11"/>
        <v>1282.2056189489711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71855</v>
      </c>
      <c r="B175" s="66">
        <v>71855</v>
      </c>
      <c r="D175">
        <f t="shared" si="8"/>
        <v>0.36085192290308649</v>
      </c>
      <c r="E175">
        <f t="shared" si="8"/>
        <v>0.36085192290308649</v>
      </c>
      <c r="G175">
        <f t="shared" ca="1" si="9"/>
        <v>173</v>
      </c>
      <c r="H175">
        <f t="shared" ca="1" si="10"/>
        <v>62.42738266223396</v>
      </c>
      <c r="I175">
        <f t="shared" ca="1" si="11"/>
        <v>1187.116866674173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68731</v>
      </c>
      <c r="B178" s="66">
        <v>68731</v>
      </c>
      <c r="D178">
        <f t="shared" si="8"/>
        <v>0.34516336390024405</v>
      </c>
      <c r="E178">
        <f t="shared" si="8"/>
        <v>0.34516336390024405</v>
      </c>
      <c r="G178">
        <f t="shared" ca="1" si="9"/>
        <v>176</v>
      </c>
      <c r="H178">
        <f t="shared" ca="1" si="10"/>
        <v>60.748752046442952</v>
      </c>
      <c r="I178">
        <f t="shared" ca="1" si="11"/>
        <v>1257.3957761051342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54907</v>
      </c>
      <c r="B180" s="66">
        <v>54907</v>
      </c>
      <c r="D180">
        <f t="shared" si="8"/>
        <v>0.2757399837288953</v>
      </c>
      <c r="E180">
        <f t="shared" si="8"/>
        <v>0.2757399837288953</v>
      </c>
      <c r="G180">
        <f t="shared" ca="1" si="9"/>
        <v>178</v>
      </c>
      <c r="H180">
        <f t="shared" ca="1" si="10"/>
        <v>49.081717103743365</v>
      </c>
      <c r="I180">
        <f t="shared" ca="1" si="11"/>
        <v>1072.1670133701762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52663</v>
      </c>
      <c r="B183" s="66">
        <v>52663</v>
      </c>
      <c r="D183">
        <f t="shared" si="8"/>
        <v>0.26447073712121971</v>
      </c>
      <c r="E183">
        <f t="shared" si="8"/>
        <v>0.26447073712121971</v>
      </c>
      <c r="G183">
        <f t="shared" ca="1" si="9"/>
        <v>181</v>
      </c>
      <c r="H183">
        <f t="shared" ca="1" si="10"/>
        <v>47.869203418940771</v>
      </c>
      <c r="I183">
        <f t="shared" ca="1" si="11"/>
        <v>1129.6774726395317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49319</v>
      </c>
      <c r="B185" s="66">
        <v>49319</v>
      </c>
      <c r="D185">
        <f t="shared" si="8"/>
        <v>0.2476773500195856</v>
      </c>
      <c r="E185">
        <f t="shared" si="8"/>
        <v>0.2476773500195856</v>
      </c>
      <c r="G185">
        <f t="shared" ca="1" si="9"/>
        <v>183</v>
      </c>
      <c r="H185">
        <f t="shared" ca="1" si="10"/>
        <v>45.324955053584162</v>
      </c>
      <c r="I185">
        <f t="shared" ca="1" si="11"/>
        <v>1123.6850628091379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45436</v>
      </c>
      <c r="B188" s="66">
        <v>45436</v>
      </c>
      <c r="D188">
        <f t="shared" si="8"/>
        <v>0.22817713407591173</v>
      </c>
      <c r="E188">
        <f t="shared" si="8"/>
        <v>0.22817713407591173</v>
      </c>
      <c r="G188">
        <f t="shared" ca="1" si="9"/>
        <v>186</v>
      </c>
      <c r="H188">
        <f t="shared" ca="1" si="10"/>
        <v>42.440946938119581</v>
      </c>
      <c r="I188">
        <f t="shared" ca="1" si="11"/>
        <v>1129.483512431902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39672</v>
      </c>
      <c r="B191" s="66">
        <v>39672</v>
      </c>
      <c r="D191">
        <f t="shared" si="8"/>
        <v>0.19923063788756867</v>
      </c>
      <c r="E191">
        <f t="shared" si="8"/>
        <v>0.19923063788756867</v>
      </c>
      <c r="G191">
        <f t="shared" ca="1" si="9"/>
        <v>189</v>
      </c>
      <c r="H191">
        <f t="shared" ca="1" si="10"/>
        <v>37.654590560750478</v>
      </c>
      <c r="I191">
        <f t="shared" ca="1" si="11"/>
        <v>1072.0935387787292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37711</v>
      </c>
      <c r="B193" s="66">
        <v>37711</v>
      </c>
      <c r="D193">
        <f t="shared" si="8"/>
        <v>0.18938260197061157</v>
      </c>
      <c r="E193">
        <f t="shared" si="8"/>
        <v>0.18938260197061157</v>
      </c>
      <c r="G193">
        <f t="shared" ca="1" si="9"/>
        <v>191</v>
      </c>
      <c r="H193">
        <f t="shared" ca="1" si="10"/>
        <v>36.172076976386812</v>
      </c>
      <c r="I193">
        <f t="shared" ca="1" si="11"/>
        <v>1075.4268708994312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32432</v>
      </c>
      <c r="B196" s="66">
        <v>32432</v>
      </c>
      <c r="D196">
        <f t="shared" si="12"/>
        <v>0.16287174954551389</v>
      </c>
      <c r="E196">
        <f t="shared" si="12"/>
        <v>0.16287174954551389</v>
      </c>
      <c r="G196">
        <f t="shared" ca="1" si="13"/>
        <v>194</v>
      </c>
      <c r="H196">
        <f t="shared" ca="1" si="14"/>
        <v>31.597119411829695</v>
      </c>
      <c r="I196">
        <f t="shared" ca="1" si="15"/>
        <v>999.98897047098046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22341</v>
      </c>
      <c r="B198" s="66">
        <v>22341</v>
      </c>
      <c r="D198">
        <f t="shared" si="12"/>
        <v>0.11219529343229914</v>
      </c>
      <c r="E198">
        <f t="shared" si="12"/>
        <v>0.11219529343229914</v>
      </c>
      <c r="G198">
        <f t="shared" ca="1" si="13"/>
        <v>196</v>
      </c>
      <c r="H198">
        <f t="shared" ca="1" si="14"/>
        <v>21.990277512730632</v>
      </c>
      <c r="I198">
        <f t="shared" ca="1" si="15"/>
        <v>724.46276553595089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17138</v>
      </c>
      <c r="B201" s="66">
        <v>17138</v>
      </c>
      <c r="D201">
        <f t="shared" si="12"/>
        <v>8.6066108895874974E-2</v>
      </c>
      <c r="E201">
        <f t="shared" si="12"/>
        <v>8.6066108895874974E-2</v>
      </c>
      <c r="G201">
        <f t="shared" ca="1" si="13"/>
        <v>199</v>
      </c>
      <c r="H201">
        <f t="shared" ca="1" si="14"/>
        <v>17.127155670279119</v>
      </c>
      <c r="I201">
        <f t="shared" ca="1" si="15"/>
        <v>598.01288009456948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10441</v>
      </c>
      <c r="B203" s="66">
        <v>10441</v>
      </c>
      <c r="D203">
        <f t="shared" si="12"/>
        <v>5.2434137179474302E-2</v>
      </c>
      <c r="E203">
        <f t="shared" si="12"/>
        <v>5.2434137179474302E-2</v>
      </c>
      <c r="G203">
        <f t="shared" ca="1" si="13"/>
        <v>201</v>
      </c>
      <c r="H203">
        <f t="shared" ca="1" si="14"/>
        <v>10.539261573074334</v>
      </c>
      <c r="I203">
        <f t="shared" ca="1" si="15"/>
        <v>382.02058395934966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5488</v>
      </c>
      <c r="B206" s="66">
        <v>5488</v>
      </c>
      <c r="D206">
        <f t="shared" si="12"/>
        <v>2.7560439118949811E-2</v>
      </c>
      <c r="E206">
        <f t="shared" si="12"/>
        <v>2.7560439118949811E-2</v>
      </c>
      <c r="G206">
        <f t="shared" ca="1" si="13"/>
        <v>204</v>
      </c>
      <c r="H206">
        <f t="shared" ca="1" si="14"/>
        <v>5.6223295802657614</v>
      </c>
      <c r="I206">
        <f t="shared" ca="1" si="15"/>
        <v>215.16052774309739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2161</v>
      </c>
      <c r="B209" s="66">
        <v>2161</v>
      </c>
      <c r="D209">
        <f t="shared" si="12"/>
        <v>1.0852425097676848E-2</v>
      </c>
      <c r="E209">
        <f t="shared" si="12"/>
        <v>1.0852425097676848E-2</v>
      </c>
      <c r="G209">
        <f t="shared" ca="1" si="13"/>
        <v>207</v>
      </c>
      <c r="H209">
        <f t="shared" ca="1" si="14"/>
        <v>2.2464519952191075</v>
      </c>
      <c r="I209">
        <f t="shared" ca="1" si="15"/>
        <v>90.574340397990795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1674</v>
      </c>
      <c r="B211" s="66">
        <v>1674</v>
      </c>
      <c r="D211">
        <f t="shared" si="12"/>
        <v>8.406737442624268E-3</v>
      </c>
      <c r="E211">
        <f t="shared" si="12"/>
        <v>8.406737442624268E-3</v>
      </c>
      <c r="G211">
        <f t="shared" ca="1" si="13"/>
        <v>209</v>
      </c>
      <c r="H211">
        <f t="shared" ca="1" si="14"/>
        <v>1.757008125508472</v>
      </c>
      <c r="I211">
        <f t="shared" ca="1" si="15"/>
        <v>73.268296646966505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1537</v>
      </c>
      <c r="B214" s="66">
        <v>1537</v>
      </c>
      <c r="D214">
        <f t="shared" si="12"/>
        <v>7.7187308538312427E-3</v>
      </c>
      <c r="E214">
        <f t="shared" si="12"/>
        <v>7.7187308538312427E-3</v>
      </c>
      <c r="G214">
        <f t="shared" ca="1" si="13"/>
        <v>212</v>
      </c>
      <c r="H214">
        <f t="shared" ca="1" si="14"/>
        <v>1.6363709410122234</v>
      </c>
      <c r="I214">
        <f t="shared" ca="1" si="15"/>
        <v>71.665054466094574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688</v>
      </c>
      <c r="B216" s="66">
        <v>688</v>
      </c>
      <c r="D216">
        <f t="shared" si="12"/>
        <v>3.4550987816759238E-3</v>
      </c>
      <c r="E216">
        <f t="shared" si="12"/>
        <v>3.4550987816759238E-3</v>
      </c>
      <c r="G216">
        <f t="shared" ca="1" si="13"/>
        <v>214</v>
      </c>
      <c r="H216">
        <f t="shared" ca="1" si="14"/>
        <v>0.73939113927864775</v>
      </c>
      <c r="I216">
        <f t="shared" ca="1" si="15"/>
        <v>33.424592028842532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354</v>
      </c>
      <c r="B1" s="66" t="s">
        <v>355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105.43359005998278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2.0356580064204697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0.73052794255044795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2390</v>
      </c>
      <c r="B8" s="66">
        <v>2390</v>
      </c>
      <c r="D8">
        <f t="shared" si="0"/>
        <v>2.3767141678019867</v>
      </c>
      <c r="E8">
        <f t="shared" si="1"/>
        <v>2.3767141678019867</v>
      </c>
      <c r="G8">
        <f t="shared" ca="1" si="2"/>
        <v>6</v>
      </c>
      <c r="H8">
        <f t="shared" ca="1" si="3"/>
        <v>14.26028500681192</v>
      </c>
      <c r="I8">
        <f t="shared" ca="1" si="4"/>
        <v>23498.665270137855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4549</v>
      </c>
      <c r="B10" s="66">
        <v>4549</v>
      </c>
      <c r="D10">
        <f t="shared" si="0"/>
        <v>4.5237124474189283</v>
      </c>
      <c r="E10">
        <f t="shared" si="1"/>
        <v>4.5237124474189283</v>
      </c>
      <c r="G10">
        <f t="shared" ca="1" si="2"/>
        <v>8</v>
      </c>
      <c r="H10">
        <f t="shared" ca="1" si="3"/>
        <v>36.189699579351426</v>
      </c>
      <c r="I10">
        <f t="shared" ca="1" si="4"/>
        <v>42944.979607019115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6775</v>
      </c>
      <c r="B13" s="66">
        <v>6775</v>
      </c>
      <c r="D13">
        <f t="shared" si="0"/>
        <v>6.7373382790202765</v>
      </c>
      <c r="E13">
        <f t="shared" si="1"/>
        <v>6.7373382790202765</v>
      </c>
      <c r="G13">
        <f t="shared" ca="1" si="2"/>
        <v>11</v>
      </c>
      <c r="H13">
        <f t="shared" ca="1" si="3"/>
        <v>74.110721069223047</v>
      </c>
      <c r="I13">
        <f t="shared" ca="1" si="4"/>
        <v>60081.581322113729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6607</v>
      </c>
      <c r="B15" s="66">
        <v>6607</v>
      </c>
      <c r="D15">
        <f t="shared" si="0"/>
        <v>6.5702721785220612</v>
      </c>
      <c r="E15">
        <f t="shared" si="1"/>
        <v>6.5702721785220612</v>
      </c>
      <c r="G15">
        <f t="shared" ca="1" si="2"/>
        <v>13</v>
      </c>
      <c r="H15">
        <f t="shared" ca="1" si="3"/>
        <v>85.413538320786799</v>
      </c>
      <c r="I15">
        <f t="shared" ca="1" si="4"/>
        <v>56136.198998684835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7394</v>
      </c>
      <c r="B18" s="66">
        <v>7394</v>
      </c>
      <c r="D18">
        <f t="shared" si="0"/>
        <v>7.3528973040702477</v>
      </c>
      <c r="E18">
        <f t="shared" si="1"/>
        <v>7.3528973040702477</v>
      </c>
      <c r="G18">
        <f t="shared" ca="1" si="2"/>
        <v>16</v>
      </c>
      <c r="H18">
        <f t="shared" ca="1" si="3"/>
        <v>117.64635686512396</v>
      </c>
      <c r="I18">
        <f t="shared" ca="1" si="4"/>
        <v>58811.171379329615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11001</v>
      </c>
      <c r="B21" s="66">
        <v>11001</v>
      </c>
      <c r="D21">
        <f t="shared" si="0"/>
        <v>10.939846259409899</v>
      </c>
      <c r="E21">
        <f t="shared" si="1"/>
        <v>10.939846259409899</v>
      </c>
      <c r="G21">
        <f t="shared" ca="1" si="2"/>
        <v>19</v>
      </c>
      <c r="H21">
        <f t="shared" ca="1" si="3"/>
        <v>207.85707892878807</v>
      </c>
      <c r="I21">
        <f t="shared" ca="1" si="4"/>
        <v>81729.025907894218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14950</v>
      </c>
      <c r="B23" s="66">
        <v>14950</v>
      </c>
      <c r="D23">
        <f t="shared" si="0"/>
        <v>14.866894062192344</v>
      </c>
      <c r="E23">
        <f t="shared" si="1"/>
        <v>14.866894062192344</v>
      </c>
      <c r="G23">
        <f t="shared" ca="1" si="2"/>
        <v>21</v>
      </c>
      <c r="H23">
        <f t="shared" ca="1" si="3"/>
        <v>312.20477530603921</v>
      </c>
      <c r="I23">
        <f t="shared" ca="1" si="4"/>
        <v>105986.55058198416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12628</v>
      </c>
      <c r="B26" s="66">
        <v>12628</v>
      </c>
      <c r="D26">
        <f t="shared" si="0"/>
        <v>12.557801887449159</v>
      </c>
      <c r="E26">
        <f t="shared" si="1"/>
        <v>12.557801887449159</v>
      </c>
      <c r="G26">
        <f t="shared" ca="1" si="2"/>
        <v>24</v>
      </c>
      <c r="H26">
        <f t="shared" ca="1" si="3"/>
        <v>301.38724529877982</v>
      </c>
      <c r="I26">
        <f t="shared" ca="1" si="4"/>
        <v>83276.179022508091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15240</v>
      </c>
      <c r="B28" s="66">
        <v>15240</v>
      </c>
      <c r="D28">
        <f t="shared" si="0"/>
        <v>15.155281973766645</v>
      </c>
      <c r="E28">
        <f t="shared" si="1"/>
        <v>15.155281973766645</v>
      </c>
      <c r="G28">
        <f t="shared" ca="1" si="2"/>
        <v>26</v>
      </c>
      <c r="H28">
        <f t="shared" ca="1" si="3"/>
        <v>394.03733131793274</v>
      </c>
      <c r="I28">
        <f t="shared" ca="1" si="4"/>
        <v>95625.210376412942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14895</v>
      </c>
      <c r="B31" s="66">
        <v>14895</v>
      </c>
      <c r="D31">
        <f t="shared" si="0"/>
        <v>14.812199803100667</v>
      </c>
      <c r="E31">
        <f t="shared" si="1"/>
        <v>14.812199803100667</v>
      </c>
      <c r="G31">
        <f t="shared" ca="1" si="2"/>
        <v>29</v>
      </c>
      <c r="H31">
        <f t="shared" ca="1" si="3"/>
        <v>429.55379428991932</v>
      </c>
      <c r="I31">
        <f t="shared" ca="1" si="4"/>
        <v>86534.258996677992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20906</v>
      </c>
      <c r="B33" s="66">
        <v>20906</v>
      </c>
      <c r="D33">
        <f t="shared" si="0"/>
        <v>20.789785101283822</v>
      </c>
      <c r="E33">
        <f t="shared" si="1"/>
        <v>20.789785101283822</v>
      </c>
      <c r="G33">
        <f t="shared" ca="1" si="2"/>
        <v>31</v>
      </c>
      <c r="H33">
        <f t="shared" ca="1" si="3"/>
        <v>644.48333813979855</v>
      </c>
      <c r="I33">
        <f t="shared" ca="1" si="4"/>
        <v>115182.87983832619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19777</v>
      </c>
      <c r="B36" s="66">
        <v>19777</v>
      </c>
      <c r="D36">
        <f t="shared" si="0"/>
        <v>19.667061128292843</v>
      </c>
      <c r="E36">
        <f t="shared" si="1"/>
        <v>19.667061128292843</v>
      </c>
      <c r="G36">
        <f t="shared" ca="1" si="2"/>
        <v>34</v>
      </c>
      <c r="H36">
        <f t="shared" ca="1" si="3"/>
        <v>668.6800783619567</v>
      </c>
      <c r="I36">
        <f t="shared" ca="1" si="4"/>
        <v>100356.24935633622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25661</v>
      </c>
      <c r="B39" s="66">
        <v>25661</v>
      </c>
      <c r="D39">
        <f t="shared" si="0"/>
        <v>25.518352410027944</v>
      </c>
      <c r="E39">
        <f t="shared" si="1"/>
        <v>25.518352410027944</v>
      </c>
      <c r="G39">
        <f t="shared" ca="1" si="2"/>
        <v>37</v>
      </c>
      <c r="H39">
        <f t="shared" ca="1" si="3"/>
        <v>944.17903917103399</v>
      </c>
      <c r="I39">
        <f t="shared" ca="1" si="4"/>
        <v>119506.43154039058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26635</v>
      </c>
      <c r="B41" s="66">
        <v>26635</v>
      </c>
      <c r="D41">
        <f t="shared" si="0"/>
        <v>26.486938016487834</v>
      </c>
      <c r="E41">
        <f t="shared" si="1"/>
        <v>26.486938016487834</v>
      </c>
      <c r="G41">
        <f t="shared" ca="1" si="2"/>
        <v>39</v>
      </c>
      <c r="H41">
        <f t="shared" ca="1" si="3"/>
        <v>1032.9905826430256</v>
      </c>
      <c r="I41">
        <f t="shared" ca="1" si="4"/>
        <v>116898.03199489617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30026</v>
      </c>
      <c r="B44" s="66">
        <v>30026</v>
      </c>
      <c r="D44">
        <f t="shared" si="0"/>
        <v>29.859087699758351</v>
      </c>
      <c r="E44">
        <f t="shared" si="1"/>
        <v>29.859087699758351</v>
      </c>
      <c r="G44">
        <f t="shared" ca="1" si="2"/>
        <v>42</v>
      </c>
      <c r="H44">
        <f t="shared" ca="1" si="3"/>
        <v>1254.0816833898507</v>
      </c>
      <c r="I44">
        <f t="shared" ca="1" si="4"/>
        <v>120147.60465595692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30710</v>
      </c>
      <c r="B46" s="66">
        <v>30710</v>
      </c>
      <c r="D46">
        <f t="shared" si="0"/>
        <v>30.53928539464394</v>
      </c>
      <c r="E46">
        <f t="shared" si="1"/>
        <v>30.53928539464394</v>
      </c>
      <c r="G46">
        <f t="shared" ca="1" si="2"/>
        <v>44</v>
      </c>
      <c r="H46">
        <f t="shared" ca="1" si="3"/>
        <v>1343.7285573643335</v>
      </c>
      <c r="I46">
        <f t="shared" ca="1" si="4"/>
        <v>115257.88908101476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35383</v>
      </c>
      <c r="B49" s="66">
        <v>35383</v>
      </c>
      <c r="D49">
        <f t="shared" si="0"/>
        <v>35.186308535287743</v>
      </c>
      <c r="E49">
        <f t="shared" si="1"/>
        <v>35.186308535287743</v>
      </c>
      <c r="G49">
        <f t="shared" ca="1" si="2"/>
        <v>47</v>
      </c>
      <c r="H49">
        <f t="shared" ca="1" si="3"/>
        <v>1653.7565011585239</v>
      </c>
      <c r="I49">
        <f t="shared" ca="1" si="4"/>
        <v>120143.10325157302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40778</v>
      </c>
      <c r="B51" s="66">
        <v>40778</v>
      </c>
      <c r="D51">
        <f t="shared" si="0"/>
        <v>40.551318131644109</v>
      </c>
      <c r="E51">
        <f t="shared" si="1"/>
        <v>40.551318131644109</v>
      </c>
      <c r="G51">
        <f t="shared" ca="1" si="2"/>
        <v>49</v>
      </c>
      <c r="H51">
        <f t="shared" ca="1" si="3"/>
        <v>1987.0145884505614</v>
      </c>
      <c r="I51">
        <f t="shared" ca="1" si="4"/>
        <v>129145.81395007781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40202</v>
      </c>
      <c r="B54" s="66">
        <v>40202</v>
      </c>
      <c r="D54">
        <f t="shared" si="0"/>
        <v>39.978520072793089</v>
      </c>
      <c r="E54">
        <f t="shared" si="1"/>
        <v>39.978520072793089</v>
      </c>
      <c r="G54">
        <f t="shared" ca="1" si="2"/>
        <v>52</v>
      </c>
      <c r="H54">
        <f t="shared" ca="1" si="3"/>
        <v>2078.8830437852407</v>
      </c>
      <c r="I54">
        <f t="shared" ca="1" si="4"/>
        <v>114144.61348498362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36191</v>
      </c>
      <c r="B57" s="66">
        <v>36191</v>
      </c>
      <c r="D57">
        <f t="shared" si="0"/>
        <v>35.989816923398202</v>
      </c>
      <c r="E57">
        <f t="shared" si="1"/>
        <v>35.989816923398202</v>
      </c>
      <c r="G57">
        <f t="shared" ca="1" si="2"/>
        <v>55</v>
      </c>
      <c r="H57">
        <f t="shared" ca="1" si="3"/>
        <v>1979.4399307869012</v>
      </c>
      <c r="I57">
        <f t="shared" ca="1" si="4"/>
        <v>91541.791094176355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42439</v>
      </c>
      <c r="B59" s="66">
        <v>42439</v>
      </c>
      <c r="D59">
        <f t="shared" si="0"/>
        <v>42.203084756212768</v>
      </c>
      <c r="E59">
        <f t="shared" si="1"/>
        <v>42.203084756212768</v>
      </c>
      <c r="G59">
        <f t="shared" ca="1" si="2"/>
        <v>57</v>
      </c>
      <c r="H59">
        <f t="shared" ca="1" si="3"/>
        <v>2405.5758311041277</v>
      </c>
      <c r="I59">
        <f t="shared" ca="1" si="4"/>
        <v>99000.529925489143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44991</v>
      </c>
      <c r="B62" s="66">
        <v>44991</v>
      </c>
      <c r="D62">
        <f t="shared" si="0"/>
        <v>44.740898378066611</v>
      </c>
      <c r="E62">
        <f t="shared" si="1"/>
        <v>44.740898378066611</v>
      </c>
      <c r="G62">
        <f t="shared" ca="1" si="2"/>
        <v>60</v>
      </c>
      <c r="H62">
        <f t="shared" ca="1" si="3"/>
        <v>2684.4539026839966</v>
      </c>
      <c r="I62">
        <f t="shared" ca="1" si="4"/>
        <v>92354.659312725693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43553</v>
      </c>
      <c r="B64" s="66">
        <v>43553</v>
      </c>
      <c r="D64">
        <f t="shared" si="0"/>
        <v>43.310892113087839</v>
      </c>
      <c r="E64">
        <f t="shared" si="1"/>
        <v>43.310892113087839</v>
      </c>
      <c r="G64">
        <f t="shared" ca="1" si="2"/>
        <v>62</v>
      </c>
      <c r="H64">
        <f t="shared" ca="1" si="3"/>
        <v>2685.2753110114459</v>
      </c>
      <c r="I64">
        <f t="shared" ca="1" si="4"/>
        <v>81704.990798140439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45492</v>
      </c>
      <c r="B67" s="66">
        <v>45492</v>
      </c>
      <c r="D67">
        <f t="shared" ref="D67:D130" si="5">IFERROR( 100*A67/MAX(A$2:A$257), 0 )</f>
        <v>45.239113356338073</v>
      </c>
      <c r="E67">
        <f t="shared" ref="E67:E130" si="6">IFERROR( 100*B67/MAX(B$2:B$257), 0 )</f>
        <v>45.239113356338073</v>
      </c>
      <c r="G67">
        <f t="shared" ref="G67:G130" ca="1" si="7">CELL("row",D67)-2</f>
        <v>65</v>
      </c>
      <c r="H67">
        <f t="shared" ref="H67:H130" ca="1" si="8">D67*G67</f>
        <v>2940.542368161975</v>
      </c>
      <c r="I67">
        <f t="shared" ref="I67:I130" ca="1" si="9">D67*((G67-$L$1)^2)</f>
        <v>73960.304728737829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44652</v>
      </c>
      <c r="B69" s="66">
        <v>44652</v>
      </c>
      <c r="D69">
        <f t="shared" si="5"/>
        <v>44.403782853846998</v>
      </c>
      <c r="E69">
        <f t="shared" si="6"/>
        <v>44.403782853846998</v>
      </c>
      <c r="G69">
        <f t="shared" ca="1" si="7"/>
        <v>67</v>
      </c>
      <c r="H69">
        <f t="shared" ca="1" si="8"/>
        <v>2975.0534512077488</v>
      </c>
      <c r="I69">
        <f t="shared" ca="1" si="9"/>
        <v>65590.641321434712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49202</v>
      </c>
      <c r="B72" s="66">
        <v>49202</v>
      </c>
      <c r="D72">
        <f t="shared" si="5"/>
        <v>48.928489742340318</v>
      </c>
      <c r="E72">
        <f t="shared" si="6"/>
        <v>48.928489742340318</v>
      </c>
      <c r="G72">
        <f t="shared" ca="1" si="7"/>
        <v>70</v>
      </c>
      <c r="H72">
        <f t="shared" ca="1" si="8"/>
        <v>3424.9942819638222</v>
      </c>
      <c r="I72">
        <f t="shared" ca="1" si="9"/>
        <v>61431.641983237168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50831</v>
      </c>
      <c r="B75" s="66">
        <v>50831</v>
      </c>
      <c r="D75">
        <f t="shared" si="5"/>
        <v>50.548434252528367</v>
      </c>
      <c r="E75">
        <f t="shared" si="6"/>
        <v>50.548434252528367</v>
      </c>
      <c r="G75">
        <f t="shared" ca="1" si="7"/>
        <v>73</v>
      </c>
      <c r="H75">
        <f t="shared" ca="1" si="8"/>
        <v>3690.0357004345706</v>
      </c>
      <c r="I75">
        <f t="shared" ca="1" si="9"/>
        <v>53173.806910354557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53416</v>
      </c>
      <c r="B77" s="66">
        <v>53416</v>
      </c>
      <c r="D77">
        <f t="shared" si="5"/>
        <v>53.119064429837209</v>
      </c>
      <c r="E77">
        <f t="shared" si="6"/>
        <v>53.119064429837209</v>
      </c>
      <c r="G77">
        <f t="shared" ca="1" si="7"/>
        <v>75</v>
      </c>
      <c r="H77">
        <f t="shared" ca="1" si="8"/>
        <v>3983.9298322377908</v>
      </c>
      <c r="I77">
        <f t="shared" ca="1" si="9"/>
        <v>49199.058288974658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55271</v>
      </c>
      <c r="B80" s="66">
        <v>55271</v>
      </c>
      <c r="D80">
        <f t="shared" si="5"/>
        <v>54.963752622838335</v>
      </c>
      <c r="E80">
        <f t="shared" si="6"/>
        <v>54.963752622838335</v>
      </c>
      <c r="G80">
        <f t="shared" ca="1" si="7"/>
        <v>78</v>
      </c>
      <c r="H80">
        <f t="shared" ca="1" si="8"/>
        <v>4287.1727045813905</v>
      </c>
      <c r="I80">
        <f t="shared" ca="1" si="9"/>
        <v>41365.82265325349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63487</v>
      </c>
      <c r="B82" s="66">
        <v>63487</v>
      </c>
      <c r="D82">
        <f t="shared" si="5"/>
        <v>63.134080490060562</v>
      </c>
      <c r="E82">
        <f t="shared" si="6"/>
        <v>63.134080490060562</v>
      </c>
      <c r="G82">
        <f t="shared" ca="1" si="7"/>
        <v>80</v>
      </c>
      <c r="H82">
        <f t="shared" ca="1" si="8"/>
        <v>5050.7264392048446</v>
      </c>
      <c r="I82">
        <f t="shared" ca="1" si="9"/>
        <v>40839.385022225026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68193</v>
      </c>
      <c r="B85" s="66">
        <v>68193</v>
      </c>
      <c r="D85">
        <f t="shared" si="5"/>
        <v>67.813920186159365</v>
      </c>
      <c r="E85">
        <f t="shared" si="6"/>
        <v>67.813920186159365</v>
      </c>
      <c r="G85">
        <f t="shared" ca="1" si="7"/>
        <v>83</v>
      </c>
      <c r="H85">
        <f t="shared" ca="1" si="8"/>
        <v>5628.5553754512275</v>
      </c>
      <c r="I85">
        <f t="shared" ca="1" si="9"/>
        <v>34128.437845892819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74531</v>
      </c>
      <c r="B88" s="66">
        <v>74531</v>
      </c>
      <c r="D88">
        <f t="shared" si="5"/>
        <v>74.116687715669414</v>
      </c>
      <c r="E88">
        <f t="shared" si="6"/>
        <v>74.116687715669414</v>
      </c>
      <c r="G88">
        <f t="shared" ca="1" si="7"/>
        <v>86</v>
      </c>
      <c r="H88">
        <f t="shared" ca="1" si="8"/>
        <v>6374.0351435475695</v>
      </c>
      <c r="I88">
        <f t="shared" ca="1" si="9"/>
        <v>27991.236072605217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84991</v>
      </c>
      <c r="B90" s="66">
        <v>84991</v>
      </c>
      <c r="D90">
        <f t="shared" si="5"/>
        <v>84.518541353832077</v>
      </c>
      <c r="E90">
        <f t="shared" si="6"/>
        <v>84.518541353832077</v>
      </c>
      <c r="G90">
        <f t="shared" ca="1" si="7"/>
        <v>88</v>
      </c>
      <c r="H90">
        <f t="shared" ca="1" si="8"/>
        <v>7437.6316391372229</v>
      </c>
      <c r="I90">
        <f t="shared" ca="1" si="9"/>
        <v>25687.725545897094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89698</v>
      </c>
      <c r="B93" s="66">
        <v>89698</v>
      </c>
      <c r="D93">
        <f t="shared" si="5"/>
        <v>89.199375491005284</v>
      </c>
      <c r="E93">
        <f t="shared" si="6"/>
        <v>89.199375491005284</v>
      </c>
      <c r="G93">
        <f t="shared" ca="1" si="7"/>
        <v>91</v>
      </c>
      <c r="H93">
        <f t="shared" ca="1" si="8"/>
        <v>8117.1431696814807</v>
      </c>
      <c r="I93">
        <f t="shared" ca="1" si="9"/>
        <v>18582.774061115462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92940</v>
      </c>
      <c r="B95" s="66">
        <v>92940</v>
      </c>
      <c r="D95">
        <f t="shared" si="5"/>
        <v>92.423353454191073</v>
      </c>
      <c r="E95">
        <f t="shared" si="6"/>
        <v>92.423353454191073</v>
      </c>
      <c r="G95">
        <f t="shared" ca="1" si="7"/>
        <v>93</v>
      </c>
      <c r="H95">
        <f t="shared" ca="1" si="8"/>
        <v>8595.3718712397695</v>
      </c>
      <c r="I95">
        <f t="shared" ca="1" si="9"/>
        <v>14288.110856119842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96828</v>
      </c>
      <c r="B98" s="66">
        <v>96828</v>
      </c>
      <c r="D98">
        <f t="shared" si="5"/>
        <v>96.289740351435469</v>
      </c>
      <c r="E98">
        <f t="shared" si="6"/>
        <v>96.289740351435469</v>
      </c>
      <c r="G98">
        <f t="shared" ca="1" si="7"/>
        <v>96</v>
      </c>
      <c r="H98">
        <f t="shared" ca="1" si="8"/>
        <v>9243.8150737378055</v>
      </c>
      <c r="I98">
        <f t="shared" ca="1" si="9"/>
        <v>8569.0764097066985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96545</v>
      </c>
      <c r="B100" s="66">
        <v>96545</v>
      </c>
      <c r="D100">
        <f t="shared" si="5"/>
        <v>96.008313527381929</v>
      </c>
      <c r="E100">
        <f t="shared" si="6"/>
        <v>96.008313527381929</v>
      </c>
      <c r="G100">
        <f t="shared" ca="1" si="7"/>
        <v>98</v>
      </c>
      <c r="H100">
        <f t="shared" ca="1" si="8"/>
        <v>9408.8147256834291</v>
      </c>
      <c r="I100">
        <f t="shared" ca="1" si="9"/>
        <v>5305.2524643353718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94075</v>
      </c>
      <c r="B103" s="66">
        <v>94075</v>
      </c>
      <c r="D103">
        <f t="shared" si="5"/>
        <v>93.552044073628423</v>
      </c>
      <c r="E103">
        <f t="shared" si="6"/>
        <v>93.552044073628423</v>
      </c>
      <c r="G103">
        <f t="shared" ca="1" si="7"/>
        <v>101</v>
      </c>
      <c r="H103">
        <f t="shared" ca="1" si="8"/>
        <v>9448.7564514364713</v>
      </c>
      <c r="I103">
        <f t="shared" ca="1" si="9"/>
        <v>1838.9264124935987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100559</v>
      </c>
      <c r="B106" s="66">
        <v>100559</v>
      </c>
      <c r="D106">
        <f t="shared" si="5"/>
        <v>100</v>
      </c>
      <c r="E106">
        <f t="shared" si="6"/>
        <v>100</v>
      </c>
      <c r="G106">
        <f t="shared" ca="1" si="7"/>
        <v>104</v>
      </c>
      <c r="H106">
        <f t="shared" ca="1" si="8"/>
        <v>10400</v>
      </c>
      <c r="I106">
        <f t="shared" ca="1" si="9"/>
        <v>205.51804600814214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98080</v>
      </c>
      <c r="B108" s="66">
        <v>98080</v>
      </c>
      <c r="D108">
        <f t="shared" si="5"/>
        <v>97.534780576576935</v>
      </c>
      <c r="E108">
        <f t="shared" si="6"/>
        <v>97.534780576576935</v>
      </c>
      <c r="G108">
        <f t="shared" ca="1" si="7"/>
        <v>106</v>
      </c>
      <c r="H108">
        <f t="shared" ca="1" si="8"/>
        <v>10338.686741117155</v>
      </c>
      <c r="I108">
        <f t="shared" ca="1" si="9"/>
        <v>31.291129776890035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91626</v>
      </c>
      <c r="B111" s="66">
        <v>91626</v>
      </c>
      <c r="D111">
        <f t="shared" si="5"/>
        <v>91.116657882437181</v>
      </c>
      <c r="E111">
        <f t="shared" si="6"/>
        <v>91.116657882437181</v>
      </c>
      <c r="G111">
        <f t="shared" ca="1" si="7"/>
        <v>109</v>
      </c>
      <c r="H111">
        <f t="shared" ca="1" si="8"/>
        <v>9931.7157091856534</v>
      </c>
      <c r="I111">
        <f t="shared" ca="1" si="9"/>
        <v>1158.9382715377058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80352</v>
      </c>
      <c r="B113" s="66">
        <v>80352</v>
      </c>
      <c r="D113">
        <f t="shared" si="5"/>
        <v>79.905329209717678</v>
      </c>
      <c r="E113">
        <f t="shared" si="6"/>
        <v>79.905329209717678</v>
      </c>
      <c r="G113">
        <f t="shared" ca="1" si="7"/>
        <v>111</v>
      </c>
      <c r="H113">
        <f t="shared" ca="1" si="8"/>
        <v>8869.4915422786617</v>
      </c>
      <c r="I113">
        <f t="shared" ca="1" si="9"/>
        <v>2475.8602027985135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75820</v>
      </c>
      <c r="B116" s="66">
        <v>75820</v>
      </c>
      <c r="D116">
        <f t="shared" si="5"/>
        <v>75.398522260563453</v>
      </c>
      <c r="E116">
        <f t="shared" si="6"/>
        <v>75.398522260563453</v>
      </c>
      <c r="G116">
        <f t="shared" ca="1" si="7"/>
        <v>114</v>
      </c>
      <c r="H116">
        <f t="shared" ca="1" si="8"/>
        <v>8595.4315377042331</v>
      </c>
      <c r="I116">
        <f t="shared" ca="1" si="9"/>
        <v>5532.9983547225911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77658</v>
      </c>
      <c r="B118" s="66">
        <v>77658</v>
      </c>
      <c r="D118">
        <f t="shared" si="5"/>
        <v>77.226304955299867</v>
      </c>
      <c r="E118">
        <f t="shared" si="6"/>
        <v>77.226304955299867</v>
      </c>
      <c r="G118">
        <f t="shared" ca="1" si="7"/>
        <v>116</v>
      </c>
      <c r="H118">
        <f t="shared" ca="1" si="8"/>
        <v>8958.2513748147849</v>
      </c>
      <c r="I118">
        <f t="shared" ca="1" si="9"/>
        <v>8622.2411908368049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75778</v>
      </c>
      <c r="B121" s="66">
        <v>75778</v>
      </c>
      <c r="D121">
        <f t="shared" si="5"/>
        <v>75.356755735438895</v>
      </c>
      <c r="E121">
        <f t="shared" si="6"/>
        <v>75.356755735438895</v>
      </c>
      <c r="G121">
        <f t="shared" ca="1" si="7"/>
        <v>119</v>
      </c>
      <c r="H121">
        <f t="shared" ca="1" si="8"/>
        <v>8967.4539325172282</v>
      </c>
      <c r="I121">
        <f t="shared" ca="1" si="9"/>
        <v>13869.220893150095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73924</v>
      </c>
      <c r="B124" s="66">
        <v>73924</v>
      </c>
      <c r="D124">
        <f t="shared" si="5"/>
        <v>73.513061983512173</v>
      </c>
      <c r="E124">
        <f t="shared" si="6"/>
        <v>73.513061983512173</v>
      </c>
      <c r="G124">
        <f t="shared" ca="1" si="7"/>
        <v>122</v>
      </c>
      <c r="H124">
        <f t="shared" ca="1" si="8"/>
        <v>8968.5935619884858</v>
      </c>
      <c r="I124">
        <f t="shared" ca="1" si="9"/>
        <v>20175.361273422626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72761</v>
      </c>
      <c r="B126" s="66">
        <v>72761</v>
      </c>
      <c r="D126">
        <f t="shared" si="5"/>
        <v>72.35652701399178</v>
      </c>
      <c r="E126">
        <f t="shared" si="6"/>
        <v>72.35652701399178</v>
      </c>
      <c r="G126">
        <f t="shared" ca="1" si="7"/>
        <v>124</v>
      </c>
      <c r="H126">
        <f t="shared" ca="1" si="8"/>
        <v>8972.2093497349815</v>
      </c>
      <c r="I126">
        <f t="shared" ca="1" si="9"/>
        <v>24942.132609989869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73702</v>
      </c>
      <c r="B129" s="66">
        <v>73702</v>
      </c>
      <c r="D129">
        <f t="shared" si="5"/>
        <v>73.292296064996663</v>
      </c>
      <c r="E129">
        <f t="shared" si="6"/>
        <v>73.292296064996663</v>
      </c>
      <c r="G129">
        <f t="shared" ca="1" si="7"/>
        <v>127</v>
      </c>
      <c r="H129">
        <f t="shared" ca="1" si="8"/>
        <v>9308.1216002545771</v>
      </c>
      <c r="I129">
        <f t="shared" ca="1" si="9"/>
        <v>34088.982585974198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71355</v>
      </c>
      <c r="B131" s="66">
        <v>71355</v>
      </c>
      <c r="D131">
        <f t="shared" ref="D131:D194" si="10">IFERROR( 100*A131/MAX(A$2:A$257), 0 )</f>
        <v>70.958342863393625</v>
      </c>
      <c r="E131">
        <f t="shared" ref="E131:E194" si="11">IFERROR( 100*B131/MAX(B$2:B$257), 0 )</f>
        <v>70.958342863393625</v>
      </c>
      <c r="G131">
        <f t="shared" ref="G131:G194" ca="1" si="12">CELL("row",D131)-2</f>
        <v>129</v>
      </c>
      <c r="H131">
        <f t="shared" ref="H131:H194" ca="1" si="13">D131*G131</f>
        <v>9153.6262293777781</v>
      </c>
      <c r="I131">
        <f t="shared" ref="I131:I194" ca="1" si="14">D131*((G131-$L$1)^2)</f>
        <v>39408.537739263076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71393</v>
      </c>
      <c r="B134" s="66">
        <v>71393</v>
      </c>
      <c r="D134">
        <f t="shared" si="10"/>
        <v>70.99613162422061</v>
      </c>
      <c r="E134">
        <f t="shared" si="11"/>
        <v>70.99613162422061</v>
      </c>
      <c r="G134">
        <f t="shared" ca="1" si="12"/>
        <v>132</v>
      </c>
      <c r="H134">
        <f t="shared" ca="1" si="13"/>
        <v>9371.4893743971206</v>
      </c>
      <c r="I134">
        <f t="shared" ca="1" si="14"/>
        <v>50107.233534596577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67929</v>
      </c>
      <c r="B136" s="66">
        <v>67929</v>
      </c>
      <c r="D136">
        <f t="shared" si="10"/>
        <v>67.55138774251931</v>
      </c>
      <c r="E136">
        <f t="shared" si="11"/>
        <v>67.55138774251931</v>
      </c>
      <c r="G136">
        <f t="shared" ca="1" si="12"/>
        <v>134</v>
      </c>
      <c r="H136">
        <f t="shared" ca="1" si="13"/>
        <v>9051.8859574975868</v>
      </c>
      <c r="I136">
        <f t="shared" ca="1" si="14"/>
        <v>55124.619380064105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73472</v>
      </c>
      <c r="B139" s="66">
        <v>73472</v>
      </c>
      <c r="D139">
        <f t="shared" si="10"/>
        <v>73.063574617886019</v>
      </c>
      <c r="E139">
        <f t="shared" si="11"/>
        <v>73.063574617886019</v>
      </c>
      <c r="G139">
        <f t="shared" ca="1" si="12"/>
        <v>137</v>
      </c>
      <c r="H139">
        <f t="shared" ca="1" si="13"/>
        <v>10009.709722650385</v>
      </c>
      <c r="I139">
        <f t="shared" ca="1" si="14"/>
        <v>72803.339444721511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76428</v>
      </c>
      <c r="B142" s="66">
        <v>76428</v>
      </c>
      <c r="D142">
        <f t="shared" si="10"/>
        <v>76.003142433795091</v>
      </c>
      <c r="E142">
        <f t="shared" si="11"/>
        <v>76.003142433795091</v>
      </c>
      <c r="G142">
        <f t="shared" ca="1" si="12"/>
        <v>140</v>
      </c>
      <c r="H142">
        <f t="shared" ca="1" si="13"/>
        <v>10640.439940731312</v>
      </c>
      <c r="I142">
        <f t="shared" ca="1" si="14"/>
        <v>90811.343601953995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76666</v>
      </c>
      <c r="B144" s="66">
        <v>76666</v>
      </c>
      <c r="D144">
        <f t="shared" si="10"/>
        <v>76.239819409500896</v>
      </c>
      <c r="E144">
        <f t="shared" si="11"/>
        <v>76.239819409500896</v>
      </c>
      <c r="G144">
        <f t="shared" ca="1" si="12"/>
        <v>142</v>
      </c>
      <c r="H144">
        <f t="shared" ca="1" si="13"/>
        <v>10826.054356149127</v>
      </c>
      <c r="I144">
        <f t="shared" ca="1" si="14"/>
        <v>101940.44062114382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76215</v>
      </c>
      <c r="B147" s="66">
        <v>76215</v>
      </c>
      <c r="D147">
        <f t="shared" si="10"/>
        <v>75.791326484949138</v>
      </c>
      <c r="E147">
        <f t="shared" si="11"/>
        <v>75.791326484949138</v>
      </c>
      <c r="G147">
        <f t="shared" ca="1" si="12"/>
        <v>145</v>
      </c>
      <c r="H147">
        <f t="shared" ca="1" si="13"/>
        <v>10989.742340317625</v>
      </c>
      <c r="I147">
        <f t="shared" ca="1" si="14"/>
        <v>118651.38190733297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76733</v>
      </c>
      <c r="B149" s="66">
        <v>76733</v>
      </c>
      <c r="D149">
        <f t="shared" si="10"/>
        <v>76.306446961485292</v>
      </c>
      <c r="E149">
        <f t="shared" si="11"/>
        <v>76.306446961485292</v>
      </c>
      <c r="G149">
        <f t="shared" ca="1" si="12"/>
        <v>147</v>
      </c>
      <c r="H149">
        <f t="shared" ca="1" si="13"/>
        <v>11217.047703338338</v>
      </c>
      <c r="I149">
        <f t="shared" ca="1" si="14"/>
        <v>131839.71785717318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69505</v>
      </c>
      <c r="B152" s="66">
        <v>69505</v>
      </c>
      <c r="D152">
        <f t="shared" si="10"/>
        <v>69.118626875764477</v>
      </c>
      <c r="E152">
        <f t="shared" si="11"/>
        <v>69.118626875764477</v>
      </c>
      <c r="G152">
        <f t="shared" ca="1" si="12"/>
        <v>150</v>
      </c>
      <c r="H152">
        <f t="shared" ca="1" si="13"/>
        <v>10367.794031364672</v>
      </c>
      <c r="I152">
        <f t="shared" ca="1" si="14"/>
        <v>137280.99028721495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62251</v>
      </c>
      <c r="B154" s="66">
        <v>62251</v>
      </c>
      <c r="D154">
        <f t="shared" si="10"/>
        <v>61.904951322109412</v>
      </c>
      <c r="E154">
        <f t="shared" si="11"/>
        <v>61.904951322109412</v>
      </c>
      <c r="G154">
        <f t="shared" ca="1" si="12"/>
        <v>152</v>
      </c>
      <c r="H154">
        <f t="shared" ca="1" si="13"/>
        <v>9409.552600960631</v>
      </c>
      <c r="I154">
        <f t="shared" ca="1" si="14"/>
        <v>134236.58669608657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59950</v>
      </c>
      <c r="B157" s="66">
        <v>59950</v>
      </c>
      <c r="D157">
        <f t="shared" si="10"/>
        <v>59.616742409928499</v>
      </c>
      <c r="E157">
        <f t="shared" si="11"/>
        <v>59.616742409928499</v>
      </c>
      <c r="G157">
        <f t="shared" ca="1" si="12"/>
        <v>155</v>
      </c>
      <c r="H157">
        <f t="shared" ca="1" si="13"/>
        <v>9240.5950735389179</v>
      </c>
      <c r="I157">
        <f t="shared" ca="1" si="14"/>
        <v>146468.14130092104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48532</v>
      </c>
      <c r="B160" s="66">
        <v>48532</v>
      </c>
      <c r="D160">
        <f t="shared" si="10"/>
        <v>48.262214222496247</v>
      </c>
      <c r="E160">
        <f t="shared" si="11"/>
        <v>48.262214222496247</v>
      </c>
      <c r="G160">
        <f t="shared" ca="1" si="12"/>
        <v>158</v>
      </c>
      <c r="H160">
        <f t="shared" ca="1" si="13"/>
        <v>7625.4298471544071</v>
      </c>
      <c r="I160">
        <f t="shared" ca="1" si="14"/>
        <v>133359.47532955935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40690</v>
      </c>
      <c r="B162" s="66">
        <v>40690</v>
      </c>
      <c r="D162">
        <f t="shared" si="10"/>
        <v>40.463807317097427</v>
      </c>
      <c r="E162">
        <f t="shared" si="11"/>
        <v>40.463807317097427</v>
      </c>
      <c r="G162">
        <f t="shared" ca="1" si="12"/>
        <v>160</v>
      </c>
      <c r="H162">
        <f t="shared" ca="1" si="13"/>
        <v>6474.2091707355885</v>
      </c>
      <c r="I162">
        <f t="shared" ca="1" si="14"/>
        <v>120480.70683316501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38271</v>
      </c>
      <c r="B165" s="66">
        <v>38271</v>
      </c>
      <c r="D165">
        <f t="shared" si="10"/>
        <v>38.058254358138008</v>
      </c>
      <c r="E165">
        <f t="shared" si="11"/>
        <v>38.058254358138008</v>
      </c>
      <c r="G165">
        <f t="shared" ca="1" si="12"/>
        <v>163</v>
      </c>
      <c r="H165">
        <f t="shared" ca="1" si="13"/>
        <v>6203.4954603764954</v>
      </c>
      <c r="I165">
        <f t="shared" ca="1" si="14"/>
        <v>126120.92765390156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28963</v>
      </c>
      <c r="B167" s="66">
        <v>28963</v>
      </c>
      <c r="D167">
        <f t="shared" si="10"/>
        <v>28.801996837677383</v>
      </c>
      <c r="E167">
        <f t="shared" si="11"/>
        <v>28.801996837677383</v>
      </c>
      <c r="G167">
        <f t="shared" ca="1" si="12"/>
        <v>165</v>
      </c>
      <c r="H167">
        <f t="shared" ca="1" si="13"/>
        <v>4752.3294782167677</v>
      </c>
      <c r="I167">
        <f t="shared" ca="1" si="14"/>
        <v>102194.01225646341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23961</v>
      </c>
      <c r="B170" s="66">
        <v>23961</v>
      </c>
      <c r="D170">
        <f t="shared" si="10"/>
        <v>23.827802583557911</v>
      </c>
      <c r="E170">
        <f t="shared" si="11"/>
        <v>23.827802583557911</v>
      </c>
      <c r="G170">
        <f t="shared" ca="1" si="12"/>
        <v>168</v>
      </c>
      <c r="H170">
        <f t="shared" ca="1" si="13"/>
        <v>4003.0708340377291</v>
      </c>
      <c r="I170">
        <f t="shared" ca="1" si="14"/>
        <v>93275.259296846983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18866</v>
      </c>
      <c r="B173" s="66">
        <v>18866</v>
      </c>
      <c r="D173">
        <f t="shared" si="10"/>
        <v>18.761125309519784</v>
      </c>
      <c r="E173">
        <f t="shared" si="11"/>
        <v>18.761125309519784</v>
      </c>
      <c r="G173">
        <f t="shared" ca="1" si="12"/>
        <v>171</v>
      </c>
      <c r="H173">
        <f t="shared" ca="1" si="13"/>
        <v>3208.1524279278829</v>
      </c>
      <c r="I173">
        <f t="shared" ca="1" si="14"/>
        <v>80653.216803031857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17083</v>
      </c>
      <c r="B175" s="66">
        <v>17083</v>
      </c>
      <c r="D175">
        <f t="shared" si="10"/>
        <v>16.988036873875039</v>
      </c>
      <c r="E175">
        <f t="shared" si="11"/>
        <v>16.988036873875039</v>
      </c>
      <c r="G175">
        <f t="shared" ca="1" si="12"/>
        <v>173</v>
      </c>
      <c r="H175">
        <f t="shared" ca="1" si="13"/>
        <v>2938.9303791803818</v>
      </c>
      <c r="I175">
        <f t="shared" ca="1" si="14"/>
        <v>77554.121487418262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15686</v>
      </c>
      <c r="B178" s="66">
        <v>15686</v>
      </c>
      <c r="D178">
        <f t="shared" si="10"/>
        <v>15.59880269294643</v>
      </c>
      <c r="E178">
        <f t="shared" si="11"/>
        <v>15.59880269294643</v>
      </c>
      <c r="G178">
        <f t="shared" ca="1" si="12"/>
        <v>176</v>
      </c>
      <c r="H178">
        <f t="shared" ca="1" si="13"/>
        <v>2745.3892739585717</v>
      </c>
      <c r="I178">
        <f t="shared" ca="1" si="14"/>
        <v>77676.081972422864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10256</v>
      </c>
      <c r="B180" s="66">
        <v>10256</v>
      </c>
      <c r="D180">
        <f t="shared" si="10"/>
        <v>10.198987658986267</v>
      </c>
      <c r="E180">
        <f t="shared" si="11"/>
        <v>10.198987658986267</v>
      </c>
      <c r="G180">
        <f t="shared" ca="1" si="12"/>
        <v>178</v>
      </c>
      <c r="H180">
        <f t="shared" ca="1" si="13"/>
        <v>1815.4198032995555</v>
      </c>
      <c r="I180">
        <f t="shared" ca="1" si="14"/>
        <v>53706.684415946314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8378</v>
      </c>
      <c r="B183" s="66">
        <v>8378</v>
      </c>
      <c r="D183">
        <f t="shared" si="10"/>
        <v>8.3314273212740773</v>
      </c>
      <c r="E183">
        <f t="shared" si="11"/>
        <v>8.3314273212740773</v>
      </c>
      <c r="G183">
        <f t="shared" ca="1" si="12"/>
        <v>181</v>
      </c>
      <c r="H183">
        <f t="shared" ca="1" si="13"/>
        <v>1507.988345150608</v>
      </c>
      <c r="I183">
        <f t="shared" ca="1" si="14"/>
        <v>47574.802059909161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6338</v>
      </c>
      <c r="B185" s="66">
        <v>6338</v>
      </c>
      <c r="D185">
        <f t="shared" si="10"/>
        <v>6.3027675295100387</v>
      </c>
      <c r="E185">
        <f t="shared" si="11"/>
        <v>6.3027675295100387</v>
      </c>
      <c r="G185">
        <f t="shared" ca="1" si="12"/>
        <v>183</v>
      </c>
      <c r="H185">
        <f t="shared" ca="1" si="13"/>
        <v>1153.406457900337</v>
      </c>
      <c r="I185">
        <f t="shared" ca="1" si="14"/>
        <v>37920.903065194565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6029</v>
      </c>
      <c r="B188" s="66">
        <v>6029</v>
      </c>
      <c r="D188">
        <f t="shared" si="10"/>
        <v>5.9954852375222503</v>
      </c>
      <c r="E188">
        <f t="shared" si="11"/>
        <v>5.9954852375222503</v>
      </c>
      <c r="G188">
        <f t="shared" ca="1" si="12"/>
        <v>186</v>
      </c>
      <c r="H188">
        <f t="shared" ca="1" si="13"/>
        <v>1115.1602541791385</v>
      </c>
      <c r="I188">
        <f t="shared" ca="1" si="14"/>
        <v>38916.373382437669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5077</v>
      </c>
      <c r="B191" s="66">
        <v>5077</v>
      </c>
      <c r="D191">
        <f t="shared" si="10"/>
        <v>5.0487773346990323</v>
      </c>
      <c r="E191">
        <f t="shared" si="11"/>
        <v>5.0487773346990323</v>
      </c>
      <c r="G191">
        <f t="shared" ca="1" si="12"/>
        <v>189</v>
      </c>
      <c r="H191">
        <f t="shared" ca="1" si="13"/>
        <v>954.21891625811713</v>
      </c>
      <c r="I191">
        <f t="shared" ca="1" si="14"/>
        <v>35257.353301370633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4822</v>
      </c>
      <c r="B193" s="66">
        <v>4822</v>
      </c>
      <c r="D193">
        <f t="shared" si="10"/>
        <v>4.795194860728528</v>
      </c>
      <c r="E193">
        <f t="shared" si="11"/>
        <v>4.795194860728528</v>
      </c>
      <c r="G193">
        <f t="shared" ca="1" si="12"/>
        <v>191</v>
      </c>
      <c r="H193">
        <f t="shared" ca="1" si="13"/>
        <v>915.88221839914888</v>
      </c>
      <c r="I193">
        <f t="shared" ca="1" si="14"/>
        <v>35108.549089918641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4102</v>
      </c>
      <c r="B196" s="66">
        <v>4102</v>
      </c>
      <c r="D196">
        <f t="shared" si="15"/>
        <v>4.0791972871647495</v>
      </c>
      <c r="E196">
        <f t="shared" si="16"/>
        <v>4.0791972871647495</v>
      </c>
      <c r="G196">
        <f t="shared" ca="1" si="17"/>
        <v>194</v>
      </c>
      <c r="H196">
        <f t="shared" ca="1" si="18"/>
        <v>791.36427370996137</v>
      </c>
      <c r="I196">
        <f t="shared" ca="1" si="19"/>
        <v>31997.260109546012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2912</v>
      </c>
      <c r="B198" s="66">
        <v>2912</v>
      </c>
      <c r="D198">
        <f t="shared" si="15"/>
        <v>2.8958124086357264</v>
      </c>
      <c r="E198">
        <f t="shared" si="16"/>
        <v>2.8958124086357264</v>
      </c>
      <c r="G198">
        <f t="shared" ca="1" si="17"/>
        <v>196</v>
      </c>
      <c r="H198">
        <f t="shared" ca="1" si="18"/>
        <v>567.57923209260241</v>
      </c>
      <c r="I198">
        <f t="shared" ca="1" si="19"/>
        <v>23752.248593005603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1543</v>
      </c>
      <c r="B201" s="66">
        <v>1543</v>
      </c>
      <c r="D201">
        <f t="shared" si="15"/>
        <v>1.534422577790153</v>
      </c>
      <c r="E201">
        <f t="shared" si="16"/>
        <v>1.534422577790153</v>
      </c>
      <c r="G201">
        <f t="shared" ca="1" si="17"/>
        <v>199</v>
      </c>
      <c r="H201">
        <f t="shared" ca="1" si="18"/>
        <v>305.35009298024045</v>
      </c>
      <c r="I201">
        <f t="shared" ca="1" si="19"/>
        <v>13433.368018342222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354</v>
      </c>
      <c r="B1" s="66" t="s">
        <v>355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124.21853131550019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2.3983480755452815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0.74046752230825597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1560</v>
      </c>
      <c r="B8" s="66">
        <v>1560</v>
      </c>
      <c r="D8">
        <f t="shared" si="0"/>
        <v>1.4406294442494876</v>
      </c>
      <c r="E8">
        <f t="shared" si="1"/>
        <v>1.4406294442494876</v>
      </c>
      <c r="G8">
        <f t="shared" ca="1" si="2"/>
        <v>6</v>
      </c>
      <c r="H8">
        <f t="shared" ca="1" si="3"/>
        <v>8.6437766654969259</v>
      </c>
      <c r="I8">
        <f t="shared" ca="1" si="4"/>
        <v>20133.691325170828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3398</v>
      </c>
      <c r="B10" s="66">
        <v>3398</v>
      </c>
      <c r="D10">
        <f t="shared" si="0"/>
        <v>3.1379864433075375</v>
      </c>
      <c r="E10">
        <f t="shared" si="1"/>
        <v>3.1379864433075375</v>
      </c>
      <c r="G10">
        <f t="shared" ca="1" si="2"/>
        <v>8</v>
      </c>
      <c r="H10">
        <f t="shared" ca="1" si="3"/>
        <v>25.1038915464603</v>
      </c>
      <c r="I10">
        <f t="shared" ca="1" si="4"/>
        <v>42383.989045496361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7142</v>
      </c>
      <c r="B13" s="66">
        <v>7142</v>
      </c>
      <c r="D13">
        <f t="shared" si="0"/>
        <v>6.5954971095063071</v>
      </c>
      <c r="E13">
        <f t="shared" si="1"/>
        <v>6.5954971095063071</v>
      </c>
      <c r="G13">
        <f t="shared" ca="1" si="2"/>
        <v>11</v>
      </c>
      <c r="H13">
        <f t="shared" ca="1" si="3"/>
        <v>72.550468204569384</v>
      </c>
      <c r="I13">
        <f t="shared" ca="1" si="4"/>
        <v>84543.956486519208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7673</v>
      </c>
      <c r="B15" s="66">
        <v>7673</v>
      </c>
      <c r="D15">
        <f t="shared" si="0"/>
        <v>7.0858652087989213</v>
      </c>
      <c r="E15">
        <f t="shared" si="1"/>
        <v>7.0858652087989213</v>
      </c>
      <c r="G15">
        <f t="shared" ca="1" si="2"/>
        <v>13</v>
      </c>
      <c r="H15">
        <f t="shared" ca="1" si="3"/>
        <v>92.116247714385977</v>
      </c>
      <c r="I15">
        <f t="shared" ca="1" si="4"/>
        <v>87649.046954644858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9403</v>
      </c>
      <c r="B18" s="66">
        <v>9403</v>
      </c>
      <c r="D18">
        <f t="shared" si="0"/>
        <v>8.6834863232550834</v>
      </c>
      <c r="E18">
        <f t="shared" si="1"/>
        <v>8.6834863232550834</v>
      </c>
      <c r="G18">
        <f t="shared" ca="1" si="2"/>
        <v>16</v>
      </c>
      <c r="H18">
        <f t="shared" ca="1" si="3"/>
        <v>138.93578117208133</v>
      </c>
      <c r="I18">
        <f t="shared" ca="1" si="4"/>
        <v>101694.48371936248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9057</v>
      </c>
      <c r="B21" s="66">
        <v>9057</v>
      </c>
      <c r="D21">
        <f t="shared" si="0"/>
        <v>8.3639621003638513</v>
      </c>
      <c r="E21">
        <f t="shared" si="1"/>
        <v>8.3639621003638513</v>
      </c>
      <c r="G21">
        <f t="shared" ca="1" si="2"/>
        <v>19</v>
      </c>
      <c r="H21">
        <f t="shared" ca="1" si="3"/>
        <v>158.91527990691318</v>
      </c>
      <c r="I21">
        <f t="shared" ca="1" si="4"/>
        <v>92596.916989872116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10318</v>
      </c>
      <c r="B23" s="66">
        <v>10318</v>
      </c>
      <c r="D23">
        <f t="shared" si="0"/>
        <v>9.5284709011321862</v>
      </c>
      <c r="E23">
        <f t="shared" si="1"/>
        <v>9.5284709011321862</v>
      </c>
      <c r="G23">
        <f t="shared" ca="1" si="2"/>
        <v>21</v>
      </c>
      <c r="H23">
        <f t="shared" ca="1" si="3"/>
        <v>200.09788892377591</v>
      </c>
      <c r="I23">
        <f t="shared" ca="1" si="4"/>
        <v>101516.95030298682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11304</v>
      </c>
      <c r="B26" s="66">
        <v>11304</v>
      </c>
      <c r="D26">
        <f t="shared" si="0"/>
        <v>10.439022588330902</v>
      </c>
      <c r="E26">
        <f t="shared" si="1"/>
        <v>10.439022588330902</v>
      </c>
      <c r="G26">
        <f t="shared" ca="1" si="2"/>
        <v>24</v>
      </c>
      <c r="H26">
        <f t="shared" ca="1" si="3"/>
        <v>250.53654211994166</v>
      </c>
      <c r="I26">
        <f t="shared" ca="1" si="4"/>
        <v>104846.97507635495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12074</v>
      </c>
      <c r="B28" s="66">
        <v>12074</v>
      </c>
      <c r="D28">
        <f t="shared" si="0"/>
        <v>11.15010250632584</v>
      </c>
      <c r="E28">
        <f t="shared" si="1"/>
        <v>11.15010250632584</v>
      </c>
      <c r="G28">
        <f t="shared" ca="1" si="2"/>
        <v>26</v>
      </c>
      <c r="H28">
        <f t="shared" ca="1" si="3"/>
        <v>289.90266516447184</v>
      </c>
      <c r="I28">
        <f t="shared" ca="1" si="4"/>
        <v>107563.69968179261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9269</v>
      </c>
      <c r="B31" s="66">
        <v>9269</v>
      </c>
      <c r="D31">
        <f t="shared" si="0"/>
        <v>8.5597399479157055</v>
      </c>
      <c r="E31">
        <f t="shared" si="1"/>
        <v>8.5597399479157055</v>
      </c>
      <c r="G31">
        <f t="shared" ca="1" si="2"/>
        <v>29</v>
      </c>
      <c r="H31">
        <f t="shared" ca="1" si="3"/>
        <v>248.23245848955546</v>
      </c>
      <c r="I31">
        <f t="shared" ca="1" si="4"/>
        <v>77607.47034225105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9836</v>
      </c>
      <c r="B33" s="66">
        <v>9836</v>
      </c>
      <c r="D33">
        <f t="shared" si="0"/>
        <v>9.0833533420756147</v>
      </c>
      <c r="E33">
        <f t="shared" si="1"/>
        <v>9.0833533420756147</v>
      </c>
      <c r="G33">
        <f t="shared" ca="1" si="2"/>
        <v>31</v>
      </c>
      <c r="H33">
        <f t="shared" ca="1" si="3"/>
        <v>281.58395360434406</v>
      </c>
      <c r="I33">
        <f t="shared" ca="1" si="4"/>
        <v>78931.566310480935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12038</v>
      </c>
      <c r="B36" s="66">
        <v>12038</v>
      </c>
      <c r="D36">
        <f t="shared" si="0"/>
        <v>11.116857211458544</v>
      </c>
      <c r="E36">
        <f t="shared" si="1"/>
        <v>11.116857211458544</v>
      </c>
      <c r="G36">
        <f t="shared" ca="1" si="2"/>
        <v>34</v>
      </c>
      <c r="H36">
        <f t="shared" ca="1" si="3"/>
        <v>377.97314518959053</v>
      </c>
      <c r="I36">
        <f t="shared" ca="1" si="4"/>
        <v>90484.362966250701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10195</v>
      </c>
      <c r="B39" s="66">
        <v>10195</v>
      </c>
      <c r="D39">
        <f t="shared" si="0"/>
        <v>9.4148828103355928</v>
      </c>
      <c r="E39">
        <f t="shared" si="1"/>
        <v>9.4148828103355928</v>
      </c>
      <c r="G39">
        <f t="shared" ca="1" si="2"/>
        <v>37</v>
      </c>
      <c r="H39">
        <f t="shared" ca="1" si="3"/>
        <v>348.35066398241696</v>
      </c>
      <c r="I39">
        <f t="shared" ca="1" si="4"/>
        <v>71619.693338262819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12442</v>
      </c>
      <c r="B41" s="66">
        <v>12442</v>
      </c>
      <c r="D41">
        <f t="shared" si="0"/>
        <v>11.489943298302643</v>
      </c>
      <c r="E41">
        <f t="shared" si="1"/>
        <v>11.489943298302643</v>
      </c>
      <c r="G41">
        <f t="shared" ca="1" si="2"/>
        <v>39</v>
      </c>
      <c r="H41">
        <f t="shared" ca="1" si="3"/>
        <v>448.10778863380307</v>
      </c>
      <c r="I41">
        <f t="shared" ca="1" si="4"/>
        <v>83442.244155311826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11561</v>
      </c>
      <c r="B44" s="66">
        <v>11561</v>
      </c>
      <c r="D44">
        <f t="shared" si="0"/>
        <v>10.676357054466875</v>
      </c>
      <c r="E44">
        <f t="shared" si="1"/>
        <v>10.676357054466875</v>
      </c>
      <c r="G44">
        <f t="shared" ca="1" si="2"/>
        <v>42</v>
      </c>
      <c r="H44">
        <f t="shared" ca="1" si="3"/>
        <v>448.40699628760876</v>
      </c>
      <c r="I44">
        <f t="shared" ca="1" si="4"/>
        <v>72170.966103363346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10650</v>
      </c>
      <c r="B46" s="66">
        <v>10650</v>
      </c>
      <c r="D46">
        <f t="shared" si="0"/>
        <v>9.8350663982416933</v>
      </c>
      <c r="E46">
        <f t="shared" si="1"/>
        <v>9.8350663982416933</v>
      </c>
      <c r="G46">
        <f t="shared" ca="1" si="2"/>
        <v>44</v>
      </c>
      <c r="H46">
        <f t="shared" ca="1" si="3"/>
        <v>432.7429215226345</v>
      </c>
      <c r="I46">
        <f t="shared" ca="1" si="4"/>
        <v>63288.777831233187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11059</v>
      </c>
      <c r="B49" s="66">
        <v>11059</v>
      </c>
      <c r="D49">
        <f t="shared" si="0"/>
        <v>10.212769887150694</v>
      </c>
      <c r="E49">
        <f t="shared" si="1"/>
        <v>10.212769887150694</v>
      </c>
      <c r="G49">
        <f t="shared" ca="1" si="2"/>
        <v>47</v>
      </c>
      <c r="H49">
        <f t="shared" ca="1" si="3"/>
        <v>480.00018469608261</v>
      </c>
      <c r="I49">
        <f t="shared" ca="1" si="4"/>
        <v>60895.699127204411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11308</v>
      </c>
      <c r="B51" s="66">
        <v>11308</v>
      </c>
      <c r="D51">
        <f t="shared" si="0"/>
        <v>10.442716509982823</v>
      </c>
      <c r="E51">
        <f t="shared" si="1"/>
        <v>10.442716509982823</v>
      </c>
      <c r="G51">
        <f t="shared" ca="1" si="2"/>
        <v>49</v>
      </c>
      <c r="H51">
        <f t="shared" ca="1" si="3"/>
        <v>511.6931089891583</v>
      </c>
      <c r="I51">
        <f t="shared" ca="1" si="4"/>
        <v>59083.088156801481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10758</v>
      </c>
      <c r="B54" s="66">
        <v>10758</v>
      </c>
      <c r="D54">
        <f t="shared" si="0"/>
        <v>9.9348022828435809</v>
      </c>
      <c r="E54">
        <f t="shared" si="1"/>
        <v>9.9348022828435809</v>
      </c>
      <c r="G54">
        <f t="shared" ca="1" si="2"/>
        <v>52</v>
      </c>
      <c r="H54">
        <f t="shared" ca="1" si="3"/>
        <v>516.60971870786625</v>
      </c>
      <c r="I54">
        <f t="shared" ca="1" si="4"/>
        <v>51815.122899384653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14960</v>
      </c>
      <c r="B57" s="66">
        <v>14960</v>
      </c>
      <c r="D57">
        <f t="shared" si="0"/>
        <v>13.815266978187392</v>
      </c>
      <c r="E57">
        <f t="shared" si="1"/>
        <v>13.815266978187392</v>
      </c>
      <c r="G57">
        <f t="shared" ca="1" si="2"/>
        <v>55</v>
      </c>
      <c r="H57">
        <f t="shared" ca="1" si="3"/>
        <v>759.8396838003066</v>
      </c>
      <c r="I57">
        <f t="shared" ca="1" si="4"/>
        <v>66191.777292562474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18457</v>
      </c>
      <c r="B59" s="66">
        <v>18457</v>
      </c>
      <c r="D59">
        <f t="shared" si="0"/>
        <v>17.044677982379994</v>
      </c>
      <c r="E59">
        <f t="shared" si="1"/>
        <v>17.044677982379994</v>
      </c>
      <c r="G59">
        <f t="shared" ca="1" si="2"/>
        <v>57</v>
      </c>
      <c r="H59">
        <f t="shared" ca="1" si="3"/>
        <v>971.54664499565968</v>
      </c>
      <c r="I59">
        <f t="shared" ca="1" si="4"/>
        <v>77013.496098288902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19429</v>
      </c>
      <c r="B62" s="66">
        <v>19429</v>
      </c>
      <c r="D62">
        <f t="shared" si="0"/>
        <v>17.942300943796983</v>
      </c>
      <c r="E62">
        <f t="shared" si="1"/>
        <v>17.942300943796983</v>
      </c>
      <c r="G62">
        <f t="shared" ca="1" si="2"/>
        <v>60</v>
      </c>
      <c r="H62">
        <f t="shared" ca="1" si="3"/>
        <v>1076.5380566278191</v>
      </c>
      <c r="I62">
        <f t="shared" ca="1" si="4"/>
        <v>73994.403709593957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22771</v>
      </c>
      <c r="B64" s="66">
        <v>22771</v>
      </c>
      <c r="D64">
        <f t="shared" si="0"/>
        <v>21.028572483977616</v>
      </c>
      <c r="E64">
        <f t="shared" si="1"/>
        <v>21.028572483977616</v>
      </c>
      <c r="G64">
        <f t="shared" ca="1" si="2"/>
        <v>62</v>
      </c>
      <c r="H64">
        <f t="shared" ca="1" si="3"/>
        <v>1303.7714940066121</v>
      </c>
      <c r="I64">
        <f t="shared" ca="1" si="4"/>
        <v>81404.666666962425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19720</v>
      </c>
      <c r="B67" s="66">
        <v>19720</v>
      </c>
      <c r="D67">
        <f t="shared" ref="D67:D130" si="5">IFERROR(100*A67/MAX(A$2:A$257), 0 )</f>
        <v>18.211033743974291</v>
      </c>
      <c r="E67">
        <f t="shared" ref="E67:E130" si="6">IFERROR(100*B67/MAX(B$2:B$257), 0 )</f>
        <v>18.211033743974291</v>
      </c>
      <c r="G67">
        <f t="shared" ref="G67:G130" ca="1" si="7">CELL("row",D67)-2</f>
        <v>65</v>
      </c>
      <c r="H67">
        <f t="shared" ref="H67:H130" ca="1" si="8">D67*G67</f>
        <v>1183.7171933583288</v>
      </c>
      <c r="I67">
        <f t="shared" ref="I67:I130" ca="1" si="9">D67*((G67-$L$1)^2)</f>
        <v>63863.08052469512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22641</v>
      </c>
      <c r="B69" s="66">
        <v>22641</v>
      </c>
      <c r="D69">
        <f t="shared" si="5"/>
        <v>20.908520030290159</v>
      </c>
      <c r="E69">
        <f t="shared" si="6"/>
        <v>20.908520030290159</v>
      </c>
      <c r="G69">
        <f t="shared" ca="1" si="7"/>
        <v>67</v>
      </c>
      <c r="H69">
        <f t="shared" ca="1" si="8"/>
        <v>1400.8708420294406</v>
      </c>
      <c r="I69">
        <f t="shared" ca="1" si="9"/>
        <v>68453.665052515571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26439</v>
      </c>
      <c r="B72" s="66">
        <v>26439</v>
      </c>
      <c r="D72">
        <f t="shared" si="5"/>
        <v>24.415898638789873</v>
      </c>
      <c r="E72">
        <f t="shared" si="6"/>
        <v>24.415898638789873</v>
      </c>
      <c r="G72">
        <f t="shared" ca="1" si="7"/>
        <v>70</v>
      </c>
      <c r="H72">
        <f t="shared" ca="1" si="8"/>
        <v>1709.1129047152911</v>
      </c>
      <c r="I72">
        <f t="shared" ca="1" si="9"/>
        <v>71774.17538725512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30387</v>
      </c>
      <c r="B75" s="66">
        <v>30387</v>
      </c>
      <c r="D75">
        <f t="shared" si="5"/>
        <v>28.061799309236651</v>
      </c>
      <c r="E75">
        <f t="shared" si="6"/>
        <v>28.061799309236651</v>
      </c>
      <c r="G75">
        <f t="shared" ca="1" si="7"/>
        <v>73</v>
      </c>
      <c r="H75">
        <f t="shared" ca="1" si="8"/>
        <v>2048.5113495742758</v>
      </c>
      <c r="I75">
        <f t="shared" ca="1" si="9"/>
        <v>73615.583076483963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34093</v>
      </c>
      <c r="B77" s="66">
        <v>34093</v>
      </c>
      <c r="D77">
        <f t="shared" si="5"/>
        <v>31.484217719742166</v>
      </c>
      <c r="E77">
        <f t="shared" si="6"/>
        <v>31.484217719742166</v>
      </c>
      <c r="G77">
        <f t="shared" ca="1" si="7"/>
        <v>75</v>
      </c>
      <c r="H77">
        <f t="shared" ca="1" si="8"/>
        <v>2361.3163289806625</v>
      </c>
      <c r="I77">
        <f t="shared" ca="1" si="9"/>
        <v>76269.378479930165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40413</v>
      </c>
      <c r="B80" s="66">
        <v>40413</v>
      </c>
      <c r="D80">
        <f t="shared" si="5"/>
        <v>37.320613929778553</v>
      </c>
      <c r="E80">
        <f t="shared" si="6"/>
        <v>37.320613929778553</v>
      </c>
      <c r="G80">
        <f t="shared" ca="1" si="7"/>
        <v>78</v>
      </c>
      <c r="H80">
        <f t="shared" ca="1" si="8"/>
        <v>2911.0078865227269</v>
      </c>
      <c r="I80">
        <f t="shared" ca="1" si="9"/>
        <v>79722.527859132402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49036</v>
      </c>
      <c r="B82" s="66">
        <v>49036</v>
      </c>
      <c r="D82">
        <f t="shared" si="5"/>
        <v>45.283785530908887</v>
      </c>
      <c r="E82">
        <f t="shared" si="6"/>
        <v>45.283785530908887</v>
      </c>
      <c r="G82">
        <f t="shared" ca="1" si="7"/>
        <v>80</v>
      </c>
      <c r="H82">
        <f t="shared" ca="1" si="8"/>
        <v>3622.7028424727109</v>
      </c>
      <c r="I82">
        <f t="shared" ca="1" si="9"/>
        <v>88542.412777011661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56114</v>
      </c>
      <c r="B85" s="66">
        <v>56114</v>
      </c>
      <c r="D85">
        <f t="shared" si="5"/>
        <v>51.820179893984445</v>
      </c>
      <c r="E85">
        <f t="shared" si="6"/>
        <v>51.820179893984445</v>
      </c>
      <c r="G85">
        <f t="shared" ca="1" si="7"/>
        <v>83</v>
      </c>
      <c r="H85">
        <f t="shared" ca="1" si="8"/>
        <v>4301.0749312007092</v>
      </c>
      <c r="I85">
        <f t="shared" ca="1" si="9"/>
        <v>88040.7923536733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70287</v>
      </c>
      <c r="B88" s="66">
        <v>70287</v>
      </c>
      <c r="D88">
        <f t="shared" si="5"/>
        <v>64.908667787156233</v>
      </c>
      <c r="E88">
        <f t="shared" si="6"/>
        <v>64.908667787156233</v>
      </c>
      <c r="G88">
        <f t="shared" ca="1" si="7"/>
        <v>86</v>
      </c>
      <c r="H88">
        <f t="shared" ca="1" si="8"/>
        <v>5582.1454296954362</v>
      </c>
      <c r="I88">
        <f t="shared" ca="1" si="9"/>
        <v>94809.243877304601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93138</v>
      </c>
      <c r="B90" s="66">
        <v>93138</v>
      </c>
      <c r="D90">
        <f t="shared" si="5"/>
        <v>86.01111870417229</v>
      </c>
      <c r="E90">
        <f t="shared" si="6"/>
        <v>86.01111870417229</v>
      </c>
      <c r="G90">
        <f t="shared" ca="1" si="7"/>
        <v>88</v>
      </c>
      <c r="H90">
        <f t="shared" ca="1" si="8"/>
        <v>7568.9784459671619</v>
      </c>
      <c r="I90">
        <f t="shared" ca="1" si="9"/>
        <v>112827.83823217559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100305</v>
      </c>
      <c r="B93" s="66">
        <v>100305</v>
      </c>
      <c r="D93">
        <f t="shared" si="5"/>
        <v>92.629702824003104</v>
      </c>
      <c r="E93">
        <f t="shared" si="6"/>
        <v>92.629702824003104</v>
      </c>
      <c r="G93">
        <f t="shared" ca="1" si="7"/>
        <v>91</v>
      </c>
      <c r="H93">
        <f t="shared" ca="1" si="8"/>
        <v>8429.302956984282</v>
      </c>
      <c r="I93">
        <f t="shared" ca="1" si="9"/>
        <v>102214.174387112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108286</v>
      </c>
      <c r="B95" s="66">
        <v>108286</v>
      </c>
      <c r="D95">
        <f t="shared" si="5"/>
        <v>100</v>
      </c>
      <c r="E95">
        <f t="shared" si="6"/>
        <v>100</v>
      </c>
      <c r="G95">
        <f t="shared" ca="1" si="7"/>
        <v>93</v>
      </c>
      <c r="H95">
        <f t="shared" ca="1" si="8"/>
        <v>9300</v>
      </c>
      <c r="I95">
        <f t="shared" ca="1" si="9"/>
        <v>97459.669749686582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106051</v>
      </c>
      <c r="B98" s="66">
        <v>106051</v>
      </c>
      <c r="D98">
        <f t="shared" si="5"/>
        <v>97.936021276988711</v>
      </c>
      <c r="E98">
        <f t="shared" si="6"/>
        <v>97.936021276988711</v>
      </c>
      <c r="G98">
        <f t="shared" ca="1" si="7"/>
        <v>96</v>
      </c>
      <c r="H98">
        <f t="shared" ca="1" si="8"/>
        <v>9401.8580425909167</v>
      </c>
      <c r="I98">
        <f t="shared" ca="1" si="9"/>
        <v>77985.034611121897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107951</v>
      </c>
      <c r="B100" s="66">
        <v>107951</v>
      </c>
      <c r="D100">
        <f t="shared" si="5"/>
        <v>99.690634061651551</v>
      </c>
      <c r="E100">
        <f t="shared" si="6"/>
        <v>99.690634061651551</v>
      </c>
      <c r="G100">
        <f t="shared" ca="1" si="7"/>
        <v>98</v>
      </c>
      <c r="H100">
        <f t="shared" ca="1" si="8"/>
        <v>9769.6821380418514</v>
      </c>
      <c r="I100">
        <f t="shared" ca="1" si="9"/>
        <v>68528.476766238062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99348</v>
      </c>
      <c r="B103" s="66">
        <v>99348</v>
      </c>
      <c r="D103">
        <f t="shared" si="5"/>
        <v>91.745932068780817</v>
      </c>
      <c r="E103">
        <f t="shared" si="6"/>
        <v>91.745932068780817</v>
      </c>
      <c r="G103">
        <f t="shared" ca="1" si="7"/>
        <v>101</v>
      </c>
      <c r="H103">
        <f t="shared" ca="1" si="8"/>
        <v>9266.3391389468634</v>
      </c>
      <c r="I103">
        <f t="shared" ca="1" si="9"/>
        <v>49460.250001663757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95043</v>
      </c>
      <c r="B106" s="66">
        <v>95043</v>
      </c>
      <c r="D106">
        <f t="shared" si="5"/>
        <v>87.770348890900024</v>
      </c>
      <c r="E106">
        <f t="shared" si="6"/>
        <v>87.770348890900024</v>
      </c>
      <c r="G106">
        <f t="shared" ca="1" si="7"/>
        <v>104</v>
      </c>
      <c r="H106">
        <f t="shared" ca="1" si="8"/>
        <v>9128.1162846536026</v>
      </c>
      <c r="I106">
        <f t="shared" ca="1" si="9"/>
        <v>35879.553903713095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91459</v>
      </c>
      <c r="B108" s="66">
        <v>91459</v>
      </c>
      <c r="D108">
        <f t="shared" si="5"/>
        <v>84.460595090778128</v>
      </c>
      <c r="E108">
        <f t="shared" si="6"/>
        <v>84.460595090778128</v>
      </c>
      <c r="G108">
        <f t="shared" ca="1" si="7"/>
        <v>106</v>
      </c>
      <c r="H108">
        <f t="shared" ca="1" si="8"/>
        <v>8952.8230796224816</v>
      </c>
      <c r="I108">
        <f t="shared" ca="1" si="9"/>
        <v>28033.728562485667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94420</v>
      </c>
      <c r="B111" s="66">
        <v>94420</v>
      </c>
      <c r="D111">
        <f t="shared" si="5"/>
        <v>87.195020593613208</v>
      </c>
      <c r="E111">
        <f t="shared" si="6"/>
        <v>87.195020593613208</v>
      </c>
      <c r="G111">
        <f t="shared" ca="1" si="7"/>
        <v>109</v>
      </c>
      <c r="H111">
        <f t="shared" ca="1" si="8"/>
        <v>9504.2572447038401</v>
      </c>
      <c r="I111">
        <f t="shared" ca="1" si="9"/>
        <v>20194.688990034894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79768</v>
      </c>
      <c r="B113" s="66">
        <v>79768</v>
      </c>
      <c r="D113">
        <f t="shared" si="5"/>
        <v>73.664185582623787</v>
      </c>
      <c r="E113">
        <f t="shared" si="6"/>
        <v>73.664185582623787</v>
      </c>
      <c r="G113">
        <f t="shared" ca="1" si="7"/>
        <v>111</v>
      </c>
      <c r="H113">
        <f t="shared" ca="1" si="8"/>
        <v>8176.72459967124</v>
      </c>
      <c r="I113">
        <f t="shared" ca="1" si="9"/>
        <v>12871.311481480996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86115</v>
      </c>
      <c r="B116" s="66">
        <v>86115</v>
      </c>
      <c r="D116">
        <f t="shared" si="5"/>
        <v>79.525515763810645</v>
      </c>
      <c r="E116">
        <f t="shared" si="6"/>
        <v>79.525515763810645</v>
      </c>
      <c r="G116">
        <f t="shared" ca="1" si="7"/>
        <v>114</v>
      </c>
      <c r="H116">
        <f t="shared" ca="1" si="8"/>
        <v>9065.9087970744131</v>
      </c>
      <c r="I116">
        <f t="shared" ca="1" si="9"/>
        <v>8303.9257033245831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93183</v>
      </c>
      <c r="B118" s="66">
        <v>93183</v>
      </c>
      <c r="D118">
        <f t="shared" si="5"/>
        <v>86.0526753227564</v>
      </c>
      <c r="E118">
        <f t="shared" si="6"/>
        <v>86.0526753227564</v>
      </c>
      <c r="G118">
        <f t="shared" ca="1" si="7"/>
        <v>116</v>
      </c>
      <c r="H118">
        <f t="shared" ca="1" si="8"/>
        <v>9982.1103374397426</v>
      </c>
      <c r="I118">
        <f t="shared" ca="1" si="9"/>
        <v>5812.3640161486874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100211</v>
      </c>
      <c r="B121" s="66">
        <v>100211</v>
      </c>
      <c r="D121">
        <f t="shared" si="5"/>
        <v>92.54289566518294</v>
      </c>
      <c r="E121">
        <f t="shared" si="6"/>
        <v>92.54289566518294</v>
      </c>
      <c r="G121">
        <f t="shared" ca="1" si="7"/>
        <v>119</v>
      </c>
      <c r="H121">
        <f t="shared" ca="1" si="8"/>
        <v>11012.60458415677</v>
      </c>
      <c r="I121">
        <f t="shared" ca="1" si="9"/>
        <v>2520.2270715178151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106930</v>
      </c>
      <c r="B124" s="66">
        <v>106930</v>
      </c>
      <c r="D124">
        <f t="shared" si="5"/>
        <v>98.747760559998525</v>
      </c>
      <c r="E124">
        <f t="shared" si="6"/>
        <v>98.747760559998525</v>
      </c>
      <c r="G124">
        <f t="shared" ca="1" si="7"/>
        <v>122</v>
      </c>
      <c r="H124">
        <f t="shared" ca="1" si="8"/>
        <v>12047.22678831982</v>
      </c>
      <c r="I124">
        <f t="shared" ca="1" si="9"/>
        <v>486.02474603054304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103238</v>
      </c>
      <c r="B126" s="66">
        <v>103238</v>
      </c>
      <c r="D126">
        <f t="shared" si="5"/>
        <v>95.338270875274731</v>
      </c>
      <c r="E126">
        <f t="shared" si="6"/>
        <v>95.338270875274731</v>
      </c>
      <c r="G126">
        <f t="shared" ca="1" si="7"/>
        <v>124</v>
      </c>
      <c r="H126">
        <f t="shared" ca="1" si="8"/>
        <v>11821.945588534067</v>
      </c>
      <c r="I126">
        <f t="shared" ca="1" si="9"/>
        <v>4.5529683483739714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101458</v>
      </c>
      <c r="B129" s="66">
        <v>101458</v>
      </c>
      <c r="D129">
        <f t="shared" si="5"/>
        <v>93.694475740169551</v>
      </c>
      <c r="E129">
        <f t="shared" si="6"/>
        <v>93.694475740169551</v>
      </c>
      <c r="G129">
        <f t="shared" ca="1" si="7"/>
        <v>127</v>
      </c>
      <c r="H129">
        <f t="shared" ca="1" si="8"/>
        <v>11899.198419001534</v>
      </c>
      <c r="I129">
        <f t="shared" ca="1" si="9"/>
        <v>724.8736868032729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94698</v>
      </c>
      <c r="B131" s="66">
        <v>94698</v>
      </c>
      <c r="D131">
        <f t="shared" ref="D131:D194" si="10">IFERROR(100*A131/MAX(A$2:A$257), 0 )</f>
        <v>87.451748148421771</v>
      </c>
      <c r="E131">
        <f t="shared" ref="E131:E194" si="11">IFERROR(100*B131/MAX(B$2:B$257), 0 )</f>
        <v>87.451748148421771</v>
      </c>
      <c r="G131">
        <f t="shared" ref="G131:G194" ca="1" si="12">CELL("row",D131)-2</f>
        <v>129</v>
      </c>
      <c r="H131">
        <f t="shared" ref="H131:H194" ca="1" si="13">D131*G131</f>
        <v>11281.275511146408</v>
      </c>
      <c r="I131">
        <f t="shared" ref="I131:I194" ca="1" si="14">D131*((G131-$L$1)^2)</f>
        <v>1999.3605881288054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96370</v>
      </c>
      <c r="B134" s="66">
        <v>96370</v>
      </c>
      <c r="D134">
        <f t="shared" si="10"/>
        <v>88.995807398925066</v>
      </c>
      <c r="E134">
        <f t="shared" si="11"/>
        <v>88.995807398925066</v>
      </c>
      <c r="G134">
        <f t="shared" ca="1" si="12"/>
        <v>132</v>
      </c>
      <c r="H134">
        <f t="shared" ca="1" si="13"/>
        <v>11747.446576658109</v>
      </c>
      <c r="I134">
        <f t="shared" ca="1" si="14"/>
        <v>5388.8078177624302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93593</v>
      </c>
      <c r="B136" s="66">
        <v>93593</v>
      </c>
      <c r="D136">
        <f t="shared" si="10"/>
        <v>86.431302292078385</v>
      </c>
      <c r="E136">
        <f t="shared" si="11"/>
        <v>86.431302292078385</v>
      </c>
      <c r="G136">
        <f t="shared" ca="1" si="12"/>
        <v>134</v>
      </c>
      <c r="H136">
        <f t="shared" ca="1" si="13"/>
        <v>11581.794507138504</v>
      </c>
      <c r="I136">
        <f t="shared" ca="1" si="14"/>
        <v>8269.4989131302536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97420</v>
      </c>
      <c r="B139" s="66">
        <v>97420</v>
      </c>
      <c r="D139">
        <f t="shared" si="10"/>
        <v>89.965461832554539</v>
      </c>
      <c r="E139">
        <f t="shared" si="11"/>
        <v>89.965461832554539</v>
      </c>
      <c r="G139">
        <f t="shared" ca="1" si="12"/>
        <v>137</v>
      </c>
      <c r="H139">
        <f t="shared" ca="1" si="13"/>
        <v>12325.268271059971</v>
      </c>
      <c r="I139">
        <f t="shared" ca="1" si="14"/>
        <v>14697.29239570599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103181</v>
      </c>
      <c r="B142" s="66">
        <v>103181</v>
      </c>
      <c r="D142">
        <f t="shared" si="10"/>
        <v>95.285632491734845</v>
      </c>
      <c r="E142">
        <f t="shared" si="11"/>
        <v>95.285632491734845</v>
      </c>
      <c r="G142">
        <f t="shared" ca="1" si="12"/>
        <v>140</v>
      </c>
      <c r="H142">
        <f t="shared" ca="1" si="13"/>
        <v>13339.988548842879</v>
      </c>
      <c r="I142">
        <f t="shared" ca="1" si="14"/>
        <v>23731.339744703269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102464</v>
      </c>
      <c r="B144" s="66">
        <v>102464</v>
      </c>
      <c r="D144">
        <f t="shared" si="10"/>
        <v>94.623497035627878</v>
      </c>
      <c r="E144">
        <f t="shared" si="11"/>
        <v>94.623497035627878</v>
      </c>
      <c r="G144">
        <f t="shared" ca="1" si="12"/>
        <v>142</v>
      </c>
      <c r="H144">
        <f t="shared" ca="1" si="13"/>
        <v>13436.536579059159</v>
      </c>
      <c r="I144">
        <f t="shared" ca="1" si="14"/>
        <v>29918.116770958914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98459</v>
      </c>
      <c r="B147" s="66">
        <v>98459</v>
      </c>
      <c r="D147">
        <f t="shared" si="10"/>
        <v>90.924957981641214</v>
      </c>
      <c r="E147">
        <f t="shared" si="11"/>
        <v>90.924957981641214</v>
      </c>
      <c r="G147">
        <f t="shared" ca="1" si="12"/>
        <v>145</v>
      </c>
      <c r="H147">
        <f t="shared" ca="1" si="13"/>
        <v>13184.118907337976</v>
      </c>
      <c r="I147">
        <f t="shared" ca="1" si="14"/>
        <v>39267.710747824553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97357</v>
      </c>
      <c r="B149" s="66">
        <v>97357</v>
      </c>
      <c r="D149">
        <f t="shared" si="10"/>
        <v>89.907282566536765</v>
      </c>
      <c r="E149">
        <f t="shared" si="11"/>
        <v>89.907282566536765</v>
      </c>
      <c r="G149">
        <f t="shared" ca="1" si="12"/>
        <v>147</v>
      </c>
      <c r="H149">
        <f t="shared" ca="1" si="13"/>
        <v>13216.370537280904</v>
      </c>
      <c r="I149">
        <f t="shared" ca="1" si="14"/>
        <v>46661.458474430663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101171</v>
      </c>
      <c r="B152" s="66">
        <v>101171</v>
      </c>
      <c r="D152">
        <f t="shared" si="10"/>
        <v>93.429436861644163</v>
      </c>
      <c r="E152">
        <f t="shared" si="11"/>
        <v>93.429436861644163</v>
      </c>
      <c r="G152">
        <f t="shared" ca="1" si="12"/>
        <v>150</v>
      </c>
      <c r="H152">
        <f t="shared" ca="1" si="13"/>
        <v>14014.415529246624</v>
      </c>
      <c r="I152">
        <f t="shared" ca="1" si="14"/>
        <v>62101.063725986649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102681</v>
      </c>
      <c r="B154" s="66">
        <v>102681</v>
      </c>
      <c r="D154">
        <f t="shared" si="10"/>
        <v>94.823892285244625</v>
      </c>
      <c r="E154">
        <f t="shared" si="11"/>
        <v>94.823892285244625</v>
      </c>
      <c r="G154">
        <f t="shared" ca="1" si="12"/>
        <v>152</v>
      </c>
      <c r="H154">
        <f t="shared" ca="1" si="13"/>
        <v>14413.231627357183</v>
      </c>
      <c r="I154">
        <f t="shared" ca="1" si="14"/>
        <v>73186.028519720436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91770</v>
      </c>
      <c r="B157" s="66">
        <v>91770</v>
      </c>
      <c r="D157">
        <f t="shared" si="10"/>
        <v>84.747797499215039</v>
      </c>
      <c r="E157">
        <f t="shared" si="11"/>
        <v>84.747797499215039</v>
      </c>
      <c r="G157">
        <f t="shared" ca="1" si="12"/>
        <v>155</v>
      </c>
      <c r="H157">
        <f t="shared" ca="1" si="13"/>
        <v>13135.908612378331</v>
      </c>
      <c r="I157">
        <f t="shared" ca="1" si="14"/>
        <v>80298.43765138551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89146</v>
      </c>
      <c r="B160" s="66">
        <v>89146</v>
      </c>
      <c r="D160">
        <f t="shared" si="10"/>
        <v>82.324584895554366</v>
      </c>
      <c r="E160">
        <f t="shared" si="11"/>
        <v>82.324584895554366</v>
      </c>
      <c r="G160">
        <f t="shared" ca="1" si="12"/>
        <v>158</v>
      </c>
      <c r="H160">
        <f t="shared" ca="1" si="13"/>
        <v>13007.284413497589</v>
      </c>
      <c r="I160">
        <f t="shared" ca="1" si="14"/>
        <v>93947.797638060554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85393</v>
      </c>
      <c r="B162" s="66">
        <v>85393</v>
      </c>
      <c r="D162">
        <f t="shared" si="10"/>
        <v>78.85876290563877</v>
      </c>
      <c r="E162">
        <f t="shared" si="11"/>
        <v>78.85876290563877</v>
      </c>
      <c r="G162">
        <f t="shared" ca="1" si="12"/>
        <v>160</v>
      </c>
      <c r="H162">
        <f t="shared" ca="1" si="13"/>
        <v>12617.402064902202</v>
      </c>
      <c r="I162">
        <f t="shared" ca="1" si="14"/>
        <v>100963.93883758369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83507</v>
      </c>
      <c r="B165" s="66">
        <v>83507</v>
      </c>
      <c r="D165">
        <f t="shared" si="10"/>
        <v>77.117078846757664</v>
      </c>
      <c r="E165">
        <f t="shared" si="11"/>
        <v>77.117078846757664</v>
      </c>
      <c r="G165">
        <f t="shared" ca="1" si="12"/>
        <v>163</v>
      </c>
      <c r="H165">
        <f t="shared" ca="1" si="13"/>
        <v>12570.083852021498</v>
      </c>
      <c r="I165">
        <f t="shared" ca="1" si="14"/>
        <v>115984.26498253182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72204</v>
      </c>
      <c r="B167" s="66">
        <v>72204</v>
      </c>
      <c r="D167">
        <f t="shared" si="10"/>
        <v>66.678979738839743</v>
      </c>
      <c r="E167">
        <f t="shared" si="11"/>
        <v>66.678979738839743</v>
      </c>
      <c r="G167">
        <f t="shared" ca="1" si="12"/>
        <v>165</v>
      </c>
      <c r="H167">
        <f t="shared" ca="1" si="13"/>
        <v>11002.031656908557</v>
      </c>
      <c r="I167">
        <f t="shared" ca="1" si="14"/>
        <v>110895.69075506864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72780</v>
      </c>
      <c r="B170" s="66">
        <v>72780</v>
      </c>
      <c r="D170">
        <f t="shared" si="10"/>
        <v>67.210904456716477</v>
      </c>
      <c r="E170">
        <f t="shared" si="11"/>
        <v>67.210904456716477</v>
      </c>
      <c r="G170">
        <f t="shared" ca="1" si="12"/>
        <v>168</v>
      </c>
      <c r="H170">
        <f t="shared" ca="1" si="13"/>
        <v>11291.431948728368</v>
      </c>
      <c r="I170">
        <f t="shared" ca="1" si="14"/>
        <v>128831.00425955928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65362</v>
      </c>
      <c r="B173" s="66">
        <v>65362</v>
      </c>
      <c r="D173">
        <f t="shared" si="10"/>
        <v>60.360526753227568</v>
      </c>
      <c r="E173">
        <f t="shared" si="11"/>
        <v>60.360526753227568</v>
      </c>
      <c r="G173">
        <f t="shared" ca="1" si="12"/>
        <v>171</v>
      </c>
      <c r="H173">
        <f t="shared" ca="1" si="13"/>
        <v>10321.650074801913</v>
      </c>
      <c r="I173">
        <f t="shared" ca="1" si="14"/>
        <v>132099.36363165075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55623</v>
      </c>
      <c r="B175" s="66">
        <v>55623</v>
      </c>
      <c r="D175">
        <f t="shared" si="10"/>
        <v>51.366751011211051</v>
      </c>
      <c r="E175">
        <f t="shared" si="11"/>
        <v>51.366751011211051</v>
      </c>
      <c r="G175">
        <f t="shared" ca="1" si="12"/>
        <v>173</v>
      </c>
      <c r="H175">
        <f t="shared" ca="1" si="13"/>
        <v>8886.4479249395117</v>
      </c>
      <c r="I175">
        <f t="shared" ca="1" si="14"/>
        <v>122233.94836538193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53828</v>
      </c>
      <c r="B178" s="66">
        <v>53828</v>
      </c>
      <c r="D178">
        <f t="shared" si="10"/>
        <v>49.709103669911158</v>
      </c>
      <c r="E178">
        <f t="shared" si="11"/>
        <v>49.709103669911158</v>
      </c>
      <c r="G178">
        <f t="shared" ca="1" si="12"/>
        <v>176</v>
      </c>
      <c r="H178">
        <f t="shared" ca="1" si="13"/>
        <v>8748.8022459043641</v>
      </c>
      <c r="I178">
        <f t="shared" ca="1" si="14"/>
        <v>133286.03866320464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44975</v>
      </c>
      <c r="B180" s="66">
        <v>44975</v>
      </c>
      <c r="D180">
        <f t="shared" si="10"/>
        <v>41.533531573795322</v>
      </c>
      <c r="E180">
        <f t="shared" si="11"/>
        <v>41.533531573795322</v>
      </c>
      <c r="G180">
        <f t="shared" ca="1" si="12"/>
        <v>178</v>
      </c>
      <c r="H180">
        <f t="shared" ca="1" si="13"/>
        <v>7392.9686201355671</v>
      </c>
      <c r="I180">
        <f t="shared" ca="1" si="14"/>
        <v>120133.51279430027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44435</v>
      </c>
      <c r="B183" s="66">
        <v>44435</v>
      </c>
      <c r="D183">
        <f t="shared" si="10"/>
        <v>41.034852150785881</v>
      </c>
      <c r="E183">
        <f t="shared" si="11"/>
        <v>41.034852150785881</v>
      </c>
      <c r="G183">
        <f t="shared" ca="1" si="12"/>
        <v>181</v>
      </c>
      <c r="H183">
        <f t="shared" ca="1" si="13"/>
        <v>7427.3082392922443</v>
      </c>
      <c r="I183">
        <f t="shared" ca="1" si="14"/>
        <v>132301.91067037761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43512</v>
      </c>
      <c r="B185" s="66">
        <v>43512</v>
      </c>
      <c r="D185">
        <f t="shared" si="10"/>
        <v>40.182479729604935</v>
      </c>
      <c r="E185">
        <f t="shared" si="11"/>
        <v>40.182479729604935</v>
      </c>
      <c r="G185">
        <f t="shared" ca="1" si="12"/>
        <v>183</v>
      </c>
      <c r="H185">
        <f t="shared" ca="1" si="13"/>
        <v>7353.3937905177036</v>
      </c>
      <c r="I185">
        <f t="shared" ca="1" si="14"/>
        <v>138840.95753234555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39983</v>
      </c>
      <c r="B188" s="66">
        <v>39983</v>
      </c>
      <c r="D188">
        <f t="shared" si="10"/>
        <v>36.92351735219696</v>
      </c>
      <c r="E188">
        <f t="shared" si="11"/>
        <v>36.92351735219696</v>
      </c>
      <c r="G188">
        <f t="shared" ca="1" si="12"/>
        <v>186</v>
      </c>
      <c r="H188">
        <f t="shared" ca="1" si="13"/>
        <v>6867.7742275086348</v>
      </c>
      <c r="I188">
        <f t="shared" ca="1" si="14"/>
        <v>140935.21486130747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35591</v>
      </c>
      <c r="B191" s="66">
        <v>35591</v>
      </c>
      <c r="D191">
        <f t="shared" si="10"/>
        <v>32.867591378386862</v>
      </c>
      <c r="E191">
        <f t="shared" si="11"/>
        <v>32.867591378386862</v>
      </c>
      <c r="G191">
        <f t="shared" ca="1" si="12"/>
        <v>189</v>
      </c>
      <c r="H191">
        <f t="shared" ca="1" si="13"/>
        <v>6211.9747705151167</v>
      </c>
      <c r="I191">
        <f t="shared" ca="1" si="14"/>
        <v>137933.40545870867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33241</v>
      </c>
      <c r="B193" s="66">
        <v>33241</v>
      </c>
      <c r="D193">
        <f t="shared" si="10"/>
        <v>30.69741240788283</v>
      </c>
      <c r="E193">
        <f t="shared" si="11"/>
        <v>30.69741240788283</v>
      </c>
      <c r="G193">
        <f t="shared" ca="1" si="12"/>
        <v>191</v>
      </c>
      <c r="H193">
        <f t="shared" ca="1" si="13"/>
        <v>5863.2057699056204</v>
      </c>
      <c r="I193">
        <f t="shared" ca="1" si="14"/>
        <v>136903.23192990705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28552</v>
      </c>
      <c r="B196" s="66">
        <v>28552</v>
      </c>
      <c r="D196">
        <f t="shared" si="15"/>
        <v>26.367212751417544</v>
      </c>
      <c r="E196">
        <f t="shared" si="16"/>
        <v>26.367212751417544</v>
      </c>
      <c r="G196">
        <f t="shared" ca="1" si="17"/>
        <v>194</v>
      </c>
      <c r="H196">
        <f t="shared" ca="1" si="18"/>
        <v>5115.2392737750033</v>
      </c>
      <c r="I196">
        <f t="shared" ca="1" si="19"/>
        <v>128393.91303645709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20199</v>
      </c>
      <c r="B198" s="66">
        <v>20199</v>
      </c>
      <c r="D198">
        <f t="shared" si="15"/>
        <v>18.65338086179192</v>
      </c>
      <c r="E198">
        <f t="shared" si="16"/>
        <v>18.65338086179192</v>
      </c>
      <c r="G198">
        <f t="shared" ca="1" si="17"/>
        <v>196</v>
      </c>
      <c r="H198">
        <f t="shared" ca="1" si="18"/>
        <v>3656.0626489112165</v>
      </c>
      <c r="I198">
        <f t="shared" ca="1" si="19"/>
        <v>96113.023105600732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16208</v>
      </c>
      <c r="B201" s="66">
        <v>16208</v>
      </c>
      <c r="D201">
        <f t="shared" si="15"/>
        <v>14.967770533586982</v>
      </c>
      <c r="E201">
        <f t="shared" si="16"/>
        <v>14.967770533586982</v>
      </c>
      <c r="G201">
        <f t="shared" ca="1" si="17"/>
        <v>199</v>
      </c>
      <c r="H201">
        <f t="shared" ca="1" si="18"/>
        <v>2978.5863361838096</v>
      </c>
      <c r="I201">
        <f t="shared" ca="1" si="19"/>
        <v>83703.785063594813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10441</v>
      </c>
      <c r="B203" s="66">
        <v>10441</v>
      </c>
      <c r="D203">
        <f t="shared" si="15"/>
        <v>9.6420589919287814</v>
      </c>
      <c r="E203">
        <f t="shared" si="16"/>
        <v>9.6420589919287814</v>
      </c>
      <c r="G203">
        <f t="shared" ca="1" si="17"/>
        <v>201</v>
      </c>
      <c r="H203">
        <f t="shared" ca="1" si="18"/>
        <v>1938.0538573776851</v>
      </c>
      <c r="I203">
        <f t="shared" ca="1" si="19"/>
        <v>56843.736086008423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5488</v>
      </c>
      <c r="B206" s="66">
        <v>5488</v>
      </c>
      <c r="D206">
        <f t="shared" si="15"/>
        <v>5.0680605064366588</v>
      </c>
      <c r="E206">
        <f t="shared" si="16"/>
        <v>5.0680605064366588</v>
      </c>
      <c r="G206">
        <f t="shared" ca="1" si="17"/>
        <v>204</v>
      </c>
      <c r="H206">
        <f t="shared" ca="1" si="18"/>
        <v>1033.8843433130785</v>
      </c>
      <c r="I206">
        <f t="shared" ca="1" si="19"/>
        <v>32258.624482446085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2161</v>
      </c>
      <c r="B209" s="66">
        <v>2161</v>
      </c>
      <c r="D209">
        <f t="shared" si="15"/>
        <v>1.9956411724507324</v>
      </c>
      <c r="E209">
        <f t="shared" si="16"/>
        <v>1.9956411724507324</v>
      </c>
      <c r="G209">
        <f t="shared" ca="1" si="17"/>
        <v>207</v>
      </c>
      <c r="H209">
        <f t="shared" ca="1" si="18"/>
        <v>413.09772269730161</v>
      </c>
      <c r="I209">
        <f t="shared" ca="1" si="19"/>
        <v>13675.673065671705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1674</v>
      </c>
      <c r="B211" s="66">
        <v>1674</v>
      </c>
      <c r="D211">
        <f t="shared" si="15"/>
        <v>1.5459062113292577</v>
      </c>
      <c r="E211">
        <f t="shared" si="16"/>
        <v>1.5459062113292577</v>
      </c>
      <c r="G211">
        <f t="shared" ca="1" si="17"/>
        <v>209</v>
      </c>
      <c r="H211">
        <f t="shared" ca="1" si="18"/>
        <v>323.09439816781486</v>
      </c>
      <c r="I211">
        <f t="shared" ca="1" si="19"/>
        <v>11111.815286991463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1537</v>
      </c>
      <c r="B214" s="66">
        <v>1537</v>
      </c>
      <c r="D214">
        <f t="shared" si="15"/>
        <v>1.4193893947509373</v>
      </c>
      <c r="E214">
        <f t="shared" si="16"/>
        <v>1.4193893947509373</v>
      </c>
      <c r="G214">
        <f t="shared" ca="1" si="17"/>
        <v>212</v>
      </c>
      <c r="H214">
        <f t="shared" ca="1" si="18"/>
        <v>300.91055168719868</v>
      </c>
      <c r="I214">
        <f t="shared" ca="1" si="19"/>
        <v>10937.227395651165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688</v>
      </c>
      <c r="B216" s="66">
        <v>688</v>
      </c>
      <c r="D216">
        <f t="shared" si="15"/>
        <v>0.63535452413054316</v>
      </c>
      <c r="E216">
        <f t="shared" si="16"/>
        <v>0.63535452413054316</v>
      </c>
      <c r="G216">
        <f t="shared" ca="1" si="17"/>
        <v>214</v>
      </c>
      <c r="H216">
        <f t="shared" ca="1" si="18"/>
        <v>135.96586816393625</v>
      </c>
      <c r="I216">
        <f t="shared" ca="1" si="19"/>
        <v>5121.409912613195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356</v>
      </c>
      <c r="B1" s="68" t="s">
        <v>357</v>
      </c>
      <c r="C1" s="32" t="s">
        <v>358</v>
      </c>
      <c r="D1" s="32" t="s">
        <v>359</v>
      </c>
      <c r="E1" s="32" t="s">
        <v>360</v>
      </c>
    </row>
    <row r="2" spans="1:5">
      <c r="A2" s="68">
        <v>0.306562</v>
      </c>
      <c r="B2" s="68">
        <v>0.413491</v>
      </c>
      <c r="C2" s="68">
        <v>0</v>
      </c>
      <c r="D2" s="68">
        <v>1</v>
      </c>
      <c r="E2" s="68" t="s">
        <v>361</v>
      </c>
    </row>
    <row r="3" spans="1:5">
      <c r="A3" s="68">
        <v>0.31393900000000002</v>
      </c>
      <c r="B3" s="68">
        <v>0.399364</v>
      </c>
      <c r="C3" s="68">
        <v>0.38504500000000003</v>
      </c>
      <c r="D3" s="89">
        <v>1</v>
      </c>
      <c r="E3" s="68" t="s">
        <v>362</v>
      </c>
    </row>
    <row r="4" spans="1:5">
      <c r="A4" s="68">
        <v>0.32091700000000001</v>
      </c>
      <c r="B4" s="68">
        <v>0.386714</v>
      </c>
      <c r="C4" s="68">
        <v>0.78834000000000004</v>
      </c>
      <c r="D4" s="89">
        <v>1</v>
      </c>
      <c r="E4" s="68" t="s">
        <v>363</v>
      </c>
    </row>
    <row r="5" spans="1:5">
      <c r="A5" s="89">
        <v>0.32789800000000002</v>
      </c>
      <c r="B5" s="89">
        <v>0.37323600000000001</v>
      </c>
      <c r="C5" s="89">
        <v>1.1936899999999999</v>
      </c>
      <c r="D5" s="89">
        <v>1</v>
      </c>
      <c r="E5" s="68" t="s">
        <v>364</v>
      </c>
    </row>
    <row r="6" spans="1:5">
      <c r="A6" s="68">
        <v>0.33454400000000001</v>
      </c>
      <c r="B6" s="68">
        <v>0.36062899999999998</v>
      </c>
      <c r="C6" s="68">
        <v>1.60338</v>
      </c>
      <c r="D6" s="68">
        <v>1</v>
      </c>
      <c r="E6" s="68" t="s">
        <v>365</v>
      </c>
    </row>
    <row r="7" spans="1:5">
      <c r="A7" s="68">
        <v>0.34076800000000002</v>
      </c>
      <c r="B7" s="68">
        <v>0.34992099999999998</v>
      </c>
      <c r="C7" s="68">
        <v>2.0130699999999999</v>
      </c>
      <c r="D7" s="68">
        <v>1</v>
      </c>
      <c r="E7" s="68" t="s">
        <v>366</v>
      </c>
    </row>
    <row r="8" spans="1:5">
      <c r="A8" s="68">
        <v>0.34685199999999999</v>
      </c>
      <c r="B8" s="68">
        <v>0.34018100000000001</v>
      </c>
      <c r="C8" s="68">
        <v>2.41493</v>
      </c>
      <c r="D8" s="68">
        <v>1</v>
      </c>
      <c r="E8" s="68" t="s">
        <v>367</v>
      </c>
    </row>
    <row r="9" spans="1:5">
      <c r="A9" s="68">
        <v>0.352742</v>
      </c>
      <c r="B9" s="68">
        <v>0.33147599999999999</v>
      </c>
      <c r="C9" s="68">
        <v>2.82002</v>
      </c>
      <c r="D9" s="68">
        <v>1</v>
      </c>
      <c r="E9" s="68" t="s">
        <v>368</v>
      </c>
    </row>
    <row r="10" spans="1:5">
      <c r="A10" s="68">
        <v>0.35850900000000002</v>
      </c>
      <c r="B10" s="68">
        <v>0.32427299999999998</v>
      </c>
      <c r="C10" s="68">
        <v>3.2255500000000001</v>
      </c>
      <c r="D10" s="68">
        <v>1</v>
      </c>
      <c r="E10" s="68" t="s">
        <v>369</v>
      </c>
    </row>
    <row r="11" spans="1:5">
      <c r="A11" s="68">
        <v>0.36411100000000002</v>
      </c>
      <c r="B11" s="68">
        <v>0.318527</v>
      </c>
      <c r="C11" s="68">
        <v>3.6359599999999999</v>
      </c>
      <c r="D11" s="68">
        <v>1</v>
      </c>
      <c r="E11" s="68" t="s">
        <v>370</v>
      </c>
    </row>
    <row r="12" spans="1:5">
      <c r="A12" s="68">
        <v>0.36982199999999998</v>
      </c>
      <c r="B12" s="68">
        <v>0.31341999999999998</v>
      </c>
      <c r="C12" s="68">
        <v>4.04087</v>
      </c>
      <c r="D12" s="68">
        <v>1</v>
      </c>
      <c r="E12" s="68" t="s">
        <v>371</v>
      </c>
    </row>
    <row r="13" spans="1:5">
      <c r="A13" s="68">
        <v>0.375471</v>
      </c>
      <c r="B13" s="68">
        <v>0.30854399999999998</v>
      </c>
      <c r="C13" s="68">
        <v>4.4476199999999997</v>
      </c>
      <c r="D13" s="68">
        <v>1</v>
      </c>
      <c r="E13" s="68" t="s">
        <v>372</v>
      </c>
    </row>
    <row r="14" spans="1:5">
      <c r="A14" s="68">
        <v>0.381108</v>
      </c>
      <c r="B14" s="68">
        <v>0.30307000000000001</v>
      </c>
      <c r="C14" s="68">
        <v>4.8518299999999996</v>
      </c>
      <c r="D14" s="68">
        <v>1</v>
      </c>
      <c r="E14" s="68" t="s">
        <v>373</v>
      </c>
    </row>
    <row r="15" spans="1:5">
      <c r="A15" s="68">
        <v>0.38652199999999998</v>
      </c>
      <c r="B15" s="68">
        <v>0.29797800000000002</v>
      </c>
      <c r="C15" s="68">
        <v>5.25915</v>
      </c>
      <c r="D15" s="68">
        <v>1</v>
      </c>
      <c r="E15" s="68" t="s">
        <v>374</v>
      </c>
    </row>
    <row r="16" spans="1:5">
      <c r="A16" s="68">
        <v>0.39197399999999999</v>
      </c>
      <c r="B16" s="68">
        <v>0.29297400000000001</v>
      </c>
      <c r="C16" s="68">
        <v>5.66526</v>
      </c>
      <c r="D16" s="68">
        <v>1</v>
      </c>
      <c r="E16" s="68" t="s">
        <v>375</v>
      </c>
    </row>
    <row r="17" spans="1:5">
      <c r="A17" s="68">
        <v>0.39735300000000001</v>
      </c>
      <c r="B17" s="68">
        <v>0.28876400000000002</v>
      </c>
      <c r="C17" s="68">
        <v>6.0741199999999997</v>
      </c>
      <c r="D17" s="68">
        <v>1</v>
      </c>
      <c r="E17" s="68" t="s">
        <v>376</v>
      </c>
    </row>
    <row r="18" spans="1:5">
      <c r="A18" s="68">
        <v>0.402615</v>
      </c>
      <c r="B18" s="68">
        <v>0.28637699999999999</v>
      </c>
      <c r="C18" s="68">
        <v>6.4786900000000003</v>
      </c>
      <c r="D18" s="68">
        <v>1</v>
      </c>
      <c r="E18" s="68" t="s">
        <v>377</v>
      </c>
    </row>
    <row r="19" spans="1:5">
      <c r="A19" s="68">
        <v>0.40768399999999999</v>
      </c>
      <c r="B19" s="68">
        <v>0.28565200000000002</v>
      </c>
      <c r="C19" s="68">
        <v>6.8836300000000001</v>
      </c>
      <c r="D19" s="68">
        <v>1</v>
      </c>
      <c r="E19" s="68" t="s">
        <v>378</v>
      </c>
    </row>
    <row r="20" spans="1:5">
      <c r="A20" s="68">
        <v>0.41231099999999998</v>
      </c>
      <c r="B20" s="68">
        <v>0.28604499999999999</v>
      </c>
      <c r="C20" s="68">
        <v>7.2908900000000001</v>
      </c>
      <c r="D20" s="68">
        <v>1</v>
      </c>
      <c r="E20" s="68" t="s">
        <v>379</v>
      </c>
    </row>
    <row r="21" spans="1:5">
      <c r="A21" s="68">
        <v>0.41677599999999998</v>
      </c>
      <c r="B21" s="68">
        <v>0.28709600000000002</v>
      </c>
      <c r="C21" s="68">
        <v>7.6944400000000002</v>
      </c>
      <c r="D21" s="68">
        <v>1</v>
      </c>
      <c r="E21" s="68" t="s">
        <v>380</v>
      </c>
    </row>
    <row r="22" spans="1:5">
      <c r="A22" s="68">
        <v>0.42119400000000001</v>
      </c>
      <c r="B22" s="68">
        <v>0.28813800000000001</v>
      </c>
      <c r="C22" s="68">
        <v>8.1041799999999995</v>
      </c>
      <c r="D22" s="68">
        <v>1</v>
      </c>
      <c r="E22" s="68" t="s">
        <v>381</v>
      </c>
    </row>
    <row r="23" spans="1:5">
      <c r="A23" s="68">
        <v>0.42530899999999999</v>
      </c>
      <c r="B23" s="68">
        <v>0.28977700000000001</v>
      </c>
      <c r="C23" s="68">
        <v>8.5093499999999995</v>
      </c>
      <c r="D23" s="68">
        <v>1</v>
      </c>
      <c r="E23" s="68" t="s">
        <v>382</v>
      </c>
    </row>
    <row r="24" spans="1:5">
      <c r="A24" s="68">
        <v>0.42924699999999999</v>
      </c>
      <c r="B24" s="68">
        <v>0.29151199999999999</v>
      </c>
      <c r="C24" s="68">
        <v>8.9151000000000007</v>
      </c>
      <c r="D24" s="68">
        <v>1</v>
      </c>
      <c r="E24" s="68" t="s">
        <v>383</v>
      </c>
    </row>
    <row r="25" spans="1:5">
      <c r="A25" s="68">
        <v>0.43306099999999997</v>
      </c>
      <c r="B25" s="68">
        <v>0.29274800000000001</v>
      </c>
      <c r="C25" s="68">
        <v>9.3230000000000004</v>
      </c>
      <c r="D25" s="68">
        <v>1</v>
      </c>
      <c r="E25" s="68" t="s">
        <v>384</v>
      </c>
    </row>
    <row r="26" spans="1:5">
      <c r="A26" s="68">
        <v>0.43664799999999998</v>
      </c>
      <c r="B26" s="68">
        <v>0.29374400000000001</v>
      </c>
      <c r="C26" s="68">
        <v>9.7290100000000006</v>
      </c>
      <c r="D26" s="68">
        <v>1</v>
      </c>
      <c r="E26" s="68" t="s">
        <v>385</v>
      </c>
    </row>
    <row r="27" spans="1:5">
      <c r="A27" s="68">
        <v>0.439722</v>
      </c>
      <c r="B27" s="68">
        <v>0.29497000000000001</v>
      </c>
      <c r="C27" s="68">
        <v>10.1356</v>
      </c>
      <c r="D27" s="68">
        <v>1</v>
      </c>
      <c r="E27" s="68" t="s">
        <v>386</v>
      </c>
    </row>
    <row r="28" spans="1:5">
      <c r="A28" s="68">
        <v>0.44213599999999997</v>
      </c>
      <c r="B28" s="68">
        <v>0.29674299999999998</v>
      </c>
      <c r="C28" s="68">
        <v>10.5413</v>
      </c>
      <c r="D28" s="68">
        <v>1</v>
      </c>
      <c r="E28" s="68" t="s">
        <v>387</v>
      </c>
    </row>
    <row r="29" spans="1:5">
      <c r="A29" s="68">
        <v>0.44429000000000002</v>
      </c>
      <c r="B29" s="68">
        <v>0.29843700000000001</v>
      </c>
      <c r="C29" s="68">
        <v>10.945399999999999</v>
      </c>
      <c r="D29" s="68">
        <v>1</v>
      </c>
      <c r="E29" s="68" t="s">
        <v>388</v>
      </c>
    </row>
    <row r="30" spans="1:5">
      <c r="A30" s="68">
        <v>0.445992</v>
      </c>
      <c r="B30" s="68">
        <v>0.30040899999999998</v>
      </c>
      <c r="C30" s="68">
        <v>11.3513</v>
      </c>
      <c r="D30" s="68">
        <v>1</v>
      </c>
      <c r="E30" s="68" t="s">
        <v>389</v>
      </c>
    </row>
    <row r="31" spans="1:5">
      <c r="A31" s="68">
        <v>0.447629</v>
      </c>
      <c r="B31" s="68">
        <v>0.303309</v>
      </c>
      <c r="C31" s="68">
        <v>11.7598</v>
      </c>
      <c r="D31" s="68">
        <v>1</v>
      </c>
      <c r="E31" s="68" t="s">
        <v>390</v>
      </c>
    </row>
    <row r="32" spans="1:5">
      <c r="A32" s="68">
        <v>0.44892799999999999</v>
      </c>
      <c r="B32" s="68">
        <v>0.30677100000000002</v>
      </c>
      <c r="C32" s="68">
        <v>12.166600000000001</v>
      </c>
      <c r="D32" s="68">
        <v>1</v>
      </c>
      <c r="E32" s="68" t="s">
        <v>391</v>
      </c>
    </row>
    <row r="33" spans="1:5">
      <c r="A33" s="68">
        <v>0.44994299999999998</v>
      </c>
      <c r="B33" s="68">
        <v>0.31037599999999999</v>
      </c>
      <c r="C33" s="68">
        <v>12.574199999999999</v>
      </c>
      <c r="D33" s="68">
        <v>1</v>
      </c>
      <c r="E33" s="68" t="s">
        <v>392</v>
      </c>
    </row>
    <row r="34" spans="1:5">
      <c r="A34" s="68">
        <v>0.45106400000000002</v>
      </c>
      <c r="B34" s="68">
        <v>0.31404799999999999</v>
      </c>
      <c r="C34" s="68">
        <v>12.9755</v>
      </c>
      <c r="D34" s="68">
        <v>1</v>
      </c>
      <c r="E34" s="68" t="s">
        <v>393</v>
      </c>
    </row>
    <row r="35" spans="1:5">
      <c r="A35" s="68">
        <v>0.452407</v>
      </c>
      <c r="B35" s="68">
        <v>0.31698999999999999</v>
      </c>
      <c r="C35" s="68">
        <v>13.381600000000001</v>
      </c>
      <c r="D35" s="68">
        <v>1</v>
      </c>
      <c r="E35" s="68" t="s">
        <v>394</v>
      </c>
    </row>
    <row r="36" spans="1:5">
      <c r="A36" s="68">
        <v>0.45407399999999998</v>
      </c>
      <c r="B36" s="68">
        <v>0.319276</v>
      </c>
      <c r="C36" s="68">
        <v>13.7895</v>
      </c>
      <c r="D36" s="68">
        <v>1</v>
      </c>
      <c r="E36" s="68" t="s">
        <v>395</v>
      </c>
    </row>
    <row r="37" spans="1:5">
      <c r="A37" s="68">
        <v>0.45556099999999999</v>
      </c>
      <c r="B37" s="68">
        <v>0.32086399999999998</v>
      </c>
      <c r="C37" s="68">
        <v>14.196999999999999</v>
      </c>
      <c r="D37" s="68">
        <v>1</v>
      </c>
      <c r="E37" s="68" t="s">
        <v>396</v>
      </c>
    </row>
    <row r="38" spans="1:5">
      <c r="A38" s="68">
        <v>0.456978</v>
      </c>
      <c r="B38" s="68">
        <v>0.32223499999999999</v>
      </c>
      <c r="C38" s="68">
        <v>14.603400000000001</v>
      </c>
      <c r="D38" s="68">
        <v>1</v>
      </c>
      <c r="E38" s="68" t="s">
        <v>397</v>
      </c>
    </row>
    <row r="39" spans="1:5">
      <c r="A39" s="68">
        <v>0.458125</v>
      </c>
      <c r="B39" s="68">
        <v>0.32345499999999999</v>
      </c>
      <c r="C39" s="68">
        <v>15.0075</v>
      </c>
      <c r="D39" s="68">
        <v>1</v>
      </c>
      <c r="E39" s="68" t="s">
        <v>398</v>
      </c>
    </row>
    <row r="40" spans="1:5">
      <c r="A40" s="68">
        <v>0.45900000000000002</v>
      </c>
      <c r="B40" s="68">
        <v>0.324739</v>
      </c>
      <c r="C40" s="68">
        <v>15.4138</v>
      </c>
      <c r="D40" s="68">
        <v>1</v>
      </c>
      <c r="E40" s="68" t="s">
        <v>399</v>
      </c>
    </row>
    <row r="41" spans="1:5">
      <c r="A41" s="68">
        <v>0.45982299999999998</v>
      </c>
      <c r="B41" s="68">
        <v>0.32593299999999997</v>
      </c>
      <c r="C41" s="68">
        <v>15.8247</v>
      </c>
      <c r="D41" s="68">
        <v>1</v>
      </c>
      <c r="E41" s="68" t="s">
        <v>400</v>
      </c>
    </row>
    <row r="42" spans="1:5">
      <c r="A42" s="68">
        <v>0.46046199999999998</v>
      </c>
      <c r="B42" s="68">
        <v>0.32676300000000003</v>
      </c>
      <c r="C42" s="68">
        <v>16.230399999999999</v>
      </c>
      <c r="D42" s="68">
        <v>1</v>
      </c>
      <c r="E42" s="68" t="s">
        <v>401</v>
      </c>
    </row>
    <row r="43" spans="1:5">
      <c r="A43" s="68">
        <v>0.46109699999999998</v>
      </c>
      <c r="B43" s="68">
        <v>0.32646799999999998</v>
      </c>
      <c r="C43" s="68">
        <v>16.633199999999999</v>
      </c>
      <c r="D43" s="68">
        <v>1</v>
      </c>
      <c r="E43" s="68" t="s">
        <v>402</v>
      </c>
    </row>
    <row r="44" spans="1:5">
      <c r="A44" s="68">
        <v>0.461785</v>
      </c>
      <c r="B44" s="68">
        <v>0.32581399999999999</v>
      </c>
      <c r="C44" s="68">
        <v>17.038900000000002</v>
      </c>
      <c r="D44" s="68">
        <v>1</v>
      </c>
      <c r="E44" s="68" t="s">
        <v>403</v>
      </c>
    </row>
    <row r="45" spans="1:5">
      <c r="A45" s="68">
        <v>0.46275699999999997</v>
      </c>
      <c r="B45" s="68">
        <v>0.325042</v>
      </c>
      <c r="C45" s="68">
        <v>17.445599999999999</v>
      </c>
      <c r="D45" s="68">
        <v>1</v>
      </c>
      <c r="E45" s="68" t="s">
        <v>404</v>
      </c>
    </row>
    <row r="46" spans="1:5">
      <c r="A46" s="68">
        <v>0.46362900000000001</v>
      </c>
      <c r="B46" s="68">
        <v>0.32358999999999999</v>
      </c>
      <c r="C46" s="68">
        <v>17.853200000000001</v>
      </c>
      <c r="D46" s="68">
        <v>1</v>
      </c>
      <c r="E46" s="68" t="s">
        <v>405</v>
      </c>
    </row>
    <row r="47" spans="1:5">
      <c r="A47" s="68">
        <v>0.46417399999999998</v>
      </c>
      <c r="B47" s="68">
        <v>0.32242500000000002</v>
      </c>
      <c r="C47" s="68">
        <v>18.260999999999999</v>
      </c>
      <c r="D47" s="68">
        <v>1</v>
      </c>
      <c r="E47" s="68" t="s">
        <v>406</v>
      </c>
    </row>
    <row r="48" spans="1:5">
      <c r="A48" s="68">
        <v>0.46450799999999998</v>
      </c>
      <c r="B48" s="68">
        <v>0.32098300000000002</v>
      </c>
      <c r="C48" s="68">
        <v>18.666</v>
      </c>
      <c r="D48" s="68">
        <v>1</v>
      </c>
      <c r="E48" s="68" t="s">
        <v>407</v>
      </c>
    </row>
    <row r="49" spans="1:5">
      <c r="A49" s="68">
        <v>0.464424</v>
      </c>
      <c r="B49" s="68">
        <v>0.31969199999999998</v>
      </c>
      <c r="C49" s="68">
        <v>19.072099999999999</v>
      </c>
      <c r="D49" s="68">
        <v>1</v>
      </c>
      <c r="E49" s="68" t="s">
        <v>408</v>
      </c>
    </row>
    <row r="50" spans="1:5">
      <c r="A50" s="68">
        <v>0.46401300000000001</v>
      </c>
      <c r="B50" s="68">
        <v>0.31817400000000001</v>
      </c>
      <c r="C50" s="68">
        <v>19.4755</v>
      </c>
      <c r="D50" s="68">
        <v>1</v>
      </c>
      <c r="E50" s="68" t="s">
        <v>409</v>
      </c>
    </row>
    <row r="51" spans="1:5">
      <c r="A51" s="68">
        <v>0.46344299999999999</v>
      </c>
      <c r="B51" s="68">
        <v>0.316998</v>
      </c>
      <c r="C51" s="68">
        <v>19.8826</v>
      </c>
      <c r="D51" s="68">
        <v>1</v>
      </c>
      <c r="E51" s="68" t="s">
        <v>410</v>
      </c>
    </row>
    <row r="52" spans="1:5">
      <c r="A52" s="68">
        <v>0.46304400000000001</v>
      </c>
      <c r="B52" s="68">
        <v>0.315942</v>
      </c>
      <c r="C52" s="68">
        <v>20.291399999999999</v>
      </c>
      <c r="D52" s="68">
        <v>1</v>
      </c>
      <c r="E52" s="68" t="s">
        <v>411</v>
      </c>
    </row>
    <row r="53" spans="1:5">
      <c r="A53" s="68">
        <v>0.462812</v>
      </c>
      <c r="B53" s="68">
        <v>0.314857</v>
      </c>
      <c r="C53" s="68">
        <v>20.694900000000001</v>
      </c>
      <c r="D53" s="68">
        <v>1</v>
      </c>
      <c r="E53" s="68" t="s">
        <v>412</v>
      </c>
    </row>
    <row r="54" spans="1:5">
      <c r="A54" s="68">
        <v>0.462671</v>
      </c>
      <c r="B54" s="68">
        <v>0.31433899999999998</v>
      </c>
      <c r="C54" s="68">
        <v>21.103300000000001</v>
      </c>
      <c r="D54" s="68">
        <v>1</v>
      </c>
      <c r="E54" s="68" t="s">
        <v>413</v>
      </c>
    </row>
    <row r="55" spans="1:5">
      <c r="A55" s="68">
        <v>0.46262599999999998</v>
      </c>
      <c r="B55" s="68">
        <v>0.31436599999999998</v>
      </c>
      <c r="C55" s="68">
        <v>21.506799999999998</v>
      </c>
      <c r="D55" s="68">
        <v>1</v>
      </c>
      <c r="E55" s="68" t="s">
        <v>414</v>
      </c>
    </row>
    <row r="56" spans="1:5">
      <c r="A56" s="68">
        <v>0.46268900000000002</v>
      </c>
      <c r="B56" s="68">
        <v>0.31377899999999997</v>
      </c>
      <c r="C56" s="68">
        <v>21.912800000000001</v>
      </c>
      <c r="D56" s="68">
        <v>1</v>
      </c>
      <c r="E56" s="68" t="s">
        <v>415</v>
      </c>
    </row>
    <row r="57" spans="1:5">
      <c r="A57" s="68">
        <v>0.46318399999999998</v>
      </c>
      <c r="B57" s="68">
        <v>0.31275799999999998</v>
      </c>
      <c r="C57" s="68">
        <v>22.322299999999998</v>
      </c>
      <c r="D57" s="68">
        <v>1</v>
      </c>
      <c r="E57" s="68" t="s">
        <v>416</v>
      </c>
    </row>
    <row r="58" spans="1:5">
      <c r="A58" s="68">
        <v>0.46379300000000001</v>
      </c>
      <c r="B58" s="68">
        <v>0.31162400000000001</v>
      </c>
      <c r="C58" s="68">
        <v>22.728100000000001</v>
      </c>
      <c r="D58" s="68">
        <v>1</v>
      </c>
      <c r="E58" s="68" t="s">
        <v>417</v>
      </c>
    </row>
    <row r="59" spans="1:5">
      <c r="A59" s="68">
        <v>0.46423700000000001</v>
      </c>
      <c r="B59" s="68">
        <v>0.31011699999999998</v>
      </c>
      <c r="C59" s="68">
        <v>23.134799999999998</v>
      </c>
      <c r="D59" s="68">
        <v>1</v>
      </c>
      <c r="E59" s="68" t="s">
        <v>418</v>
      </c>
    </row>
    <row r="60" spans="1:5">
      <c r="A60" s="68">
        <v>0.46435599999999999</v>
      </c>
      <c r="B60" s="68">
        <v>0.30904999999999999</v>
      </c>
      <c r="C60" s="68">
        <v>23.540099999999999</v>
      </c>
      <c r="D60" s="68">
        <v>1</v>
      </c>
      <c r="E60" s="68" t="s">
        <v>419</v>
      </c>
    </row>
    <row r="61" spans="1:5">
      <c r="A61" s="68">
        <v>0.46399699999999999</v>
      </c>
      <c r="B61" s="68">
        <v>0.30874099999999999</v>
      </c>
      <c r="C61" s="68">
        <v>23.946100000000001</v>
      </c>
      <c r="D61" s="68">
        <v>1</v>
      </c>
      <c r="E61" s="68" t="s">
        <v>420</v>
      </c>
    </row>
    <row r="62" spans="1:5">
      <c r="A62" s="68">
        <v>0.46335999999999999</v>
      </c>
      <c r="B62" s="68">
        <v>0.30924699999999999</v>
      </c>
      <c r="C62" s="68">
        <v>24.3536</v>
      </c>
      <c r="D62" s="68">
        <v>1</v>
      </c>
      <c r="E62" s="68" t="s">
        <v>421</v>
      </c>
    </row>
    <row r="63" spans="1:5">
      <c r="A63" s="68">
        <v>0.46268199999999998</v>
      </c>
      <c r="B63" s="68">
        <v>0.30945400000000001</v>
      </c>
      <c r="C63" s="68">
        <v>24.759899999999998</v>
      </c>
      <c r="D63" s="68">
        <v>1</v>
      </c>
      <c r="E63" s="68" t="s">
        <v>422</v>
      </c>
    </row>
    <row r="64" spans="1:5">
      <c r="A64" s="68">
        <v>0.46193499999999998</v>
      </c>
      <c r="B64" s="68">
        <v>0.30965199999999998</v>
      </c>
      <c r="C64" s="68">
        <v>25.165500000000002</v>
      </c>
      <c r="D64" s="68">
        <v>1</v>
      </c>
      <c r="E64" s="68" t="s">
        <v>423</v>
      </c>
    </row>
    <row r="65" spans="1:5">
      <c r="A65" s="68">
        <v>0.46146700000000002</v>
      </c>
      <c r="B65" s="68">
        <v>0.30989499999999998</v>
      </c>
      <c r="C65" s="68">
        <v>25.569700000000001</v>
      </c>
      <c r="D65" s="68">
        <v>1</v>
      </c>
      <c r="E65" s="68" t="s">
        <v>424</v>
      </c>
    </row>
    <row r="66" spans="1:5">
      <c r="A66" s="68">
        <v>0.46119599999999999</v>
      </c>
      <c r="B66" s="68">
        <v>0.31035499999999999</v>
      </c>
      <c r="C66" s="68">
        <v>25.978000000000002</v>
      </c>
      <c r="D66" s="68">
        <v>1</v>
      </c>
      <c r="E66" s="68" t="s">
        <v>425</v>
      </c>
    </row>
    <row r="67" spans="1:5">
      <c r="A67" s="68">
        <v>0.46117900000000001</v>
      </c>
      <c r="B67" s="68">
        <v>0.31084400000000001</v>
      </c>
      <c r="C67" s="68">
        <v>26.384399999999999</v>
      </c>
      <c r="D67" s="68">
        <v>1</v>
      </c>
      <c r="E67" s="68" t="s">
        <v>426</v>
      </c>
    </row>
    <row r="68" spans="1:5">
      <c r="A68" s="68">
        <v>0.46100999999999998</v>
      </c>
      <c r="B68" s="68">
        <v>0.31128699999999998</v>
      </c>
      <c r="C68" s="68">
        <v>26.787099999999999</v>
      </c>
      <c r="D68" s="68">
        <v>1</v>
      </c>
      <c r="E68" s="68" t="s">
        <v>427</v>
      </c>
    </row>
    <row r="69" spans="1:5">
      <c r="A69" s="68">
        <v>0.460762</v>
      </c>
      <c r="B69" s="68">
        <v>0.31126799999999999</v>
      </c>
      <c r="C69" s="68">
        <v>27.197900000000001</v>
      </c>
      <c r="D69" s="68">
        <v>1</v>
      </c>
      <c r="E69" s="68" t="s">
        <v>428</v>
      </c>
    </row>
    <row r="70" spans="1:5">
      <c r="A70" s="68">
        <v>0.460229</v>
      </c>
      <c r="B70" s="68">
        <v>0.31070999999999999</v>
      </c>
      <c r="C70" s="68">
        <v>27.6021</v>
      </c>
      <c r="D70" s="68">
        <v>1</v>
      </c>
      <c r="E70" s="68" t="s">
        <v>429</v>
      </c>
    </row>
    <row r="71" spans="1:5">
      <c r="A71" s="68">
        <v>0.45951999999999998</v>
      </c>
      <c r="B71" s="68">
        <v>0.30979200000000001</v>
      </c>
      <c r="C71" s="68">
        <v>28.007100000000001</v>
      </c>
      <c r="D71" s="68">
        <v>1</v>
      </c>
      <c r="E71" s="68" t="s">
        <v>430</v>
      </c>
    </row>
    <row r="72" spans="1:5">
      <c r="A72" s="68">
        <v>0.45891599999999999</v>
      </c>
      <c r="B72" s="68">
        <v>0.30811100000000002</v>
      </c>
      <c r="C72" s="68">
        <v>28.412600000000001</v>
      </c>
      <c r="D72" s="68">
        <v>1</v>
      </c>
      <c r="E72" s="68" t="s">
        <v>431</v>
      </c>
    </row>
    <row r="73" spans="1:5">
      <c r="A73" s="68">
        <v>0.45821400000000001</v>
      </c>
      <c r="B73" s="68">
        <v>0.30528100000000002</v>
      </c>
      <c r="C73" s="68">
        <v>28.819400000000002</v>
      </c>
      <c r="D73" s="68">
        <v>1</v>
      </c>
      <c r="E73" s="68" t="s">
        <v>432</v>
      </c>
    </row>
    <row r="74" spans="1:5">
      <c r="A74" s="68">
        <v>0.45771400000000001</v>
      </c>
      <c r="B74" s="68">
        <v>0.30131200000000002</v>
      </c>
      <c r="C74" s="68">
        <v>29.224699999999999</v>
      </c>
      <c r="D74" s="68">
        <v>1</v>
      </c>
      <c r="E74" s="68" t="s">
        <v>433</v>
      </c>
    </row>
    <row r="75" spans="1:5">
      <c r="A75" s="68">
        <v>0.45736300000000002</v>
      </c>
      <c r="B75" s="68">
        <v>0.29712100000000002</v>
      </c>
      <c r="C75" s="68">
        <v>29.635200000000001</v>
      </c>
      <c r="D75" s="68">
        <v>1</v>
      </c>
      <c r="E75" s="68" t="s">
        <v>434</v>
      </c>
    </row>
    <row r="76" spans="1:5">
      <c r="A76" s="68">
        <v>0.45707300000000001</v>
      </c>
      <c r="B76" s="68">
        <v>0.29223199999999999</v>
      </c>
      <c r="C76" s="68">
        <v>30.042300000000001</v>
      </c>
      <c r="D76" s="68">
        <v>2</v>
      </c>
      <c r="E76" s="68" t="s">
        <v>435</v>
      </c>
    </row>
    <row r="77" spans="1:5">
      <c r="A77" s="68">
        <v>0.457098</v>
      </c>
      <c r="B77" s="68">
        <v>0.28526800000000002</v>
      </c>
      <c r="C77" s="68">
        <v>30.6356</v>
      </c>
      <c r="D77" s="68">
        <v>2</v>
      </c>
      <c r="E77" s="68" t="s">
        <v>436</v>
      </c>
    </row>
    <row r="78" spans="1:5">
      <c r="A78" s="68">
        <v>0.45755299999999999</v>
      </c>
      <c r="B78" s="68">
        <v>0.28021099999999999</v>
      </c>
      <c r="C78" s="68">
        <v>31.007200000000001</v>
      </c>
      <c r="D78" s="68">
        <v>2</v>
      </c>
      <c r="E78" s="68" t="s">
        <v>437</v>
      </c>
    </row>
    <row r="79" spans="1:5">
      <c r="A79" s="68">
        <v>0.458121</v>
      </c>
      <c r="B79" s="68">
        <v>0.275065</v>
      </c>
      <c r="C79" s="68">
        <v>31.382200000000001</v>
      </c>
      <c r="D79" s="68">
        <v>2</v>
      </c>
      <c r="E79" s="68" t="s">
        <v>438</v>
      </c>
    </row>
    <row r="80" spans="1:5">
      <c r="A80" s="68">
        <v>0.45902700000000002</v>
      </c>
      <c r="B80" s="68">
        <v>0.270061</v>
      </c>
      <c r="C80" s="68">
        <v>31.755299999999998</v>
      </c>
      <c r="D80" s="68">
        <v>2</v>
      </c>
      <c r="E80" s="68" t="s">
        <v>439</v>
      </c>
    </row>
    <row r="81" spans="1:5">
      <c r="A81" s="68">
        <v>0.46020299999999997</v>
      </c>
      <c r="B81" s="68">
        <v>0.26565299999999997</v>
      </c>
      <c r="C81" s="68">
        <v>32.135800000000003</v>
      </c>
      <c r="D81" s="68">
        <v>2</v>
      </c>
      <c r="E81" s="68" t="s">
        <v>440</v>
      </c>
    </row>
    <row r="82" spans="1:5">
      <c r="A82" s="68">
        <v>0.46156399999999997</v>
      </c>
      <c r="B82" s="68">
        <v>0.26108500000000001</v>
      </c>
      <c r="C82" s="68">
        <v>32.541499999999999</v>
      </c>
      <c r="D82" s="68">
        <v>2</v>
      </c>
      <c r="E82" s="68" t="s">
        <v>441</v>
      </c>
    </row>
    <row r="83" spans="1:5">
      <c r="A83" s="68">
        <v>0.46290599999999998</v>
      </c>
      <c r="B83" s="68">
        <v>0.25703100000000001</v>
      </c>
      <c r="C83" s="68">
        <v>32.944200000000002</v>
      </c>
      <c r="D83" s="68">
        <v>2</v>
      </c>
      <c r="E83" s="68" t="s">
        <v>442</v>
      </c>
    </row>
    <row r="84" spans="1:5">
      <c r="A84" s="68">
        <v>0.46464</v>
      </c>
      <c r="B84" s="68">
        <v>0.25295299999999998</v>
      </c>
      <c r="C84" s="68">
        <v>33.352699999999999</v>
      </c>
      <c r="D84" s="68">
        <v>2</v>
      </c>
      <c r="E84" s="68" t="s">
        <v>443</v>
      </c>
    </row>
    <row r="85" spans="1:5">
      <c r="A85" s="68">
        <v>0.46685900000000002</v>
      </c>
      <c r="B85" s="68">
        <v>0.24840100000000001</v>
      </c>
      <c r="C85" s="68">
        <v>33.757399999999997</v>
      </c>
      <c r="D85" s="68">
        <v>2</v>
      </c>
      <c r="E85" s="68" t="s">
        <v>444</v>
      </c>
    </row>
    <row r="86" spans="1:5">
      <c r="A86" s="68">
        <v>0.46937899999999999</v>
      </c>
      <c r="B86" s="68">
        <v>0.24338000000000001</v>
      </c>
      <c r="C86" s="68">
        <v>34.164700000000003</v>
      </c>
      <c r="D86" s="68">
        <v>2</v>
      </c>
      <c r="E86" s="68" t="s">
        <v>445</v>
      </c>
    </row>
    <row r="87" spans="1:5">
      <c r="A87" s="68">
        <v>0.47237000000000001</v>
      </c>
      <c r="B87" s="68">
        <v>0.238265</v>
      </c>
      <c r="C87" s="68">
        <v>34.572699999999998</v>
      </c>
      <c r="D87" s="68">
        <v>2</v>
      </c>
      <c r="E87" s="68" t="s">
        <v>446</v>
      </c>
    </row>
    <row r="88" spans="1:5">
      <c r="A88" s="68">
        <v>0.475219</v>
      </c>
      <c r="B88" s="68">
        <v>0.23429</v>
      </c>
      <c r="C88" s="68">
        <v>34.978000000000002</v>
      </c>
      <c r="D88" s="68">
        <v>2</v>
      </c>
      <c r="E88" s="68" t="s">
        <v>447</v>
      </c>
    </row>
    <row r="89" spans="1:5">
      <c r="A89" s="68">
        <v>0.47802800000000001</v>
      </c>
      <c r="B89" s="68">
        <v>0.231242</v>
      </c>
      <c r="C89" s="68">
        <v>35.381399999999999</v>
      </c>
      <c r="D89" s="68">
        <v>2</v>
      </c>
      <c r="E89" s="68" t="s">
        <v>448</v>
      </c>
    </row>
    <row r="90" spans="1:5">
      <c r="A90" s="68">
        <v>0.480543</v>
      </c>
      <c r="B90" s="68">
        <v>0.22803399999999999</v>
      </c>
      <c r="C90" s="68">
        <v>35.788800000000002</v>
      </c>
      <c r="D90" s="68">
        <v>2</v>
      </c>
      <c r="E90" s="68" t="s">
        <v>449</v>
      </c>
    </row>
    <row r="91" spans="1:5">
      <c r="A91" s="68">
        <v>0.482848</v>
      </c>
      <c r="B91" s="68">
        <v>0.22494900000000001</v>
      </c>
      <c r="C91" s="68">
        <v>36.197699999999998</v>
      </c>
      <c r="D91" s="68">
        <v>2</v>
      </c>
      <c r="E91" s="68" t="s">
        <v>450</v>
      </c>
    </row>
    <row r="92" spans="1:5">
      <c r="A92" s="68">
        <v>0.48516500000000001</v>
      </c>
      <c r="B92" s="68">
        <v>0.22278200000000001</v>
      </c>
      <c r="C92" s="68">
        <v>36.603900000000003</v>
      </c>
      <c r="D92" s="68">
        <v>2</v>
      </c>
      <c r="E92" s="68" t="s">
        <v>451</v>
      </c>
    </row>
    <row r="93" spans="1:5">
      <c r="A93" s="68">
        <v>0.48768299999999998</v>
      </c>
      <c r="B93" s="68">
        <v>0.22118099999999999</v>
      </c>
      <c r="C93" s="68">
        <v>37.008299999999998</v>
      </c>
      <c r="D93" s="68">
        <v>2</v>
      </c>
      <c r="E93" s="68" t="s">
        <v>452</v>
      </c>
    </row>
    <row r="94" spans="1:5">
      <c r="A94" s="68">
        <v>0.49055300000000002</v>
      </c>
      <c r="B94" s="68">
        <v>0.219886</v>
      </c>
      <c r="C94" s="68">
        <v>37.414400000000001</v>
      </c>
      <c r="D94" s="68">
        <v>2</v>
      </c>
      <c r="E94" s="68" t="s">
        <v>453</v>
      </c>
    </row>
    <row r="95" spans="1:5">
      <c r="A95" s="68">
        <v>0.49361500000000003</v>
      </c>
      <c r="B95" s="68">
        <v>0.220333</v>
      </c>
      <c r="C95" s="68">
        <v>37.8215</v>
      </c>
      <c r="D95" s="68">
        <v>2</v>
      </c>
      <c r="E95" s="68" t="s">
        <v>454</v>
      </c>
    </row>
    <row r="96" spans="1:5">
      <c r="A96" s="68">
        <v>0.49680999999999997</v>
      </c>
      <c r="B96" s="68">
        <v>0.221609</v>
      </c>
      <c r="C96" s="68">
        <v>38.2271</v>
      </c>
      <c r="D96" s="68">
        <v>2</v>
      </c>
      <c r="E96" s="68" t="s">
        <v>455</v>
      </c>
    </row>
    <row r="97" spans="1:5">
      <c r="A97" s="68">
        <v>0.50017</v>
      </c>
      <c r="B97" s="68">
        <v>0.22419800000000001</v>
      </c>
      <c r="C97" s="68">
        <v>38.633099999999999</v>
      </c>
      <c r="D97" s="68">
        <v>2</v>
      </c>
      <c r="E97" s="68" t="s">
        <v>456</v>
      </c>
    </row>
    <row r="98" spans="1:5">
      <c r="A98" s="68">
        <v>0.50375800000000004</v>
      </c>
      <c r="B98" s="68">
        <v>0.22844700000000001</v>
      </c>
      <c r="C98" s="68">
        <v>39.040500000000002</v>
      </c>
      <c r="D98" s="68">
        <v>2</v>
      </c>
      <c r="E98" s="68" t="s">
        <v>457</v>
      </c>
    </row>
    <row r="99" spans="1:5">
      <c r="A99" s="68">
        <v>0.507239</v>
      </c>
      <c r="B99" s="68">
        <v>0.233103</v>
      </c>
      <c r="C99" s="68">
        <v>39.4437</v>
      </c>
      <c r="D99" s="68">
        <v>2</v>
      </c>
      <c r="E99" s="68" t="s">
        <v>458</v>
      </c>
    </row>
    <row r="100" spans="1:5">
      <c r="A100" s="68">
        <v>0.51061199999999995</v>
      </c>
      <c r="B100" s="68">
        <v>0.23889099999999999</v>
      </c>
      <c r="C100" s="68">
        <v>39.857399999999998</v>
      </c>
      <c r="D100" s="68">
        <v>2</v>
      </c>
      <c r="E100" s="68" t="s">
        <v>459</v>
      </c>
    </row>
    <row r="101" spans="1:5">
      <c r="A101" s="68">
        <v>0.51355600000000001</v>
      </c>
      <c r="B101" s="68">
        <v>0.24557499999999999</v>
      </c>
      <c r="C101" s="68">
        <v>40.257199999999997</v>
      </c>
      <c r="D101" s="68">
        <v>2</v>
      </c>
      <c r="E101" s="68" t="s">
        <v>460</v>
      </c>
    </row>
    <row r="102" spans="1:5">
      <c r="A102" s="68">
        <v>0.516289</v>
      </c>
      <c r="B102" s="68">
        <v>0.25175599999999998</v>
      </c>
      <c r="C102" s="68">
        <v>40.6678</v>
      </c>
      <c r="D102" s="68">
        <v>2</v>
      </c>
      <c r="E102" s="68" t="s">
        <v>461</v>
      </c>
    </row>
    <row r="103" spans="1:5">
      <c r="A103" s="68">
        <v>0.51888800000000002</v>
      </c>
      <c r="B103" s="68">
        <v>0.257326</v>
      </c>
      <c r="C103" s="68">
        <v>41.072000000000003</v>
      </c>
      <c r="D103" s="68">
        <v>2</v>
      </c>
      <c r="E103" s="68" t="s">
        <v>462</v>
      </c>
    </row>
    <row r="104" spans="1:5">
      <c r="A104" s="68">
        <v>0.52133799999999997</v>
      </c>
      <c r="B104" s="68">
        <v>0.26255200000000001</v>
      </c>
      <c r="C104" s="68">
        <v>41.474400000000003</v>
      </c>
      <c r="D104" s="68">
        <v>2</v>
      </c>
      <c r="E104" s="68" t="s">
        <v>463</v>
      </c>
    </row>
    <row r="105" spans="1:5">
      <c r="A105" s="68">
        <v>0.52320999999999995</v>
      </c>
      <c r="B105" s="68">
        <v>0.26692199999999999</v>
      </c>
      <c r="C105" s="68">
        <v>41.884300000000003</v>
      </c>
      <c r="D105" s="68">
        <v>2</v>
      </c>
      <c r="E105" s="68" t="s">
        <v>464</v>
      </c>
    </row>
    <row r="106" spans="1:5">
      <c r="A106" s="68">
        <v>0.52427000000000001</v>
      </c>
      <c r="B106" s="68">
        <v>0.27054099999999998</v>
      </c>
      <c r="C106" s="68">
        <v>42.2883</v>
      </c>
      <c r="D106" s="68">
        <v>2</v>
      </c>
      <c r="E106" s="68" t="s">
        <v>465</v>
      </c>
    </row>
    <row r="107" spans="1:5">
      <c r="A107" s="68">
        <v>0.524922</v>
      </c>
      <c r="B107" s="68">
        <v>0.27399499999999999</v>
      </c>
      <c r="C107" s="68">
        <v>42.698500000000003</v>
      </c>
      <c r="D107" s="68">
        <v>2</v>
      </c>
      <c r="E107" s="68" t="s">
        <v>466</v>
      </c>
    </row>
    <row r="108" spans="1:5">
      <c r="A108" s="68">
        <v>0.52529700000000001</v>
      </c>
      <c r="B108" s="68">
        <v>0.27685399999999999</v>
      </c>
      <c r="C108" s="68">
        <v>43.101199999999999</v>
      </c>
      <c r="D108" s="68">
        <v>2</v>
      </c>
      <c r="E108" s="68" t="s">
        <v>467</v>
      </c>
    </row>
    <row r="109" spans="1:5">
      <c r="A109" s="68">
        <v>0.52495499999999995</v>
      </c>
      <c r="B109" s="68">
        <v>0.27843200000000001</v>
      </c>
      <c r="C109" s="68">
        <v>43.510100000000001</v>
      </c>
      <c r="D109" s="68">
        <v>2</v>
      </c>
      <c r="E109" s="68" t="s">
        <v>468</v>
      </c>
    </row>
    <row r="110" spans="1:5">
      <c r="A110" s="68">
        <v>0.52407599999999999</v>
      </c>
      <c r="B110" s="68">
        <v>0.27869699999999997</v>
      </c>
      <c r="C110" s="68">
        <v>43.912700000000001</v>
      </c>
      <c r="D110" s="68">
        <v>2</v>
      </c>
      <c r="E110" s="68" t="s">
        <v>469</v>
      </c>
    </row>
    <row r="111" spans="1:5">
      <c r="A111" s="68">
        <v>0.52302099999999996</v>
      </c>
      <c r="B111" s="68">
        <v>0.27815099999999998</v>
      </c>
      <c r="C111" s="68">
        <v>44.322600000000001</v>
      </c>
      <c r="D111" s="68">
        <v>2</v>
      </c>
      <c r="E111" s="68" t="s">
        <v>470</v>
      </c>
    </row>
    <row r="112" spans="1:5">
      <c r="A112" s="68">
        <v>0.52140299999999995</v>
      </c>
      <c r="B112" s="68">
        <v>0.27714800000000001</v>
      </c>
      <c r="C112" s="68">
        <v>44.729300000000002</v>
      </c>
      <c r="D112" s="68">
        <v>2</v>
      </c>
      <c r="E112" s="68" t="s">
        <v>471</v>
      </c>
    </row>
    <row r="113" spans="1:5">
      <c r="A113" s="68">
        <v>0.51976299999999998</v>
      </c>
      <c r="B113" s="68">
        <v>0.27531899999999998</v>
      </c>
      <c r="C113" s="68">
        <v>45.137300000000003</v>
      </c>
      <c r="D113" s="68">
        <v>2</v>
      </c>
      <c r="E113" s="68" t="s">
        <v>472</v>
      </c>
    </row>
    <row r="114" spans="1:5">
      <c r="A114" s="68">
        <v>0.51805699999999999</v>
      </c>
      <c r="B114" s="68">
        <v>0.27244299999999999</v>
      </c>
      <c r="C114" s="68">
        <v>45.539700000000003</v>
      </c>
      <c r="D114" s="68">
        <v>2</v>
      </c>
      <c r="E114" s="68" t="s">
        <v>473</v>
      </c>
    </row>
    <row r="115" spans="1:5">
      <c r="A115" s="68">
        <v>0.51631099999999996</v>
      </c>
      <c r="B115" s="68">
        <v>0.26934000000000002</v>
      </c>
      <c r="C115" s="68">
        <v>45.947099999999999</v>
      </c>
      <c r="D115" s="68">
        <v>2</v>
      </c>
      <c r="E115" s="68" t="s">
        <v>474</v>
      </c>
    </row>
    <row r="116" spans="1:5">
      <c r="A116" s="68">
        <v>0.51431899999999997</v>
      </c>
      <c r="B116" s="68">
        <v>0.26611499999999999</v>
      </c>
      <c r="C116" s="68">
        <v>46.3538</v>
      </c>
      <c r="D116" s="68">
        <v>2</v>
      </c>
      <c r="E116" s="68" t="s">
        <v>475</v>
      </c>
    </row>
    <row r="117" spans="1:5">
      <c r="A117" s="68">
        <v>0.51252600000000004</v>
      </c>
      <c r="B117" s="68">
        <v>0.26225300000000001</v>
      </c>
      <c r="C117" s="68">
        <v>46.760300000000001</v>
      </c>
      <c r="D117" s="68">
        <v>2</v>
      </c>
      <c r="E117" s="68" t="s">
        <v>476</v>
      </c>
    </row>
    <row r="118" spans="1:5">
      <c r="A118" s="68">
        <v>0.51052200000000003</v>
      </c>
      <c r="B118" s="68">
        <v>0.25811699999999999</v>
      </c>
      <c r="C118" s="68">
        <v>47.163800000000002</v>
      </c>
      <c r="D118" s="68">
        <v>2</v>
      </c>
      <c r="E118" s="68" t="s">
        <v>477</v>
      </c>
    </row>
    <row r="119" spans="1:5">
      <c r="A119" s="68">
        <v>0.50823099999999999</v>
      </c>
      <c r="B119" s="68">
        <v>0.254249</v>
      </c>
      <c r="C119" s="68">
        <v>47.569600000000001</v>
      </c>
      <c r="D119" s="68">
        <v>2</v>
      </c>
      <c r="E119" s="68" t="s">
        <v>478</v>
      </c>
    </row>
    <row r="120" spans="1:5">
      <c r="A120" s="68">
        <v>0.50607000000000002</v>
      </c>
      <c r="B120" s="68">
        <v>0.25000600000000001</v>
      </c>
      <c r="C120" s="68">
        <v>47.976100000000002</v>
      </c>
      <c r="D120" s="68">
        <v>2</v>
      </c>
      <c r="E120" s="68" t="s">
        <v>479</v>
      </c>
    </row>
    <row r="121" spans="1:5">
      <c r="A121" s="68">
        <v>0.50399300000000002</v>
      </c>
      <c r="B121" s="68">
        <v>0.24627099999999999</v>
      </c>
      <c r="C121" s="68">
        <v>48.387099999999997</v>
      </c>
      <c r="D121" s="68">
        <v>2</v>
      </c>
      <c r="E121" s="68" t="s">
        <v>480</v>
      </c>
    </row>
    <row r="122" spans="1:5">
      <c r="A122" s="68">
        <v>0.50199099999999997</v>
      </c>
      <c r="B122" s="68">
        <v>0.242672</v>
      </c>
      <c r="C122" s="68">
        <v>48.792000000000002</v>
      </c>
      <c r="D122" s="68">
        <v>2</v>
      </c>
      <c r="E122" s="68" t="s">
        <v>481</v>
      </c>
    </row>
    <row r="123" spans="1:5">
      <c r="A123" s="68">
        <v>0.49971100000000002</v>
      </c>
      <c r="B123" s="68">
        <v>0.23954900000000001</v>
      </c>
      <c r="C123" s="68">
        <v>49.1967</v>
      </c>
      <c r="D123" s="68">
        <v>2</v>
      </c>
      <c r="E123" s="68" t="s">
        <v>482</v>
      </c>
    </row>
    <row r="124" spans="1:5">
      <c r="A124" s="68">
        <v>0.49721199999999999</v>
      </c>
      <c r="B124" s="68">
        <v>0.23694399999999999</v>
      </c>
      <c r="C124" s="68">
        <v>49.599800000000002</v>
      </c>
      <c r="D124" s="68">
        <v>2</v>
      </c>
      <c r="E124" s="68" t="s">
        <v>483</v>
      </c>
    </row>
    <row r="125" spans="1:5">
      <c r="A125" s="68">
        <v>0.49483899999999997</v>
      </c>
      <c r="B125" s="68">
        <v>0.23449400000000001</v>
      </c>
      <c r="C125" s="68">
        <v>50.008299999999998</v>
      </c>
      <c r="D125" s="68">
        <v>2</v>
      </c>
      <c r="E125" s="68" t="s">
        <v>484</v>
      </c>
    </row>
    <row r="126" spans="1:5">
      <c r="A126" s="68">
        <v>0.49354700000000001</v>
      </c>
      <c r="B126" s="68">
        <v>0.23277800000000001</v>
      </c>
      <c r="C126" s="68">
        <v>50.414200000000001</v>
      </c>
      <c r="D126" s="68">
        <v>2</v>
      </c>
      <c r="E126" s="68" t="s">
        <v>485</v>
      </c>
    </row>
    <row r="127" spans="1:5">
      <c r="A127" s="68">
        <v>0.492089</v>
      </c>
      <c r="B127" s="68">
        <v>0.23114199999999999</v>
      </c>
      <c r="C127" s="68">
        <v>50.824300000000001</v>
      </c>
      <c r="D127" s="68">
        <v>2</v>
      </c>
      <c r="E127" s="68" t="s">
        <v>486</v>
      </c>
    </row>
    <row r="128" spans="1:5">
      <c r="A128" s="68">
        <v>0.49030899999999999</v>
      </c>
      <c r="B128" s="68">
        <v>0.22987199999999999</v>
      </c>
      <c r="C128" s="68">
        <v>51.226599999999998</v>
      </c>
      <c r="D128" s="68">
        <v>2</v>
      </c>
      <c r="E128" s="68" t="s">
        <v>487</v>
      </c>
    </row>
    <row r="129" spans="1:5">
      <c r="A129" s="68">
        <v>0.48831999999999998</v>
      </c>
      <c r="B129" s="68">
        <v>0.22892399999999999</v>
      </c>
      <c r="C129" s="68">
        <v>51.636499999999998</v>
      </c>
      <c r="D129" s="68">
        <v>2</v>
      </c>
      <c r="E129" s="68" t="s">
        <v>488</v>
      </c>
    </row>
    <row r="130" spans="1:5">
      <c r="A130" s="68">
        <v>0.48633599999999999</v>
      </c>
      <c r="B130" s="68">
        <v>0.22783200000000001</v>
      </c>
      <c r="C130" s="68">
        <v>52.040100000000002</v>
      </c>
      <c r="D130" s="68">
        <v>2</v>
      </c>
      <c r="E130" s="68" t="s">
        <v>489</v>
      </c>
    </row>
    <row r="131" spans="1:5">
      <c r="A131" s="68">
        <v>0.48461700000000002</v>
      </c>
      <c r="B131" s="68">
        <v>0.22597600000000001</v>
      </c>
      <c r="C131" s="68">
        <v>52.446300000000001</v>
      </c>
      <c r="D131" s="68">
        <v>2</v>
      </c>
      <c r="E131" s="68" t="s">
        <v>490</v>
      </c>
    </row>
    <row r="132" spans="1:5">
      <c r="A132" s="68">
        <v>0.48298999999999997</v>
      </c>
      <c r="B132" s="68">
        <v>0.22359899999999999</v>
      </c>
      <c r="C132" s="68">
        <v>52.852499999999999</v>
      </c>
      <c r="D132" s="68">
        <v>2</v>
      </c>
      <c r="E132" s="68" t="s">
        <v>491</v>
      </c>
    </row>
    <row r="133" spans="1:5">
      <c r="A133" s="68">
        <v>0.48149900000000001</v>
      </c>
      <c r="B133" s="68">
        <v>0.22098000000000001</v>
      </c>
      <c r="C133" s="68">
        <v>53.259900000000002</v>
      </c>
      <c r="D133" s="68">
        <v>2</v>
      </c>
      <c r="E133" s="68" t="s">
        <v>492</v>
      </c>
    </row>
    <row r="134" spans="1:5">
      <c r="A134" s="68">
        <v>0.48038500000000001</v>
      </c>
      <c r="B134" s="68">
        <v>0.217973</v>
      </c>
      <c r="C134" s="68">
        <v>53.6631</v>
      </c>
      <c r="D134" s="68">
        <v>2</v>
      </c>
      <c r="E134" s="68" t="s">
        <v>493</v>
      </c>
    </row>
    <row r="135" spans="1:5">
      <c r="A135" s="68">
        <v>0.479375</v>
      </c>
      <c r="B135" s="68">
        <v>0.215225</v>
      </c>
      <c r="C135" s="68">
        <v>54.069600000000001</v>
      </c>
      <c r="D135" s="68">
        <v>2</v>
      </c>
      <c r="E135" s="68" t="s">
        <v>494</v>
      </c>
    </row>
    <row r="136" spans="1:5">
      <c r="A136" s="68">
        <v>0.47827399999999998</v>
      </c>
      <c r="B136" s="68">
        <v>0.21329799999999999</v>
      </c>
      <c r="C136" s="68">
        <v>54.4739</v>
      </c>
      <c r="D136" s="68">
        <v>2</v>
      </c>
      <c r="E136" s="68" t="s">
        <v>495</v>
      </c>
    </row>
    <row r="137" spans="1:5">
      <c r="A137" s="68">
        <v>0.47756799999999999</v>
      </c>
      <c r="B137" s="68">
        <v>0.21069299999999999</v>
      </c>
      <c r="C137" s="68">
        <v>54.8855</v>
      </c>
      <c r="D137" s="68">
        <v>2</v>
      </c>
      <c r="E137" s="68" t="s">
        <v>496</v>
      </c>
    </row>
    <row r="138" spans="1:5">
      <c r="A138" s="68">
        <v>0.47690199999999999</v>
      </c>
      <c r="B138" s="68">
        <v>0.20855699999999999</v>
      </c>
      <c r="C138" s="68">
        <v>55.292099999999998</v>
      </c>
      <c r="D138" s="68">
        <v>2</v>
      </c>
      <c r="E138" s="68" t="s">
        <v>497</v>
      </c>
    </row>
    <row r="139" spans="1:5">
      <c r="A139" s="68">
        <v>0.47673700000000002</v>
      </c>
      <c r="B139" s="68">
        <v>0.206818</v>
      </c>
      <c r="C139" s="68">
        <v>55.695399999999999</v>
      </c>
      <c r="D139" s="68">
        <v>2</v>
      </c>
      <c r="E139" s="68" t="s">
        <v>498</v>
      </c>
    </row>
    <row r="140" spans="1:5">
      <c r="A140" s="68">
        <v>0.47664400000000001</v>
      </c>
      <c r="B140" s="68">
        <v>0.205683</v>
      </c>
      <c r="C140" s="68">
        <v>56.103200000000001</v>
      </c>
      <c r="D140" s="68">
        <v>2</v>
      </c>
      <c r="E140" s="68" t="s">
        <v>499</v>
      </c>
    </row>
    <row r="141" spans="1:5">
      <c r="A141" s="68">
        <v>0.47677799999999998</v>
      </c>
      <c r="B141" s="68">
        <v>0.204373</v>
      </c>
      <c r="C141" s="68">
        <v>56.512700000000002</v>
      </c>
      <c r="D141" s="68">
        <v>2</v>
      </c>
      <c r="E141" s="68" t="s">
        <v>500</v>
      </c>
    </row>
    <row r="142" spans="1:5">
      <c r="A142" s="68">
        <v>0.47653099999999998</v>
      </c>
      <c r="B142" s="68">
        <v>0.20387</v>
      </c>
      <c r="C142" s="68">
        <v>56.915999999999997</v>
      </c>
      <c r="D142" s="68">
        <v>2</v>
      </c>
      <c r="E142" s="68" t="s">
        <v>501</v>
      </c>
    </row>
    <row r="143" spans="1:5">
      <c r="A143" s="68">
        <v>0.47641699999999998</v>
      </c>
      <c r="B143" s="68">
        <v>0.20402799999999999</v>
      </c>
      <c r="C143" s="68">
        <v>57.322299999999998</v>
      </c>
      <c r="D143" s="68">
        <v>2</v>
      </c>
      <c r="E143" s="68" t="s">
        <v>502</v>
      </c>
    </row>
    <row r="144" spans="1:5">
      <c r="A144" s="68">
        <v>0.47675099999999998</v>
      </c>
      <c r="B144" s="68">
        <v>0.20502899999999999</v>
      </c>
      <c r="C144" s="68">
        <v>57.7301</v>
      </c>
      <c r="D144" s="68">
        <v>2</v>
      </c>
      <c r="E144" s="68" t="s">
        <v>503</v>
      </c>
    </row>
    <row r="145" spans="1:5">
      <c r="A145" s="68">
        <v>0.47680099999999997</v>
      </c>
      <c r="B145" s="68">
        <v>0.2074</v>
      </c>
      <c r="C145" s="68">
        <v>58.132800000000003</v>
      </c>
      <c r="D145" s="68">
        <v>2</v>
      </c>
      <c r="E145" s="68" t="s">
        <v>504</v>
      </c>
    </row>
    <row r="146" spans="1:5">
      <c r="A146" s="68">
        <v>0.47590300000000002</v>
      </c>
      <c r="B146" s="68">
        <v>0.21005299999999999</v>
      </c>
      <c r="C146" s="68">
        <v>58.537700000000001</v>
      </c>
      <c r="D146" s="68">
        <v>2</v>
      </c>
      <c r="E146" s="68" t="s">
        <v>505</v>
      </c>
    </row>
    <row r="147" spans="1:5">
      <c r="A147" s="68">
        <v>0.473972</v>
      </c>
      <c r="B147" s="68">
        <v>0.21384900000000001</v>
      </c>
      <c r="C147" s="68">
        <v>58.944499999999998</v>
      </c>
      <c r="D147" s="68">
        <v>2</v>
      </c>
      <c r="E147" s="68" t="s">
        <v>506</v>
      </c>
    </row>
    <row r="148" spans="1:5">
      <c r="A148" s="68">
        <v>0.47300500000000001</v>
      </c>
      <c r="B148" s="68">
        <v>0.21710099999999999</v>
      </c>
      <c r="C148" s="68">
        <v>59.354599999999998</v>
      </c>
      <c r="D148" s="68">
        <v>2</v>
      </c>
      <c r="E148" s="68" t="s">
        <v>507</v>
      </c>
    </row>
    <row r="149" spans="1:5">
      <c r="A149" s="68">
        <v>0.47285500000000003</v>
      </c>
      <c r="B149" s="68">
        <v>0.22047900000000001</v>
      </c>
      <c r="C149" s="68">
        <v>59.759900000000002</v>
      </c>
      <c r="D149" s="68">
        <v>2</v>
      </c>
      <c r="E149" s="68" t="s">
        <v>508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509</v>
      </c>
      <c r="B1" s="66" t="s">
        <v>510</v>
      </c>
      <c r="C1" s="66" t="s">
        <v>512</v>
      </c>
      <c r="D1" s="66" t="s">
        <v>513</v>
      </c>
      <c r="E1" s="66" t="s">
        <v>514</v>
      </c>
      <c r="F1" s="66" t="s">
        <v>515</v>
      </c>
      <c r="G1" s="66" t="s">
        <v>349</v>
      </c>
      <c r="H1" s="66" t="s">
        <v>516</v>
      </c>
      <c r="I1" s="66" t="s">
        <v>517</v>
      </c>
      <c r="J1" s="66" t="s">
        <v>518</v>
      </c>
      <c r="K1" s="66" t="s">
        <v>519</v>
      </c>
      <c r="L1" s="66" t="s">
        <v>520</v>
      </c>
      <c r="M1" s="66" t="s">
        <v>521</v>
      </c>
      <c r="N1" s="66"/>
    </row>
    <row r="2" spans="1:14">
      <c r="A2" s="75">
        <v>43619.646932870368</v>
      </c>
      <c r="B2" s="66" t="s">
        <v>511</v>
      </c>
      <c r="C2" s="66"/>
      <c r="D2" s="66"/>
      <c r="E2" s="66">
        <v>4.9234099999999996</v>
      </c>
      <c r="F2" s="66">
        <v>2.39811</v>
      </c>
      <c r="G2" s="66">
        <v>0.740811</v>
      </c>
      <c r="H2" s="66">
        <v>0</v>
      </c>
      <c r="I2" s="66">
        <v>108286</v>
      </c>
      <c r="J2" s="66">
        <v>93</v>
      </c>
      <c r="K2" s="66">
        <v>93</v>
      </c>
      <c r="L2" s="66">
        <v>0</v>
      </c>
      <c r="M2" s="66" t="s">
        <v>522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2019-06-03T07:32:12Z</cp:lastPrinted>
  <dcterms:created xsi:type="dcterms:W3CDTF">2010-10-29T12:53:05Z</dcterms:created>
  <dcterms:modified xsi:type="dcterms:W3CDTF">2019-06-03T07:33:30Z</dcterms:modified>
</cp:coreProperties>
</file>