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<sst xmlns="http://schemas.openxmlformats.org/spreadsheetml/2006/main" count="701" uniqueCount="517">
  <si>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</si>
  <si>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</si>
  <si>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</si>
  <si>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</si>
  <si>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</si>
  <si>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</si>
  <si>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</si>
  <si>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</si>
  <si>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</si>
  <si>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</si>
  <si>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</si>
  <si>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</si>
  <si>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</si>
  <si>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</si>
  <si>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</si>
  <si>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</si>
  <si>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</si>
  <si>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</si>
  <si>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</si>
  <si>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</si>
  <si>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</si>
  <si>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</si>
  <si>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</si>
  <si>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</si>
  <si>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</si>
  <si>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</si>
  <si>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</si>
  <si>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</si>
  <si>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</si>
  <si>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</si>
  <si>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</si>
  <si>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</si>
  <si>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</si>
  <si>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</si>
  <si>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</si>
  <si>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</si>
  <si>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</si>
  <si>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</si>
  <si>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</si>
  <si>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</si>
  <si>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</si>
  <si>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</si>
  <si>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</si>
  <si>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</si>
  <si>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</si>
  <si>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</si>
  <si>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</si>
  <si>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</si>
  <si>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</si>
  <si>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</si>
  <si>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</si>
  <si>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</si>
  <si>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</si>
  <si>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</si>
  <si>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</si>
  <si>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</si>
  <si>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</si>
  <si>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</si>
  <si>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</si>
  <si>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</si>
  <si>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</si>
  <si>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</si>
  <si>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</si>
  <si>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</si>
  <si>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</si>
  <si>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</si>
  <si>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</si>
  <si>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</si>
  <si>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</si>
  <si>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</si>
  <si>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</si>
  <si>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</si>
  <si>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</si>
  <si>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</si>
  <si>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</si>
  <si>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</si>
  <si>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</si>
  <si>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</si>
  <si>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</si>
  <si>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</si>
  <si>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</si>
  <si>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</si>
  <si>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</si>
  <si>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</si>
  <si>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</si>
  <si>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</si>
  <si>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</si>
  <si>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</si>
  <si>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</si>
  <si>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</si>
  <si>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</si>
  <si>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</si>
  <si>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</si>
  <si>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</si>
  <si>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</si>
  <si>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</si>
  <si>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</si>
  <si>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</si>
  <si>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</si>
  <si>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</si>
  <si>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</si>
  <si>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</si>
  <si>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</si>
  <si>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</si>
  <si>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</si>
  <si>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</si>
  <si>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</si>
  <si>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</si>
  <si>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</si>
  <si>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</si>
  <si>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</si>
  <si>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</si>
  <si>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</si>
  <si>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</si>
  <si>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</si>
  <si>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</si>
  <si>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</si>
  <si>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</si>
  <si>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</si>
  <si>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</si>
  <si>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</si>
  <si>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</si>
  <si>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</si>
  <si>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</si>
  <si>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</si>
  <si>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</si>
  <si>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</si>
  <si>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</si>
  <si>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</si>
  <si>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</si>
  <si>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</si>
  <si>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</si>
  <si>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</si>
  <si>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</si>
  <si>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</si>
  <si>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</si>
  <si>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</si>
  <si>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</si>
  <si>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</si>
  <si>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</si>
  <si>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</si>
  <si>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</si>
  <si>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</si>
  <si>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</si>
  <si>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</si>
  <si>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</si>
  <si>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</si>
  <si>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</si>
  <si>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</si>
  <si>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</si>
  <si>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</si>
  <si>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</si>
  <si>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</si>
  <si>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</si>
  <si>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</si>
  <si>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</si>
  <si>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</si>
  <si>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</si>
  <si>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</si>
  <si>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</si>
  <si>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</si>
  <si>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</si>
  <si>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</si>
  <si>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</si>
  <si>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</si>
  <si>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</si>
  <si>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</si>
  <si>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</si>
  <si>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</si>
  <si>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</si>
  <si>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</si>
  <si>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</si>
  <si>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</si>
  <si>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</si>
  <si>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</si>
  <si>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</si>
  <si>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</si>
  <si>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</si>
  <si>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</si>
  <si>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</si>
  <si>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</si>
  <si>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</si>
  <si>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</si>
  <si>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</si>
  <si>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</si>
  <si>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</si>
  <si>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</si>
  <si>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</si>
  <si>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</si>
  <si>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</si>
  <si>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</si>
  <si>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</si>
  <si>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</si>
  <si>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</si>
  <si>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</si>
  <si>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</si>
  <si>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</si>
  <si>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</si>
  <si>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</si>
  <si>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</si>
  <si>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</si>
  <si>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</si>
  <si>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</si>
  <si>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</si>
  <si>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</si>
  <si>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</si>
  <si>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</si>
  <si>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</si>
  <si>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</si>
  <si>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</si>
  <si>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</si>
  <si>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</si>
  <si>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</si>
  <si>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</si>
  <si>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</si>
  <si>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</si>
  <si>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</si>
  <si>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</si>
  <si>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</si>
  <si>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</si>
  <si>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</si>
  <si>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</si>
  <si>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</si>
  <si>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</si>
  <si>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</si>
  <si>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</si>
  <si>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</si>
  <si>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</si>
  <si>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</si>
  <si>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</si>
  <si>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</si>
  <si>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</si>
  <si>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</si>
  <si>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</si>
  <si>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</si>
  <si>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</si>
  <si>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</si>
  <si>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</si>
  <si>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</si>
  <si>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</si>
  <si>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</si>
  <si>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</si>
  <si>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</si>
  <si>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</si>
  <si>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</si>
  <si>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</si>
  <si>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</si>
  <si>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</si>
  <si>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</si>
  <si>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</si>
  <si>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</si>
  <si>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</si>
  <si>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</si>
  <si>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</si>
  <si>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</si>
  <si>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</si>
  <si>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</si>
  <si>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</si>
  <si>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</si>
  <si>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</si>
  <si>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</si>
  <si>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</si>
  <si>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</si>
  <si>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</si>
  <si>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</si>
  <si>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</si>
  <si>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</si>
  <si>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</si>
  <si>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</si>
  <si>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</si>
  <si>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</si>
  <si>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</si>
  <si>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</si>
  <si>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</si>
  <si>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</si>
  <si>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</si>
  <si>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</si>
  <si>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</si>
  <si>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</si>
  <si>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</si>
  <si>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</si>
  <si>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</si>
  <si>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</si>
  <si>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</si>
  <si>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</si>
  <si>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</si>
  <si>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</si>
  <si>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</si>
  <si>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</si>
  <si>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</si>
  <si>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</si>
  <si>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</si>
  <si>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</si>
  <si>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</si>
  <si>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</si>
  <si>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</si>
  <si>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</si>
  <si>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</si>
  <si>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</si>
  <si>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</si>
  <si>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</si>
  <si>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</si>
  <si>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</si>
  <si>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</si>
  <si>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</si>
  <si>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</si>
  <si>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</si>
  <si>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</si>
  <si>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</si>
  <si>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</si>
  <si>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</si>
  <si>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</si>
  <si>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</si>
  <si>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</si>
  <si>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</si>
  <si>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</si>
  <si>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</si>
  <si>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</si>
  <si>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</si>
  <si>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</si>
  <si>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</si>
  <si>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</si>
  <si>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</si>
  <si>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</si>
  <si>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</si>
  <si>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</si>
  <si>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</si>
  <si>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</si>
  <si>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</si>
  <si>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</si>
  <si>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</si>
  <si>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</si>
  <si>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</si>
  <si>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</si>
  <si>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</si>
  <si>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</si>
  <si>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</si>
  <si>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</si>
  <si>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</si>
  <si>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</si>
  <si>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</si>
  <si>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</si>
  <si>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</si>
  <si>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</si>
  <si>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</si>
  <si>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</si>
  <si>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</si>
  <si>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</si>
  <si>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</si>
  <si>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</si>
  <si>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</si>
  <si>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</si>
  <si>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</si>
  <si>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</si>
  <si>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</si>
  <si>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</si>
  <si>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[0.362216]</t>
  </si>
  <si>
    <t>1 [0.765970]</t>
  </si>
  <si>
    <t>1 [1.176480]</t>
  </si>
  <si>
    <t>1 [1.575775]</t>
  </si>
  <si>
    <t>1 [1.980873]</t>
  </si>
  <si>
    <t>1 [2.391724]</t>
  </si>
  <si>
    <t>1 [2.797404]</t>
  </si>
  <si>
    <t>1 [3.203534]</t>
  </si>
  <si>
    <t>1 [3.607009]</t>
  </si>
  <si>
    <t>1 [4.014600]</t>
  </si>
  <si>
    <t>1 [4.423527]</t>
  </si>
  <si>
    <t>1 [4.827265]</t>
  </si>
  <si>
    <t>1 [5.232590]</t>
  </si>
  <si>
    <t>1 [5.638670]</t>
  </si>
  <si>
    <t>1 [6.046399]</t>
  </si>
  <si>
    <t>1 [6.453831]</t>
  </si>
  <si>
    <t>1 [6.857384]</t>
  </si>
  <si>
    <t>1 [7.263252]</t>
  </si>
  <si>
    <t>1 [7.671189]</t>
  </si>
  <si>
    <t>1 [8.076030]</t>
  </si>
  <si>
    <t>1 [8.481806]</t>
  </si>
  <si>
    <t>1 [8.890575]</t>
  </si>
  <si>
    <t>1 [9.297254]</t>
  </si>
  <si>
    <t>1 [9.702650]</t>
  </si>
  <si>
    <t>1 [10.108451]</t>
  </si>
  <si>
    <t>1 [10.513446]</t>
  </si>
  <si>
    <t>1 [10.921360]</t>
  </si>
  <si>
    <t>1 [11.325848]</t>
  </si>
  <si>
    <t>1 [11.733669]</t>
  </si>
  <si>
    <t>1 [12.140103]</t>
  </si>
  <si>
    <t>1 [12.545227]</t>
  </si>
  <si>
    <t>1 [12.954120]</t>
  </si>
  <si>
    <t>1 [13.359744]</t>
  </si>
  <si>
    <t>1 [13.765403]</t>
  </si>
  <si>
    <t>1 [14.171572]</t>
  </si>
  <si>
    <t>1 [14.576556]</t>
  </si>
  <si>
    <t>1 [14.985598]</t>
  </si>
  <si>
    <t>1 [15.394746]</t>
  </si>
  <si>
    <t>1 [15.798948]</t>
  </si>
  <si>
    <t>1 [16.202282]</t>
  </si>
  <si>
    <t>1 [16.609105]</t>
  </si>
  <si>
    <t>1 [17.015775]</t>
  </si>
  <si>
    <t>1 [17.424031]</t>
  </si>
  <si>
    <t>1 [17.827659]</t>
  </si>
  <si>
    <t>1 [18.232341]</t>
  </si>
  <si>
    <t>1 [18.638057]</t>
  </si>
  <si>
    <t>1 [19.043123]</t>
  </si>
  <si>
    <t>1 [19.450308]</t>
  </si>
  <si>
    <t>1 [19.856755]</t>
  </si>
  <si>
    <t>1 [20.265565]</t>
  </si>
  <si>
    <t>1 [20.673087]</t>
  </si>
  <si>
    <t>1 [21.079037]</t>
  </si>
  <si>
    <t>1 [21.481724]</t>
  </si>
  <si>
    <t>1 [21.888866]</t>
  </si>
  <si>
    <t>1 [22.296805]</t>
  </si>
  <si>
    <t>1 [22.701740]</t>
  </si>
  <si>
    <t>1 [23.110143]</t>
  </si>
  <si>
    <t>1 [23.512465]</t>
  </si>
  <si>
    <t>1 [23.918776]</t>
  </si>
  <si>
    <t>1 [24.326792]</t>
  </si>
  <si>
    <t>1 [24.735072]</t>
  </si>
  <si>
    <t>1 [25.143993]</t>
  </si>
  <si>
    <t>1 [25.545790]</t>
  </si>
  <si>
    <t>1 [25.951221]</t>
  </si>
  <si>
    <t>1 [26.356335]</t>
  </si>
  <si>
    <t>1 [26.765883]</t>
  </si>
  <si>
    <t>1 [27.174430]</t>
  </si>
  <si>
    <t>1 [27.576190]</t>
  </si>
  <si>
    <t>1 [27.986912]</t>
  </si>
  <si>
    <t>1 [28.390742]</t>
  </si>
  <si>
    <t>1 [28.795776]</t>
  </si>
  <si>
    <t>1 [29.201316]</t>
  </si>
  <si>
    <t>1 [29.606954]</t>
  </si>
  <si>
    <t>2 [30.012600]</t>
  </si>
  <si>
    <t>2 [30.608589]</t>
  </si>
  <si>
    <t>2 [30.980498]</t>
  </si>
  <si>
    <t>2 [31.356382]</t>
  </si>
  <si>
    <t>2 [31.731564]</t>
  </si>
  <si>
    <t>2 [32.106834]</t>
  </si>
  <si>
    <t>2 [32.513622]</t>
  </si>
  <si>
    <t>2 [32.920849]</t>
  </si>
  <si>
    <t>2 [33.329693]</t>
  </si>
  <si>
    <t>2 [33.731902]</t>
  </si>
  <si>
    <t>2 [34.141229]</t>
  </si>
  <si>
    <t>2 [34.544934]</t>
  </si>
  <si>
    <t>2 [34.952557]</t>
  </si>
  <si>
    <t>2 [35.361397]</t>
  </si>
  <si>
    <t>2 [35.763670]</t>
  </si>
  <si>
    <t>2 [36.170396]</t>
  </si>
  <si>
    <t>2 [36.578137]</t>
  </si>
  <si>
    <t>2 [36.981283]</t>
  </si>
  <si>
    <t>2 [37.390509]</t>
  </si>
  <si>
    <t>2 [37.798563]</t>
  </si>
  <si>
    <t>2 [38.203765]</t>
  </si>
  <si>
    <t>2 [38.612548]</t>
  </si>
  <si>
    <t>2 [39.012774]</t>
  </si>
  <si>
    <t>2 [39.418604]</t>
  </si>
  <si>
    <t>2 [39.825069]</t>
  </si>
  <si>
    <t>2 [40.233368]</t>
  </si>
  <si>
    <t>2 [40.639498]</t>
  </si>
  <si>
    <t>2 [41.046016]</t>
  </si>
  <si>
    <t>2 [41.452138]</t>
  </si>
  <si>
    <t>2 [41.857447]</t>
  </si>
  <si>
    <t>2 [42.265563]</t>
  </si>
  <si>
    <t>2 [42.672502]</t>
  </si>
  <si>
    <t>2 [43.079152]</t>
  </si>
  <si>
    <t>2 [43.483273]</t>
  </si>
  <si>
    <t>2 [43.888746]</t>
  </si>
  <si>
    <t>2 [44.296342]</t>
  </si>
  <si>
    <t>2 [44.706297]</t>
  </si>
  <si>
    <t>2 [45.108690]</t>
  </si>
  <si>
    <t>2 [45.515240]</t>
  </si>
  <si>
    <t>2 [45.918589]</t>
  </si>
  <si>
    <t>2 [46.327719]</t>
  </si>
  <si>
    <t>2 [46.730964]</t>
  </si>
  <si>
    <t>2 [47.139590]</t>
  </si>
  <si>
    <t>2 [47.545770]</t>
  </si>
  <si>
    <t>2 [47.952944]</t>
  </si>
  <si>
    <t>2 [48.356919]</t>
  </si>
  <si>
    <t>2 [48.765845]</t>
  </si>
  <si>
    <t>2 [49.169860]</t>
  </si>
  <si>
    <t>2 [49.573663]</t>
  </si>
  <si>
    <t>2 [49.982735]</t>
  </si>
  <si>
    <t>2 [50.387829]</t>
  </si>
  <si>
    <t>2 [50.795686]</t>
  </si>
  <si>
    <t>2 [51.203857]</t>
  </si>
  <si>
    <t>2 [51.606829]</t>
  </si>
  <si>
    <t>2 [52.016850]</t>
  </si>
  <si>
    <t>2 [52.422827]</t>
  </si>
  <si>
    <t>2 [52.828801]</t>
  </si>
  <si>
    <t>2 [53.232485]</t>
  </si>
  <si>
    <t>2 [53.638172]</t>
  </si>
  <si>
    <t>2 [54.049191]</t>
  </si>
  <si>
    <t>2 [54.451593]</t>
  </si>
  <si>
    <t>2 [54.855572]</t>
  </si>
  <si>
    <t>2 [55.266184]</t>
  </si>
  <si>
    <t>2 [55.671825]</t>
  </si>
  <si>
    <t>2 [56.076926]</t>
  </si>
  <si>
    <t>2 [56.482229]</t>
  </si>
  <si>
    <t>2 [56.889956]</t>
  </si>
  <si>
    <t>2 [57.294833]</t>
  </si>
  <si>
    <t>2 [57.706648]</t>
  </si>
  <si>
    <t>2 [58.108477]</t>
  </si>
  <si>
    <t>2 [58.517475]</t>
  </si>
  <si>
    <t>2 [58.920782]</t>
  </si>
  <si>
    <t>2 [59.327454]</t>
  </si>
  <si>
    <t>2 [59.738312]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</si>
  <si>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</si>
  <si>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</si>
  <si>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</si>
  <si>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</si>
  <si>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</si>
  <si>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</si>
  <si>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</si>
  <si>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</si>
  <si>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</si>
  <si>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</si>
  <si>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</si>
  <si>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</si>
  <si>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</si>
  <si>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胡秀清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</si>
</sst>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38.551099999999998</c:v>
                </c:pt>
                <c:pt idx="1">
                  <c:v>33.3992</c:v>
                </c:pt>
                <c:pt idx="2">
                  <c:v>26.930900000000001</c:v>
                </c:pt>
                <c:pt idx="3">
                  <c:v>32.725700000000003</c:v>
                </c:pt>
                <c:pt idx="4">
                  <c:v>62.969499999999996</c:v>
                </c:pt>
                <c:pt idx="5">
                  <c:v>70.186999999999998</c:v>
                </c:pt>
                <c:pt idx="6">
                  <c:v>19.566099999999999</c:v>
                </c:pt>
                <c:pt idx="7">
                  <c:v>64.119699999999995</c:v>
                </c:pt>
                <c:pt idx="8">
                  <c:v>18.190100000000001</c:v>
                </c:pt>
                <c:pt idx="9">
                  <c:v>30.8933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0.48552291006143983</c:v>
                </c:pt>
                <c:pt idx="1">
                  <c:v>0.2946757393375965</c:v>
                </c:pt>
                <c:pt idx="2">
                  <c:v>0.21980135060096367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7518</c:v>
                </c:pt>
                <c:pt idx="7">
                  <c:v>0</c:v>
                </c:pt>
                <c:pt idx="8">
                  <c:v>15561</c:v>
                </c:pt>
                <c:pt idx="9">
                  <c:v>0</c:v>
                </c:pt>
                <c:pt idx="10">
                  <c:v>0</c:v>
                </c:pt>
                <c:pt idx="11">
                  <c:v>24645</c:v>
                </c:pt>
                <c:pt idx="12">
                  <c:v>0</c:v>
                </c:pt>
                <c:pt idx="13">
                  <c:v>23440</c:v>
                </c:pt>
                <c:pt idx="14">
                  <c:v>0</c:v>
                </c:pt>
                <c:pt idx="15">
                  <c:v>0</c:v>
                </c:pt>
                <c:pt idx="16">
                  <c:v>32444</c:v>
                </c:pt>
                <c:pt idx="17">
                  <c:v>0</c:v>
                </c:pt>
                <c:pt idx="18">
                  <c:v>0</c:v>
                </c:pt>
                <c:pt idx="19">
                  <c:v>42849</c:v>
                </c:pt>
                <c:pt idx="20">
                  <c:v>0</c:v>
                </c:pt>
                <c:pt idx="21">
                  <c:v>46157</c:v>
                </c:pt>
                <c:pt idx="22">
                  <c:v>0</c:v>
                </c:pt>
                <c:pt idx="23">
                  <c:v>0</c:v>
                </c:pt>
                <c:pt idx="24">
                  <c:v>67064</c:v>
                </c:pt>
                <c:pt idx="25">
                  <c:v>0</c:v>
                </c:pt>
                <c:pt idx="26">
                  <c:v>70484</c:v>
                </c:pt>
                <c:pt idx="27">
                  <c:v>0</c:v>
                </c:pt>
                <c:pt idx="28">
                  <c:v>0</c:v>
                </c:pt>
                <c:pt idx="29">
                  <c:v>76186</c:v>
                </c:pt>
                <c:pt idx="30">
                  <c:v>0</c:v>
                </c:pt>
                <c:pt idx="31">
                  <c:v>84036</c:v>
                </c:pt>
                <c:pt idx="32">
                  <c:v>0</c:v>
                </c:pt>
                <c:pt idx="33">
                  <c:v>0</c:v>
                </c:pt>
                <c:pt idx="34">
                  <c:v>87443</c:v>
                </c:pt>
                <c:pt idx="35">
                  <c:v>0</c:v>
                </c:pt>
                <c:pt idx="36">
                  <c:v>0</c:v>
                </c:pt>
                <c:pt idx="37">
                  <c:v>98655</c:v>
                </c:pt>
                <c:pt idx="38">
                  <c:v>0</c:v>
                </c:pt>
                <c:pt idx="39">
                  <c:v>100983</c:v>
                </c:pt>
                <c:pt idx="40">
                  <c:v>0</c:v>
                </c:pt>
                <c:pt idx="41">
                  <c:v>0</c:v>
                </c:pt>
                <c:pt idx="42">
                  <c:v>90175</c:v>
                </c:pt>
                <c:pt idx="43">
                  <c:v>0</c:v>
                </c:pt>
                <c:pt idx="44">
                  <c:v>75297</c:v>
                </c:pt>
                <c:pt idx="45">
                  <c:v>0</c:v>
                </c:pt>
                <c:pt idx="46">
                  <c:v>0</c:v>
                </c:pt>
                <c:pt idx="47">
                  <c:v>85001</c:v>
                </c:pt>
                <c:pt idx="48">
                  <c:v>0</c:v>
                </c:pt>
                <c:pt idx="49">
                  <c:v>76911</c:v>
                </c:pt>
                <c:pt idx="50">
                  <c:v>0</c:v>
                </c:pt>
                <c:pt idx="51">
                  <c:v>0</c:v>
                </c:pt>
                <c:pt idx="52">
                  <c:v>80394</c:v>
                </c:pt>
                <c:pt idx="53">
                  <c:v>0</c:v>
                </c:pt>
                <c:pt idx="54">
                  <c:v>0</c:v>
                </c:pt>
                <c:pt idx="55">
                  <c:v>74205</c:v>
                </c:pt>
                <c:pt idx="56">
                  <c:v>0</c:v>
                </c:pt>
                <c:pt idx="57">
                  <c:v>78243</c:v>
                </c:pt>
                <c:pt idx="58">
                  <c:v>0</c:v>
                </c:pt>
                <c:pt idx="59">
                  <c:v>0</c:v>
                </c:pt>
                <c:pt idx="60">
                  <c:v>76565</c:v>
                </c:pt>
                <c:pt idx="61">
                  <c:v>0</c:v>
                </c:pt>
                <c:pt idx="62">
                  <c:v>78479</c:v>
                </c:pt>
                <c:pt idx="63">
                  <c:v>0</c:v>
                </c:pt>
                <c:pt idx="64">
                  <c:v>0</c:v>
                </c:pt>
                <c:pt idx="65">
                  <c:v>73268</c:v>
                </c:pt>
                <c:pt idx="66">
                  <c:v>0</c:v>
                </c:pt>
                <c:pt idx="67">
                  <c:v>74340</c:v>
                </c:pt>
                <c:pt idx="68">
                  <c:v>0</c:v>
                </c:pt>
                <c:pt idx="69">
                  <c:v>0</c:v>
                </c:pt>
                <c:pt idx="70">
                  <c:v>77236</c:v>
                </c:pt>
                <c:pt idx="71">
                  <c:v>0</c:v>
                </c:pt>
                <c:pt idx="72">
                  <c:v>0</c:v>
                </c:pt>
                <c:pt idx="73">
                  <c:v>78913</c:v>
                </c:pt>
                <c:pt idx="74">
                  <c:v>0</c:v>
                </c:pt>
                <c:pt idx="75">
                  <c:v>80465</c:v>
                </c:pt>
                <c:pt idx="76">
                  <c:v>0</c:v>
                </c:pt>
                <c:pt idx="77">
                  <c:v>0</c:v>
                </c:pt>
                <c:pt idx="78">
                  <c:v>84124</c:v>
                </c:pt>
                <c:pt idx="79">
                  <c:v>0</c:v>
                </c:pt>
                <c:pt idx="80">
                  <c:v>90296</c:v>
                </c:pt>
                <c:pt idx="81">
                  <c:v>0</c:v>
                </c:pt>
                <c:pt idx="82">
                  <c:v>0</c:v>
                </c:pt>
                <c:pt idx="83">
                  <c:v>90780</c:v>
                </c:pt>
                <c:pt idx="84">
                  <c:v>0</c:v>
                </c:pt>
                <c:pt idx="85">
                  <c:v>0</c:v>
                </c:pt>
                <c:pt idx="86">
                  <c:v>102193</c:v>
                </c:pt>
                <c:pt idx="87">
                  <c:v>0</c:v>
                </c:pt>
                <c:pt idx="88">
                  <c:v>103680</c:v>
                </c:pt>
                <c:pt idx="89">
                  <c:v>0</c:v>
                </c:pt>
                <c:pt idx="90">
                  <c:v>0</c:v>
                </c:pt>
                <c:pt idx="91">
                  <c:v>101345</c:v>
                </c:pt>
                <c:pt idx="92">
                  <c:v>0</c:v>
                </c:pt>
                <c:pt idx="93">
                  <c:v>97586</c:v>
                </c:pt>
                <c:pt idx="94">
                  <c:v>0</c:v>
                </c:pt>
                <c:pt idx="95">
                  <c:v>0</c:v>
                </c:pt>
                <c:pt idx="96">
                  <c:v>93387</c:v>
                </c:pt>
                <c:pt idx="97">
                  <c:v>0</c:v>
                </c:pt>
                <c:pt idx="98">
                  <c:v>88961</c:v>
                </c:pt>
                <c:pt idx="99">
                  <c:v>0</c:v>
                </c:pt>
                <c:pt idx="100">
                  <c:v>0</c:v>
                </c:pt>
                <c:pt idx="101">
                  <c:v>81375</c:v>
                </c:pt>
                <c:pt idx="102">
                  <c:v>0</c:v>
                </c:pt>
                <c:pt idx="103">
                  <c:v>0</c:v>
                </c:pt>
                <c:pt idx="104">
                  <c:v>76082</c:v>
                </c:pt>
                <c:pt idx="105">
                  <c:v>0</c:v>
                </c:pt>
                <c:pt idx="106">
                  <c:v>72110</c:v>
                </c:pt>
                <c:pt idx="107">
                  <c:v>0</c:v>
                </c:pt>
                <c:pt idx="108">
                  <c:v>0</c:v>
                </c:pt>
                <c:pt idx="109">
                  <c:v>72020</c:v>
                </c:pt>
                <c:pt idx="110">
                  <c:v>0</c:v>
                </c:pt>
                <c:pt idx="111">
                  <c:v>69560</c:v>
                </c:pt>
                <c:pt idx="112">
                  <c:v>0</c:v>
                </c:pt>
                <c:pt idx="113">
                  <c:v>0</c:v>
                </c:pt>
                <c:pt idx="114">
                  <c:v>69639</c:v>
                </c:pt>
                <c:pt idx="115">
                  <c:v>0</c:v>
                </c:pt>
                <c:pt idx="116">
                  <c:v>67609</c:v>
                </c:pt>
                <c:pt idx="117">
                  <c:v>0</c:v>
                </c:pt>
                <c:pt idx="118">
                  <c:v>0</c:v>
                </c:pt>
                <c:pt idx="119">
                  <c:v>67902</c:v>
                </c:pt>
                <c:pt idx="120">
                  <c:v>0</c:v>
                </c:pt>
                <c:pt idx="121">
                  <c:v>0</c:v>
                </c:pt>
                <c:pt idx="122">
                  <c:v>63555</c:v>
                </c:pt>
                <c:pt idx="123">
                  <c:v>0</c:v>
                </c:pt>
                <c:pt idx="124">
                  <c:v>60822</c:v>
                </c:pt>
                <c:pt idx="125">
                  <c:v>0</c:v>
                </c:pt>
                <c:pt idx="126">
                  <c:v>0</c:v>
                </c:pt>
                <c:pt idx="127">
                  <c:v>61919</c:v>
                </c:pt>
                <c:pt idx="128">
                  <c:v>0</c:v>
                </c:pt>
                <c:pt idx="129">
                  <c:v>60497</c:v>
                </c:pt>
                <c:pt idx="130">
                  <c:v>0</c:v>
                </c:pt>
                <c:pt idx="131">
                  <c:v>0</c:v>
                </c:pt>
                <c:pt idx="132">
                  <c:v>61382</c:v>
                </c:pt>
                <c:pt idx="133">
                  <c:v>0</c:v>
                </c:pt>
                <c:pt idx="134">
                  <c:v>61002</c:v>
                </c:pt>
                <c:pt idx="135">
                  <c:v>0</c:v>
                </c:pt>
                <c:pt idx="136">
                  <c:v>0</c:v>
                </c:pt>
                <c:pt idx="137">
                  <c:v>58250</c:v>
                </c:pt>
                <c:pt idx="138">
                  <c:v>0</c:v>
                </c:pt>
                <c:pt idx="139">
                  <c:v>0</c:v>
                </c:pt>
                <c:pt idx="140">
                  <c:v>54664</c:v>
                </c:pt>
                <c:pt idx="141">
                  <c:v>0</c:v>
                </c:pt>
                <c:pt idx="142">
                  <c:v>47195</c:v>
                </c:pt>
                <c:pt idx="143">
                  <c:v>0</c:v>
                </c:pt>
                <c:pt idx="144">
                  <c:v>0</c:v>
                </c:pt>
                <c:pt idx="145">
                  <c:v>42417</c:v>
                </c:pt>
                <c:pt idx="146">
                  <c:v>0</c:v>
                </c:pt>
                <c:pt idx="147">
                  <c:v>39931</c:v>
                </c:pt>
                <c:pt idx="148">
                  <c:v>0</c:v>
                </c:pt>
                <c:pt idx="149">
                  <c:v>0</c:v>
                </c:pt>
                <c:pt idx="150">
                  <c:v>35979</c:v>
                </c:pt>
                <c:pt idx="151">
                  <c:v>0</c:v>
                </c:pt>
                <c:pt idx="152">
                  <c:v>24284</c:v>
                </c:pt>
                <c:pt idx="153">
                  <c:v>0</c:v>
                </c:pt>
                <c:pt idx="154">
                  <c:v>0</c:v>
                </c:pt>
                <c:pt idx="155">
                  <c:v>21724</c:v>
                </c:pt>
                <c:pt idx="156">
                  <c:v>0</c:v>
                </c:pt>
                <c:pt idx="157">
                  <c:v>0</c:v>
                </c:pt>
                <c:pt idx="158">
                  <c:v>18351</c:v>
                </c:pt>
                <c:pt idx="159">
                  <c:v>0</c:v>
                </c:pt>
                <c:pt idx="160">
                  <c:v>17045</c:v>
                </c:pt>
                <c:pt idx="161">
                  <c:v>0</c:v>
                </c:pt>
                <c:pt idx="162">
                  <c:v>0</c:v>
                </c:pt>
                <c:pt idx="163">
                  <c:v>16651</c:v>
                </c:pt>
                <c:pt idx="164">
                  <c:v>0</c:v>
                </c:pt>
                <c:pt idx="165">
                  <c:v>10671</c:v>
                </c:pt>
                <c:pt idx="166">
                  <c:v>0</c:v>
                </c:pt>
                <c:pt idx="167">
                  <c:v>0</c:v>
                </c:pt>
                <c:pt idx="168">
                  <c:v>11935</c:v>
                </c:pt>
                <c:pt idx="169">
                  <c:v>0</c:v>
                </c:pt>
                <c:pt idx="170">
                  <c:v>0</c:v>
                </c:pt>
                <c:pt idx="171">
                  <c:v>9213</c:v>
                </c:pt>
                <c:pt idx="172">
                  <c:v>0</c:v>
                </c:pt>
                <c:pt idx="173">
                  <c:v>7458</c:v>
                </c:pt>
                <c:pt idx="174">
                  <c:v>0</c:v>
                </c:pt>
                <c:pt idx="175">
                  <c:v>0</c:v>
                </c:pt>
                <c:pt idx="176">
                  <c:v>8195</c:v>
                </c:pt>
                <c:pt idx="177">
                  <c:v>0</c:v>
                </c:pt>
                <c:pt idx="178">
                  <c:v>7055</c:v>
                </c:pt>
                <c:pt idx="179">
                  <c:v>0</c:v>
                </c:pt>
                <c:pt idx="180">
                  <c:v>0</c:v>
                </c:pt>
                <c:pt idx="181">
                  <c:v>6281</c:v>
                </c:pt>
                <c:pt idx="182">
                  <c:v>0</c:v>
                </c:pt>
                <c:pt idx="183">
                  <c:v>6105</c:v>
                </c:pt>
                <c:pt idx="184">
                  <c:v>0</c:v>
                </c:pt>
                <c:pt idx="185">
                  <c:v>0</c:v>
                </c:pt>
                <c:pt idx="186">
                  <c:v>5918</c:v>
                </c:pt>
                <c:pt idx="187">
                  <c:v>0</c:v>
                </c:pt>
                <c:pt idx="188">
                  <c:v>0</c:v>
                </c:pt>
                <c:pt idx="189">
                  <c:v>5113</c:v>
                </c:pt>
                <c:pt idx="190">
                  <c:v>0</c:v>
                </c:pt>
                <c:pt idx="191">
                  <c:v>4530</c:v>
                </c:pt>
                <c:pt idx="192">
                  <c:v>0</c:v>
                </c:pt>
                <c:pt idx="193">
                  <c:v>0</c:v>
                </c:pt>
                <c:pt idx="194">
                  <c:v>932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  <c:pt idx="74">
                  <c:v>3.3301500000000002</c:v>
                </c:pt>
                <c:pt idx="75">
                  <c:v>3.35907</c:v>
                </c:pt>
                <c:pt idx="76">
                  <c:v>3.3773999999999997</c:v>
                </c:pt>
                <c:pt idx="77">
                  <c:v>3.3933799999999996</c:v>
                </c:pt>
                <c:pt idx="78">
                  <c:v>3.4112199999999997</c:v>
                </c:pt>
                <c:pt idx="79">
                  <c:v>3.4308699999999996</c:v>
                </c:pt>
                <c:pt idx="80">
                  <c:v>3.4498199999999999</c:v>
                </c:pt>
                <c:pt idx="81">
                  <c:v>3.4670899999999998</c:v>
                </c:pt>
                <c:pt idx="82">
                  <c:v>3.48414</c:v>
                </c:pt>
                <c:pt idx="83">
                  <c:v>3.4993000000000003</c:v>
                </c:pt>
                <c:pt idx="84">
                  <c:v>3.5127799999999998</c:v>
                </c:pt>
                <c:pt idx="85">
                  <c:v>3.5256700000000003</c:v>
                </c:pt>
                <c:pt idx="86">
                  <c:v>3.5397699999999999</c:v>
                </c:pt>
                <c:pt idx="87">
                  <c:v>3.5552600000000001</c:v>
                </c:pt>
                <c:pt idx="88">
                  <c:v>3.5722999999999998</c:v>
                </c:pt>
                <c:pt idx="89">
                  <c:v>3.59057</c:v>
                </c:pt>
                <c:pt idx="90">
                  <c:v>3.6092200000000001</c:v>
                </c:pt>
                <c:pt idx="91">
                  <c:v>3.6275000000000004</c:v>
                </c:pt>
                <c:pt idx="92">
                  <c:v>3.6453600000000002</c:v>
                </c:pt>
                <c:pt idx="93">
                  <c:v>3.6649900000000004</c:v>
                </c:pt>
                <c:pt idx="94">
                  <c:v>3.6932900000000002</c:v>
                </c:pt>
                <c:pt idx="95">
                  <c:v>3.7246200000000003</c:v>
                </c:pt>
                <c:pt idx="96">
                  <c:v>3.7583199999999999</c:v>
                </c:pt>
                <c:pt idx="97">
                  <c:v>3.7883599999999999</c:v>
                </c:pt>
                <c:pt idx="98">
                  <c:v>3.8141799999999999</c:v>
                </c:pt>
                <c:pt idx="99">
                  <c:v>3.8320799999999999</c:v>
                </c:pt>
                <c:pt idx="100">
                  <c:v>3.8489400000000002</c:v>
                </c:pt>
                <c:pt idx="101">
                  <c:v>3.8627099999999999</c:v>
                </c:pt>
                <c:pt idx="102">
                  <c:v>3.8807700000000001</c:v>
                </c:pt>
                <c:pt idx="103">
                  <c:v>3.9015300000000002</c:v>
                </c:pt>
                <c:pt idx="104">
                  <c:v>3.9266000000000001</c:v>
                </c:pt>
                <c:pt idx="105">
                  <c:v>3.95546</c:v>
                </c:pt>
                <c:pt idx="106">
                  <c:v>3.9802599999999999</c:v>
                </c:pt>
                <c:pt idx="107">
                  <c:v>4.0017399999999999</c:v>
                </c:pt>
                <c:pt idx="108">
                  <c:v>4.0224399999999996</c:v>
                </c:pt>
                <c:pt idx="109">
                  <c:v>4.0437599999999998</c:v>
                </c:pt>
                <c:pt idx="110">
                  <c:v>4.0665200000000006</c:v>
                </c:pt>
                <c:pt idx="111">
                  <c:v>4.0852500000000003</c:v>
                </c:pt>
                <c:pt idx="112">
                  <c:v>4.1041800000000004</c:v>
                </c:pt>
                <c:pt idx="113">
                  <c:v>4.1217600000000001</c:v>
                </c:pt>
                <c:pt idx="114">
                  <c:v>4.1320100000000002</c:v>
                </c:pt>
                <c:pt idx="115">
                  <c:v>4.1400899999999998</c:v>
                </c:pt>
                <c:pt idx="116">
                  <c:v>4.1485599999999998</c:v>
                </c:pt>
                <c:pt idx="117">
                  <c:v>4.1554700000000002</c:v>
                </c:pt>
                <c:pt idx="118">
                  <c:v>4.1627000000000001</c:v>
                </c:pt>
                <c:pt idx="119">
                  <c:v>4.16873</c:v>
                </c:pt>
                <c:pt idx="120">
                  <c:v>4.1739800000000002</c:v>
                </c:pt>
                <c:pt idx="121">
                  <c:v>4.1781100000000002</c:v>
                </c:pt>
                <c:pt idx="122">
                  <c:v>4.1781499999999996</c:v>
                </c:pt>
                <c:pt idx="123">
                  <c:v>4.1749299999999998</c:v>
                </c:pt>
                <c:pt idx="124">
                  <c:v>4.1808499999999995</c:v>
                </c:pt>
                <c:pt idx="125">
                  <c:v>4.1888300000000003</c:v>
                </c:pt>
                <c:pt idx="126">
                  <c:v>4.1994199999999999</c:v>
                </c:pt>
                <c:pt idx="127">
                  <c:v>4.2085699999999999</c:v>
                </c:pt>
                <c:pt idx="128">
                  <c:v>4.2150800000000004</c:v>
                </c:pt>
                <c:pt idx="129">
                  <c:v>4.2170399999999999</c:v>
                </c:pt>
                <c:pt idx="130">
                  <c:v>4.2145899999999994</c:v>
                </c:pt>
                <c:pt idx="131">
                  <c:v>4.2140899999999997</c:v>
                </c:pt>
                <c:pt idx="132">
                  <c:v>4.2148000000000003</c:v>
                </c:pt>
                <c:pt idx="133">
                  <c:v>4.2149099999999997</c:v>
                </c:pt>
                <c:pt idx="134">
                  <c:v>4.2130999999999998</c:v>
                </c:pt>
                <c:pt idx="135">
                  <c:v>4.2077100000000005</c:v>
                </c:pt>
                <c:pt idx="136">
                  <c:v>4.2037300000000002</c:v>
                </c:pt>
                <c:pt idx="137">
                  <c:v>4.19381</c:v>
                </c:pt>
                <c:pt idx="138">
                  <c:v>4.1804399999999999</c:v>
                </c:pt>
                <c:pt idx="139">
                  <c:v>4.17577</c:v>
                </c:pt>
                <c:pt idx="140">
                  <c:v>4.1748400000000006</c:v>
                </c:pt>
                <c:pt idx="141">
                  <c:v>4.1706700000000003</c:v>
                </c:pt>
                <c:pt idx="142">
                  <c:v>4.1658600000000003</c:v>
                </c:pt>
                <c:pt idx="143">
                  <c:v>4.1546000000000003</c:v>
                </c:pt>
                <c:pt idx="144">
                  <c:v>4.13551</c:v>
                </c:pt>
                <c:pt idx="145">
                  <c:v>4.0998099999999997</c:v>
                </c:pt>
                <c:pt idx="146">
                  <c:v>4.0539500000000004</c:v>
                </c:pt>
                <c:pt idx="147">
                  <c:v>4.0076700000000001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  <c:pt idx="74">
                  <c:v>40.745799999999996</c:v>
                </c:pt>
                <c:pt idx="75">
                  <c:v>40.215400000000002</c:v>
                </c:pt>
                <c:pt idx="76">
                  <c:v>39.775500000000001</c:v>
                </c:pt>
                <c:pt idx="77">
                  <c:v>39.422899999999998</c:v>
                </c:pt>
                <c:pt idx="78">
                  <c:v>39.044000000000004</c:v>
                </c:pt>
                <c:pt idx="79">
                  <c:v>38.624399999999994</c:v>
                </c:pt>
                <c:pt idx="80">
                  <c:v>38.251200000000004</c:v>
                </c:pt>
                <c:pt idx="81">
                  <c:v>37.906800000000004</c:v>
                </c:pt>
                <c:pt idx="82">
                  <c:v>37.503</c:v>
                </c:pt>
                <c:pt idx="83">
                  <c:v>37.1038</c:v>
                </c:pt>
                <c:pt idx="84">
                  <c:v>36.759599999999999</c:v>
                </c:pt>
                <c:pt idx="85">
                  <c:v>36.425699999999999</c:v>
                </c:pt>
                <c:pt idx="86">
                  <c:v>35.986000000000004</c:v>
                </c:pt>
                <c:pt idx="87">
                  <c:v>35.496299999999998</c:v>
                </c:pt>
                <c:pt idx="88">
                  <c:v>34.954099999999997</c:v>
                </c:pt>
                <c:pt idx="89">
                  <c:v>34.333599999999997</c:v>
                </c:pt>
                <c:pt idx="90">
                  <c:v>33.669199999999996</c:v>
                </c:pt>
                <c:pt idx="91">
                  <c:v>32.992399999999996</c:v>
                </c:pt>
                <c:pt idx="92">
                  <c:v>32.311199999999999</c:v>
                </c:pt>
                <c:pt idx="93">
                  <c:v>31.680099999999999</c:v>
                </c:pt>
                <c:pt idx="94">
                  <c:v>31.0853</c:v>
                </c:pt>
                <c:pt idx="95">
                  <c:v>30.560599999999997</c:v>
                </c:pt>
                <c:pt idx="96">
                  <c:v>30.186699999999998</c:v>
                </c:pt>
                <c:pt idx="97">
                  <c:v>29.8201</c:v>
                </c:pt>
                <c:pt idx="98">
                  <c:v>29.518499999999996</c:v>
                </c:pt>
                <c:pt idx="99">
                  <c:v>29.247400000000003</c:v>
                </c:pt>
                <c:pt idx="100">
                  <c:v>29.018699999999995</c:v>
                </c:pt>
                <c:pt idx="101">
                  <c:v>28.892400000000002</c:v>
                </c:pt>
                <c:pt idx="102">
                  <c:v>28.819699999999997</c:v>
                </c:pt>
                <c:pt idx="103">
                  <c:v>28.731499999999997</c:v>
                </c:pt>
                <c:pt idx="104">
                  <c:v>28.569400000000002</c:v>
                </c:pt>
                <c:pt idx="105">
                  <c:v>28.376600000000003</c:v>
                </c:pt>
                <c:pt idx="106">
                  <c:v>28.2681</c:v>
                </c:pt>
                <c:pt idx="107">
                  <c:v>28.152999999999999</c:v>
                </c:pt>
                <c:pt idx="108">
                  <c:v>28.053599999999999</c:v>
                </c:pt>
                <c:pt idx="109">
                  <c:v>27.946100000000001</c:v>
                </c:pt>
                <c:pt idx="110">
                  <c:v>27.811799999999998</c:v>
                </c:pt>
                <c:pt idx="111">
                  <c:v>27.7422</c:v>
                </c:pt>
                <c:pt idx="112">
                  <c:v>27.659699999999997</c:v>
                </c:pt>
                <c:pt idx="113">
                  <c:v>27.5578</c:v>
                </c:pt>
                <c:pt idx="114">
                  <c:v>27.5488</c:v>
                </c:pt>
                <c:pt idx="115">
                  <c:v>27.5243</c:v>
                </c:pt>
                <c:pt idx="116">
                  <c:v>27.4909</c:v>
                </c:pt>
                <c:pt idx="117">
                  <c:v>27.494499999999999</c:v>
                </c:pt>
                <c:pt idx="118">
                  <c:v>27.477699999999999</c:v>
                </c:pt>
                <c:pt idx="119">
                  <c:v>27.414899999999996</c:v>
                </c:pt>
                <c:pt idx="120">
                  <c:v>27.349</c:v>
                </c:pt>
                <c:pt idx="121">
                  <c:v>27.211999999999996</c:v>
                </c:pt>
                <c:pt idx="122">
                  <c:v>27.077400000000001</c:v>
                </c:pt>
                <c:pt idx="123">
                  <c:v>26.9191</c:v>
                </c:pt>
                <c:pt idx="124">
                  <c:v>26.8401</c:v>
                </c:pt>
                <c:pt idx="125">
                  <c:v>26.756</c:v>
                </c:pt>
                <c:pt idx="126">
                  <c:v>26.669999999999998</c:v>
                </c:pt>
                <c:pt idx="127">
                  <c:v>26.523499999999999</c:v>
                </c:pt>
                <c:pt idx="128">
                  <c:v>26.367600000000003</c:v>
                </c:pt>
                <c:pt idx="129">
                  <c:v>26.2486</c:v>
                </c:pt>
                <c:pt idx="130">
                  <c:v>26.132100000000001</c:v>
                </c:pt>
                <c:pt idx="131">
                  <c:v>25.987700000000004</c:v>
                </c:pt>
                <c:pt idx="132">
                  <c:v>25.905899999999999</c:v>
                </c:pt>
                <c:pt idx="133">
                  <c:v>25.825599999999998</c:v>
                </c:pt>
                <c:pt idx="134">
                  <c:v>25.745000000000001</c:v>
                </c:pt>
                <c:pt idx="135">
                  <c:v>25.706200000000003</c:v>
                </c:pt>
                <c:pt idx="136">
                  <c:v>25.6235</c:v>
                </c:pt>
                <c:pt idx="137">
                  <c:v>25.577400000000001</c:v>
                </c:pt>
                <c:pt idx="138">
                  <c:v>25.645699999999998</c:v>
                </c:pt>
                <c:pt idx="139">
                  <c:v>25.6144</c:v>
                </c:pt>
                <c:pt idx="140">
                  <c:v>25.634699999999999</c:v>
                </c:pt>
                <c:pt idx="141">
                  <c:v>25.726399999999998</c:v>
                </c:pt>
                <c:pt idx="142">
                  <c:v>25.7806</c:v>
                </c:pt>
                <c:pt idx="143">
                  <c:v>25.880199999999999</c:v>
                </c:pt>
                <c:pt idx="144">
                  <c:v>25.9438</c:v>
                </c:pt>
                <c:pt idx="145">
                  <c:v>25.8826</c:v>
                </c:pt>
                <c:pt idx="146">
                  <c:v>25.7956</c:v>
                </c:pt>
                <c:pt idx="147">
                  <c:v>25.6874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3.3048300000000004</c:v>
                </c:pt>
                <c:pt idx="1">
                  <c:v>3.3301500000000002</c:v>
                </c:pt>
                <c:pt idx="2">
                  <c:v>3.35907</c:v>
                </c:pt>
                <c:pt idx="3">
                  <c:v>3.3773999999999997</c:v>
                </c:pt>
                <c:pt idx="4">
                  <c:v>3.3933799999999996</c:v>
                </c:pt>
                <c:pt idx="5">
                  <c:v>3.4112199999999997</c:v>
                </c:pt>
                <c:pt idx="6">
                  <c:v>3.4308699999999996</c:v>
                </c:pt>
                <c:pt idx="7">
                  <c:v>3.4498199999999999</c:v>
                </c:pt>
                <c:pt idx="8">
                  <c:v>3.4670899999999998</c:v>
                </c:pt>
                <c:pt idx="9">
                  <c:v>3.48414</c:v>
                </c:pt>
                <c:pt idx="10">
                  <c:v>3.4993000000000003</c:v>
                </c:pt>
                <c:pt idx="11">
                  <c:v>3.5127799999999998</c:v>
                </c:pt>
                <c:pt idx="12">
                  <c:v>3.5256700000000003</c:v>
                </c:pt>
                <c:pt idx="13">
                  <c:v>3.5397699999999999</c:v>
                </c:pt>
                <c:pt idx="14">
                  <c:v>3.5552600000000001</c:v>
                </c:pt>
                <c:pt idx="15">
                  <c:v>3.5722999999999998</c:v>
                </c:pt>
                <c:pt idx="16">
                  <c:v>3.59057</c:v>
                </c:pt>
                <c:pt idx="17">
                  <c:v>3.6092200000000001</c:v>
                </c:pt>
                <c:pt idx="18">
                  <c:v>3.6275000000000004</c:v>
                </c:pt>
                <c:pt idx="19">
                  <c:v>3.6453600000000002</c:v>
                </c:pt>
                <c:pt idx="20">
                  <c:v>3.6649900000000004</c:v>
                </c:pt>
                <c:pt idx="21">
                  <c:v>3.6932900000000002</c:v>
                </c:pt>
                <c:pt idx="22">
                  <c:v>3.7246200000000003</c:v>
                </c:pt>
                <c:pt idx="23">
                  <c:v>3.7583199999999999</c:v>
                </c:pt>
                <c:pt idx="24">
                  <c:v>3.7883599999999999</c:v>
                </c:pt>
                <c:pt idx="25">
                  <c:v>3.8141799999999999</c:v>
                </c:pt>
                <c:pt idx="26">
                  <c:v>3.8320799999999999</c:v>
                </c:pt>
                <c:pt idx="27">
                  <c:v>3.8489400000000002</c:v>
                </c:pt>
                <c:pt idx="28">
                  <c:v>3.8627099999999999</c:v>
                </c:pt>
                <c:pt idx="29">
                  <c:v>3.8807700000000001</c:v>
                </c:pt>
                <c:pt idx="30">
                  <c:v>3.9015300000000002</c:v>
                </c:pt>
                <c:pt idx="31">
                  <c:v>3.9266000000000001</c:v>
                </c:pt>
                <c:pt idx="32">
                  <c:v>3.95546</c:v>
                </c:pt>
                <c:pt idx="33">
                  <c:v>3.9802599999999999</c:v>
                </c:pt>
                <c:pt idx="34">
                  <c:v>4.0017399999999999</c:v>
                </c:pt>
                <c:pt idx="35">
                  <c:v>4.0224399999999996</c:v>
                </c:pt>
                <c:pt idx="36">
                  <c:v>4.0437599999999998</c:v>
                </c:pt>
                <c:pt idx="37">
                  <c:v>4.0665200000000006</c:v>
                </c:pt>
                <c:pt idx="38">
                  <c:v>4.0852500000000003</c:v>
                </c:pt>
                <c:pt idx="39">
                  <c:v>4.1041800000000004</c:v>
                </c:pt>
                <c:pt idx="40">
                  <c:v>4.1217600000000001</c:v>
                </c:pt>
                <c:pt idx="41">
                  <c:v>4.1320100000000002</c:v>
                </c:pt>
                <c:pt idx="42">
                  <c:v>4.1400899999999998</c:v>
                </c:pt>
                <c:pt idx="43">
                  <c:v>4.1485599999999998</c:v>
                </c:pt>
                <c:pt idx="44">
                  <c:v>4.1554700000000002</c:v>
                </c:pt>
                <c:pt idx="45">
                  <c:v>4.1627000000000001</c:v>
                </c:pt>
                <c:pt idx="46">
                  <c:v>4.16873</c:v>
                </c:pt>
                <c:pt idx="47">
                  <c:v>4.1739800000000002</c:v>
                </c:pt>
                <c:pt idx="48">
                  <c:v>4.1781100000000002</c:v>
                </c:pt>
                <c:pt idx="49">
                  <c:v>4.1781499999999996</c:v>
                </c:pt>
                <c:pt idx="50">
                  <c:v>4.1749299999999998</c:v>
                </c:pt>
                <c:pt idx="51">
                  <c:v>4.1808499999999995</c:v>
                </c:pt>
                <c:pt idx="52">
                  <c:v>4.1888300000000003</c:v>
                </c:pt>
                <c:pt idx="53">
                  <c:v>4.1994199999999999</c:v>
                </c:pt>
                <c:pt idx="54">
                  <c:v>4.2085699999999999</c:v>
                </c:pt>
                <c:pt idx="55">
                  <c:v>4.2150800000000004</c:v>
                </c:pt>
                <c:pt idx="56">
                  <c:v>4.2170399999999999</c:v>
                </c:pt>
                <c:pt idx="57">
                  <c:v>4.2145899999999994</c:v>
                </c:pt>
                <c:pt idx="58">
                  <c:v>4.2140899999999997</c:v>
                </c:pt>
                <c:pt idx="59">
                  <c:v>4.2148000000000003</c:v>
                </c:pt>
                <c:pt idx="60">
                  <c:v>4.2149099999999997</c:v>
                </c:pt>
                <c:pt idx="61">
                  <c:v>4.2130999999999998</c:v>
                </c:pt>
                <c:pt idx="62">
                  <c:v>4.2077100000000005</c:v>
                </c:pt>
                <c:pt idx="63">
                  <c:v>4.2037300000000002</c:v>
                </c:pt>
                <c:pt idx="64">
                  <c:v>4.19381</c:v>
                </c:pt>
                <c:pt idx="65">
                  <c:v>4.1804399999999999</c:v>
                </c:pt>
                <c:pt idx="66">
                  <c:v>4.17577</c:v>
                </c:pt>
                <c:pt idx="67">
                  <c:v>4.1748400000000006</c:v>
                </c:pt>
                <c:pt idx="68">
                  <c:v>4.1706700000000003</c:v>
                </c:pt>
                <c:pt idx="69">
                  <c:v>4.1658600000000003</c:v>
                </c:pt>
                <c:pt idx="70">
                  <c:v>4.1546000000000003</c:v>
                </c:pt>
                <c:pt idx="71">
                  <c:v>4.13551</c:v>
                </c:pt>
                <c:pt idx="72">
                  <c:v>4.0998099999999997</c:v>
                </c:pt>
                <c:pt idx="73">
                  <c:v>4.0539500000000004</c:v>
                </c:pt>
                <c:pt idx="74">
                  <c:v>4.0076700000000001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41.123100000000001</c:v>
                </c:pt>
                <c:pt idx="1">
                  <c:v>40.745799999999996</c:v>
                </c:pt>
                <c:pt idx="2">
                  <c:v>40.215400000000002</c:v>
                </c:pt>
                <c:pt idx="3">
                  <c:v>39.775500000000001</c:v>
                </c:pt>
                <c:pt idx="4">
                  <c:v>39.422899999999998</c:v>
                </c:pt>
                <c:pt idx="5">
                  <c:v>39.044000000000004</c:v>
                </c:pt>
                <c:pt idx="6">
                  <c:v>38.624399999999994</c:v>
                </c:pt>
                <c:pt idx="7">
                  <c:v>38.251200000000004</c:v>
                </c:pt>
                <c:pt idx="8">
                  <c:v>37.906800000000004</c:v>
                </c:pt>
                <c:pt idx="9">
                  <c:v>37.503</c:v>
                </c:pt>
                <c:pt idx="10">
                  <c:v>37.1038</c:v>
                </c:pt>
                <c:pt idx="11">
                  <c:v>36.759599999999999</c:v>
                </c:pt>
                <c:pt idx="12">
                  <c:v>36.425699999999999</c:v>
                </c:pt>
                <c:pt idx="13">
                  <c:v>35.986000000000004</c:v>
                </c:pt>
                <c:pt idx="14">
                  <c:v>35.496299999999998</c:v>
                </c:pt>
                <c:pt idx="15">
                  <c:v>34.954099999999997</c:v>
                </c:pt>
                <c:pt idx="16">
                  <c:v>34.333599999999997</c:v>
                </c:pt>
                <c:pt idx="17">
                  <c:v>33.669199999999996</c:v>
                </c:pt>
                <c:pt idx="18">
                  <c:v>32.992399999999996</c:v>
                </c:pt>
                <c:pt idx="19">
                  <c:v>32.311199999999999</c:v>
                </c:pt>
                <c:pt idx="20">
                  <c:v>31.680099999999999</c:v>
                </c:pt>
                <c:pt idx="21">
                  <c:v>31.0853</c:v>
                </c:pt>
                <c:pt idx="22">
                  <c:v>30.560599999999997</c:v>
                </c:pt>
                <c:pt idx="23">
                  <c:v>30.186699999999998</c:v>
                </c:pt>
                <c:pt idx="24">
                  <c:v>29.8201</c:v>
                </c:pt>
                <c:pt idx="25">
                  <c:v>29.518499999999996</c:v>
                </c:pt>
                <c:pt idx="26">
                  <c:v>29.247400000000003</c:v>
                </c:pt>
                <c:pt idx="27">
                  <c:v>29.018699999999995</c:v>
                </c:pt>
                <c:pt idx="28">
                  <c:v>28.892400000000002</c:v>
                </c:pt>
                <c:pt idx="29">
                  <c:v>28.819699999999997</c:v>
                </c:pt>
                <c:pt idx="30">
                  <c:v>28.731499999999997</c:v>
                </c:pt>
                <c:pt idx="31">
                  <c:v>28.569400000000002</c:v>
                </c:pt>
                <c:pt idx="32">
                  <c:v>28.376600000000003</c:v>
                </c:pt>
                <c:pt idx="33">
                  <c:v>28.2681</c:v>
                </c:pt>
                <c:pt idx="34">
                  <c:v>28.152999999999999</c:v>
                </c:pt>
                <c:pt idx="35">
                  <c:v>28.053599999999999</c:v>
                </c:pt>
                <c:pt idx="36">
                  <c:v>27.946100000000001</c:v>
                </c:pt>
                <c:pt idx="37">
                  <c:v>27.811799999999998</c:v>
                </c:pt>
                <c:pt idx="38">
                  <c:v>27.7422</c:v>
                </c:pt>
                <c:pt idx="39">
                  <c:v>27.659699999999997</c:v>
                </c:pt>
                <c:pt idx="40">
                  <c:v>27.5578</c:v>
                </c:pt>
                <c:pt idx="41">
                  <c:v>27.5488</c:v>
                </c:pt>
                <c:pt idx="42">
                  <c:v>27.5243</c:v>
                </c:pt>
                <c:pt idx="43">
                  <c:v>27.4909</c:v>
                </c:pt>
                <c:pt idx="44">
                  <c:v>27.494499999999999</c:v>
                </c:pt>
                <c:pt idx="45">
                  <c:v>27.477699999999999</c:v>
                </c:pt>
                <c:pt idx="46">
                  <c:v>27.414899999999996</c:v>
                </c:pt>
                <c:pt idx="47">
                  <c:v>27.349</c:v>
                </c:pt>
                <c:pt idx="48">
                  <c:v>27.211999999999996</c:v>
                </c:pt>
                <c:pt idx="49">
                  <c:v>27.077400000000001</c:v>
                </c:pt>
                <c:pt idx="50">
                  <c:v>26.9191</c:v>
                </c:pt>
                <c:pt idx="51">
                  <c:v>26.8401</c:v>
                </c:pt>
                <c:pt idx="52">
                  <c:v>26.756</c:v>
                </c:pt>
                <c:pt idx="53">
                  <c:v>26.669999999999998</c:v>
                </c:pt>
                <c:pt idx="54">
                  <c:v>26.523499999999999</c:v>
                </c:pt>
                <c:pt idx="55">
                  <c:v>26.367600000000003</c:v>
                </c:pt>
                <c:pt idx="56">
                  <c:v>26.2486</c:v>
                </c:pt>
                <c:pt idx="57">
                  <c:v>26.132100000000001</c:v>
                </c:pt>
                <c:pt idx="58">
                  <c:v>25.987700000000004</c:v>
                </c:pt>
                <c:pt idx="59">
                  <c:v>25.905899999999999</c:v>
                </c:pt>
                <c:pt idx="60">
                  <c:v>25.825599999999998</c:v>
                </c:pt>
                <c:pt idx="61">
                  <c:v>25.745000000000001</c:v>
                </c:pt>
                <c:pt idx="62">
                  <c:v>25.706200000000003</c:v>
                </c:pt>
                <c:pt idx="63">
                  <c:v>25.6235</c:v>
                </c:pt>
                <c:pt idx="64">
                  <c:v>25.577400000000001</c:v>
                </c:pt>
                <c:pt idx="65">
                  <c:v>25.645699999999998</c:v>
                </c:pt>
                <c:pt idx="66">
                  <c:v>25.6144</c:v>
                </c:pt>
                <c:pt idx="67">
                  <c:v>25.634699999999999</c:v>
                </c:pt>
                <c:pt idx="68">
                  <c:v>25.726399999999998</c:v>
                </c:pt>
                <c:pt idx="69">
                  <c:v>25.7806</c:v>
                </c:pt>
                <c:pt idx="70">
                  <c:v>25.880199999999999</c:v>
                </c:pt>
                <c:pt idx="71">
                  <c:v>25.9438</c:v>
                </c:pt>
                <c:pt idx="72">
                  <c:v>25.8826</c:v>
                </c:pt>
                <c:pt idx="73">
                  <c:v>25.7956</c:v>
                </c:pt>
                <c:pt idx="74">
                  <c:v>25.6874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2.4190320270270269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43.335059459459465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3.9226622972972951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29.8139108108108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3.9226622972972951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29.8139108108108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0.28179413338307896</c:v>
                </c:pt>
                <c:pt idx="1">
                  <c:v>0.31749310491795202</c:v>
                </c:pt>
                <c:pt idx="2">
                  <c:v>0.40071276169896891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  <c:pt idx="74">
                  <c:v>30.012599999999999</c:v>
                </c:pt>
                <c:pt idx="75">
                  <c:v>30.608599999999999</c:v>
                </c:pt>
                <c:pt idx="76">
                  <c:v>30.980499999999999</c:v>
                </c:pt>
                <c:pt idx="77">
                  <c:v>31.356400000000001</c:v>
                </c:pt>
                <c:pt idx="78">
                  <c:v>31.7316</c:v>
                </c:pt>
                <c:pt idx="79">
                  <c:v>32.1068</c:v>
                </c:pt>
                <c:pt idx="80">
                  <c:v>32.513599999999997</c:v>
                </c:pt>
                <c:pt idx="81">
                  <c:v>32.9208</c:v>
                </c:pt>
                <c:pt idx="82">
                  <c:v>33.329700000000003</c:v>
                </c:pt>
                <c:pt idx="83">
                  <c:v>33.731900000000003</c:v>
                </c:pt>
                <c:pt idx="84">
                  <c:v>34.141199999999998</c:v>
                </c:pt>
                <c:pt idx="85">
                  <c:v>34.544899999999998</c:v>
                </c:pt>
                <c:pt idx="86">
                  <c:v>34.952599999999997</c:v>
                </c:pt>
                <c:pt idx="87">
                  <c:v>35.361400000000003</c:v>
                </c:pt>
                <c:pt idx="88">
                  <c:v>35.7637</c:v>
                </c:pt>
                <c:pt idx="89">
                  <c:v>36.170400000000001</c:v>
                </c:pt>
                <c:pt idx="90">
                  <c:v>36.578099999999999</c:v>
                </c:pt>
                <c:pt idx="91">
                  <c:v>36.981299999999997</c:v>
                </c:pt>
                <c:pt idx="92">
                  <c:v>37.390500000000003</c:v>
                </c:pt>
                <c:pt idx="93">
                  <c:v>37.7986</c:v>
                </c:pt>
                <c:pt idx="94">
                  <c:v>38.203800000000001</c:v>
                </c:pt>
                <c:pt idx="95">
                  <c:v>38.612499999999997</c:v>
                </c:pt>
                <c:pt idx="96">
                  <c:v>39.012799999999999</c:v>
                </c:pt>
                <c:pt idx="97">
                  <c:v>39.418599999999998</c:v>
                </c:pt>
                <c:pt idx="98">
                  <c:v>39.825099999999999</c:v>
                </c:pt>
                <c:pt idx="99">
                  <c:v>40.233400000000003</c:v>
                </c:pt>
                <c:pt idx="100">
                  <c:v>40.639499999999998</c:v>
                </c:pt>
                <c:pt idx="101">
                  <c:v>41.045999999999999</c:v>
                </c:pt>
                <c:pt idx="102">
                  <c:v>41.452100000000002</c:v>
                </c:pt>
                <c:pt idx="103">
                  <c:v>41.857399999999998</c:v>
                </c:pt>
                <c:pt idx="104">
                  <c:v>42.265599999999999</c:v>
                </c:pt>
                <c:pt idx="105">
                  <c:v>42.672499999999999</c:v>
                </c:pt>
                <c:pt idx="106">
                  <c:v>43.0792</c:v>
                </c:pt>
                <c:pt idx="107">
                  <c:v>43.4833</c:v>
                </c:pt>
                <c:pt idx="108">
                  <c:v>43.8887</c:v>
                </c:pt>
                <c:pt idx="109">
                  <c:v>44.296300000000002</c:v>
                </c:pt>
                <c:pt idx="110">
                  <c:v>44.706299999999999</c:v>
                </c:pt>
                <c:pt idx="111">
                  <c:v>45.108699999999999</c:v>
                </c:pt>
                <c:pt idx="112">
                  <c:v>45.5152</c:v>
                </c:pt>
                <c:pt idx="113">
                  <c:v>45.918599999999998</c:v>
                </c:pt>
                <c:pt idx="114">
                  <c:v>46.3277</c:v>
                </c:pt>
                <c:pt idx="115">
                  <c:v>46.731000000000002</c:v>
                </c:pt>
                <c:pt idx="116">
                  <c:v>47.139600000000002</c:v>
                </c:pt>
                <c:pt idx="117">
                  <c:v>47.5458</c:v>
                </c:pt>
                <c:pt idx="118">
                  <c:v>47.9529</c:v>
                </c:pt>
                <c:pt idx="119">
                  <c:v>48.356900000000003</c:v>
                </c:pt>
                <c:pt idx="120">
                  <c:v>48.765799999999999</c:v>
                </c:pt>
                <c:pt idx="121">
                  <c:v>49.169899999999998</c:v>
                </c:pt>
                <c:pt idx="122">
                  <c:v>49.573700000000002</c:v>
                </c:pt>
                <c:pt idx="123">
                  <c:v>49.982700000000001</c:v>
                </c:pt>
                <c:pt idx="124">
                  <c:v>50.387799999999999</c:v>
                </c:pt>
                <c:pt idx="125">
                  <c:v>50.795699999999997</c:v>
                </c:pt>
                <c:pt idx="126">
                  <c:v>51.203899999999997</c:v>
                </c:pt>
                <c:pt idx="127">
                  <c:v>51.6068</c:v>
                </c:pt>
                <c:pt idx="128">
                  <c:v>52.016800000000003</c:v>
                </c:pt>
                <c:pt idx="129">
                  <c:v>52.422800000000002</c:v>
                </c:pt>
                <c:pt idx="130">
                  <c:v>52.828800000000001</c:v>
                </c:pt>
                <c:pt idx="131">
                  <c:v>53.232500000000002</c:v>
                </c:pt>
                <c:pt idx="132">
                  <c:v>53.638199999999998</c:v>
                </c:pt>
                <c:pt idx="133">
                  <c:v>54.049199999999999</c:v>
                </c:pt>
                <c:pt idx="134">
                  <c:v>54.451599999999999</c:v>
                </c:pt>
                <c:pt idx="135">
                  <c:v>54.855600000000003</c:v>
                </c:pt>
                <c:pt idx="136">
                  <c:v>55.266199999999998</c:v>
                </c:pt>
                <c:pt idx="137">
                  <c:v>55.671799999999998</c:v>
                </c:pt>
                <c:pt idx="138">
                  <c:v>56.076900000000002</c:v>
                </c:pt>
                <c:pt idx="139">
                  <c:v>56.482199999999999</c:v>
                </c:pt>
                <c:pt idx="140">
                  <c:v>56.89</c:v>
                </c:pt>
                <c:pt idx="141">
                  <c:v>57.294800000000002</c:v>
                </c:pt>
                <c:pt idx="142">
                  <c:v>57.706600000000002</c:v>
                </c:pt>
                <c:pt idx="143">
                  <c:v>58.108499999999999</c:v>
                </c:pt>
                <c:pt idx="144">
                  <c:v>58.517499999999998</c:v>
                </c:pt>
                <c:pt idx="145">
                  <c:v>58.9208</c:v>
                </c:pt>
                <c:pt idx="146">
                  <c:v>59.327500000000001</c:v>
                </c:pt>
                <c:pt idx="147">
                  <c:v>59.738300000000002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  <c:pt idx="74">
                  <c:v>3.3301500000000002</c:v>
                </c:pt>
                <c:pt idx="75">
                  <c:v>3.35907</c:v>
                </c:pt>
                <c:pt idx="76">
                  <c:v>3.3773999999999997</c:v>
                </c:pt>
                <c:pt idx="77">
                  <c:v>3.3933799999999996</c:v>
                </c:pt>
                <c:pt idx="78">
                  <c:v>3.4112199999999997</c:v>
                </c:pt>
                <c:pt idx="79">
                  <c:v>3.4308699999999996</c:v>
                </c:pt>
                <c:pt idx="80">
                  <c:v>3.4498199999999999</c:v>
                </c:pt>
                <c:pt idx="81">
                  <c:v>3.4670899999999998</c:v>
                </c:pt>
                <c:pt idx="82">
                  <c:v>3.48414</c:v>
                </c:pt>
                <c:pt idx="83">
                  <c:v>3.4993000000000003</c:v>
                </c:pt>
                <c:pt idx="84">
                  <c:v>3.5127799999999998</c:v>
                </c:pt>
                <c:pt idx="85">
                  <c:v>3.5256700000000003</c:v>
                </c:pt>
                <c:pt idx="86">
                  <c:v>3.5397699999999999</c:v>
                </c:pt>
                <c:pt idx="87">
                  <c:v>3.5552600000000001</c:v>
                </c:pt>
                <c:pt idx="88">
                  <c:v>3.5722999999999998</c:v>
                </c:pt>
                <c:pt idx="89">
                  <c:v>3.59057</c:v>
                </c:pt>
                <c:pt idx="90">
                  <c:v>3.6092200000000001</c:v>
                </c:pt>
                <c:pt idx="91">
                  <c:v>3.6275000000000004</c:v>
                </c:pt>
                <c:pt idx="92">
                  <c:v>3.6453600000000002</c:v>
                </c:pt>
                <c:pt idx="93">
                  <c:v>3.6649900000000004</c:v>
                </c:pt>
                <c:pt idx="94">
                  <c:v>3.6932900000000002</c:v>
                </c:pt>
                <c:pt idx="95">
                  <c:v>3.7246200000000003</c:v>
                </c:pt>
                <c:pt idx="96">
                  <c:v>3.7583199999999999</c:v>
                </c:pt>
                <c:pt idx="97">
                  <c:v>3.7883599999999999</c:v>
                </c:pt>
                <c:pt idx="98">
                  <c:v>3.8141799999999999</c:v>
                </c:pt>
                <c:pt idx="99">
                  <c:v>3.8320799999999999</c:v>
                </c:pt>
                <c:pt idx="100">
                  <c:v>3.8489400000000002</c:v>
                </c:pt>
                <c:pt idx="101">
                  <c:v>3.8627099999999999</c:v>
                </c:pt>
                <c:pt idx="102">
                  <c:v>3.8807700000000001</c:v>
                </c:pt>
                <c:pt idx="103">
                  <c:v>3.9015300000000002</c:v>
                </c:pt>
                <c:pt idx="104">
                  <c:v>3.9266000000000001</c:v>
                </c:pt>
                <c:pt idx="105">
                  <c:v>3.95546</c:v>
                </c:pt>
                <c:pt idx="106">
                  <c:v>3.9802599999999999</c:v>
                </c:pt>
                <c:pt idx="107">
                  <c:v>4.0017399999999999</c:v>
                </c:pt>
                <c:pt idx="108">
                  <c:v>4.0224399999999996</c:v>
                </c:pt>
                <c:pt idx="109">
                  <c:v>4.0437599999999998</c:v>
                </c:pt>
                <c:pt idx="110">
                  <c:v>4.0665200000000006</c:v>
                </c:pt>
                <c:pt idx="111">
                  <c:v>4.0852500000000003</c:v>
                </c:pt>
                <c:pt idx="112">
                  <c:v>4.1041800000000004</c:v>
                </c:pt>
                <c:pt idx="113">
                  <c:v>4.1217600000000001</c:v>
                </c:pt>
                <c:pt idx="114">
                  <c:v>4.1320100000000002</c:v>
                </c:pt>
                <c:pt idx="115">
                  <c:v>4.1400899999999998</c:v>
                </c:pt>
                <c:pt idx="116">
                  <c:v>4.1485599999999998</c:v>
                </c:pt>
                <c:pt idx="117">
                  <c:v>4.1554700000000002</c:v>
                </c:pt>
                <c:pt idx="118">
                  <c:v>4.1627000000000001</c:v>
                </c:pt>
                <c:pt idx="119">
                  <c:v>4.16873</c:v>
                </c:pt>
                <c:pt idx="120">
                  <c:v>4.1739800000000002</c:v>
                </c:pt>
                <c:pt idx="121">
                  <c:v>4.1781100000000002</c:v>
                </c:pt>
                <c:pt idx="122">
                  <c:v>4.1781499999999996</c:v>
                </c:pt>
                <c:pt idx="123">
                  <c:v>4.1749299999999998</c:v>
                </c:pt>
                <c:pt idx="124">
                  <c:v>4.1808499999999995</c:v>
                </c:pt>
                <c:pt idx="125">
                  <c:v>4.1888300000000003</c:v>
                </c:pt>
                <c:pt idx="126">
                  <c:v>4.1994199999999999</c:v>
                </c:pt>
                <c:pt idx="127">
                  <c:v>4.2085699999999999</c:v>
                </c:pt>
                <c:pt idx="128">
                  <c:v>4.2150800000000004</c:v>
                </c:pt>
                <c:pt idx="129">
                  <c:v>4.2170399999999999</c:v>
                </c:pt>
                <c:pt idx="130">
                  <c:v>4.2145899999999994</c:v>
                </c:pt>
                <c:pt idx="131">
                  <c:v>4.2140899999999997</c:v>
                </c:pt>
                <c:pt idx="132">
                  <c:v>4.2148000000000003</c:v>
                </c:pt>
                <c:pt idx="133">
                  <c:v>4.2149099999999997</c:v>
                </c:pt>
                <c:pt idx="134">
                  <c:v>4.2130999999999998</c:v>
                </c:pt>
                <c:pt idx="135">
                  <c:v>4.2077100000000005</c:v>
                </c:pt>
                <c:pt idx="136">
                  <c:v>4.2037300000000002</c:v>
                </c:pt>
                <c:pt idx="137">
                  <c:v>4.19381</c:v>
                </c:pt>
                <c:pt idx="138">
                  <c:v>4.1804399999999999</c:v>
                </c:pt>
                <c:pt idx="139">
                  <c:v>4.17577</c:v>
                </c:pt>
                <c:pt idx="140">
                  <c:v>4.1748400000000006</c:v>
                </c:pt>
                <c:pt idx="141">
                  <c:v>4.1706700000000003</c:v>
                </c:pt>
                <c:pt idx="142">
                  <c:v>4.1658600000000003</c:v>
                </c:pt>
                <c:pt idx="143">
                  <c:v>4.1546000000000003</c:v>
                </c:pt>
                <c:pt idx="144">
                  <c:v>4.13551</c:v>
                </c:pt>
                <c:pt idx="145">
                  <c:v>4.0998099999999997</c:v>
                </c:pt>
                <c:pt idx="146">
                  <c:v>4.0539500000000004</c:v>
                </c:pt>
                <c:pt idx="147">
                  <c:v>4.0076700000000001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29.606999999999999</c:v>
                </c:pt>
                <c:pt idx="1">
                  <c:v>30.012599999999999</c:v>
                </c:pt>
                <c:pt idx="2">
                  <c:v>30.608599999999999</c:v>
                </c:pt>
                <c:pt idx="3">
                  <c:v>30.980499999999999</c:v>
                </c:pt>
                <c:pt idx="4">
                  <c:v>31.356400000000001</c:v>
                </c:pt>
                <c:pt idx="5">
                  <c:v>31.7316</c:v>
                </c:pt>
                <c:pt idx="6">
                  <c:v>32.1068</c:v>
                </c:pt>
                <c:pt idx="7">
                  <c:v>32.513599999999997</c:v>
                </c:pt>
                <c:pt idx="8">
                  <c:v>32.9208</c:v>
                </c:pt>
                <c:pt idx="9">
                  <c:v>33.329700000000003</c:v>
                </c:pt>
                <c:pt idx="10">
                  <c:v>33.731900000000003</c:v>
                </c:pt>
                <c:pt idx="11">
                  <c:v>34.141199999999998</c:v>
                </c:pt>
                <c:pt idx="12">
                  <c:v>34.544899999999998</c:v>
                </c:pt>
                <c:pt idx="13">
                  <c:v>34.952599999999997</c:v>
                </c:pt>
                <c:pt idx="14">
                  <c:v>35.361400000000003</c:v>
                </c:pt>
                <c:pt idx="15">
                  <c:v>35.7637</c:v>
                </c:pt>
                <c:pt idx="16">
                  <c:v>36.170400000000001</c:v>
                </c:pt>
                <c:pt idx="17">
                  <c:v>36.578099999999999</c:v>
                </c:pt>
                <c:pt idx="18">
                  <c:v>36.981299999999997</c:v>
                </c:pt>
                <c:pt idx="19">
                  <c:v>37.390500000000003</c:v>
                </c:pt>
                <c:pt idx="20">
                  <c:v>37.7986</c:v>
                </c:pt>
                <c:pt idx="21">
                  <c:v>38.203800000000001</c:v>
                </c:pt>
                <c:pt idx="22">
                  <c:v>38.612499999999997</c:v>
                </c:pt>
                <c:pt idx="23">
                  <c:v>39.012799999999999</c:v>
                </c:pt>
                <c:pt idx="24">
                  <c:v>39.418599999999998</c:v>
                </c:pt>
                <c:pt idx="25">
                  <c:v>39.825099999999999</c:v>
                </c:pt>
                <c:pt idx="26">
                  <c:v>40.233400000000003</c:v>
                </c:pt>
                <c:pt idx="27">
                  <c:v>40.639499999999998</c:v>
                </c:pt>
                <c:pt idx="28">
                  <c:v>41.045999999999999</c:v>
                </c:pt>
                <c:pt idx="29">
                  <c:v>41.452100000000002</c:v>
                </c:pt>
                <c:pt idx="30">
                  <c:v>41.857399999999998</c:v>
                </c:pt>
                <c:pt idx="31">
                  <c:v>42.265599999999999</c:v>
                </c:pt>
                <c:pt idx="32">
                  <c:v>42.672499999999999</c:v>
                </c:pt>
                <c:pt idx="33">
                  <c:v>43.0792</c:v>
                </c:pt>
                <c:pt idx="34">
                  <c:v>43.4833</c:v>
                </c:pt>
                <c:pt idx="35">
                  <c:v>43.8887</c:v>
                </c:pt>
                <c:pt idx="36">
                  <c:v>44.296300000000002</c:v>
                </c:pt>
                <c:pt idx="37">
                  <c:v>44.706299999999999</c:v>
                </c:pt>
                <c:pt idx="38">
                  <c:v>45.108699999999999</c:v>
                </c:pt>
                <c:pt idx="39">
                  <c:v>45.5152</c:v>
                </c:pt>
                <c:pt idx="40">
                  <c:v>45.918599999999998</c:v>
                </c:pt>
                <c:pt idx="41">
                  <c:v>46.3277</c:v>
                </c:pt>
                <c:pt idx="42">
                  <c:v>46.731000000000002</c:v>
                </c:pt>
                <c:pt idx="43">
                  <c:v>47.139600000000002</c:v>
                </c:pt>
                <c:pt idx="44">
                  <c:v>47.5458</c:v>
                </c:pt>
                <c:pt idx="45">
                  <c:v>47.9529</c:v>
                </c:pt>
                <c:pt idx="46">
                  <c:v>48.356900000000003</c:v>
                </c:pt>
                <c:pt idx="47">
                  <c:v>48.765799999999999</c:v>
                </c:pt>
                <c:pt idx="48">
                  <c:v>49.169899999999998</c:v>
                </c:pt>
                <c:pt idx="49">
                  <c:v>49.573700000000002</c:v>
                </c:pt>
                <c:pt idx="50">
                  <c:v>49.982700000000001</c:v>
                </c:pt>
                <c:pt idx="51">
                  <c:v>50.387799999999999</c:v>
                </c:pt>
                <c:pt idx="52">
                  <c:v>50.795699999999997</c:v>
                </c:pt>
                <c:pt idx="53">
                  <c:v>51.203899999999997</c:v>
                </c:pt>
                <c:pt idx="54">
                  <c:v>51.6068</c:v>
                </c:pt>
                <c:pt idx="55">
                  <c:v>52.016800000000003</c:v>
                </c:pt>
                <c:pt idx="56">
                  <c:v>52.422800000000002</c:v>
                </c:pt>
                <c:pt idx="57">
                  <c:v>52.828800000000001</c:v>
                </c:pt>
                <c:pt idx="58">
                  <c:v>53.232500000000002</c:v>
                </c:pt>
                <c:pt idx="59">
                  <c:v>53.638199999999998</c:v>
                </c:pt>
                <c:pt idx="60">
                  <c:v>54.049199999999999</c:v>
                </c:pt>
                <c:pt idx="61">
                  <c:v>54.451599999999999</c:v>
                </c:pt>
                <c:pt idx="62">
                  <c:v>54.855600000000003</c:v>
                </c:pt>
                <c:pt idx="63">
                  <c:v>55.266199999999998</c:v>
                </c:pt>
                <c:pt idx="64">
                  <c:v>55.671799999999998</c:v>
                </c:pt>
                <c:pt idx="65">
                  <c:v>56.076900000000002</c:v>
                </c:pt>
                <c:pt idx="66">
                  <c:v>56.482199999999999</c:v>
                </c:pt>
                <c:pt idx="67">
                  <c:v>56.89</c:v>
                </c:pt>
                <c:pt idx="68">
                  <c:v>57.294800000000002</c:v>
                </c:pt>
                <c:pt idx="69">
                  <c:v>57.706600000000002</c:v>
                </c:pt>
                <c:pt idx="70">
                  <c:v>58.108499999999999</c:v>
                </c:pt>
                <c:pt idx="71">
                  <c:v>58.517499999999998</c:v>
                </c:pt>
                <c:pt idx="72">
                  <c:v>58.9208</c:v>
                </c:pt>
                <c:pt idx="73">
                  <c:v>59.327500000000001</c:v>
                </c:pt>
                <c:pt idx="74">
                  <c:v>59.738300000000002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3.3048300000000004</c:v>
                </c:pt>
                <c:pt idx="1">
                  <c:v>3.3301500000000002</c:v>
                </c:pt>
                <c:pt idx="2">
                  <c:v>3.35907</c:v>
                </c:pt>
                <c:pt idx="3">
                  <c:v>3.3773999999999997</c:v>
                </c:pt>
                <c:pt idx="4">
                  <c:v>3.3933799999999996</c:v>
                </c:pt>
                <c:pt idx="5">
                  <c:v>3.4112199999999997</c:v>
                </c:pt>
                <c:pt idx="6">
                  <c:v>3.4308699999999996</c:v>
                </c:pt>
                <c:pt idx="7">
                  <c:v>3.4498199999999999</c:v>
                </c:pt>
                <c:pt idx="8">
                  <c:v>3.4670899999999998</c:v>
                </c:pt>
                <c:pt idx="9">
                  <c:v>3.48414</c:v>
                </c:pt>
                <c:pt idx="10">
                  <c:v>3.4993000000000003</c:v>
                </c:pt>
                <c:pt idx="11">
                  <c:v>3.5127799999999998</c:v>
                </c:pt>
                <c:pt idx="12">
                  <c:v>3.5256700000000003</c:v>
                </c:pt>
                <c:pt idx="13">
                  <c:v>3.5397699999999999</c:v>
                </c:pt>
                <c:pt idx="14">
                  <c:v>3.5552600000000001</c:v>
                </c:pt>
                <c:pt idx="15">
                  <c:v>3.5722999999999998</c:v>
                </c:pt>
                <c:pt idx="16">
                  <c:v>3.59057</c:v>
                </c:pt>
                <c:pt idx="17">
                  <c:v>3.6092200000000001</c:v>
                </c:pt>
                <c:pt idx="18">
                  <c:v>3.6275000000000004</c:v>
                </c:pt>
                <c:pt idx="19">
                  <c:v>3.6453600000000002</c:v>
                </c:pt>
                <c:pt idx="20">
                  <c:v>3.6649900000000004</c:v>
                </c:pt>
                <c:pt idx="21">
                  <c:v>3.6932900000000002</c:v>
                </c:pt>
                <c:pt idx="22">
                  <c:v>3.7246200000000003</c:v>
                </c:pt>
                <c:pt idx="23">
                  <c:v>3.7583199999999999</c:v>
                </c:pt>
                <c:pt idx="24">
                  <c:v>3.7883599999999999</c:v>
                </c:pt>
                <c:pt idx="25">
                  <c:v>3.8141799999999999</c:v>
                </c:pt>
                <c:pt idx="26">
                  <c:v>3.8320799999999999</c:v>
                </c:pt>
                <c:pt idx="27">
                  <c:v>3.8489400000000002</c:v>
                </c:pt>
                <c:pt idx="28">
                  <c:v>3.8627099999999999</c:v>
                </c:pt>
                <c:pt idx="29">
                  <c:v>3.8807700000000001</c:v>
                </c:pt>
                <c:pt idx="30">
                  <c:v>3.9015300000000002</c:v>
                </c:pt>
                <c:pt idx="31">
                  <c:v>3.9266000000000001</c:v>
                </c:pt>
                <c:pt idx="32">
                  <c:v>3.95546</c:v>
                </c:pt>
                <c:pt idx="33">
                  <c:v>3.9802599999999999</c:v>
                </c:pt>
                <c:pt idx="34">
                  <c:v>4.0017399999999999</c:v>
                </c:pt>
                <c:pt idx="35">
                  <c:v>4.0224399999999996</c:v>
                </c:pt>
                <c:pt idx="36">
                  <c:v>4.0437599999999998</c:v>
                </c:pt>
                <c:pt idx="37">
                  <c:v>4.0665200000000006</c:v>
                </c:pt>
                <c:pt idx="38">
                  <c:v>4.0852500000000003</c:v>
                </c:pt>
                <c:pt idx="39">
                  <c:v>4.1041800000000004</c:v>
                </c:pt>
                <c:pt idx="40">
                  <c:v>4.1217600000000001</c:v>
                </c:pt>
                <c:pt idx="41">
                  <c:v>4.1320100000000002</c:v>
                </c:pt>
                <c:pt idx="42">
                  <c:v>4.1400899999999998</c:v>
                </c:pt>
                <c:pt idx="43">
                  <c:v>4.1485599999999998</c:v>
                </c:pt>
                <c:pt idx="44">
                  <c:v>4.1554700000000002</c:v>
                </c:pt>
                <c:pt idx="45">
                  <c:v>4.1627000000000001</c:v>
                </c:pt>
                <c:pt idx="46">
                  <c:v>4.16873</c:v>
                </c:pt>
                <c:pt idx="47">
                  <c:v>4.1739800000000002</c:v>
                </c:pt>
                <c:pt idx="48">
                  <c:v>4.1781100000000002</c:v>
                </c:pt>
                <c:pt idx="49">
                  <c:v>4.1781499999999996</c:v>
                </c:pt>
                <c:pt idx="50">
                  <c:v>4.1749299999999998</c:v>
                </c:pt>
                <c:pt idx="51">
                  <c:v>4.1808499999999995</c:v>
                </c:pt>
                <c:pt idx="52">
                  <c:v>4.1888300000000003</c:v>
                </c:pt>
                <c:pt idx="53">
                  <c:v>4.1994199999999999</c:v>
                </c:pt>
                <c:pt idx="54">
                  <c:v>4.2085699999999999</c:v>
                </c:pt>
                <c:pt idx="55">
                  <c:v>4.2150800000000004</c:v>
                </c:pt>
                <c:pt idx="56">
                  <c:v>4.2170399999999999</c:v>
                </c:pt>
                <c:pt idx="57">
                  <c:v>4.2145899999999994</c:v>
                </c:pt>
                <c:pt idx="58">
                  <c:v>4.2140899999999997</c:v>
                </c:pt>
                <c:pt idx="59">
                  <c:v>4.2148000000000003</c:v>
                </c:pt>
                <c:pt idx="60">
                  <c:v>4.2149099999999997</c:v>
                </c:pt>
                <c:pt idx="61">
                  <c:v>4.2130999999999998</c:v>
                </c:pt>
                <c:pt idx="62">
                  <c:v>4.2077100000000005</c:v>
                </c:pt>
                <c:pt idx="63">
                  <c:v>4.2037300000000002</c:v>
                </c:pt>
                <c:pt idx="64">
                  <c:v>4.19381</c:v>
                </c:pt>
                <c:pt idx="65">
                  <c:v>4.1804399999999999</c:v>
                </c:pt>
                <c:pt idx="66">
                  <c:v>4.17577</c:v>
                </c:pt>
                <c:pt idx="67">
                  <c:v>4.1748400000000006</c:v>
                </c:pt>
                <c:pt idx="68">
                  <c:v>4.1706700000000003</c:v>
                </c:pt>
                <c:pt idx="69">
                  <c:v>4.1658600000000003</c:v>
                </c:pt>
                <c:pt idx="70">
                  <c:v>4.1546000000000003</c:v>
                </c:pt>
                <c:pt idx="71">
                  <c:v>4.13551</c:v>
                </c:pt>
                <c:pt idx="72">
                  <c:v>4.0998099999999997</c:v>
                </c:pt>
                <c:pt idx="73">
                  <c:v>4.0539500000000004</c:v>
                </c:pt>
                <c:pt idx="74">
                  <c:v>4.0076700000000001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2.4190320270270269</c:v>
                </c:pt>
                <c:pt idx="1">
                  <c:v>3.9226622972972951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  <c:pt idx="74">
                  <c:v>30.012599999999999</c:v>
                </c:pt>
                <c:pt idx="75">
                  <c:v>30.608599999999999</c:v>
                </c:pt>
                <c:pt idx="76">
                  <c:v>30.980499999999999</c:v>
                </c:pt>
                <c:pt idx="77">
                  <c:v>31.356400000000001</c:v>
                </c:pt>
                <c:pt idx="78">
                  <c:v>31.7316</c:v>
                </c:pt>
                <c:pt idx="79">
                  <c:v>32.1068</c:v>
                </c:pt>
                <c:pt idx="80">
                  <c:v>32.513599999999997</c:v>
                </c:pt>
                <c:pt idx="81">
                  <c:v>32.9208</c:v>
                </c:pt>
                <c:pt idx="82">
                  <c:v>33.329700000000003</c:v>
                </c:pt>
                <c:pt idx="83">
                  <c:v>33.731900000000003</c:v>
                </c:pt>
                <c:pt idx="84">
                  <c:v>34.141199999999998</c:v>
                </c:pt>
                <c:pt idx="85">
                  <c:v>34.544899999999998</c:v>
                </c:pt>
                <c:pt idx="86">
                  <c:v>34.952599999999997</c:v>
                </c:pt>
                <c:pt idx="87">
                  <c:v>35.361400000000003</c:v>
                </c:pt>
                <c:pt idx="88">
                  <c:v>35.7637</c:v>
                </c:pt>
                <c:pt idx="89">
                  <c:v>36.170400000000001</c:v>
                </c:pt>
                <c:pt idx="90">
                  <c:v>36.578099999999999</c:v>
                </c:pt>
                <c:pt idx="91">
                  <c:v>36.981299999999997</c:v>
                </c:pt>
                <c:pt idx="92">
                  <c:v>37.390500000000003</c:v>
                </c:pt>
                <c:pt idx="93">
                  <c:v>37.7986</c:v>
                </c:pt>
                <c:pt idx="94">
                  <c:v>38.203800000000001</c:v>
                </c:pt>
                <c:pt idx="95">
                  <c:v>38.612499999999997</c:v>
                </c:pt>
                <c:pt idx="96">
                  <c:v>39.012799999999999</c:v>
                </c:pt>
                <c:pt idx="97">
                  <c:v>39.418599999999998</c:v>
                </c:pt>
                <c:pt idx="98">
                  <c:v>39.825099999999999</c:v>
                </c:pt>
                <c:pt idx="99">
                  <c:v>40.233400000000003</c:v>
                </c:pt>
                <c:pt idx="100">
                  <c:v>40.639499999999998</c:v>
                </c:pt>
                <c:pt idx="101">
                  <c:v>41.045999999999999</c:v>
                </c:pt>
                <c:pt idx="102">
                  <c:v>41.452100000000002</c:v>
                </c:pt>
                <c:pt idx="103">
                  <c:v>41.857399999999998</c:v>
                </c:pt>
                <c:pt idx="104">
                  <c:v>42.265599999999999</c:v>
                </c:pt>
                <c:pt idx="105">
                  <c:v>42.672499999999999</c:v>
                </c:pt>
                <c:pt idx="106">
                  <c:v>43.0792</c:v>
                </c:pt>
                <c:pt idx="107">
                  <c:v>43.4833</c:v>
                </c:pt>
                <c:pt idx="108">
                  <c:v>43.8887</c:v>
                </c:pt>
                <c:pt idx="109">
                  <c:v>44.296300000000002</c:v>
                </c:pt>
                <c:pt idx="110">
                  <c:v>44.706299999999999</c:v>
                </c:pt>
                <c:pt idx="111">
                  <c:v>45.108699999999999</c:v>
                </c:pt>
                <c:pt idx="112">
                  <c:v>45.5152</c:v>
                </c:pt>
                <c:pt idx="113">
                  <c:v>45.918599999999998</c:v>
                </c:pt>
                <c:pt idx="114">
                  <c:v>46.3277</c:v>
                </c:pt>
                <c:pt idx="115">
                  <c:v>46.731000000000002</c:v>
                </c:pt>
                <c:pt idx="116">
                  <c:v>47.139600000000002</c:v>
                </c:pt>
                <c:pt idx="117">
                  <c:v>47.5458</c:v>
                </c:pt>
                <c:pt idx="118">
                  <c:v>47.9529</c:v>
                </c:pt>
                <c:pt idx="119">
                  <c:v>48.356900000000003</c:v>
                </c:pt>
                <c:pt idx="120">
                  <c:v>48.765799999999999</c:v>
                </c:pt>
                <c:pt idx="121">
                  <c:v>49.169899999999998</c:v>
                </c:pt>
                <c:pt idx="122">
                  <c:v>49.573700000000002</c:v>
                </c:pt>
                <c:pt idx="123">
                  <c:v>49.982700000000001</c:v>
                </c:pt>
                <c:pt idx="124">
                  <c:v>50.387799999999999</c:v>
                </c:pt>
                <c:pt idx="125">
                  <c:v>50.795699999999997</c:v>
                </c:pt>
                <c:pt idx="126">
                  <c:v>51.203899999999997</c:v>
                </c:pt>
                <c:pt idx="127">
                  <c:v>51.6068</c:v>
                </c:pt>
                <c:pt idx="128">
                  <c:v>52.016800000000003</c:v>
                </c:pt>
                <c:pt idx="129">
                  <c:v>52.422800000000002</c:v>
                </c:pt>
                <c:pt idx="130">
                  <c:v>52.828800000000001</c:v>
                </c:pt>
                <c:pt idx="131">
                  <c:v>53.232500000000002</c:v>
                </c:pt>
                <c:pt idx="132">
                  <c:v>53.638199999999998</c:v>
                </c:pt>
                <c:pt idx="133">
                  <c:v>54.049199999999999</c:v>
                </c:pt>
                <c:pt idx="134">
                  <c:v>54.451599999999999</c:v>
                </c:pt>
                <c:pt idx="135">
                  <c:v>54.855600000000003</c:v>
                </c:pt>
                <c:pt idx="136">
                  <c:v>55.266199999999998</c:v>
                </c:pt>
                <c:pt idx="137">
                  <c:v>55.671799999999998</c:v>
                </c:pt>
                <c:pt idx="138">
                  <c:v>56.076900000000002</c:v>
                </c:pt>
                <c:pt idx="139">
                  <c:v>56.482199999999999</c:v>
                </c:pt>
                <c:pt idx="140">
                  <c:v>56.89</c:v>
                </c:pt>
                <c:pt idx="141">
                  <c:v>57.294800000000002</c:v>
                </c:pt>
                <c:pt idx="142">
                  <c:v>57.706600000000002</c:v>
                </c:pt>
                <c:pt idx="143">
                  <c:v>58.108499999999999</c:v>
                </c:pt>
                <c:pt idx="144">
                  <c:v>58.517499999999998</c:v>
                </c:pt>
                <c:pt idx="145">
                  <c:v>58.9208</c:v>
                </c:pt>
                <c:pt idx="146">
                  <c:v>59.327500000000001</c:v>
                </c:pt>
                <c:pt idx="147">
                  <c:v>59.738300000000002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  <c:pt idx="74">
                  <c:v>40.745799999999996</c:v>
                </c:pt>
                <c:pt idx="75">
                  <c:v>40.215400000000002</c:v>
                </c:pt>
                <c:pt idx="76">
                  <c:v>39.775500000000001</c:v>
                </c:pt>
                <c:pt idx="77">
                  <c:v>39.422899999999998</c:v>
                </c:pt>
                <c:pt idx="78">
                  <c:v>39.044000000000004</c:v>
                </c:pt>
                <c:pt idx="79">
                  <c:v>38.624399999999994</c:v>
                </c:pt>
                <c:pt idx="80">
                  <c:v>38.251200000000004</c:v>
                </c:pt>
                <c:pt idx="81">
                  <c:v>37.906800000000004</c:v>
                </c:pt>
                <c:pt idx="82">
                  <c:v>37.503</c:v>
                </c:pt>
                <c:pt idx="83">
                  <c:v>37.1038</c:v>
                </c:pt>
                <c:pt idx="84">
                  <c:v>36.759599999999999</c:v>
                </c:pt>
                <c:pt idx="85">
                  <c:v>36.425699999999999</c:v>
                </c:pt>
                <c:pt idx="86">
                  <c:v>35.986000000000004</c:v>
                </c:pt>
                <c:pt idx="87">
                  <c:v>35.496299999999998</c:v>
                </c:pt>
                <c:pt idx="88">
                  <c:v>34.954099999999997</c:v>
                </c:pt>
                <c:pt idx="89">
                  <c:v>34.333599999999997</c:v>
                </c:pt>
                <c:pt idx="90">
                  <c:v>33.669199999999996</c:v>
                </c:pt>
                <c:pt idx="91">
                  <c:v>32.992399999999996</c:v>
                </c:pt>
                <c:pt idx="92">
                  <c:v>32.311199999999999</c:v>
                </c:pt>
                <c:pt idx="93">
                  <c:v>31.680099999999999</c:v>
                </c:pt>
                <c:pt idx="94">
                  <c:v>31.0853</c:v>
                </c:pt>
                <c:pt idx="95">
                  <c:v>30.560599999999997</c:v>
                </c:pt>
                <c:pt idx="96">
                  <c:v>30.186699999999998</c:v>
                </c:pt>
                <c:pt idx="97">
                  <c:v>29.8201</c:v>
                </c:pt>
                <c:pt idx="98">
                  <c:v>29.518499999999996</c:v>
                </c:pt>
                <c:pt idx="99">
                  <c:v>29.247400000000003</c:v>
                </c:pt>
                <c:pt idx="100">
                  <c:v>29.018699999999995</c:v>
                </c:pt>
                <c:pt idx="101">
                  <c:v>28.892400000000002</c:v>
                </c:pt>
                <c:pt idx="102">
                  <c:v>28.819699999999997</c:v>
                </c:pt>
                <c:pt idx="103">
                  <c:v>28.731499999999997</c:v>
                </c:pt>
                <c:pt idx="104">
                  <c:v>28.569400000000002</c:v>
                </c:pt>
                <c:pt idx="105">
                  <c:v>28.376600000000003</c:v>
                </c:pt>
                <c:pt idx="106">
                  <c:v>28.2681</c:v>
                </c:pt>
                <c:pt idx="107">
                  <c:v>28.152999999999999</c:v>
                </c:pt>
                <c:pt idx="108">
                  <c:v>28.053599999999999</c:v>
                </c:pt>
                <c:pt idx="109">
                  <c:v>27.946100000000001</c:v>
                </c:pt>
                <c:pt idx="110">
                  <c:v>27.811799999999998</c:v>
                </c:pt>
                <c:pt idx="111">
                  <c:v>27.7422</c:v>
                </c:pt>
                <c:pt idx="112">
                  <c:v>27.659699999999997</c:v>
                </c:pt>
                <c:pt idx="113">
                  <c:v>27.5578</c:v>
                </c:pt>
                <c:pt idx="114">
                  <c:v>27.5488</c:v>
                </c:pt>
                <c:pt idx="115">
                  <c:v>27.5243</c:v>
                </c:pt>
                <c:pt idx="116">
                  <c:v>27.4909</c:v>
                </c:pt>
                <c:pt idx="117">
                  <c:v>27.494499999999999</c:v>
                </c:pt>
                <c:pt idx="118">
                  <c:v>27.477699999999999</c:v>
                </c:pt>
                <c:pt idx="119">
                  <c:v>27.414899999999996</c:v>
                </c:pt>
                <c:pt idx="120">
                  <c:v>27.349</c:v>
                </c:pt>
                <c:pt idx="121">
                  <c:v>27.211999999999996</c:v>
                </c:pt>
                <c:pt idx="122">
                  <c:v>27.077400000000001</c:v>
                </c:pt>
                <c:pt idx="123">
                  <c:v>26.9191</c:v>
                </c:pt>
                <c:pt idx="124">
                  <c:v>26.8401</c:v>
                </c:pt>
                <c:pt idx="125">
                  <c:v>26.756</c:v>
                </c:pt>
                <c:pt idx="126">
                  <c:v>26.669999999999998</c:v>
                </c:pt>
                <c:pt idx="127">
                  <c:v>26.523499999999999</c:v>
                </c:pt>
                <c:pt idx="128">
                  <c:v>26.367600000000003</c:v>
                </c:pt>
                <c:pt idx="129">
                  <c:v>26.2486</c:v>
                </c:pt>
                <c:pt idx="130">
                  <c:v>26.132100000000001</c:v>
                </c:pt>
                <c:pt idx="131">
                  <c:v>25.987700000000004</c:v>
                </c:pt>
                <c:pt idx="132">
                  <c:v>25.905899999999999</c:v>
                </c:pt>
                <c:pt idx="133">
                  <c:v>25.825599999999998</c:v>
                </c:pt>
                <c:pt idx="134">
                  <c:v>25.745000000000001</c:v>
                </c:pt>
                <c:pt idx="135">
                  <c:v>25.706200000000003</c:v>
                </c:pt>
                <c:pt idx="136">
                  <c:v>25.6235</c:v>
                </c:pt>
                <c:pt idx="137">
                  <c:v>25.577400000000001</c:v>
                </c:pt>
                <c:pt idx="138">
                  <c:v>25.645699999999998</c:v>
                </c:pt>
                <c:pt idx="139">
                  <c:v>25.6144</c:v>
                </c:pt>
                <c:pt idx="140">
                  <c:v>25.634699999999999</c:v>
                </c:pt>
                <c:pt idx="141">
                  <c:v>25.726399999999998</c:v>
                </c:pt>
                <c:pt idx="142">
                  <c:v>25.7806</c:v>
                </c:pt>
                <c:pt idx="143">
                  <c:v>25.880199999999999</c:v>
                </c:pt>
                <c:pt idx="144">
                  <c:v>25.9438</c:v>
                </c:pt>
                <c:pt idx="145">
                  <c:v>25.8826</c:v>
                </c:pt>
                <c:pt idx="146">
                  <c:v>25.7956</c:v>
                </c:pt>
                <c:pt idx="147">
                  <c:v>25.6874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29.606999999999999</c:v>
                </c:pt>
                <c:pt idx="1">
                  <c:v>30.012599999999999</c:v>
                </c:pt>
                <c:pt idx="2">
                  <c:v>30.608599999999999</c:v>
                </c:pt>
                <c:pt idx="3">
                  <c:v>30.980499999999999</c:v>
                </c:pt>
                <c:pt idx="4">
                  <c:v>31.356400000000001</c:v>
                </c:pt>
                <c:pt idx="5">
                  <c:v>31.7316</c:v>
                </c:pt>
                <c:pt idx="6">
                  <c:v>32.1068</c:v>
                </c:pt>
                <c:pt idx="7">
                  <c:v>32.513599999999997</c:v>
                </c:pt>
                <c:pt idx="8">
                  <c:v>32.9208</c:v>
                </c:pt>
                <c:pt idx="9">
                  <c:v>33.329700000000003</c:v>
                </c:pt>
                <c:pt idx="10">
                  <c:v>33.731900000000003</c:v>
                </c:pt>
                <c:pt idx="11">
                  <c:v>34.141199999999998</c:v>
                </c:pt>
                <c:pt idx="12">
                  <c:v>34.544899999999998</c:v>
                </c:pt>
                <c:pt idx="13">
                  <c:v>34.952599999999997</c:v>
                </c:pt>
                <c:pt idx="14">
                  <c:v>35.361400000000003</c:v>
                </c:pt>
                <c:pt idx="15">
                  <c:v>35.7637</c:v>
                </c:pt>
                <c:pt idx="16">
                  <c:v>36.170400000000001</c:v>
                </c:pt>
                <c:pt idx="17">
                  <c:v>36.578099999999999</c:v>
                </c:pt>
                <c:pt idx="18">
                  <c:v>36.981299999999997</c:v>
                </c:pt>
                <c:pt idx="19">
                  <c:v>37.390500000000003</c:v>
                </c:pt>
                <c:pt idx="20">
                  <c:v>37.7986</c:v>
                </c:pt>
                <c:pt idx="21">
                  <c:v>38.203800000000001</c:v>
                </c:pt>
                <c:pt idx="22">
                  <c:v>38.612499999999997</c:v>
                </c:pt>
                <c:pt idx="23">
                  <c:v>39.012799999999999</c:v>
                </c:pt>
                <c:pt idx="24">
                  <c:v>39.418599999999998</c:v>
                </c:pt>
                <c:pt idx="25">
                  <c:v>39.825099999999999</c:v>
                </c:pt>
                <c:pt idx="26">
                  <c:v>40.233400000000003</c:v>
                </c:pt>
                <c:pt idx="27">
                  <c:v>40.639499999999998</c:v>
                </c:pt>
                <c:pt idx="28">
                  <c:v>41.045999999999999</c:v>
                </c:pt>
                <c:pt idx="29">
                  <c:v>41.452100000000002</c:v>
                </c:pt>
                <c:pt idx="30">
                  <c:v>41.857399999999998</c:v>
                </c:pt>
                <c:pt idx="31">
                  <c:v>42.265599999999999</c:v>
                </c:pt>
                <c:pt idx="32">
                  <c:v>42.672499999999999</c:v>
                </c:pt>
                <c:pt idx="33">
                  <c:v>43.0792</c:v>
                </c:pt>
                <c:pt idx="34">
                  <c:v>43.4833</c:v>
                </c:pt>
                <c:pt idx="35">
                  <c:v>43.8887</c:v>
                </c:pt>
                <c:pt idx="36">
                  <c:v>44.296300000000002</c:v>
                </c:pt>
                <c:pt idx="37">
                  <c:v>44.706299999999999</c:v>
                </c:pt>
                <c:pt idx="38">
                  <c:v>45.108699999999999</c:v>
                </c:pt>
                <c:pt idx="39">
                  <c:v>45.5152</c:v>
                </c:pt>
                <c:pt idx="40">
                  <c:v>45.918599999999998</c:v>
                </c:pt>
                <c:pt idx="41">
                  <c:v>46.3277</c:v>
                </c:pt>
                <c:pt idx="42">
                  <c:v>46.731000000000002</c:v>
                </c:pt>
                <c:pt idx="43">
                  <c:v>47.139600000000002</c:v>
                </c:pt>
                <c:pt idx="44">
                  <c:v>47.5458</c:v>
                </c:pt>
                <c:pt idx="45">
                  <c:v>47.9529</c:v>
                </c:pt>
                <c:pt idx="46">
                  <c:v>48.356900000000003</c:v>
                </c:pt>
                <c:pt idx="47">
                  <c:v>48.765799999999999</c:v>
                </c:pt>
                <c:pt idx="48">
                  <c:v>49.169899999999998</c:v>
                </c:pt>
                <c:pt idx="49">
                  <c:v>49.573700000000002</c:v>
                </c:pt>
                <c:pt idx="50">
                  <c:v>49.982700000000001</c:v>
                </c:pt>
                <c:pt idx="51">
                  <c:v>50.387799999999999</c:v>
                </c:pt>
                <c:pt idx="52">
                  <c:v>50.795699999999997</c:v>
                </c:pt>
                <c:pt idx="53">
                  <c:v>51.203899999999997</c:v>
                </c:pt>
                <c:pt idx="54">
                  <c:v>51.6068</c:v>
                </c:pt>
                <c:pt idx="55">
                  <c:v>52.016800000000003</c:v>
                </c:pt>
                <c:pt idx="56">
                  <c:v>52.422800000000002</c:v>
                </c:pt>
                <c:pt idx="57">
                  <c:v>52.828800000000001</c:v>
                </c:pt>
                <c:pt idx="58">
                  <c:v>53.232500000000002</c:v>
                </c:pt>
                <c:pt idx="59">
                  <c:v>53.638199999999998</c:v>
                </c:pt>
                <c:pt idx="60">
                  <c:v>54.049199999999999</c:v>
                </c:pt>
                <c:pt idx="61">
                  <c:v>54.451599999999999</c:v>
                </c:pt>
                <c:pt idx="62">
                  <c:v>54.855600000000003</c:v>
                </c:pt>
                <c:pt idx="63">
                  <c:v>55.266199999999998</c:v>
                </c:pt>
                <c:pt idx="64">
                  <c:v>55.671799999999998</c:v>
                </c:pt>
                <c:pt idx="65">
                  <c:v>56.076900000000002</c:v>
                </c:pt>
                <c:pt idx="66">
                  <c:v>56.482199999999999</c:v>
                </c:pt>
                <c:pt idx="67">
                  <c:v>56.89</c:v>
                </c:pt>
                <c:pt idx="68">
                  <c:v>57.294800000000002</c:v>
                </c:pt>
                <c:pt idx="69">
                  <c:v>57.706600000000002</c:v>
                </c:pt>
                <c:pt idx="70">
                  <c:v>58.108499999999999</c:v>
                </c:pt>
                <c:pt idx="71">
                  <c:v>58.517499999999998</c:v>
                </c:pt>
                <c:pt idx="72">
                  <c:v>58.9208</c:v>
                </c:pt>
                <c:pt idx="73">
                  <c:v>59.327500000000001</c:v>
                </c:pt>
                <c:pt idx="74">
                  <c:v>59.738300000000002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41.123100000000001</c:v>
                </c:pt>
                <c:pt idx="1">
                  <c:v>40.745799999999996</c:v>
                </c:pt>
                <c:pt idx="2">
                  <c:v>40.215400000000002</c:v>
                </c:pt>
                <c:pt idx="3">
                  <c:v>39.775500000000001</c:v>
                </c:pt>
                <c:pt idx="4">
                  <c:v>39.422899999999998</c:v>
                </c:pt>
                <c:pt idx="5">
                  <c:v>39.044000000000004</c:v>
                </c:pt>
                <c:pt idx="6">
                  <c:v>38.624399999999994</c:v>
                </c:pt>
                <c:pt idx="7">
                  <c:v>38.251200000000004</c:v>
                </c:pt>
                <c:pt idx="8">
                  <c:v>37.906800000000004</c:v>
                </c:pt>
                <c:pt idx="9">
                  <c:v>37.503</c:v>
                </c:pt>
                <c:pt idx="10">
                  <c:v>37.1038</c:v>
                </c:pt>
                <c:pt idx="11">
                  <c:v>36.759599999999999</c:v>
                </c:pt>
                <c:pt idx="12">
                  <c:v>36.425699999999999</c:v>
                </c:pt>
                <c:pt idx="13">
                  <c:v>35.986000000000004</c:v>
                </c:pt>
                <c:pt idx="14">
                  <c:v>35.496299999999998</c:v>
                </c:pt>
                <c:pt idx="15">
                  <c:v>34.954099999999997</c:v>
                </c:pt>
                <c:pt idx="16">
                  <c:v>34.333599999999997</c:v>
                </c:pt>
                <c:pt idx="17">
                  <c:v>33.669199999999996</c:v>
                </c:pt>
                <c:pt idx="18">
                  <c:v>32.992399999999996</c:v>
                </c:pt>
                <c:pt idx="19">
                  <c:v>32.311199999999999</c:v>
                </c:pt>
                <c:pt idx="20">
                  <c:v>31.680099999999999</c:v>
                </c:pt>
                <c:pt idx="21">
                  <c:v>31.0853</c:v>
                </c:pt>
                <c:pt idx="22">
                  <c:v>30.560599999999997</c:v>
                </c:pt>
                <c:pt idx="23">
                  <c:v>30.186699999999998</c:v>
                </c:pt>
                <c:pt idx="24">
                  <c:v>29.8201</c:v>
                </c:pt>
                <c:pt idx="25">
                  <c:v>29.518499999999996</c:v>
                </c:pt>
                <c:pt idx="26">
                  <c:v>29.247400000000003</c:v>
                </c:pt>
                <c:pt idx="27">
                  <c:v>29.018699999999995</c:v>
                </c:pt>
                <c:pt idx="28">
                  <c:v>28.892400000000002</c:v>
                </c:pt>
                <c:pt idx="29">
                  <c:v>28.819699999999997</c:v>
                </c:pt>
                <c:pt idx="30">
                  <c:v>28.731499999999997</c:v>
                </c:pt>
                <c:pt idx="31">
                  <c:v>28.569400000000002</c:v>
                </c:pt>
                <c:pt idx="32">
                  <c:v>28.376600000000003</c:v>
                </c:pt>
                <c:pt idx="33">
                  <c:v>28.2681</c:v>
                </c:pt>
                <c:pt idx="34">
                  <c:v>28.152999999999999</c:v>
                </c:pt>
                <c:pt idx="35">
                  <c:v>28.053599999999999</c:v>
                </c:pt>
                <c:pt idx="36">
                  <c:v>27.946100000000001</c:v>
                </c:pt>
                <c:pt idx="37">
                  <c:v>27.811799999999998</c:v>
                </c:pt>
                <c:pt idx="38">
                  <c:v>27.7422</c:v>
                </c:pt>
                <c:pt idx="39">
                  <c:v>27.659699999999997</c:v>
                </c:pt>
                <c:pt idx="40">
                  <c:v>27.5578</c:v>
                </c:pt>
                <c:pt idx="41">
                  <c:v>27.5488</c:v>
                </c:pt>
                <c:pt idx="42">
                  <c:v>27.5243</c:v>
                </c:pt>
                <c:pt idx="43">
                  <c:v>27.4909</c:v>
                </c:pt>
                <c:pt idx="44">
                  <c:v>27.494499999999999</c:v>
                </c:pt>
                <c:pt idx="45">
                  <c:v>27.477699999999999</c:v>
                </c:pt>
                <c:pt idx="46">
                  <c:v>27.414899999999996</c:v>
                </c:pt>
                <c:pt idx="47">
                  <c:v>27.349</c:v>
                </c:pt>
                <c:pt idx="48">
                  <c:v>27.211999999999996</c:v>
                </c:pt>
                <c:pt idx="49">
                  <c:v>27.077400000000001</c:v>
                </c:pt>
                <c:pt idx="50">
                  <c:v>26.9191</c:v>
                </c:pt>
                <c:pt idx="51">
                  <c:v>26.8401</c:v>
                </c:pt>
                <c:pt idx="52">
                  <c:v>26.756</c:v>
                </c:pt>
                <c:pt idx="53">
                  <c:v>26.669999999999998</c:v>
                </c:pt>
                <c:pt idx="54">
                  <c:v>26.523499999999999</c:v>
                </c:pt>
                <c:pt idx="55">
                  <c:v>26.367600000000003</c:v>
                </c:pt>
                <c:pt idx="56">
                  <c:v>26.2486</c:v>
                </c:pt>
                <c:pt idx="57">
                  <c:v>26.132100000000001</c:v>
                </c:pt>
                <c:pt idx="58">
                  <c:v>25.987700000000004</c:v>
                </c:pt>
                <c:pt idx="59">
                  <c:v>25.905899999999999</c:v>
                </c:pt>
                <c:pt idx="60">
                  <c:v>25.825599999999998</c:v>
                </c:pt>
                <c:pt idx="61">
                  <c:v>25.745000000000001</c:v>
                </c:pt>
                <c:pt idx="62">
                  <c:v>25.706200000000003</c:v>
                </c:pt>
                <c:pt idx="63">
                  <c:v>25.6235</c:v>
                </c:pt>
                <c:pt idx="64">
                  <c:v>25.577400000000001</c:v>
                </c:pt>
                <c:pt idx="65">
                  <c:v>25.645699999999998</c:v>
                </c:pt>
                <c:pt idx="66">
                  <c:v>25.6144</c:v>
                </c:pt>
                <c:pt idx="67">
                  <c:v>25.634699999999999</c:v>
                </c:pt>
                <c:pt idx="68">
                  <c:v>25.726399999999998</c:v>
                </c:pt>
                <c:pt idx="69">
                  <c:v>25.7806</c:v>
                </c:pt>
                <c:pt idx="70">
                  <c:v>25.880199999999999</c:v>
                </c:pt>
                <c:pt idx="71">
                  <c:v>25.9438</c:v>
                </c:pt>
                <c:pt idx="72">
                  <c:v>25.8826</c:v>
                </c:pt>
                <c:pt idx="73">
                  <c:v>25.7956</c:v>
                </c:pt>
                <c:pt idx="74">
                  <c:v>25.6874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43.335059459459465</c:v>
                </c:pt>
                <c:pt idx="1">
                  <c:v>29.8139108108108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33.794800000000002</c:v>
                </c:pt>
                <c:pt idx="1">
                  <c:v>34.2226</c:v>
                </c:pt>
                <c:pt idx="2">
                  <c:v>24.575199999999999</c:v>
                </c:pt>
                <c:pt idx="3">
                  <c:v>30.606100000000001</c:v>
                </c:pt>
                <c:pt idx="4">
                  <c:v>44.104100000000003</c:v>
                </c:pt>
                <c:pt idx="5">
                  <c:v>67.073400000000007</c:v>
                </c:pt>
                <c:pt idx="6">
                  <c:v>9.7978400000000008</c:v>
                </c:pt>
                <c:pt idx="7">
                  <c:v>57.044400000000003</c:v>
                </c:pt>
                <c:pt idx="8">
                  <c:v>18.603100000000001</c:v>
                </c:pt>
                <c:pt idx="9">
                  <c:v>38.4587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44.902500000000003</c:v>
                </c:pt>
                <c:pt idx="1">
                  <c:v>29.215699999999998</c:v>
                </c:pt>
                <c:pt idx="2">
                  <c:v>28.0838</c:v>
                </c:pt>
                <c:pt idx="3">
                  <c:v>33.535499999999999</c:v>
                </c:pt>
                <c:pt idx="4">
                  <c:v>64.917100000000005</c:v>
                </c:pt>
                <c:pt idx="5">
                  <c:v>75.647499999999994</c:v>
                </c:pt>
                <c:pt idx="6">
                  <c:v>23.4313</c:v>
                </c:pt>
                <c:pt idx="7">
                  <c:v>68.949200000000005</c:v>
                </c:pt>
                <c:pt idx="8">
                  <c:v>18.121300000000002</c:v>
                </c:pt>
                <c:pt idx="9">
                  <c:v>20.377099999999999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0.42860997167539316</c:v>
                </c:pt>
                <c:pt idx="1">
                  <c:v>0.29661986540057445</c:v>
                </c:pt>
                <c:pt idx="2">
                  <c:v>0.27477016292403245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4964</c:v>
                </c:pt>
                <c:pt idx="7">
                  <c:v>0</c:v>
                </c:pt>
                <c:pt idx="8">
                  <c:v>12358</c:v>
                </c:pt>
                <c:pt idx="9">
                  <c:v>0</c:v>
                </c:pt>
                <c:pt idx="10">
                  <c:v>0</c:v>
                </c:pt>
                <c:pt idx="11">
                  <c:v>19329</c:v>
                </c:pt>
                <c:pt idx="12">
                  <c:v>0</c:v>
                </c:pt>
                <c:pt idx="13">
                  <c:v>16174</c:v>
                </c:pt>
                <c:pt idx="14">
                  <c:v>0</c:v>
                </c:pt>
                <c:pt idx="15">
                  <c:v>0</c:v>
                </c:pt>
                <c:pt idx="16">
                  <c:v>20626</c:v>
                </c:pt>
                <c:pt idx="17">
                  <c:v>0</c:v>
                </c:pt>
                <c:pt idx="18">
                  <c:v>0</c:v>
                </c:pt>
                <c:pt idx="19">
                  <c:v>27555</c:v>
                </c:pt>
                <c:pt idx="20">
                  <c:v>0</c:v>
                </c:pt>
                <c:pt idx="21">
                  <c:v>31565</c:v>
                </c:pt>
                <c:pt idx="22">
                  <c:v>0</c:v>
                </c:pt>
                <c:pt idx="23">
                  <c:v>0</c:v>
                </c:pt>
                <c:pt idx="24">
                  <c:v>50096</c:v>
                </c:pt>
                <c:pt idx="25">
                  <c:v>0</c:v>
                </c:pt>
                <c:pt idx="26">
                  <c:v>54053</c:v>
                </c:pt>
                <c:pt idx="27">
                  <c:v>0</c:v>
                </c:pt>
                <c:pt idx="28">
                  <c:v>0</c:v>
                </c:pt>
                <c:pt idx="29">
                  <c:v>59252</c:v>
                </c:pt>
                <c:pt idx="30">
                  <c:v>0</c:v>
                </c:pt>
                <c:pt idx="31">
                  <c:v>65289</c:v>
                </c:pt>
                <c:pt idx="32">
                  <c:v>0</c:v>
                </c:pt>
                <c:pt idx="33">
                  <c:v>0</c:v>
                </c:pt>
                <c:pt idx="34">
                  <c:v>68736</c:v>
                </c:pt>
                <c:pt idx="35">
                  <c:v>0</c:v>
                </c:pt>
                <c:pt idx="36">
                  <c:v>0</c:v>
                </c:pt>
                <c:pt idx="37">
                  <c:v>79802</c:v>
                </c:pt>
                <c:pt idx="38">
                  <c:v>0</c:v>
                </c:pt>
                <c:pt idx="39">
                  <c:v>82177</c:v>
                </c:pt>
                <c:pt idx="40">
                  <c:v>0</c:v>
                </c:pt>
                <c:pt idx="41">
                  <c:v>0</c:v>
                </c:pt>
                <c:pt idx="42">
                  <c:v>68717</c:v>
                </c:pt>
                <c:pt idx="43">
                  <c:v>0</c:v>
                </c:pt>
                <c:pt idx="44">
                  <c:v>59075</c:v>
                </c:pt>
                <c:pt idx="45">
                  <c:v>0</c:v>
                </c:pt>
                <c:pt idx="46">
                  <c:v>0</c:v>
                </c:pt>
                <c:pt idx="47">
                  <c:v>65087</c:v>
                </c:pt>
                <c:pt idx="48">
                  <c:v>0</c:v>
                </c:pt>
                <c:pt idx="49">
                  <c:v>57728</c:v>
                </c:pt>
                <c:pt idx="50">
                  <c:v>0</c:v>
                </c:pt>
                <c:pt idx="51">
                  <c:v>0</c:v>
                </c:pt>
                <c:pt idx="52">
                  <c:v>56977</c:v>
                </c:pt>
                <c:pt idx="53">
                  <c:v>0</c:v>
                </c:pt>
                <c:pt idx="54">
                  <c:v>0</c:v>
                </c:pt>
                <c:pt idx="55">
                  <c:v>48415</c:v>
                </c:pt>
                <c:pt idx="56">
                  <c:v>0</c:v>
                </c:pt>
                <c:pt idx="57">
                  <c:v>47320</c:v>
                </c:pt>
                <c:pt idx="58">
                  <c:v>0</c:v>
                </c:pt>
                <c:pt idx="59">
                  <c:v>0</c:v>
                </c:pt>
                <c:pt idx="60">
                  <c:v>42652</c:v>
                </c:pt>
                <c:pt idx="61">
                  <c:v>0</c:v>
                </c:pt>
                <c:pt idx="62">
                  <c:v>37918</c:v>
                </c:pt>
                <c:pt idx="63">
                  <c:v>0</c:v>
                </c:pt>
                <c:pt idx="64">
                  <c:v>0</c:v>
                </c:pt>
                <c:pt idx="65">
                  <c:v>34433</c:v>
                </c:pt>
                <c:pt idx="66">
                  <c:v>0</c:v>
                </c:pt>
                <c:pt idx="67">
                  <c:v>28469</c:v>
                </c:pt>
                <c:pt idx="68">
                  <c:v>0</c:v>
                </c:pt>
                <c:pt idx="69">
                  <c:v>0</c:v>
                </c:pt>
                <c:pt idx="70">
                  <c:v>25563</c:v>
                </c:pt>
                <c:pt idx="71">
                  <c:v>0</c:v>
                </c:pt>
                <c:pt idx="72">
                  <c:v>0</c:v>
                </c:pt>
                <c:pt idx="73">
                  <c:v>25332</c:v>
                </c:pt>
                <c:pt idx="74">
                  <c:v>0</c:v>
                </c:pt>
                <c:pt idx="75">
                  <c:v>22474</c:v>
                </c:pt>
                <c:pt idx="76">
                  <c:v>0</c:v>
                </c:pt>
                <c:pt idx="77">
                  <c:v>0</c:v>
                </c:pt>
                <c:pt idx="78">
                  <c:v>20370</c:v>
                </c:pt>
                <c:pt idx="79">
                  <c:v>0</c:v>
                </c:pt>
                <c:pt idx="80">
                  <c:v>20807</c:v>
                </c:pt>
                <c:pt idx="81">
                  <c:v>0</c:v>
                </c:pt>
                <c:pt idx="82">
                  <c:v>0</c:v>
                </c:pt>
                <c:pt idx="83">
                  <c:v>16988</c:v>
                </c:pt>
                <c:pt idx="84">
                  <c:v>0</c:v>
                </c:pt>
                <c:pt idx="85">
                  <c:v>0</c:v>
                </c:pt>
                <c:pt idx="86">
                  <c:v>17628</c:v>
                </c:pt>
                <c:pt idx="87">
                  <c:v>0</c:v>
                </c:pt>
                <c:pt idx="88">
                  <c:v>16550</c:v>
                </c:pt>
                <c:pt idx="89">
                  <c:v>0</c:v>
                </c:pt>
                <c:pt idx="90">
                  <c:v>0</c:v>
                </c:pt>
                <c:pt idx="91">
                  <c:v>11637</c:v>
                </c:pt>
                <c:pt idx="92">
                  <c:v>0</c:v>
                </c:pt>
                <c:pt idx="93">
                  <c:v>12514</c:v>
                </c:pt>
                <c:pt idx="94">
                  <c:v>0</c:v>
                </c:pt>
                <c:pt idx="95">
                  <c:v>0</c:v>
                </c:pt>
                <c:pt idx="96">
                  <c:v>13123</c:v>
                </c:pt>
                <c:pt idx="97">
                  <c:v>0</c:v>
                </c:pt>
                <c:pt idx="98">
                  <c:v>13592</c:v>
                </c:pt>
                <c:pt idx="99">
                  <c:v>0</c:v>
                </c:pt>
                <c:pt idx="100">
                  <c:v>0</c:v>
                </c:pt>
                <c:pt idx="101">
                  <c:v>11335</c:v>
                </c:pt>
                <c:pt idx="102">
                  <c:v>0</c:v>
                </c:pt>
                <c:pt idx="103">
                  <c:v>0</c:v>
                </c:pt>
                <c:pt idx="104">
                  <c:v>11998</c:v>
                </c:pt>
                <c:pt idx="105">
                  <c:v>0</c:v>
                </c:pt>
                <c:pt idx="106">
                  <c:v>12112</c:v>
                </c:pt>
                <c:pt idx="107">
                  <c:v>0</c:v>
                </c:pt>
                <c:pt idx="108">
                  <c:v>0</c:v>
                </c:pt>
                <c:pt idx="109">
                  <c:v>11740</c:v>
                </c:pt>
                <c:pt idx="110">
                  <c:v>0</c:v>
                </c:pt>
                <c:pt idx="111">
                  <c:v>12556</c:v>
                </c:pt>
                <c:pt idx="112">
                  <c:v>0</c:v>
                </c:pt>
                <c:pt idx="113">
                  <c:v>0</c:v>
                </c:pt>
                <c:pt idx="114">
                  <c:v>11985</c:v>
                </c:pt>
                <c:pt idx="115">
                  <c:v>0</c:v>
                </c:pt>
                <c:pt idx="116">
                  <c:v>10587</c:v>
                </c:pt>
                <c:pt idx="117">
                  <c:v>0</c:v>
                </c:pt>
                <c:pt idx="118">
                  <c:v>0</c:v>
                </c:pt>
                <c:pt idx="119">
                  <c:v>9402</c:v>
                </c:pt>
                <c:pt idx="120">
                  <c:v>0</c:v>
                </c:pt>
                <c:pt idx="121">
                  <c:v>0</c:v>
                </c:pt>
                <c:pt idx="122">
                  <c:v>8290</c:v>
                </c:pt>
                <c:pt idx="123">
                  <c:v>0</c:v>
                </c:pt>
                <c:pt idx="124">
                  <c:v>7727</c:v>
                </c:pt>
                <c:pt idx="125">
                  <c:v>0</c:v>
                </c:pt>
                <c:pt idx="126">
                  <c:v>0</c:v>
                </c:pt>
                <c:pt idx="127">
                  <c:v>8570</c:v>
                </c:pt>
                <c:pt idx="128">
                  <c:v>0</c:v>
                </c:pt>
                <c:pt idx="129">
                  <c:v>7520</c:v>
                </c:pt>
                <c:pt idx="130">
                  <c:v>0</c:v>
                </c:pt>
                <c:pt idx="131">
                  <c:v>0</c:v>
                </c:pt>
                <c:pt idx="132">
                  <c:v>7354</c:v>
                </c:pt>
                <c:pt idx="133">
                  <c:v>0</c:v>
                </c:pt>
                <c:pt idx="134">
                  <c:v>6102</c:v>
                </c:pt>
                <c:pt idx="135">
                  <c:v>0</c:v>
                </c:pt>
                <c:pt idx="136">
                  <c:v>0</c:v>
                </c:pt>
                <c:pt idx="137">
                  <c:v>6625</c:v>
                </c:pt>
                <c:pt idx="138">
                  <c:v>0</c:v>
                </c:pt>
                <c:pt idx="139">
                  <c:v>0</c:v>
                </c:pt>
                <c:pt idx="140">
                  <c:v>4671</c:v>
                </c:pt>
                <c:pt idx="141">
                  <c:v>0</c:v>
                </c:pt>
                <c:pt idx="142">
                  <c:v>3948</c:v>
                </c:pt>
                <c:pt idx="143">
                  <c:v>0</c:v>
                </c:pt>
                <c:pt idx="144">
                  <c:v>0</c:v>
                </c:pt>
                <c:pt idx="145">
                  <c:v>2998</c:v>
                </c:pt>
                <c:pt idx="146">
                  <c:v>0</c:v>
                </c:pt>
                <c:pt idx="147">
                  <c:v>2588</c:v>
                </c:pt>
                <c:pt idx="148">
                  <c:v>0</c:v>
                </c:pt>
                <c:pt idx="149">
                  <c:v>0</c:v>
                </c:pt>
                <c:pt idx="150">
                  <c:v>2490</c:v>
                </c:pt>
                <c:pt idx="151">
                  <c:v>0</c:v>
                </c:pt>
                <c:pt idx="152">
                  <c:v>915</c:v>
                </c:pt>
                <c:pt idx="153">
                  <c:v>0</c:v>
                </c:pt>
                <c:pt idx="154">
                  <c:v>0</c:v>
                </c:pt>
                <c:pt idx="155">
                  <c:v>1382</c:v>
                </c:pt>
                <c:pt idx="156">
                  <c:v>0</c:v>
                </c:pt>
                <c:pt idx="157">
                  <c:v>0</c:v>
                </c:pt>
                <c:pt idx="158">
                  <c:v>1342</c:v>
                </c:pt>
                <c:pt idx="159">
                  <c:v>0</c:v>
                </c:pt>
                <c:pt idx="160">
                  <c:v>960</c:v>
                </c:pt>
                <c:pt idx="161">
                  <c:v>0</c:v>
                </c:pt>
                <c:pt idx="162">
                  <c:v>0</c:v>
                </c:pt>
                <c:pt idx="163">
                  <c:v>1076</c:v>
                </c:pt>
                <c:pt idx="164">
                  <c:v>0</c:v>
                </c:pt>
                <c:pt idx="165">
                  <c:v>59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2564</c:v>
                </c:pt>
                <c:pt idx="7">
                  <c:v>0</c:v>
                </c:pt>
                <c:pt idx="8">
                  <c:v>3203</c:v>
                </c:pt>
                <c:pt idx="9">
                  <c:v>0</c:v>
                </c:pt>
                <c:pt idx="10">
                  <c:v>0</c:v>
                </c:pt>
                <c:pt idx="11">
                  <c:v>5316</c:v>
                </c:pt>
                <c:pt idx="12">
                  <c:v>0</c:v>
                </c:pt>
                <c:pt idx="13">
                  <c:v>7266</c:v>
                </c:pt>
                <c:pt idx="14">
                  <c:v>0</c:v>
                </c:pt>
                <c:pt idx="15">
                  <c:v>0</c:v>
                </c:pt>
                <c:pt idx="16">
                  <c:v>11843</c:v>
                </c:pt>
                <c:pt idx="17">
                  <c:v>0</c:v>
                </c:pt>
                <c:pt idx="18">
                  <c:v>0</c:v>
                </c:pt>
                <c:pt idx="19">
                  <c:v>15414</c:v>
                </c:pt>
                <c:pt idx="20">
                  <c:v>0</c:v>
                </c:pt>
                <c:pt idx="21">
                  <c:v>14805</c:v>
                </c:pt>
                <c:pt idx="22">
                  <c:v>0</c:v>
                </c:pt>
                <c:pt idx="23">
                  <c:v>0</c:v>
                </c:pt>
                <c:pt idx="24">
                  <c:v>17382</c:v>
                </c:pt>
                <c:pt idx="25">
                  <c:v>0</c:v>
                </c:pt>
                <c:pt idx="26">
                  <c:v>16681</c:v>
                </c:pt>
                <c:pt idx="27">
                  <c:v>0</c:v>
                </c:pt>
                <c:pt idx="28">
                  <c:v>0</c:v>
                </c:pt>
                <c:pt idx="29">
                  <c:v>17272</c:v>
                </c:pt>
                <c:pt idx="30">
                  <c:v>0</c:v>
                </c:pt>
                <c:pt idx="31">
                  <c:v>19148</c:v>
                </c:pt>
                <c:pt idx="32">
                  <c:v>0</c:v>
                </c:pt>
                <c:pt idx="33">
                  <c:v>0</c:v>
                </c:pt>
                <c:pt idx="34">
                  <c:v>18978</c:v>
                </c:pt>
                <c:pt idx="35">
                  <c:v>0</c:v>
                </c:pt>
                <c:pt idx="36">
                  <c:v>0</c:v>
                </c:pt>
                <c:pt idx="37">
                  <c:v>19247</c:v>
                </c:pt>
                <c:pt idx="38">
                  <c:v>0</c:v>
                </c:pt>
                <c:pt idx="39">
                  <c:v>19094</c:v>
                </c:pt>
                <c:pt idx="40">
                  <c:v>0</c:v>
                </c:pt>
                <c:pt idx="41">
                  <c:v>0</c:v>
                </c:pt>
                <c:pt idx="42">
                  <c:v>21860</c:v>
                </c:pt>
                <c:pt idx="43">
                  <c:v>0</c:v>
                </c:pt>
                <c:pt idx="44">
                  <c:v>16651</c:v>
                </c:pt>
                <c:pt idx="45">
                  <c:v>0</c:v>
                </c:pt>
                <c:pt idx="46">
                  <c:v>0</c:v>
                </c:pt>
                <c:pt idx="47">
                  <c:v>20249</c:v>
                </c:pt>
                <c:pt idx="48">
                  <c:v>0</c:v>
                </c:pt>
                <c:pt idx="49">
                  <c:v>19548</c:v>
                </c:pt>
                <c:pt idx="50">
                  <c:v>0</c:v>
                </c:pt>
                <c:pt idx="51">
                  <c:v>0</c:v>
                </c:pt>
                <c:pt idx="52">
                  <c:v>24057</c:v>
                </c:pt>
                <c:pt idx="53">
                  <c:v>0</c:v>
                </c:pt>
                <c:pt idx="54">
                  <c:v>0</c:v>
                </c:pt>
                <c:pt idx="55">
                  <c:v>26516</c:v>
                </c:pt>
                <c:pt idx="56">
                  <c:v>0</c:v>
                </c:pt>
                <c:pt idx="57">
                  <c:v>31612</c:v>
                </c:pt>
                <c:pt idx="58">
                  <c:v>0</c:v>
                </c:pt>
                <c:pt idx="59">
                  <c:v>0</c:v>
                </c:pt>
                <c:pt idx="60">
                  <c:v>34837</c:v>
                </c:pt>
                <c:pt idx="61">
                  <c:v>0</c:v>
                </c:pt>
                <c:pt idx="62">
                  <c:v>41225</c:v>
                </c:pt>
                <c:pt idx="63">
                  <c:v>0</c:v>
                </c:pt>
                <c:pt idx="64">
                  <c:v>0</c:v>
                </c:pt>
                <c:pt idx="65">
                  <c:v>39545</c:v>
                </c:pt>
                <c:pt idx="66">
                  <c:v>0</c:v>
                </c:pt>
                <c:pt idx="67">
                  <c:v>46713</c:v>
                </c:pt>
                <c:pt idx="68">
                  <c:v>0</c:v>
                </c:pt>
                <c:pt idx="69">
                  <c:v>0</c:v>
                </c:pt>
                <c:pt idx="70">
                  <c:v>52689</c:v>
                </c:pt>
                <c:pt idx="71">
                  <c:v>0</c:v>
                </c:pt>
                <c:pt idx="72">
                  <c:v>0</c:v>
                </c:pt>
                <c:pt idx="73">
                  <c:v>54615</c:v>
                </c:pt>
                <c:pt idx="74">
                  <c:v>0</c:v>
                </c:pt>
                <c:pt idx="75">
                  <c:v>59065</c:v>
                </c:pt>
                <c:pt idx="76">
                  <c:v>0</c:v>
                </c:pt>
                <c:pt idx="77">
                  <c:v>0</c:v>
                </c:pt>
                <c:pt idx="78">
                  <c:v>64787</c:v>
                </c:pt>
                <c:pt idx="79">
                  <c:v>0</c:v>
                </c:pt>
                <c:pt idx="80">
                  <c:v>70748</c:v>
                </c:pt>
                <c:pt idx="81">
                  <c:v>0</c:v>
                </c:pt>
                <c:pt idx="82">
                  <c:v>0</c:v>
                </c:pt>
                <c:pt idx="83">
                  <c:v>75148</c:v>
                </c:pt>
                <c:pt idx="84">
                  <c:v>0</c:v>
                </c:pt>
                <c:pt idx="85">
                  <c:v>0</c:v>
                </c:pt>
                <c:pt idx="86">
                  <c:v>86163</c:v>
                </c:pt>
                <c:pt idx="87">
                  <c:v>0</c:v>
                </c:pt>
                <c:pt idx="88">
                  <c:v>88458</c:v>
                </c:pt>
                <c:pt idx="89">
                  <c:v>0</c:v>
                </c:pt>
                <c:pt idx="90">
                  <c:v>0</c:v>
                </c:pt>
                <c:pt idx="91">
                  <c:v>90581</c:v>
                </c:pt>
                <c:pt idx="92">
                  <c:v>0</c:v>
                </c:pt>
                <c:pt idx="93">
                  <c:v>85505</c:v>
                </c:pt>
                <c:pt idx="94">
                  <c:v>0</c:v>
                </c:pt>
                <c:pt idx="95">
                  <c:v>0</c:v>
                </c:pt>
                <c:pt idx="96">
                  <c:v>80736</c:v>
                </c:pt>
                <c:pt idx="97">
                  <c:v>0</c:v>
                </c:pt>
                <c:pt idx="98">
                  <c:v>75839</c:v>
                </c:pt>
                <c:pt idx="99">
                  <c:v>0</c:v>
                </c:pt>
                <c:pt idx="100">
                  <c:v>0</c:v>
                </c:pt>
                <c:pt idx="101">
                  <c:v>70424</c:v>
                </c:pt>
                <c:pt idx="102">
                  <c:v>0</c:v>
                </c:pt>
                <c:pt idx="103">
                  <c:v>0</c:v>
                </c:pt>
                <c:pt idx="104">
                  <c:v>64480</c:v>
                </c:pt>
                <c:pt idx="105">
                  <c:v>0</c:v>
                </c:pt>
                <c:pt idx="106">
                  <c:v>60260</c:v>
                </c:pt>
                <c:pt idx="107">
                  <c:v>0</c:v>
                </c:pt>
                <c:pt idx="108">
                  <c:v>0</c:v>
                </c:pt>
                <c:pt idx="109">
                  <c:v>60546</c:v>
                </c:pt>
                <c:pt idx="110">
                  <c:v>0</c:v>
                </c:pt>
                <c:pt idx="111">
                  <c:v>57270</c:v>
                </c:pt>
                <c:pt idx="112">
                  <c:v>0</c:v>
                </c:pt>
                <c:pt idx="113">
                  <c:v>0</c:v>
                </c:pt>
                <c:pt idx="114">
                  <c:v>58234</c:v>
                </c:pt>
                <c:pt idx="115">
                  <c:v>0</c:v>
                </c:pt>
                <c:pt idx="116">
                  <c:v>57509</c:v>
                </c:pt>
                <c:pt idx="117">
                  <c:v>0</c:v>
                </c:pt>
                <c:pt idx="118">
                  <c:v>0</c:v>
                </c:pt>
                <c:pt idx="119">
                  <c:v>58731</c:v>
                </c:pt>
                <c:pt idx="120">
                  <c:v>0</c:v>
                </c:pt>
                <c:pt idx="121">
                  <c:v>0</c:v>
                </c:pt>
                <c:pt idx="122">
                  <c:v>55967</c:v>
                </c:pt>
                <c:pt idx="123">
                  <c:v>0</c:v>
                </c:pt>
                <c:pt idx="124">
                  <c:v>53240</c:v>
                </c:pt>
                <c:pt idx="125">
                  <c:v>0</c:v>
                </c:pt>
                <c:pt idx="126">
                  <c:v>0</c:v>
                </c:pt>
                <c:pt idx="127">
                  <c:v>53585</c:v>
                </c:pt>
                <c:pt idx="128">
                  <c:v>0</c:v>
                </c:pt>
                <c:pt idx="129">
                  <c:v>53015</c:v>
                </c:pt>
                <c:pt idx="130">
                  <c:v>0</c:v>
                </c:pt>
                <c:pt idx="131">
                  <c:v>0</c:v>
                </c:pt>
                <c:pt idx="132">
                  <c:v>54396</c:v>
                </c:pt>
                <c:pt idx="133">
                  <c:v>0</c:v>
                </c:pt>
                <c:pt idx="134">
                  <c:v>55177</c:v>
                </c:pt>
                <c:pt idx="135">
                  <c:v>0</c:v>
                </c:pt>
                <c:pt idx="136">
                  <c:v>0</c:v>
                </c:pt>
                <c:pt idx="137">
                  <c:v>51944</c:v>
                </c:pt>
                <c:pt idx="138">
                  <c:v>0</c:v>
                </c:pt>
                <c:pt idx="139">
                  <c:v>0</c:v>
                </c:pt>
                <c:pt idx="140">
                  <c:v>50220</c:v>
                </c:pt>
                <c:pt idx="141">
                  <c:v>0</c:v>
                </c:pt>
                <c:pt idx="142">
                  <c:v>43406</c:v>
                </c:pt>
                <c:pt idx="143">
                  <c:v>0</c:v>
                </c:pt>
                <c:pt idx="144">
                  <c:v>0</c:v>
                </c:pt>
                <c:pt idx="145">
                  <c:v>39474</c:v>
                </c:pt>
                <c:pt idx="146">
                  <c:v>0</c:v>
                </c:pt>
                <c:pt idx="147">
                  <c:v>37399</c:v>
                </c:pt>
                <c:pt idx="148">
                  <c:v>0</c:v>
                </c:pt>
                <c:pt idx="149">
                  <c:v>0</c:v>
                </c:pt>
                <c:pt idx="150">
                  <c:v>33489</c:v>
                </c:pt>
                <c:pt idx="151">
                  <c:v>0</c:v>
                </c:pt>
                <c:pt idx="152">
                  <c:v>23369</c:v>
                </c:pt>
                <c:pt idx="153">
                  <c:v>0</c:v>
                </c:pt>
                <c:pt idx="154">
                  <c:v>0</c:v>
                </c:pt>
                <c:pt idx="155">
                  <c:v>20342</c:v>
                </c:pt>
                <c:pt idx="156">
                  <c:v>0</c:v>
                </c:pt>
                <c:pt idx="157">
                  <c:v>0</c:v>
                </c:pt>
                <c:pt idx="158">
                  <c:v>17009</c:v>
                </c:pt>
                <c:pt idx="159">
                  <c:v>0</c:v>
                </c:pt>
                <c:pt idx="160">
                  <c:v>16085</c:v>
                </c:pt>
                <c:pt idx="161">
                  <c:v>0</c:v>
                </c:pt>
                <c:pt idx="162">
                  <c:v>0</c:v>
                </c:pt>
                <c:pt idx="163">
                  <c:v>15575</c:v>
                </c:pt>
                <c:pt idx="164">
                  <c:v>0</c:v>
                </c:pt>
                <c:pt idx="165">
                  <c:v>10612</c:v>
                </c:pt>
                <c:pt idx="166">
                  <c:v>0</c:v>
                </c:pt>
                <c:pt idx="167">
                  <c:v>0</c:v>
                </c:pt>
                <c:pt idx="168">
                  <c:v>11935</c:v>
                </c:pt>
                <c:pt idx="169">
                  <c:v>0</c:v>
                </c:pt>
                <c:pt idx="170">
                  <c:v>0</c:v>
                </c:pt>
                <c:pt idx="171">
                  <c:v>9213</c:v>
                </c:pt>
                <c:pt idx="172">
                  <c:v>0</c:v>
                </c:pt>
                <c:pt idx="173">
                  <c:v>7458</c:v>
                </c:pt>
                <c:pt idx="174">
                  <c:v>0</c:v>
                </c:pt>
                <c:pt idx="175">
                  <c:v>0</c:v>
                </c:pt>
                <c:pt idx="176">
                  <c:v>8195</c:v>
                </c:pt>
                <c:pt idx="177">
                  <c:v>0</c:v>
                </c:pt>
                <c:pt idx="178">
                  <c:v>7055</c:v>
                </c:pt>
                <c:pt idx="179">
                  <c:v>0</c:v>
                </c:pt>
                <c:pt idx="180">
                  <c:v>0</c:v>
                </c:pt>
                <c:pt idx="181">
                  <c:v>6281</c:v>
                </c:pt>
                <c:pt idx="182">
                  <c:v>0</c:v>
                </c:pt>
                <c:pt idx="183">
                  <c:v>6105</c:v>
                </c:pt>
                <c:pt idx="184">
                  <c:v>0</c:v>
                </c:pt>
                <c:pt idx="185">
                  <c:v>0</c:v>
                </c:pt>
                <c:pt idx="186">
                  <c:v>5918</c:v>
                </c:pt>
                <c:pt idx="187">
                  <c:v>0</c:v>
                </c:pt>
                <c:pt idx="188">
                  <c:v>0</c:v>
                </c:pt>
                <c:pt idx="189">
                  <c:v>5113</c:v>
                </c:pt>
                <c:pt idx="190">
                  <c:v>0</c:v>
                </c:pt>
                <c:pt idx="191">
                  <c:v>4530</c:v>
                </c:pt>
                <c:pt idx="192">
                  <c:v>0</c:v>
                </c:pt>
                <c:pt idx="193">
                  <c:v>0</c:v>
                </c:pt>
                <c:pt idx="194">
                  <c:v>932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0.30587480808733342</c:v>
                </c:pt>
                <c:pt idx="1">
                  <c:v>0.33635768065287008</c:v>
                </c:pt>
                <c:pt idx="2">
                  <c:v>0.35776751125979644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0.52267414648287536</c:v>
                </c:pt>
                <c:pt idx="1">
                  <c:v>0.30456310074012849</c:v>
                </c:pt>
                <c:pt idx="2">
                  <c:v>0.17276275277699621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8.0315200000000004</c:v>
                </c:pt>
                <c:pt idx="1">
                  <c:v>14.425775</c:v>
                </c:pt>
                <c:pt idx="2">
                  <c:v>37.513750000000002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  <c:pt idx="74">
                  <c:v>30.012599999999999</c:v>
                </c:pt>
                <c:pt idx="75">
                  <c:v>30.608599999999999</c:v>
                </c:pt>
                <c:pt idx="76">
                  <c:v>30.980499999999999</c:v>
                </c:pt>
                <c:pt idx="77">
                  <c:v>31.356400000000001</c:v>
                </c:pt>
                <c:pt idx="78">
                  <c:v>31.7316</c:v>
                </c:pt>
                <c:pt idx="79">
                  <c:v>32.1068</c:v>
                </c:pt>
                <c:pt idx="80">
                  <c:v>32.513599999999997</c:v>
                </c:pt>
                <c:pt idx="81">
                  <c:v>32.9208</c:v>
                </c:pt>
                <c:pt idx="82">
                  <c:v>33.329700000000003</c:v>
                </c:pt>
                <c:pt idx="83">
                  <c:v>33.731900000000003</c:v>
                </c:pt>
                <c:pt idx="84">
                  <c:v>34.141199999999998</c:v>
                </c:pt>
                <c:pt idx="85">
                  <c:v>34.544899999999998</c:v>
                </c:pt>
                <c:pt idx="86">
                  <c:v>34.952599999999997</c:v>
                </c:pt>
                <c:pt idx="87">
                  <c:v>35.361400000000003</c:v>
                </c:pt>
                <c:pt idx="88">
                  <c:v>35.7637</c:v>
                </c:pt>
                <c:pt idx="89">
                  <c:v>36.170400000000001</c:v>
                </c:pt>
                <c:pt idx="90">
                  <c:v>36.578099999999999</c:v>
                </c:pt>
                <c:pt idx="91">
                  <c:v>36.981299999999997</c:v>
                </c:pt>
                <c:pt idx="92">
                  <c:v>37.390500000000003</c:v>
                </c:pt>
                <c:pt idx="93">
                  <c:v>37.7986</c:v>
                </c:pt>
                <c:pt idx="94">
                  <c:v>38.203800000000001</c:v>
                </c:pt>
                <c:pt idx="95">
                  <c:v>38.612499999999997</c:v>
                </c:pt>
                <c:pt idx="96">
                  <c:v>39.012799999999999</c:v>
                </c:pt>
                <c:pt idx="97">
                  <c:v>39.418599999999998</c:v>
                </c:pt>
                <c:pt idx="98">
                  <c:v>39.825099999999999</c:v>
                </c:pt>
                <c:pt idx="99">
                  <c:v>40.233400000000003</c:v>
                </c:pt>
                <c:pt idx="100">
                  <c:v>40.639499999999998</c:v>
                </c:pt>
                <c:pt idx="101">
                  <c:v>41.045999999999999</c:v>
                </c:pt>
                <c:pt idx="102">
                  <c:v>41.452100000000002</c:v>
                </c:pt>
                <c:pt idx="103">
                  <c:v>41.857399999999998</c:v>
                </c:pt>
                <c:pt idx="104">
                  <c:v>42.265599999999999</c:v>
                </c:pt>
                <c:pt idx="105">
                  <c:v>42.672499999999999</c:v>
                </c:pt>
                <c:pt idx="106">
                  <c:v>43.0792</c:v>
                </c:pt>
                <c:pt idx="107">
                  <c:v>43.4833</c:v>
                </c:pt>
                <c:pt idx="108">
                  <c:v>43.8887</c:v>
                </c:pt>
                <c:pt idx="109">
                  <c:v>44.296300000000002</c:v>
                </c:pt>
                <c:pt idx="110">
                  <c:v>44.706299999999999</c:v>
                </c:pt>
                <c:pt idx="111">
                  <c:v>45.108699999999999</c:v>
                </c:pt>
                <c:pt idx="112">
                  <c:v>45.5152</c:v>
                </c:pt>
                <c:pt idx="113">
                  <c:v>45.918599999999998</c:v>
                </c:pt>
                <c:pt idx="114">
                  <c:v>46.3277</c:v>
                </c:pt>
                <c:pt idx="115">
                  <c:v>46.731000000000002</c:v>
                </c:pt>
                <c:pt idx="116">
                  <c:v>47.139600000000002</c:v>
                </c:pt>
                <c:pt idx="117">
                  <c:v>47.5458</c:v>
                </c:pt>
                <c:pt idx="118">
                  <c:v>47.9529</c:v>
                </c:pt>
                <c:pt idx="119">
                  <c:v>48.356900000000003</c:v>
                </c:pt>
                <c:pt idx="120">
                  <c:v>48.765799999999999</c:v>
                </c:pt>
                <c:pt idx="121">
                  <c:v>49.169899999999998</c:v>
                </c:pt>
                <c:pt idx="122">
                  <c:v>49.573700000000002</c:v>
                </c:pt>
                <c:pt idx="123">
                  <c:v>49.982700000000001</c:v>
                </c:pt>
                <c:pt idx="124">
                  <c:v>50.387799999999999</c:v>
                </c:pt>
                <c:pt idx="125">
                  <c:v>50.795699999999997</c:v>
                </c:pt>
                <c:pt idx="126">
                  <c:v>51.203899999999997</c:v>
                </c:pt>
                <c:pt idx="127">
                  <c:v>51.6068</c:v>
                </c:pt>
                <c:pt idx="128">
                  <c:v>52.016800000000003</c:v>
                </c:pt>
                <c:pt idx="129">
                  <c:v>52.422800000000002</c:v>
                </c:pt>
                <c:pt idx="130">
                  <c:v>52.828800000000001</c:v>
                </c:pt>
                <c:pt idx="131">
                  <c:v>53.232500000000002</c:v>
                </c:pt>
                <c:pt idx="132">
                  <c:v>53.638199999999998</c:v>
                </c:pt>
                <c:pt idx="133">
                  <c:v>54.049199999999999</c:v>
                </c:pt>
                <c:pt idx="134">
                  <c:v>54.451599999999999</c:v>
                </c:pt>
                <c:pt idx="135">
                  <c:v>54.855600000000003</c:v>
                </c:pt>
                <c:pt idx="136">
                  <c:v>55.266199999999998</c:v>
                </c:pt>
                <c:pt idx="137">
                  <c:v>55.671799999999998</c:v>
                </c:pt>
                <c:pt idx="138">
                  <c:v>56.076900000000002</c:v>
                </c:pt>
                <c:pt idx="139">
                  <c:v>56.482199999999999</c:v>
                </c:pt>
                <c:pt idx="140">
                  <c:v>56.89</c:v>
                </c:pt>
                <c:pt idx="141">
                  <c:v>57.294800000000002</c:v>
                </c:pt>
                <c:pt idx="142">
                  <c:v>57.706600000000002</c:v>
                </c:pt>
                <c:pt idx="143">
                  <c:v>58.108499999999999</c:v>
                </c:pt>
                <c:pt idx="144">
                  <c:v>58.517499999999998</c:v>
                </c:pt>
                <c:pt idx="145">
                  <c:v>58.9208</c:v>
                </c:pt>
                <c:pt idx="146">
                  <c:v>59.327500000000001</c:v>
                </c:pt>
                <c:pt idx="147">
                  <c:v>59.738300000000002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  <c:pt idx="74">
                  <c:v>3.3301500000000002</c:v>
                </c:pt>
                <c:pt idx="75">
                  <c:v>3.35907</c:v>
                </c:pt>
                <c:pt idx="76">
                  <c:v>3.3773999999999997</c:v>
                </c:pt>
                <c:pt idx="77">
                  <c:v>3.3933799999999996</c:v>
                </c:pt>
                <c:pt idx="78">
                  <c:v>3.4112199999999997</c:v>
                </c:pt>
                <c:pt idx="79">
                  <c:v>3.4308699999999996</c:v>
                </c:pt>
                <c:pt idx="80">
                  <c:v>3.4498199999999999</c:v>
                </c:pt>
                <c:pt idx="81">
                  <c:v>3.4670899999999998</c:v>
                </c:pt>
                <c:pt idx="82">
                  <c:v>3.48414</c:v>
                </c:pt>
                <c:pt idx="83">
                  <c:v>3.4993000000000003</c:v>
                </c:pt>
                <c:pt idx="84">
                  <c:v>3.5127799999999998</c:v>
                </c:pt>
                <c:pt idx="85">
                  <c:v>3.5256700000000003</c:v>
                </c:pt>
                <c:pt idx="86">
                  <c:v>3.5397699999999999</c:v>
                </c:pt>
                <c:pt idx="87">
                  <c:v>3.5552600000000001</c:v>
                </c:pt>
                <c:pt idx="88">
                  <c:v>3.5722999999999998</c:v>
                </c:pt>
                <c:pt idx="89">
                  <c:v>3.59057</c:v>
                </c:pt>
                <c:pt idx="90">
                  <c:v>3.6092200000000001</c:v>
                </c:pt>
                <c:pt idx="91">
                  <c:v>3.6275000000000004</c:v>
                </c:pt>
                <c:pt idx="92">
                  <c:v>3.6453600000000002</c:v>
                </c:pt>
                <c:pt idx="93">
                  <c:v>3.6649900000000004</c:v>
                </c:pt>
                <c:pt idx="94">
                  <c:v>3.6932900000000002</c:v>
                </c:pt>
                <c:pt idx="95">
                  <c:v>3.7246200000000003</c:v>
                </c:pt>
                <c:pt idx="96">
                  <c:v>3.7583199999999999</c:v>
                </c:pt>
                <c:pt idx="97">
                  <c:v>3.7883599999999999</c:v>
                </c:pt>
                <c:pt idx="98">
                  <c:v>3.8141799999999999</c:v>
                </c:pt>
                <c:pt idx="99">
                  <c:v>3.8320799999999999</c:v>
                </c:pt>
                <c:pt idx="100">
                  <c:v>3.8489400000000002</c:v>
                </c:pt>
                <c:pt idx="101">
                  <c:v>3.8627099999999999</c:v>
                </c:pt>
                <c:pt idx="102">
                  <c:v>3.8807700000000001</c:v>
                </c:pt>
                <c:pt idx="103">
                  <c:v>3.9015300000000002</c:v>
                </c:pt>
                <c:pt idx="104">
                  <c:v>3.9266000000000001</c:v>
                </c:pt>
                <c:pt idx="105">
                  <c:v>3.95546</c:v>
                </c:pt>
                <c:pt idx="106">
                  <c:v>3.9802599999999999</c:v>
                </c:pt>
                <c:pt idx="107">
                  <c:v>4.0017399999999999</c:v>
                </c:pt>
                <c:pt idx="108">
                  <c:v>4.0224399999999996</c:v>
                </c:pt>
                <c:pt idx="109">
                  <c:v>4.0437599999999998</c:v>
                </c:pt>
                <c:pt idx="110">
                  <c:v>4.0665200000000006</c:v>
                </c:pt>
                <c:pt idx="111">
                  <c:v>4.0852500000000003</c:v>
                </c:pt>
                <c:pt idx="112">
                  <c:v>4.1041800000000004</c:v>
                </c:pt>
                <c:pt idx="113">
                  <c:v>4.1217600000000001</c:v>
                </c:pt>
                <c:pt idx="114">
                  <c:v>4.1320100000000002</c:v>
                </c:pt>
                <c:pt idx="115">
                  <c:v>4.1400899999999998</c:v>
                </c:pt>
                <c:pt idx="116">
                  <c:v>4.1485599999999998</c:v>
                </c:pt>
                <c:pt idx="117">
                  <c:v>4.1554700000000002</c:v>
                </c:pt>
                <c:pt idx="118">
                  <c:v>4.1627000000000001</c:v>
                </c:pt>
                <c:pt idx="119">
                  <c:v>4.16873</c:v>
                </c:pt>
                <c:pt idx="120">
                  <c:v>4.1739800000000002</c:v>
                </c:pt>
                <c:pt idx="121">
                  <c:v>4.1781100000000002</c:v>
                </c:pt>
                <c:pt idx="122">
                  <c:v>4.1781499999999996</c:v>
                </c:pt>
                <c:pt idx="123">
                  <c:v>4.1749299999999998</c:v>
                </c:pt>
                <c:pt idx="124">
                  <c:v>4.1808499999999995</c:v>
                </c:pt>
                <c:pt idx="125">
                  <c:v>4.1888300000000003</c:v>
                </c:pt>
                <c:pt idx="126">
                  <c:v>4.1994199999999999</c:v>
                </c:pt>
                <c:pt idx="127">
                  <c:v>4.2085699999999999</c:v>
                </c:pt>
                <c:pt idx="128">
                  <c:v>4.2150800000000004</c:v>
                </c:pt>
                <c:pt idx="129">
                  <c:v>4.2170399999999999</c:v>
                </c:pt>
                <c:pt idx="130">
                  <c:v>4.2145899999999994</c:v>
                </c:pt>
                <c:pt idx="131">
                  <c:v>4.2140899999999997</c:v>
                </c:pt>
                <c:pt idx="132">
                  <c:v>4.2148000000000003</c:v>
                </c:pt>
                <c:pt idx="133">
                  <c:v>4.2149099999999997</c:v>
                </c:pt>
                <c:pt idx="134">
                  <c:v>4.2130999999999998</c:v>
                </c:pt>
                <c:pt idx="135">
                  <c:v>4.2077100000000005</c:v>
                </c:pt>
                <c:pt idx="136">
                  <c:v>4.2037300000000002</c:v>
                </c:pt>
                <c:pt idx="137">
                  <c:v>4.19381</c:v>
                </c:pt>
                <c:pt idx="138">
                  <c:v>4.1804399999999999</c:v>
                </c:pt>
                <c:pt idx="139">
                  <c:v>4.17577</c:v>
                </c:pt>
                <c:pt idx="140">
                  <c:v>4.1748400000000006</c:v>
                </c:pt>
                <c:pt idx="141">
                  <c:v>4.1706700000000003</c:v>
                </c:pt>
                <c:pt idx="142">
                  <c:v>4.1658600000000003</c:v>
                </c:pt>
                <c:pt idx="143">
                  <c:v>4.1546000000000003</c:v>
                </c:pt>
                <c:pt idx="144">
                  <c:v>4.13551</c:v>
                </c:pt>
                <c:pt idx="145">
                  <c:v>4.0998099999999997</c:v>
                </c:pt>
                <c:pt idx="146">
                  <c:v>4.0539500000000004</c:v>
                </c:pt>
                <c:pt idx="147">
                  <c:v>4.0076700000000001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29.606999999999999</c:v>
                </c:pt>
                <c:pt idx="1">
                  <c:v>30.012599999999999</c:v>
                </c:pt>
                <c:pt idx="2">
                  <c:v>30.608599999999999</c:v>
                </c:pt>
                <c:pt idx="3">
                  <c:v>30.980499999999999</c:v>
                </c:pt>
                <c:pt idx="4">
                  <c:v>31.356400000000001</c:v>
                </c:pt>
                <c:pt idx="5">
                  <c:v>31.7316</c:v>
                </c:pt>
                <c:pt idx="6">
                  <c:v>32.1068</c:v>
                </c:pt>
                <c:pt idx="7">
                  <c:v>32.513599999999997</c:v>
                </c:pt>
                <c:pt idx="8">
                  <c:v>32.9208</c:v>
                </c:pt>
                <c:pt idx="9">
                  <c:v>33.329700000000003</c:v>
                </c:pt>
                <c:pt idx="10">
                  <c:v>33.731900000000003</c:v>
                </c:pt>
                <c:pt idx="11">
                  <c:v>34.141199999999998</c:v>
                </c:pt>
                <c:pt idx="12">
                  <c:v>34.544899999999998</c:v>
                </c:pt>
                <c:pt idx="13">
                  <c:v>34.952599999999997</c:v>
                </c:pt>
                <c:pt idx="14">
                  <c:v>35.361400000000003</c:v>
                </c:pt>
                <c:pt idx="15">
                  <c:v>35.7637</c:v>
                </c:pt>
                <c:pt idx="16">
                  <c:v>36.170400000000001</c:v>
                </c:pt>
                <c:pt idx="17">
                  <c:v>36.578099999999999</c:v>
                </c:pt>
                <c:pt idx="18">
                  <c:v>36.981299999999997</c:v>
                </c:pt>
                <c:pt idx="19">
                  <c:v>37.390500000000003</c:v>
                </c:pt>
                <c:pt idx="20">
                  <c:v>37.7986</c:v>
                </c:pt>
                <c:pt idx="21">
                  <c:v>38.203800000000001</c:v>
                </c:pt>
                <c:pt idx="22">
                  <c:v>38.612499999999997</c:v>
                </c:pt>
                <c:pt idx="23">
                  <c:v>39.012799999999999</c:v>
                </c:pt>
                <c:pt idx="24">
                  <c:v>39.418599999999998</c:v>
                </c:pt>
                <c:pt idx="25">
                  <c:v>39.825099999999999</c:v>
                </c:pt>
                <c:pt idx="26">
                  <c:v>40.233400000000003</c:v>
                </c:pt>
                <c:pt idx="27">
                  <c:v>40.639499999999998</c:v>
                </c:pt>
                <c:pt idx="28">
                  <c:v>41.045999999999999</c:v>
                </c:pt>
                <c:pt idx="29">
                  <c:v>41.452100000000002</c:v>
                </c:pt>
                <c:pt idx="30">
                  <c:v>41.857399999999998</c:v>
                </c:pt>
                <c:pt idx="31">
                  <c:v>42.265599999999999</c:v>
                </c:pt>
                <c:pt idx="32">
                  <c:v>42.672499999999999</c:v>
                </c:pt>
                <c:pt idx="33">
                  <c:v>43.0792</c:v>
                </c:pt>
                <c:pt idx="34">
                  <c:v>43.4833</c:v>
                </c:pt>
                <c:pt idx="35">
                  <c:v>43.8887</c:v>
                </c:pt>
                <c:pt idx="36">
                  <c:v>44.296300000000002</c:v>
                </c:pt>
                <c:pt idx="37">
                  <c:v>44.706299999999999</c:v>
                </c:pt>
                <c:pt idx="38">
                  <c:v>45.108699999999999</c:v>
                </c:pt>
                <c:pt idx="39">
                  <c:v>45.5152</c:v>
                </c:pt>
                <c:pt idx="40">
                  <c:v>45.918599999999998</c:v>
                </c:pt>
                <c:pt idx="41">
                  <c:v>46.3277</c:v>
                </c:pt>
                <c:pt idx="42">
                  <c:v>46.731000000000002</c:v>
                </c:pt>
                <c:pt idx="43">
                  <c:v>47.139600000000002</c:v>
                </c:pt>
                <c:pt idx="44">
                  <c:v>47.5458</c:v>
                </c:pt>
                <c:pt idx="45">
                  <c:v>47.9529</c:v>
                </c:pt>
                <c:pt idx="46">
                  <c:v>48.356900000000003</c:v>
                </c:pt>
                <c:pt idx="47">
                  <c:v>48.765799999999999</c:v>
                </c:pt>
                <c:pt idx="48">
                  <c:v>49.169899999999998</c:v>
                </c:pt>
                <c:pt idx="49">
                  <c:v>49.573700000000002</c:v>
                </c:pt>
                <c:pt idx="50">
                  <c:v>49.982700000000001</c:v>
                </c:pt>
                <c:pt idx="51">
                  <c:v>50.387799999999999</c:v>
                </c:pt>
                <c:pt idx="52">
                  <c:v>50.795699999999997</c:v>
                </c:pt>
                <c:pt idx="53">
                  <c:v>51.203899999999997</c:v>
                </c:pt>
                <c:pt idx="54">
                  <c:v>51.6068</c:v>
                </c:pt>
                <c:pt idx="55">
                  <c:v>52.016800000000003</c:v>
                </c:pt>
                <c:pt idx="56">
                  <c:v>52.422800000000002</c:v>
                </c:pt>
                <c:pt idx="57">
                  <c:v>52.828800000000001</c:v>
                </c:pt>
                <c:pt idx="58">
                  <c:v>53.232500000000002</c:v>
                </c:pt>
                <c:pt idx="59">
                  <c:v>53.638199999999998</c:v>
                </c:pt>
                <c:pt idx="60">
                  <c:v>54.049199999999999</c:v>
                </c:pt>
                <c:pt idx="61">
                  <c:v>54.451599999999999</c:v>
                </c:pt>
                <c:pt idx="62">
                  <c:v>54.855600000000003</c:v>
                </c:pt>
                <c:pt idx="63">
                  <c:v>55.266199999999998</c:v>
                </c:pt>
                <c:pt idx="64">
                  <c:v>55.671799999999998</c:v>
                </c:pt>
                <c:pt idx="65">
                  <c:v>56.076900000000002</c:v>
                </c:pt>
                <c:pt idx="66">
                  <c:v>56.482199999999999</c:v>
                </c:pt>
                <c:pt idx="67">
                  <c:v>56.89</c:v>
                </c:pt>
                <c:pt idx="68">
                  <c:v>57.294800000000002</c:v>
                </c:pt>
                <c:pt idx="69">
                  <c:v>57.706600000000002</c:v>
                </c:pt>
                <c:pt idx="70">
                  <c:v>58.108499999999999</c:v>
                </c:pt>
                <c:pt idx="71">
                  <c:v>58.517499999999998</c:v>
                </c:pt>
                <c:pt idx="72">
                  <c:v>58.9208</c:v>
                </c:pt>
                <c:pt idx="73">
                  <c:v>59.327500000000001</c:v>
                </c:pt>
                <c:pt idx="74">
                  <c:v>59.738300000000002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3.3048300000000004</c:v>
                </c:pt>
                <c:pt idx="1">
                  <c:v>3.3301500000000002</c:v>
                </c:pt>
                <c:pt idx="2">
                  <c:v>3.35907</c:v>
                </c:pt>
                <c:pt idx="3">
                  <c:v>3.3773999999999997</c:v>
                </c:pt>
                <c:pt idx="4">
                  <c:v>3.3933799999999996</c:v>
                </c:pt>
                <c:pt idx="5">
                  <c:v>3.4112199999999997</c:v>
                </c:pt>
                <c:pt idx="6">
                  <c:v>3.4308699999999996</c:v>
                </c:pt>
                <c:pt idx="7">
                  <c:v>3.4498199999999999</c:v>
                </c:pt>
                <c:pt idx="8">
                  <c:v>3.4670899999999998</c:v>
                </c:pt>
                <c:pt idx="9">
                  <c:v>3.48414</c:v>
                </c:pt>
                <c:pt idx="10">
                  <c:v>3.4993000000000003</c:v>
                </c:pt>
                <c:pt idx="11">
                  <c:v>3.5127799999999998</c:v>
                </c:pt>
                <c:pt idx="12">
                  <c:v>3.5256700000000003</c:v>
                </c:pt>
                <c:pt idx="13">
                  <c:v>3.5397699999999999</c:v>
                </c:pt>
                <c:pt idx="14">
                  <c:v>3.5552600000000001</c:v>
                </c:pt>
                <c:pt idx="15">
                  <c:v>3.5722999999999998</c:v>
                </c:pt>
                <c:pt idx="16">
                  <c:v>3.59057</c:v>
                </c:pt>
                <c:pt idx="17">
                  <c:v>3.6092200000000001</c:v>
                </c:pt>
                <c:pt idx="18">
                  <c:v>3.6275000000000004</c:v>
                </c:pt>
                <c:pt idx="19">
                  <c:v>3.6453600000000002</c:v>
                </c:pt>
                <c:pt idx="20">
                  <c:v>3.6649900000000004</c:v>
                </c:pt>
                <c:pt idx="21">
                  <c:v>3.6932900000000002</c:v>
                </c:pt>
                <c:pt idx="22">
                  <c:v>3.7246200000000003</c:v>
                </c:pt>
                <c:pt idx="23">
                  <c:v>3.7583199999999999</c:v>
                </c:pt>
                <c:pt idx="24">
                  <c:v>3.7883599999999999</c:v>
                </c:pt>
                <c:pt idx="25">
                  <c:v>3.8141799999999999</c:v>
                </c:pt>
                <c:pt idx="26">
                  <c:v>3.8320799999999999</c:v>
                </c:pt>
                <c:pt idx="27">
                  <c:v>3.8489400000000002</c:v>
                </c:pt>
                <c:pt idx="28">
                  <c:v>3.8627099999999999</c:v>
                </c:pt>
                <c:pt idx="29">
                  <c:v>3.8807700000000001</c:v>
                </c:pt>
                <c:pt idx="30">
                  <c:v>3.9015300000000002</c:v>
                </c:pt>
                <c:pt idx="31">
                  <c:v>3.9266000000000001</c:v>
                </c:pt>
                <c:pt idx="32">
                  <c:v>3.95546</c:v>
                </c:pt>
                <c:pt idx="33">
                  <c:v>3.9802599999999999</c:v>
                </c:pt>
                <c:pt idx="34">
                  <c:v>4.0017399999999999</c:v>
                </c:pt>
                <c:pt idx="35">
                  <c:v>4.0224399999999996</c:v>
                </c:pt>
                <c:pt idx="36">
                  <c:v>4.0437599999999998</c:v>
                </c:pt>
                <c:pt idx="37">
                  <c:v>4.0665200000000006</c:v>
                </c:pt>
                <c:pt idx="38">
                  <c:v>4.0852500000000003</c:v>
                </c:pt>
                <c:pt idx="39">
                  <c:v>4.1041800000000004</c:v>
                </c:pt>
                <c:pt idx="40">
                  <c:v>4.1217600000000001</c:v>
                </c:pt>
                <c:pt idx="41">
                  <c:v>4.1320100000000002</c:v>
                </c:pt>
                <c:pt idx="42">
                  <c:v>4.1400899999999998</c:v>
                </c:pt>
                <c:pt idx="43">
                  <c:v>4.1485599999999998</c:v>
                </c:pt>
                <c:pt idx="44">
                  <c:v>4.1554700000000002</c:v>
                </c:pt>
                <c:pt idx="45">
                  <c:v>4.1627000000000001</c:v>
                </c:pt>
                <c:pt idx="46">
                  <c:v>4.16873</c:v>
                </c:pt>
                <c:pt idx="47">
                  <c:v>4.1739800000000002</c:v>
                </c:pt>
                <c:pt idx="48">
                  <c:v>4.1781100000000002</c:v>
                </c:pt>
                <c:pt idx="49">
                  <c:v>4.1781499999999996</c:v>
                </c:pt>
                <c:pt idx="50">
                  <c:v>4.1749299999999998</c:v>
                </c:pt>
                <c:pt idx="51">
                  <c:v>4.1808499999999995</c:v>
                </c:pt>
                <c:pt idx="52">
                  <c:v>4.1888300000000003</c:v>
                </c:pt>
                <c:pt idx="53">
                  <c:v>4.1994199999999999</c:v>
                </c:pt>
                <c:pt idx="54">
                  <c:v>4.2085699999999999</c:v>
                </c:pt>
                <c:pt idx="55">
                  <c:v>4.2150800000000004</c:v>
                </c:pt>
                <c:pt idx="56">
                  <c:v>4.2170399999999999</c:v>
                </c:pt>
                <c:pt idx="57">
                  <c:v>4.2145899999999994</c:v>
                </c:pt>
                <c:pt idx="58">
                  <c:v>4.2140899999999997</c:v>
                </c:pt>
                <c:pt idx="59">
                  <c:v>4.2148000000000003</c:v>
                </c:pt>
                <c:pt idx="60">
                  <c:v>4.2149099999999997</c:v>
                </c:pt>
                <c:pt idx="61">
                  <c:v>4.2130999999999998</c:v>
                </c:pt>
                <c:pt idx="62">
                  <c:v>4.2077100000000005</c:v>
                </c:pt>
                <c:pt idx="63">
                  <c:v>4.2037300000000002</c:v>
                </c:pt>
                <c:pt idx="64">
                  <c:v>4.19381</c:v>
                </c:pt>
                <c:pt idx="65">
                  <c:v>4.1804399999999999</c:v>
                </c:pt>
                <c:pt idx="66">
                  <c:v>4.17577</c:v>
                </c:pt>
                <c:pt idx="67">
                  <c:v>4.1748400000000006</c:v>
                </c:pt>
                <c:pt idx="68">
                  <c:v>4.1706700000000003</c:v>
                </c:pt>
                <c:pt idx="69">
                  <c:v>4.1658600000000003</c:v>
                </c:pt>
                <c:pt idx="70">
                  <c:v>4.1546000000000003</c:v>
                </c:pt>
                <c:pt idx="71">
                  <c:v>4.13551</c:v>
                </c:pt>
                <c:pt idx="72">
                  <c:v>4.0998099999999997</c:v>
                </c:pt>
                <c:pt idx="73">
                  <c:v>4.0539500000000004</c:v>
                </c:pt>
                <c:pt idx="74">
                  <c:v>4.0076700000000001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2.4190320270270269</c:v>
                </c:pt>
                <c:pt idx="1">
                  <c:v>3.9226622972972951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  <c:pt idx="74">
                  <c:v>30.012599999999999</c:v>
                </c:pt>
                <c:pt idx="75">
                  <c:v>30.608599999999999</c:v>
                </c:pt>
                <c:pt idx="76">
                  <c:v>30.980499999999999</c:v>
                </c:pt>
                <c:pt idx="77">
                  <c:v>31.356400000000001</c:v>
                </c:pt>
                <c:pt idx="78">
                  <c:v>31.7316</c:v>
                </c:pt>
                <c:pt idx="79">
                  <c:v>32.1068</c:v>
                </c:pt>
                <c:pt idx="80">
                  <c:v>32.513599999999997</c:v>
                </c:pt>
                <c:pt idx="81">
                  <c:v>32.9208</c:v>
                </c:pt>
                <c:pt idx="82">
                  <c:v>33.329700000000003</c:v>
                </c:pt>
                <c:pt idx="83">
                  <c:v>33.731900000000003</c:v>
                </c:pt>
                <c:pt idx="84">
                  <c:v>34.141199999999998</c:v>
                </c:pt>
                <c:pt idx="85">
                  <c:v>34.544899999999998</c:v>
                </c:pt>
                <c:pt idx="86">
                  <c:v>34.952599999999997</c:v>
                </c:pt>
                <c:pt idx="87">
                  <c:v>35.361400000000003</c:v>
                </c:pt>
                <c:pt idx="88">
                  <c:v>35.7637</c:v>
                </c:pt>
                <c:pt idx="89">
                  <c:v>36.170400000000001</c:v>
                </c:pt>
                <c:pt idx="90">
                  <c:v>36.578099999999999</c:v>
                </c:pt>
                <c:pt idx="91">
                  <c:v>36.981299999999997</c:v>
                </c:pt>
                <c:pt idx="92">
                  <c:v>37.390500000000003</c:v>
                </c:pt>
                <c:pt idx="93">
                  <c:v>37.7986</c:v>
                </c:pt>
                <c:pt idx="94">
                  <c:v>38.203800000000001</c:v>
                </c:pt>
                <c:pt idx="95">
                  <c:v>38.612499999999997</c:v>
                </c:pt>
                <c:pt idx="96">
                  <c:v>39.012799999999999</c:v>
                </c:pt>
                <c:pt idx="97">
                  <c:v>39.418599999999998</c:v>
                </c:pt>
                <c:pt idx="98">
                  <c:v>39.825099999999999</c:v>
                </c:pt>
                <c:pt idx="99">
                  <c:v>40.233400000000003</c:v>
                </c:pt>
                <c:pt idx="100">
                  <c:v>40.639499999999998</c:v>
                </c:pt>
                <c:pt idx="101">
                  <c:v>41.045999999999999</c:v>
                </c:pt>
                <c:pt idx="102">
                  <c:v>41.452100000000002</c:v>
                </c:pt>
                <c:pt idx="103">
                  <c:v>41.857399999999998</c:v>
                </c:pt>
                <c:pt idx="104">
                  <c:v>42.265599999999999</c:v>
                </c:pt>
                <c:pt idx="105">
                  <c:v>42.672499999999999</c:v>
                </c:pt>
                <c:pt idx="106">
                  <c:v>43.0792</c:v>
                </c:pt>
                <c:pt idx="107">
                  <c:v>43.4833</c:v>
                </c:pt>
                <c:pt idx="108">
                  <c:v>43.8887</c:v>
                </c:pt>
                <c:pt idx="109">
                  <c:v>44.296300000000002</c:v>
                </c:pt>
                <c:pt idx="110">
                  <c:v>44.706299999999999</c:v>
                </c:pt>
                <c:pt idx="111">
                  <c:v>45.108699999999999</c:v>
                </c:pt>
                <c:pt idx="112">
                  <c:v>45.5152</c:v>
                </c:pt>
                <c:pt idx="113">
                  <c:v>45.918599999999998</c:v>
                </c:pt>
                <c:pt idx="114">
                  <c:v>46.3277</c:v>
                </c:pt>
                <c:pt idx="115">
                  <c:v>46.731000000000002</c:v>
                </c:pt>
                <c:pt idx="116">
                  <c:v>47.139600000000002</c:v>
                </c:pt>
                <c:pt idx="117">
                  <c:v>47.5458</c:v>
                </c:pt>
                <c:pt idx="118">
                  <c:v>47.9529</c:v>
                </c:pt>
                <c:pt idx="119">
                  <c:v>48.356900000000003</c:v>
                </c:pt>
                <c:pt idx="120">
                  <c:v>48.765799999999999</c:v>
                </c:pt>
                <c:pt idx="121">
                  <c:v>49.169899999999998</c:v>
                </c:pt>
                <c:pt idx="122">
                  <c:v>49.573700000000002</c:v>
                </c:pt>
                <c:pt idx="123">
                  <c:v>49.982700000000001</c:v>
                </c:pt>
                <c:pt idx="124">
                  <c:v>50.387799999999999</c:v>
                </c:pt>
                <c:pt idx="125">
                  <c:v>50.795699999999997</c:v>
                </c:pt>
                <c:pt idx="126">
                  <c:v>51.203899999999997</c:v>
                </c:pt>
                <c:pt idx="127">
                  <c:v>51.6068</c:v>
                </c:pt>
                <c:pt idx="128">
                  <c:v>52.016800000000003</c:v>
                </c:pt>
                <c:pt idx="129">
                  <c:v>52.422800000000002</c:v>
                </c:pt>
                <c:pt idx="130">
                  <c:v>52.828800000000001</c:v>
                </c:pt>
                <c:pt idx="131">
                  <c:v>53.232500000000002</c:v>
                </c:pt>
                <c:pt idx="132">
                  <c:v>53.638199999999998</c:v>
                </c:pt>
                <c:pt idx="133">
                  <c:v>54.049199999999999</c:v>
                </c:pt>
                <c:pt idx="134">
                  <c:v>54.451599999999999</c:v>
                </c:pt>
                <c:pt idx="135">
                  <c:v>54.855600000000003</c:v>
                </c:pt>
                <c:pt idx="136">
                  <c:v>55.266199999999998</c:v>
                </c:pt>
                <c:pt idx="137">
                  <c:v>55.671799999999998</c:v>
                </c:pt>
                <c:pt idx="138">
                  <c:v>56.076900000000002</c:v>
                </c:pt>
                <c:pt idx="139">
                  <c:v>56.482199999999999</c:v>
                </c:pt>
                <c:pt idx="140">
                  <c:v>56.89</c:v>
                </c:pt>
                <c:pt idx="141">
                  <c:v>57.294800000000002</c:v>
                </c:pt>
                <c:pt idx="142">
                  <c:v>57.706600000000002</c:v>
                </c:pt>
                <c:pt idx="143">
                  <c:v>58.108499999999999</c:v>
                </c:pt>
                <c:pt idx="144">
                  <c:v>58.517499999999998</c:v>
                </c:pt>
                <c:pt idx="145">
                  <c:v>58.9208</c:v>
                </c:pt>
                <c:pt idx="146">
                  <c:v>59.327500000000001</c:v>
                </c:pt>
                <c:pt idx="147">
                  <c:v>59.738300000000002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  <c:pt idx="74">
                  <c:v>40.745799999999996</c:v>
                </c:pt>
                <c:pt idx="75">
                  <c:v>40.215400000000002</c:v>
                </c:pt>
                <c:pt idx="76">
                  <c:v>39.775500000000001</c:v>
                </c:pt>
                <c:pt idx="77">
                  <c:v>39.422899999999998</c:v>
                </c:pt>
                <c:pt idx="78">
                  <c:v>39.044000000000004</c:v>
                </c:pt>
                <c:pt idx="79">
                  <c:v>38.624399999999994</c:v>
                </c:pt>
                <c:pt idx="80">
                  <c:v>38.251200000000004</c:v>
                </c:pt>
                <c:pt idx="81">
                  <c:v>37.906800000000004</c:v>
                </c:pt>
                <c:pt idx="82">
                  <c:v>37.503</c:v>
                </c:pt>
                <c:pt idx="83">
                  <c:v>37.1038</c:v>
                </c:pt>
                <c:pt idx="84">
                  <c:v>36.759599999999999</c:v>
                </c:pt>
                <c:pt idx="85">
                  <c:v>36.425699999999999</c:v>
                </c:pt>
                <c:pt idx="86">
                  <c:v>35.986000000000004</c:v>
                </c:pt>
                <c:pt idx="87">
                  <c:v>35.496299999999998</c:v>
                </c:pt>
                <c:pt idx="88">
                  <c:v>34.954099999999997</c:v>
                </c:pt>
                <c:pt idx="89">
                  <c:v>34.333599999999997</c:v>
                </c:pt>
                <c:pt idx="90">
                  <c:v>33.669199999999996</c:v>
                </c:pt>
                <c:pt idx="91">
                  <c:v>32.992399999999996</c:v>
                </c:pt>
                <c:pt idx="92">
                  <c:v>32.311199999999999</c:v>
                </c:pt>
                <c:pt idx="93">
                  <c:v>31.680099999999999</c:v>
                </c:pt>
                <c:pt idx="94">
                  <c:v>31.0853</c:v>
                </c:pt>
                <c:pt idx="95">
                  <c:v>30.560599999999997</c:v>
                </c:pt>
                <c:pt idx="96">
                  <c:v>30.186699999999998</c:v>
                </c:pt>
                <c:pt idx="97">
                  <c:v>29.8201</c:v>
                </c:pt>
                <c:pt idx="98">
                  <c:v>29.518499999999996</c:v>
                </c:pt>
                <c:pt idx="99">
                  <c:v>29.247400000000003</c:v>
                </c:pt>
                <c:pt idx="100">
                  <c:v>29.018699999999995</c:v>
                </c:pt>
                <c:pt idx="101">
                  <c:v>28.892400000000002</c:v>
                </c:pt>
                <c:pt idx="102">
                  <c:v>28.819699999999997</c:v>
                </c:pt>
                <c:pt idx="103">
                  <c:v>28.731499999999997</c:v>
                </c:pt>
                <c:pt idx="104">
                  <c:v>28.569400000000002</c:v>
                </c:pt>
                <c:pt idx="105">
                  <c:v>28.376600000000003</c:v>
                </c:pt>
                <c:pt idx="106">
                  <c:v>28.2681</c:v>
                </c:pt>
                <c:pt idx="107">
                  <c:v>28.152999999999999</c:v>
                </c:pt>
                <c:pt idx="108">
                  <c:v>28.053599999999999</c:v>
                </c:pt>
                <c:pt idx="109">
                  <c:v>27.946100000000001</c:v>
                </c:pt>
                <c:pt idx="110">
                  <c:v>27.811799999999998</c:v>
                </c:pt>
                <c:pt idx="111">
                  <c:v>27.7422</c:v>
                </c:pt>
                <c:pt idx="112">
                  <c:v>27.659699999999997</c:v>
                </c:pt>
                <c:pt idx="113">
                  <c:v>27.5578</c:v>
                </c:pt>
                <c:pt idx="114">
                  <c:v>27.5488</c:v>
                </c:pt>
                <c:pt idx="115">
                  <c:v>27.5243</c:v>
                </c:pt>
                <c:pt idx="116">
                  <c:v>27.4909</c:v>
                </c:pt>
                <c:pt idx="117">
                  <c:v>27.494499999999999</c:v>
                </c:pt>
                <c:pt idx="118">
                  <c:v>27.477699999999999</c:v>
                </c:pt>
                <c:pt idx="119">
                  <c:v>27.414899999999996</c:v>
                </c:pt>
                <c:pt idx="120">
                  <c:v>27.349</c:v>
                </c:pt>
                <c:pt idx="121">
                  <c:v>27.211999999999996</c:v>
                </c:pt>
                <c:pt idx="122">
                  <c:v>27.077400000000001</c:v>
                </c:pt>
                <c:pt idx="123">
                  <c:v>26.9191</c:v>
                </c:pt>
                <c:pt idx="124">
                  <c:v>26.8401</c:v>
                </c:pt>
                <c:pt idx="125">
                  <c:v>26.756</c:v>
                </c:pt>
                <c:pt idx="126">
                  <c:v>26.669999999999998</c:v>
                </c:pt>
                <c:pt idx="127">
                  <c:v>26.523499999999999</c:v>
                </c:pt>
                <c:pt idx="128">
                  <c:v>26.367600000000003</c:v>
                </c:pt>
                <c:pt idx="129">
                  <c:v>26.2486</c:v>
                </c:pt>
                <c:pt idx="130">
                  <c:v>26.132100000000001</c:v>
                </c:pt>
                <c:pt idx="131">
                  <c:v>25.987700000000004</c:v>
                </c:pt>
                <c:pt idx="132">
                  <c:v>25.905899999999999</c:v>
                </c:pt>
                <c:pt idx="133">
                  <c:v>25.825599999999998</c:v>
                </c:pt>
                <c:pt idx="134">
                  <c:v>25.745000000000001</c:v>
                </c:pt>
                <c:pt idx="135">
                  <c:v>25.706200000000003</c:v>
                </c:pt>
                <c:pt idx="136">
                  <c:v>25.6235</c:v>
                </c:pt>
                <c:pt idx="137">
                  <c:v>25.577400000000001</c:v>
                </c:pt>
                <c:pt idx="138">
                  <c:v>25.645699999999998</c:v>
                </c:pt>
                <c:pt idx="139">
                  <c:v>25.6144</c:v>
                </c:pt>
                <c:pt idx="140">
                  <c:v>25.634699999999999</c:v>
                </c:pt>
                <c:pt idx="141">
                  <c:v>25.726399999999998</c:v>
                </c:pt>
                <c:pt idx="142">
                  <c:v>25.7806</c:v>
                </c:pt>
                <c:pt idx="143">
                  <c:v>25.880199999999999</c:v>
                </c:pt>
                <c:pt idx="144">
                  <c:v>25.9438</c:v>
                </c:pt>
                <c:pt idx="145">
                  <c:v>25.8826</c:v>
                </c:pt>
                <c:pt idx="146">
                  <c:v>25.7956</c:v>
                </c:pt>
                <c:pt idx="147">
                  <c:v>25.6874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0.36221599999999998</c:v>
                </c:pt>
                <c:pt idx="2">
                  <c:v>0.76597000000000004</c:v>
                </c:pt>
                <c:pt idx="3">
                  <c:v>1.17648</c:v>
                </c:pt>
                <c:pt idx="4">
                  <c:v>1.57578</c:v>
                </c:pt>
                <c:pt idx="5">
                  <c:v>1.9808699999999999</c:v>
                </c:pt>
                <c:pt idx="6">
                  <c:v>2.3917199999999998</c:v>
                </c:pt>
                <c:pt idx="7">
                  <c:v>2.7974000000000001</c:v>
                </c:pt>
                <c:pt idx="8">
                  <c:v>3.2035300000000002</c:v>
                </c:pt>
                <c:pt idx="9">
                  <c:v>3.6070099999999998</c:v>
                </c:pt>
                <c:pt idx="10">
                  <c:v>4.0145999999999997</c:v>
                </c:pt>
                <c:pt idx="11">
                  <c:v>4.4235300000000004</c:v>
                </c:pt>
                <c:pt idx="12">
                  <c:v>4.8272700000000004</c:v>
                </c:pt>
                <c:pt idx="13">
                  <c:v>5.2325900000000001</c:v>
                </c:pt>
                <c:pt idx="14">
                  <c:v>5.6386700000000003</c:v>
                </c:pt>
                <c:pt idx="15">
                  <c:v>6.0464000000000002</c:v>
                </c:pt>
                <c:pt idx="16">
                  <c:v>6.45383</c:v>
                </c:pt>
                <c:pt idx="17">
                  <c:v>6.85738</c:v>
                </c:pt>
                <c:pt idx="18">
                  <c:v>7.2632500000000002</c:v>
                </c:pt>
                <c:pt idx="19">
                  <c:v>7.6711900000000002</c:v>
                </c:pt>
                <c:pt idx="20">
                  <c:v>8.0760299999999994</c:v>
                </c:pt>
                <c:pt idx="21">
                  <c:v>8.4818099999999994</c:v>
                </c:pt>
                <c:pt idx="22">
                  <c:v>8.8905799999999999</c:v>
                </c:pt>
                <c:pt idx="23">
                  <c:v>9.29725</c:v>
                </c:pt>
                <c:pt idx="24">
                  <c:v>9.7026500000000002</c:v>
                </c:pt>
                <c:pt idx="25">
                  <c:v>10.108499999999999</c:v>
                </c:pt>
                <c:pt idx="26">
                  <c:v>10.513400000000001</c:v>
                </c:pt>
                <c:pt idx="27">
                  <c:v>10.9214</c:v>
                </c:pt>
                <c:pt idx="28">
                  <c:v>11.325799999999999</c:v>
                </c:pt>
                <c:pt idx="29">
                  <c:v>11.733700000000001</c:v>
                </c:pt>
                <c:pt idx="30">
                  <c:v>12.1401</c:v>
                </c:pt>
                <c:pt idx="31">
                  <c:v>12.545199999999999</c:v>
                </c:pt>
                <c:pt idx="32">
                  <c:v>12.9541</c:v>
                </c:pt>
                <c:pt idx="33">
                  <c:v>13.3597</c:v>
                </c:pt>
                <c:pt idx="34">
                  <c:v>13.7654</c:v>
                </c:pt>
                <c:pt idx="35">
                  <c:v>14.1716</c:v>
                </c:pt>
                <c:pt idx="36">
                  <c:v>14.576599999999999</c:v>
                </c:pt>
                <c:pt idx="37">
                  <c:v>14.9856</c:v>
                </c:pt>
                <c:pt idx="38">
                  <c:v>15.3947</c:v>
                </c:pt>
                <c:pt idx="39">
                  <c:v>15.7989</c:v>
                </c:pt>
                <c:pt idx="40">
                  <c:v>16.202300000000001</c:v>
                </c:pt>
                <c:pt idx="41">
                  <c:v>16.609100000000002</c:v>
                </c:pt>
                <c:pt idx="42">
                  <c:v>17.015799999999999</c:v>
                </c:pt>
                <c:pt idx="43">
                  <c:v>17.423999999999999</c:v>
                </c:pt>
                <c:pt idx="44">
                  <c:v>17.8277</c:v>
                </c:pt>
                <c:pt idx="45">
                  <c:v>18.232299999999999</c:v>
                </c:pt>
                <c:pt idx="46">
                  <c:v>18.638100000000001</c:v>
                </c:pt>
                <c:pt idx="47">
                  <c:v>19.043099999999999</c:v>
                </c:pt>
                <c:pt idx="48">
                  <c:v>19.450299999999999</c:v>
                </c:pt>
                <c:pt idx="49">
                  <c:v>19.8568</c:v>
                </c:pt>
                <c:pt idx="50">
                  <c:v>20.265599999999999</c:v>
                </c:pt>
                <c:pt idx="51">
                  <c:v>20.673100000000002</c:v>
                </c:pt>
                <c:pt idx="52">
                  <c:v>21.079000000000001</c:v>
                </c:pt>
                <c:pt idx="53">
                  <c:v>21.4817</c:v>
                </c:pt>
                <c:pt idx="54">
                  <c:v>21.8889</c:v>
                </c:pt>
                <c:pt idx="55">
                  <c:v>22.296800000000001</c:v>
                </c:pt>
                <c:pt idx="56">
                  <c:v>22.701699999999999</c:v>
                </c:pt>
                <c:pt idx="57">
                  <c:v>23.110099999999999</c:v>
                </c:pt>
                <c:pt idx="58">
                  <c:v>23.512499999999999</c:v>
                </c:pt>
                <c:pt idx="59">
                  <c:v>23.918800000000001</c:v>
                </c:pt>
                <c:pt idx="60">
                  <c:v>24.326799999999999</c:v>
                </c:pt>
                <c:pt idx="61">
                  <c:v>24.735099999999999</c:v>
                </c:pt>
                <c:pt idx="62">
                  <c:v>25.143999999999998</c:v>
                </c:pt>
                <c:pt idx="63">
                  <c:v>25.5458</c:v>
                </c:pt>
                <c:pt idx="64">
                  <c:v>25.9512</c:v>
                </c:pt>
                <c:pt idx="65">
                  <c:v>26.356300000000001</c:v>
                </c:pt>
                <c:pt idx="66">
                  <c:v>26.765899999999998</c:v>
                </c:pt>
                <c:pt idx="67">
                  <c:v>27.174399999999999</c:v>
                </c:pt>
                <c:pt idx="68">
                  <c:v>27.5762</c:v>
                </c:pt>
                <c:pt idx="69">
                  <c:v>27.986899999999999</c:v>
                </c:pt>
                <c:pt idx="70">
                  <c:v>28.390699999999999</c:v>
                </c:pt>
                <c:pt idx="71">
                  <c:v>28.7958</c:v>
                </c:pt>
                <c:pt idx="72">
                  <c:v>29.2013</c:v>
                </c:pt>
                <c:pt idx="73">
                  <c:v>29.606999999999999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29.606999999999999</c:v>
                </c:pt>
                <c:pt idx="1">
                  <c:v>30.012599999999999</c:v>
                </c:pt>
                <c:pt idx="2">
                  <c:v>30.608599999999999</c:v>
                </c:pt>
                <c:pt idx="3">
                  <c:v>30.980499999999999</c:v>
                </c:pt>
                <c:pt idx="4">
                  <c:v>31.356400000000001</c:v>
                </c:pt>
                <c:pt idx="5">
                  <c:v>31.7316</c:v>
                </c:pt>
                <c:pt idx="6">
                  <c:v>32.1068</c:v>
                </c:pt>
                <c:pt idx="7">
                  <c:v>32.513599999999997</c:v>
                </c:pt>
                <c:pt idx="8">
                  <c:v>32.9208</c:v>
                </c:pt>
                <c:pt idx="9">
                  <c:v>33.329700000000003</c:v>
                </c:pt>
                <c:pt idx="10">
                  <c:v>33.731900000000003</c:v>
                </c:pt>
                <c:pt idx="11">
                  <c:v>34.141199999999998</c:v>
                </c:pt>
                <c:pt idx="12">
                  <c:v>34.544899999999998</c:v>
                </c:pt>
                <c:pt idx="13">
                  <c:v>34.952599999999997</c:v>
                </c:pt>
                <c:pt idx="14">
                  <c:v>35.361400000000003</c:v>
                </c:pt>
                <c:pt idx="15">
                  <c:v>35.7637</c:v>
                </c:pt>
                <c:pt idx="16">
                  <c:v>36.170400000000001</c:v>
                </c:pt>
                <c:pt idx="17">
                  <c:v>36.578099999999999</c:v>
                </c:pt>
                <c:pt idx="18">
                  <c:v>36.981299999999997</c:v>
                </c:pt>
                <c:pt idx="19">
                  <c:v>37.390500000000003</c:v>
                </c:pt>
                <c:pt idx="20">
                  <c:v>37.7986</c:v>
                </c:pt>
                <c:pt idx="21">
                  <c:v>38.203800000000001</c:v>
                </c:pt>
                <c:pt idx="22">
                  <c:v>38.612499999999997</c:v>
                </c:pt>
                <c:pt idx="23">
                  <c:v>39.012799999999999</c:v>
                </c:pt>
                <c:pt idx="24">
                  <c:v>39.418599999999998</c:v>
                </c:pt>
                <c:pt idx="25">
                  <c:v>39.825099999999999</c:v>
                </c:pt>
                <c:pt idx="26">
                  <c:v>40.233400000000003</c:v>
                </c:pt>
                <c:pt idx="27">
                  <c:v>40.639499999999998</c:v>
                </c:pt>
                <c:pt idx="28">
                  <c:v>41.045999999999999</c:v>
                </c:pt>
                <c:pt idx="29">
                  <c:v>41.452100000000002</c:v>
                </c:pt>
                <c:pt idx="30">
                  <c:v>41.857399999999998</c:v>
                </c:pt>
                <c:pt idx="31">
                  <c:v>42.265599999999999</c:v>
                </c:pt>
                <c:pt idx="32">
                  <c:v>42.672499999999999</c:v>
                </c:pt>
                <c:pt idx="33">
                  <c:v>43.0792</c:v>
                </c:pt>
                <c:pt idx="34">
                  <c:v>43.4833</c:v>
                </c:pt>
                <c:pt idx="35">
                  <c:v>43.8887</c:v>
                </c:pt>
                <c:pt idx="36">
                  <c:v>44.296300000000002</c:v>
                </c:pt>
                <c:pt idx="37">
                  <c:v>44.706299999999999</c:v>
                </c:pt>
                <c:pt idx="38">
                  <c:v>45.108699999999999</c:v>
                </c:pt>
                <c:pt idx="39">
                  <c:v>45.5152</c:v>
                </c:pt>
                <c:pt idx="40">
                  <c:v>45.918599999999998</c:v>
                </c:pt>
                <c:pt idx="41">
                  <c:v>46.3277</c:v>
                </c:pt>
                <c:pt idx="42">
                  <c:v>46.731000000000002</c:v>
                </c:pt>
                <c:pt idx="43">
                  <c:v>47.139600000000002</c:v>
                </c:pt>
                <c:pt idx="44">
                  <c:v>47.5458</c:v>
                </c:pt>
                <c:pt idx="45">
                  <c:v>47.9529</c:v>
                </c:pt>
                <c:pt idx="46">
                  <c:v>48.356900000000003</c:v>
                </c:pt>
                <c:pt idx="47">
                  <c:v>48.765799999999999</c:v>
                </c:pt>
                <c:pt idx="48">
                  <c:v>49.169899999999998</c:v>
                </c:pt>
                <c:pt idx="49">
                  <c:v>49.573700000000002</c:v>
                </c:pt>
                <c:pt idx="50">
                  <c:v>49.982700000000001</c:v>
                </c:pt>
                <c:pt idx="51">
                  <c:v>50.387799999999999</c:v>
                </c:pt>
                <c:pt idx="52">
                  <c:v>50.795699999999997</c:v>
                </c:pt>
                <c:pt idx="53">
                  <c:v>51.203899999999997</c:v>
                </c:pt>
                <c:pt idx="54">
                  <c:v>51.6068</c:v>
                </c:pt>
                <c:pt idx="55">
                  <c:v>52.016800000000003</c:v>
                </c:pt>
                <c:pt idx="56">
                  <c:v>52.422800000000002</c:v>
                </c:pt>
                <c:pt idx="57">
                  <c:v>52.828800000000001</c:v>
                </c:pt>
                <c:pt idx="58">
                  <c:v>53.232500000000002</c:v>
                </c:pt>
                <c:pt idx="59">
                  <c:v>53.638199999999998</c:v>
                </c:pt>
                <c:pt idx="60">
                  <c:v>54.049199999999999</c:v>
                </c:pt>
                <c:pt idx="61">
                  <c:v>54.451599999999999</c:v>
                </c:pt>
                <c:pt idx="62">
                  <c:v>54.855600000000003</c:v>
                </c:pt>
                <c:pt idx="63">
                  <c:v>55.266199999999998</c:v>
                </c:pt>
                <c:pt idx="64">
                  <c:v>55.671799999999998</c:v>
                </c:pt>
                <c:pt idx="65">
                  <c:v>56.076900000000002</c:v>
                </c:pt>
                <c:pt idx="66">
                  <c:v>56.482199999999999</c:v>
                </c:pt>
                <c:pt idx="67">
                  <c:v>56.89</c:v>
                </c:pt>
                <c:pt idx="68">
                  <c:v>57.294800000000002</c:v>
                </c:pt>
                <c:pt idx="69">
                  <c:v>57.706600000000002</c:v>
                </c:pt>
                <c:pt idx="70">
                  <c:v>58.108499999999999</c:v>
                </c:pt>
                <c:pt idx="71">
                  <c:v>58.517499999999998</c:v>
                </c:pt>
                <c:pt idx="72">
                  <c:v>58.9208</c:v>
                </c:pt>
                <c:pt idx="73">
                  <c:v>59.327500000000001</c:v>
                </c:pt>
                <c:pt idx="74">
                  <c:v>59.738300000000002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41.123100000000001</c:v>
                </c:pt>
                <c:pt idx="1">
                  <c:v>40.745799999999996</c:v>
                </c:pt>
                <c:pt idx="2">
                  <c:v>40.215400000000002</c:v>
                </c:pt>
                <c:pt idx="3">
                  <c:v>39.775500000000001</c:v>
                </c:pt>
                <c:pt idx="4">
                  <c:v>39.422899999999998</c:v>
                </c:pt>
                <c:pt idx="5">
                  <c:v>39.044000000000004</c:v>
                </c:pt>
                <c:pt idx="6">
                  <c:v>38.624399999999994</c:v>
                </c:pt>
                <c:pt idx="7">
                  <c:v>38.251200000000004</c:v>
                </c:pt>
                <c:pt idx="8">
                  <c:v>37.906800000000004</c:v>
                </c:pt>
                <c:pt idx="9">
                  <c:v>37.503</c:v>
                </c:pt>
                <c:pt idx="10">
                  <c:v>37.1038</c:v>
                </c:pt>
                <c:pt idx="11">
                  <c:v>36.759599999999999</c:v>
                </c:pt>
                <c:pt idx="12">
                  <c:v>36.425699999999999</c:v>
                </c:pt>
                <c:pt idx="13">
                  <c:v>35.986000000000004</c:v>
                </c:pt>
                <c:pt idx="14">
                  <c:v>35.496299999999998</c:v>
                </c:pt>
                <c:pt idx="15">
                  <c:v>34.954099999999997</c:v>
                </c:pt>
                <c:pt idx="16">
                  <c:v>34.333599999999997</c:v>
                </c:pt>
                <c:pt idx="17">
                  <c:v>33.669199999999996</c:v>
                </c:pt>
                <c:pt idx="18">
                  <c:v>32.992399999999996</c:v>
                </c:pt>
                <c:pt idx="19">
                  <c:v>32.311199999999999</c:v>
                </c:pt>
                <c:pt idx="20">
                  <c:v>31.680099999999999</c:v>
                </c:pt>
                <c:pt idx="21">
                  <c:v>31.0853</c:v>
                </c:pt>
                <c:pt idx="22">
                  <c:v>30.560599999999997</c:v>
                </c:pt>
                <c:pt idx="23">
                  <c:v>30.186699999999998</c:v>
                </c:pt>
                <c:pt idx="24">
                  <c:v>29.8201</c:v>
                </c:pt>
                <c:pt idx="25">
                  <c:v>29.518499999999996</c:v>
                </c:pt>
                <c:pt idx="26">
                  <c:v>29.247400000000003</c:v>
                </c:pt>
                <c:pt idx="27">
                  <c:v>29.018699999999995</c:v>
                </c:pt>
                <c:pt idx="28">
                  <c:v>28.892400000000002</c:v>
                </c:pt>
                <c:pt idx="29">
                  <c:v>28.819699999999997</c:v>
                </c:pt>
                <c:pt idx="30">
                  <c:v>28.731499999999997</c:v>
                </c:pt>
                <c:pt idx="31">
                  <c:v>28.569400000000002</c:v>
                </c:pt>
                <c:pt idx="32">
                  <c:v>28.376600000000003</c:v>
                </c:pt>
                <c:pt idx="33">
                  <c:v>28.2681</c:v>
                </c:pt>
                <c:pt idx="34">
                  <c:v>28.152999999999999</c:v>
                </c:pt>
                <c:pt idx="35">
                  <c:v>28.053599999999999</c:v>
                </c:pt>
                <c:pt idx="36">
                  <c:v>27.946100000000001</c:v>
                </c:pt>
                <c:pt idx="37">
                  <c:v>27.811799999999998</c:v>
                </c:pt>
                <c:pt idx="38">
                  <c:v>27.7422</c:v>
                </c:pt>
                <c:pt idx="39">
                  <c:v>27.659699999999997</c:v>
                </c:pt>
                <c:pt idx="40">
                  <c:v>27.5578</c:v>
                </c:pt>
                <c:pt idx="41">
                  <c:v>27.5488</c:v>
                </c:pt>
                <c:pt idx="42">
                  <c:v>27.5243</c:v>
                </c:pt>
                <c:pt idx="43">
                  <c:v>27.4909</c:v>
                </c:pt>
                <c:pt idx="44">
                  <c:v>27.494499999999999</c:v>
                </c:pt>
                <c:pt idx="45">
                  <c:v>27.477699999999999</c:v>
                </c:pt>
                <c:pt idx="46">
                  <c:v>27.414899999999996</c:v>
                </c:pt>
                <c:pt idx="47">
                  <c:v>27.349</c:v>
                </c:pt>
                <c:pt idx="48">
                  <c:v>27.211999999999996</c:v>
                </c:pt>
                <c:pt idx="49">
                  <c:v>27.077400000000001</c:v>
                </c:pt>
                <c:pt idx="50">
                  <c:v>26.9191</c:v>
                </c:pt>
                <c:pt idx="51">
                  <c:v>26.8401</c:v>
                </c:pt>
                <c:pt idx="52">
                  <c:v>26.756</c:v>
                </c:pt>
                <c:pt idx="53">
                  <c:v>26.669999999999998</c:v>
                </c:pt>
                <c:pt idx="54">
                  <c:v>26.523499999999999</c:v>
                </c:pt>
                <c:pt idx="55">
                  <c:v>26.367600000000003</c:v>
                </c:pt>
                <c:pt idx="56">
                  <c:v>26.2486</c:v>
                </c:pt>
                <c:pt idx="57">
                  <c:v>26.132100000000001</c:v>
                </c:pt>
                <c:pt idx="58">
                  <c:v>25.987700000000004</c:v>
                </c:pt>
                <c:pt idx="59">
                  <c:v>25.905899999999999</c:v>
                </c:pt>
                <c:pt idx="60">
                  <c:v>25.825599999999998</c:v>
                </c:pt>
                <c:pt idx="61">
                  <c:v>25.745000000000001</c:v>
                </c:pt>
                <c:pt idx="62">
                  <c:v>25.706200000000003</c:v>
                </c:pt>
                <c:pt idx="63">
                  <c:v>25.6235</c:v>
                </c:pt>
                <c:pt idx="64">
                  <c:v>25.577400000000001</c:v>
                </c:pt>
                <c:pt idx="65">
                  <c:v>25.645699999999998</c:v>
                </c:pt>
                <c:pt idx="66">
                  <c:v>25.6144</c:v>
                </c:pt>
                <c:pt idx="67">
                  <c:v>25.634699999999999</c:v>
                </c:pt>
                <c:pt idx="68">
                  <c:v>25.726399999999998</c:v>
                </c:pt>
                <c:pt idx="69">
                  <c:v>25.7806</c:v>
                </c:pt>
                <c:pt idx="70">
                  <c:v>25.880199999999999</c:v>
                </c:pt>
                <c:pt idx="71">
                  <c:v>25.9438</c:v>
                </c:pt>
                <c:pt idx="72">
                  <c:v>25.8826</c:v>
                </c:pt>
                <c:pt idx="73">
                  <c:v>25.7956</c:v>
                </c:pt>
                <c:pt idx="74">
                  <c:v>25.6874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43.335059459459465</c:v>
                </c:pt>
                <c:pt idx="1">
                  <c:v>29.8139108108108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  <c:pt idx="74">
                  <c:v>3.3301500000000002</c:v>
                </c:pt>
                <c:pt idx="75">
                  <c:v>3.35907</c:v>
                </c:pt>
                <c:pt idx="76">
                  <c:v>3.3773999999999997</c:v>
                </c:pt>
                <c:pt idx="77">
                  <c:v>3.3933799999999996</c:v>
                </c:pt>
                <c:pt idx="78">
                  <c:v>3.4112199999999997</c:v>
                </c:pt>
                <c:pt idx="79">
                  <c:v>3.4308699999999996</c:v>
                </c:pt>
                <c:pt idx="80">
                  <c:v>3.4498199999999999</c:v>
                </c:pt>
                <c:pt idx="81">
                  <c:v>3.4670899999999998</c:v>
                </c:pt>
                <c:pt idx="82">
                  <c:v>3.48414</c:v>
                </c:pt>
                <c:pt idx="83">
                  <c:v>3.4993000000000003</c:v>
                </c:pt>
                <c:pt idx="84">
                  <c:v>3.5127799999999998</c:v>
                </c:pt>
                <c:pt idx="85">
                  <c:v>3.5256700000000003</c:v>
                </c:pt>
                <c:pt idx="86">
                  <c:v>3.5397699999999999</c:v>
                </c:pt>
                <c:pt idx="87">
                  <c:v>3.5552600000000001</c:v>
                </c:pt>
                <c:pt idx="88">
                  <c:v>3.5722999999999998</c:v>
                </c:pt>
                <c:pt idx="89">
                  <c:v>3.59057</c:v>
                </c:pt>
                <c:pt idx="90">
                  <c:v>3.6092200000000001</c:v>
                </c:pt>
                <c:pt idx="91">
                  <c:v>3.6275000000000004</c:v>
                </c:pt>
                <c:pt idx="92">
                  <c:v>3.6453600000000002</c:v>
                </c:pt>
                <c:pt idx="93">
                  <c:v>3.6649900000000004</c:v>
                </c:pt>
                <c:pt idx="94">
                  <c:v>3.6932900000000002</c:v>
                </c:pt>
                <c:pt idx="95">
                  <c:v>3.7246200000000003</c:v>
                </c:pt>
                <c:pt idx="96">
                  <c:v>3.7583199999999999</c:v>
                </c:pt>
                <c:pt idx="97">
                  <c:v>3.7883599999999999</c:v>
                </c:pt>
                <c:pt idx="98">
                  <c:v>3.8141799999999999</c:v>
                </c:pt>
                <c:pt idx="99">
                  <c:v>3.8320799999999999</c:v>
                </c:pt>
                <c:pt idx="100">
                  <c:v>3.8489400000000002</c:v>
                </c:pt>
                <c:pt idx="101">
                  <c:v>3.8627099999999999</c:v>
                </c:pt>
                <c:pt idx="102">
                  <c:v>3.8807700000000001</c:v>
                </c:pt>
                <c:pt idx="103">
                  <c:v>3.9015300000000002</c:v>
                </c:pt>
                <c:pt idx="104">
                  <c:v>3.9266000000000001</c:v>
                </c:pt>
                <c:pt idx="105">
                  <c:v>3.95546</c:v>
                </c:pt>
                <c:pt idx="106">
                  <c:v>3.9802599999999999</c:v>
                </c:pt>
                <c:pt idx="107">
                  <c:v>4.0017399999999999</c:v>
                </c:pt>
                <c:pt idx="108">
                  <c:v>4.0224399999999996</c:v>
                </c:pt>
                <c:pt idx="109">
                  <c:v>4.0437599999999998</c:v>
                </c:pt>
                <c:pt idx="110">
                  <c:v>4.0665200000000006</c:v>
                </c:pt>
                <c:pt idx="111">
                  <c:v>4.0852500000000003</c:v>
                </c:pt>
                <c:pt idx="112">
                  <c:v>4.1041800000000004</c:v>
                </c:pt>
                <c:pt idx="113">
                  <c:v>4.1217600000000001</c:v>
                </c:pt>
                <c:pt idx="114">
                  <c:v>4.1320100000000002</c:v>
                </c:pt>
                <c:pt idx="115">
                  <c:v>4.1400899999999998</c:v>
                </c:pt>
                <c:pt idx="116">
                  <c:v>4.1485599999999998</c:v>
                </c:pt>
                <c:pt idx="117">
                  <c:v>4.1554700000000002</c:v>
                </c:pt>
                <c:pt idx="118">
                  <c:v>4.1627000000000001</c:v>
                </c:pt>
                <c:pt idx="119">
                  <c:v>4.16873</c:v>
                </c:pt>
                <c:pt idx="120">
                  <c:v>4.1739800000000002</c:v>
                </c:pt>
                <c:pt idx="121">
                  <c:v>4.1781100000000002</c:v>
                </c:pt>
                <c:pt idx="122">
                  <c:v>4.1781499999999996</c:v>
                </c:pt>
                <c:pt idx="123">
                  <c:v>4.1749299999999998</c:v>
                </c:pt>
                <c:pt idx="124">
                  <c:v>4.1808499999999995</c:v>
                </c:pt>
                <c:pt idx="125">
                  <c:v>4.1888300000000003</c:v>
                </c:pt>
                <c:pt idx="126">
                  <c:v>4.1994199999999999</c:v>
                </c:pt>
                <c:pt idx="127">
                  <c:v>4.2085699999999999</c:v>
                </c:pt>
                <c:pt idx="128">
                  <c:v>4.2150800000000004</c:v>
                </c:pt>
                <c:pt idx="129">
                  <c:v>4.2170399999999999</c:v>
                </c:pt>
                <c:pt idx="130">
                  <c:v>4.2145899999999994</c:v>
                </c:pt>
                <c:pt idx="131">
                  <c:v>4.2140899999999997</c:v>
                </c:pt>
                <c:pt idx="132">
                  <c:v>4.2148000000000003</c:v>
                </c:pt>
                <c:pt idx="133">
                  <c:v>4.2149099999999997</c:v>
                </c:pt>
                <c:pt idx="134">
                  <c:v>4.2130999999999998</c:v>
                </c:pt>
                <c:pt idx="135">
                  <c:v>4.2077100000000005</c:v>
                </c:pt>
                <c:pt idx="136">
                  <c:v>4.2037300000000002</c:v>
                </c:pt>
                <c:pt idx="137">
                  <c:v>4.19381</c:v>
                </c:pt>
                <c:pt idx="138">
                  <c:v>4.1804399999999999</c:v>
                </c:pt>
                <c:pt idx="139">
                  <c:v>4.17577</c:v>
                </c:pt>
                <c:pt idx="140">
                  <c:v>4.1748400000000006</c:v>
                </c:pt>
                <c:pt idx="141">
                  <c:v>4.1706700000000003</c:v>
                </c:pt>
                <c:pt idx="142">
                  <c:v>4.1658600000000003</c:v>
                </c:pt>
                <c:pt idx="143">
                  <c:v>4.1546000000000003</c:v>
                </c:pt>
                <c:pt idx="144">
                  <c:v>4.13551</c:v>
                </c:pt>
                <c:pt idx="145">
                  <c:v>4.0998099999999997</c:v>
                </c:pt>
                <c:pt idx="146">
                  <c:v>4.0539500000000004</c:v>
                </c:pt>
                <c:pt idx="147">
                  <c:v>4.0076700000000001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  <c:pt idx="74">
                  <c:v>40.745799999999996</c:v>
                </c:pt>
                <c:pt idx="75">
                  <c:v>40.215400000000002</c:v>
                </c:pt>
                <c:pt idx="76">
                  <c:v>39.775500000000001</c:v>
                </c:pt>
                <c:pt idx="77">
                  <c:v>39.422899999999998</c:v>
                </c:pt>
                <c:pt idx="78">
                  <c:v>39.044000000000004</c:v>
                </c:pt>
                <c:pt idx="79">
                  <c:v>38.624399999999994</c:v>
                </c:pt>
                <c:pt idx="80">
                  <c:v>38.251200000000004</c:v>
                </c:pt>
                <c:pt idx="81">
                  <c:v>37.906800000000004</c:v>
                </c:pt>
                <c:pt idx="82">
                  <c:v>37.503</c:v>
                </c:pt>
                <c:pt idx="83">
                  <c:v>37.1038</c:v>
                </c:pt>
                <c:pt idx="84">
                  <c:v>36.759599999999999</c:v>
                </c:pt>
                <c:pt idx="85">
                  <c:v>36.425699999999999</c:v>
                </c:pt>
                <c:pt idx="86">
                  <c:v>35.986000000000004</c:v>
                </c:pt>
                <c:pt idx="87">
                  <c:v>35.496299999999998</c:v>
                </c:pt>
                <c:pt idx="88">
                  <c:v>34.954099999999997</c:v>
                </c:pt>
                <c:pt idx="89">
                  <c:v>34.333599999999997</c:v>
                </c:pt>
                <c:pt idx="90">
                  <c:v>33.669199999999996</c:v>
                </c:pt>
                <c:pt idx="91">
                  <c:v>32.992399999999996</c:v>
                </c:pt>
                <c:pt idx="92">
                  <c:v>32.311199999999999</c:v>
                </c:pt>
                <c:pt idx="93">
                  <c:v>31.680099999999999</c:v>
                </c:pt>
                <c:pt idx="94">
                  <c:v>31.0853</c:v>
                </c:pt>
                <c:pt idx="95">
                  <c:v>30.560599999999997</c:v>
                </c:pt>
                <c:pt idx="96">
                  <c:v>30.186699999999998</c:v>
                </c:pt>
                <c:pt idx="97">
                  <c:v>29.8201</c:v>
                </c:pt>
                <c:pt idx="98">
                  <c:v>29.518499999999996</c:v>
                </c:pt>
                <c:pt idx="99">
                  <c:v>29.247400000000003</c:v>
                </c:pt>
                <c:pt idx="100">
                  <c:v>29.018699999999995</c:v>
                </c:pt>
                <c:pt idx="101">
                  <c:v>28.892400000000002</c:v>
                </c:pt>
                <c:pt idx="102">
                  <c:v>28.819699999999997</c:v>
                </c:pt>
                <c:pt idx="103">
                  <c:v>28.731499999999997</c:v>
                </c:pt>
                <c:pt idx="104">
                  <c:v>28.569400000000002</c:v>
                </c:pt>
                <c:pt idx="105">
                  <c:v>28.376600000000003</c:v>
                </c:pt>
                <c:pt idx="106">
                  <c:v>28.2681</c:v>
                </c:pt>
                <c:pt idx="107">
                  <c:v>28.152999999999999</c:v>
                </c:pt>
                <c:pt idx="108">
                  <c:v>28.053599999999999</c:v>
                </c:pt>
                <c:pt idx="109">
                  <c:v>27.946100000000001</c:v>
                </c:pt>
                <c:pt idx="110">
                  <c:v>27.811799999999998</c:v>
                </c:pt>
                <c:pt idx="111">
                  <c:v>27.7422</c:v>
                </c:pt>
                <c:pt idx="112">
                  <c:v>27.659699999999997</c:v>
                </c:pt>
                <c:pt idx="113">
                  <c:v>27.5578</c:v>
                </c:pt>
                <c:pt idx="114">
                  <c:v>27.5488</c:v>
                </c:pt>
                <c:pt idx="115">
                  <c:v>27.5243</c:v>
                </c:pt>
                <c:pt idx="116">
                  <c:v>27.4909</c:v>
                </c:pt>
                <c:pt idx="117">
                  <c:v>27.494499999999999</c:v>
                </c:pt>
                <c:pt idx="118">
                  <c:v>27.477699999999999</c:v>
                </c:pt>
                <c:pt idx="119">
                  <c:v>27.414899999999996</c:v>
                </c:pt>
                <c:pt idx="120">
                  <c:v>27.349</c:v>
                </c:pt>
                <c:pt idx="121">
                  <c:v>27.211999999999996</c:v>
                </c:pt>
                <c:pt idx="122">
                  <c:v>27.077400000000001</c:v>
                </c:pt>
                <c:pt idx="123">
                  <c:v>26.9191</c:v>
                </c:pt>
                <c:pt idx="124">
                  <c:v>26.8401</c:v>
                </c:pt>
                <c:pt idx="125">
                  <c:v>26.756</c:v>
                </c:pt>
                <c:pt idx="126">
                  <c:v>26.669999999999998</c:v>
                </c:pt>
                <c:pt idx="127">
                  <c:v>26.523499999999999</c:v>
                </c:pt>
                <c:pt idx="128">
                  <c:v>26.367600000000003</c:v>
                </c:pt>
                <c:pt idx="129">
                  <c:v>26.2486</c:v>
                </c:pt>
                <c:pt idx="130">
                  <c:v>26.132100000000001</c:v>
                </c:pt>
                <c:pt idx="131">
                  <c:v>25.987700000000004</c:v>
                </c:pt>
                <c:pt idx="132">
                  <c:v>25.905899999999999</c:v>
                </c:pt>
                <c:pt idx="133">
                  <c:v>25.825599999999998</c:v>
                </c:pt>
                <c:pt idx="134">
                  <c:v>25.745000000000001</c:v>
                </c:pt>
                <c:pt idx="135">
                  <c:v>25.706200000000003</c:v>
                </c:pt>
                <c:pt idx="136">
                  <c:v>25.6235</c:v>
                </c:pt>
                <c:pt idx="137">
                  <c:v>25.577400000000001</c:v>
                </c:pt>
                <c:pt idx="138">
                  <c:v>25.645699999999998</c:v>
                </c:pt>
                <c:pt idx="139">
                  <c:v>25.6144</c:v>
                </c:pt>
                <c:pt idx="140">
                  <c:v>25.634699999999999</c:v>
                </c:pt>
                <c:pt idx="141">
                  <c:v>25.726399999999998</c:v>
                </c:pt>
                <c:pt idx="142">
                  <c:v>25.7806</c:v>
                </c:pt>
                <c:pt idx="143">
                  <c:v>25.880199999999999</c:v>
                </c:pt>
                <c:pt idx="144">
                  <c:v>25.9438</c:v>
                </c:pt>
                <c:pt idx="145">
                  <c:v>25.8826</c:v>
                </c:pt>
                <c:pt idx="146">
                  <c:v>25.7956</c:v>
                </c:pt>
                <c:pt idx="147">
                  <c:v>25.6874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1.4353799999999999</c:v>
                </c:pt>
                <c:pt idx="1">
                  <c:v>1.47265</c:v>
                </c:pt>
                <c:pt idx="2">
                  <c:v>1.50756</c:v>
                </c:pt>
                <c:pt idx="3">
                  <c:v>1.5400900000000002</c:v>
                </c:pt>
                <c:pt idx="4">
                  <c:v>1.57257</c:v>
                </c:pt>
                <c:pt idx="5">
                  <c:v>1.60575</c:v>
                </c:pt>
                <c:pt idx="6">
                  <c:v>1.6389400000000001</c:v>
                </c:pt>
                <c:pt idx="7">
                  <c:v>1.67178</c:v>
                </c:pt>
                <c:pt idx="8">
                  <c:v>1.70373</c:v>
                </c:pt>
                <c:pt idx="9">
                  <c:v>1.73543</c:v>
                </c:pt>
                <c:pt idx="10">
                  <c:v>1.7648299999999999</c:v>
                </c:pt>
                <c:pt idx="11">
                  <c:v>1.7956799999999999</c:v>
                </c:pt>
                <c:pt idx="12">
                  <c:v>1.8277199999999998</c:v>
                </c:pt>
                <c:pt idx="13">
                  <c:v>1.8605800000000001</c:v>
                </c:pt>
                <c:pt idx="14">
                  <c:v>1.8934300000000002</c:v>
                </c:pt>
                <c:pt idx="15">
                  <c:v>1.9256699999999998</c:v>
                </c:pt>
                <c:pt idx="16">
                  <c:v>1.9591400000000001</c:v>
                </c:pt>
                <c:pt idx="17">
                  <c:v>1.9908600000000001</c:v>
                </c:pt>
                <c:pt idx="18">
                  <c:v>2.0219400000000003</c:v>
                </c:pt>
                <c:pt idx="19">
                  <c:v>2.05253</c:v>
                </c:pt>
                <c:pt idx="20">
                  <c:v>2.0812599999999999</c:v>
                </c:pt>
                <c:pt idx="21">
                  <c:v>2.1075699999999999</c:v>
                </c:pt>
                <c:pt idx="22">
                  <c:v>2.13245</c:v>
                </c:pt>
                <c:pt idx="23">
                  <c:v>2.1562799999999998</c:v>
                </c:pt>
                <c:pt idx="24">
                  <c:v>2.1785299999999999</c:v>
                </c:pt>
                <c:pt idx="25">
                  <c:v>2.2006700000000001</c:v>
                </c:pt>
                <c:pt idx="26">
                  <c:v>2.2222400000000002</c:v>
                </c:pt>
                <c:pt idx="27">
                  <c:v>2.2448600000000001</c:v>
                </c:pt>
                <c:pt idx="28">
                  <c:v>2.2664300000000002</c:v>
                </c:pt>
                <c:pt idx="29">
                  <c:v>2.2871700000000001</c:v>
                </c:pt>
                <c:pt idx="30">
                  <c:v>2.31006</c:v>
                </c:pt>
                <c:pt idx="31">
                  <c:v>2.3345699999999998</c:v>
                </c:pt>
                <c:pt idx="32">
                  <c:v>2.3601800000000002</c:v>
                </c:pt>
                <c:pt idx="33">
                  <c:v>2.3869400000000001</c:v>
                </c:pt>
                <c:pt idx="34">
                  <c:v>2.4132700000000002</c:v>
                </c:pt>
                <c:pt idx="35">
                  <c:v>2.4333</c:v>
                </c:pt>
                <c:pt idx="36">
                  <c:v>2.4509500000000002</c:v>
                </c:pt>
                <c:pt idx="37">
                  <c:v>2.4657900000000001</c:v>
                </c:pt>
                <c:pt idx="38">
                  <c:v>2.4802599999999999</c:v>
                </c:pt>
                <c:pt idx="39">
                  <c:v>2.4944299999999999</c:v>
                </c:pt>
                <c:pt idx="40">
                  <c:v>2.5085600000000001</c:v>
                </c:pt>
                <c:pt idx="41">
                  <c:v>2.5194800000000002</c:v>
                </c:pt>
                <c:pt idx="42">
                  <c:v>2.5320199999999997</c:v>
                </c:pt>
                <c:pt idx="43">
                  <c:v>2.5455299999999998</c:v>
                </c:pt>
                <c:pt idx="44">
                  <c:v>2.5612300000000001</c:v>
                </c:pt>
                <c:pt idx="45">
                  <c:v>2.5808900000000001</c:v>
                </c:pt>
                <c:pt idx="46">
                  <c:v>2.6036599999999996</c:v>
                </c:pt>
                <c:pt idx="47">
                  <c:v>2.6265200000000002</c:v>
                </c:pt>
                <c:pt idx="48">
                  <c:v>2.6503399999999999</c:v>
                </c:pt>
                <c:pt idx="49">
                  <c:v>2.6777099999999998</c:v>
                </c:pt>
                <c:pt idx="50">
                  <c:v>2.6980300000000002</c:v>
                </c:pt>
                <c:pt idx="51">
                  <c:v>2.7313000000000001</c:v>
                </c:pt>
                <c:pt idx="52">
                  <c:v>2.7652000000000001</c:v>
                </c:pt>
                <c:pt idx="53">
                  <c:v>2.79718</c:v>
                </c:pt>
                <c:pt idx="54">
                  <c:v>2.8266799999999996</c:v>
                </c:pt>
                <c:pt idx="55">
                  <c:v>2.8521000000000001</c:v>
                </c:pt>
                <c:pt idx="56">
                  <c:v>2.8736299999999999</c:v>
                </c:pt>
                <c:pt idx="57">
                  <c:v>2.8954300000000002</c:v>
                </c:pt>
                <c:pt idx="58">
                  <c:v>2.9187099999999999</c:v>
                </c:pt>
                <c:pt idx="59">
                  <c:v>2.9425699999999999</c:v>
                </c:pt>
                <c:pt idx="60">
                  <c:v>2.96671</c:v>
                </c:pt>
                <c:pt idx="61">
                  <c:v>2.9906800000000002</c:v>
                </c:pt>
                <c:pt idx="62">
                  <c:v>3.0166399999999998</c:v>
                </c:pt>
                <c:pt idx="63">
                  <c:v>3.0424899999999999</c:v>
                </c:pt>
                <c:pt idx="64">
                  <c:v>3.0684800000000001</c:v>
                </c:pt>
                <c:pt idx="65">
                  <c:v>3.0958000000000001</c:v>
                </c:pt>
                <c:pt idx="66">
                  <c:v>3.1241699999999999</c:v>
                </c:pt>
                <c:pt idx="67">
                  <c:v>3.1528200000000002</c:v>
                </c:pt>
                <c:pt idx="68">
                  <c:v>3.1819299999999999</c:v>
                </c:pt>
                <c:pt idx="69">
                  <c:v>3.2081900000000001</c:v>
                </c:pt>
                <c:pt idx="70">
                  <c:v>3.2317499999999999</c:v>
                </c:pt>
                <c:pt idx="71">
                  <c:v>3.25467</c:v>
                </c:pt>
                <c:pt idx="72">
                  <c:v>3.2789700000000002</c:v>
                </c:pt>
                <c:pt idx="73">
                  <c:v>3.3048300000000004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64.906800000000004</c:v>
                </c:pt>
                <c:pt idx="1">
                  <c:v>63.970000000000006</c:v>
                </c:pt>
                <c:pt idx="2">
                  <c:v>63.046899999999994</c:v>
                </c:pt>
                <c:pt idx="3">
                  <c:v>62.014499999999998</c:v>
                </c:pt>
                <c:pt idx="4">
                  <c:v>60.926600000000001</c:v>
                </c:pt>
                <c:pt idx="5">
                  <c:v>59.799199999999999</c:v>
                </c:pt>
                <c:pt idx="6">
                  <c:v>58.629699999999993</c:v>
                </c:pt>
                <c:pt idx="7">
                  <c:v>57.448999999999998</c:v>
                </c:pt>
                <c:pt idx="8">
                  <c:v>56.332599999999999</c:v>
                </c:pt>
                <c:pt idx="9">
                  <c:v>55.240599999999993</c:v>
                </c:pt>
                <c:pt idx="10">
                  <c:v>54.185600000000001</c:v>
                </c:pt>
                <c:pt idx="11">
                  <c:v>53.035499999999999</c:v>
                </c:pt>
                <c:pt idx="12">
                  <c:v>51.776299999999999</c:v>
                </c:pt>
                <c:pt idx="13">
                  <c:v>50.490100000000005</c:v>
                </c:pt>
                <c:pt idx="14">
                  <c:v>49.243900000000004</c:v>
                </c:pt>
                <c:pt idx="15">
                  <c:v>48.029299999999999</c:v>
                </c:pt>
                <c:pt idx="16">
                  <c:v>46.764400000000002</c:v>
                </c:pt>
                <c:pt idx="17">
                  <c:v>45.6036</c:v>
                </c:pt>
                <c:pt idx="18">
                  <c:v>44.472000000000001</c:v>
                </c:pt>
                <c:pt idx="19">
                  <c:v>43.304200000000002</c:v>
                </c:pt>
                <c:pt idx="20">
                  <c:v>42.256999999999998</c:v>
                </c:pt>
                <c:pt idx="21">
                  <c:v>41.340600000000002</c:v>
                </c:pt>
                <c:pt idx="22">
                  <c:v>40.439599999999999</c:v>
                </c:pt>
                <c:pt idx="23">
                  <c:v>39.5488</c:v>
                </c:pt>
                <c:pt idx="24">
                  <c:v>38.668700000000001</c:v>
                </c:pt>
                <c:pt idx="25">
                  <c:v>37.822800000000001</c:v>
                </c:pt>
                <c:pt idx="26">
                  <c:v>37.053599999999996</c:v>
                </c:pt>
                <c:pt idx="27">
                  <c:v>36.324300000000001</c:v>
                </c:pt>
                <c:pt idx="28">
                  <c:v>35.636099999999999</c:v>
                </c:pt>
                <c:pt idx="29">
                  <c:v>35.054400000000001</c:v>
                </c:pt>
                <c:pt idx="30">
                  <c:v>34.5105</c:v>
                </c:pt>
                <c:pt idx="31">
                  <c:v>34.070999999999998</c:v>
                </c:pt>
                <c:pt idx="32">
                  <c:v>33.7637</c:v>
                </c:pt>
                <c:pt idx="33">
                  <c:v>33.522300000000001</c:v>
                </c:pt>
                <c:pt idx="34">
                  <c:v>33.405099999999997</c:v>
                </c:pt>
                <c:pt idx="35">
                  <c:v>33.537499999999994</c:v>
                </c:pt>
                <c:pt idx="36">
                  <c:v>33.780799999999999</c:v>
                </c:pt>
                <c:pt idx="37">
                  <c:v>34.109200000000001</c:v>
                </c:pt>
                <c:pt idx="38">
                  <c:v>34.502099999999999</c:v>
                </c:pt>
                <c:pt idx="39">
                  <c:v>34.93</c:v>
                </c:pt>
                <c:pt idx="40">
                  <c:v>35.380000000000003</c:v>
                </c:pt>
                <c:pt idx="41">
                  <c:v>35.941499999999998</c:v>
                </c:pt>
                <c:pt idx="42">
                  <c:v>36.475000000000001</c:v>
                </c:pt>
                <c:pt idx="43">
                  <c:v>37</c:v>
                </c:pt>
                <c:pt idx="44">
                  <c:v>37.576999999999998</c:v>
                </c:pt>
                <c:pt idx="45">
                  <c:v>38.085999999999999</c:v>
                </c:pt>
                <c:pt idx="46">
                  <c:v>38.562000000000005</c:v>
                </c:pt>
                <c:pt idx="47">
                  <c:v>39.098599999999998</c:v>
                </c:pt>
                <c:pt idx="48">
                  <c:v>39.611800000000002</c:v>
                </c:pt>
                <c:pt idx="49">
                  <c:v>40.082799999999999</c:v>
                </c:pt>
                <c:pt idx="50">
                  <c:v>40.513399999999997</c:v>
                </c:pt>
                <c:pt idx="51">
                  <c:v>40.9407</c:v>
                </c:pt>
                <c:pt idx="52">
                  <c:v>41.287300000000002</c:v>
                </c:pt>
                <c:pt idx="53">
                  <c:v>41.688900000000004</c:v>
                </c:pt>
                <c:pt idx="54">
                  <c:v>42.068800000000003</c:v>
                </c:pt>
                <c:pt idx="55">
                  <c:v>42.4422</c:v>
                </c:pt>
                <c:pt idx="56">
                  <c:v>42.709499999999998</c:v>
                </c:pt>
                <c:pt idx="57">
                  <c:v>42.885800000000003</c:v>
                </c:pt>
                <c:pt idx="58">
                  <c:v>43.015900000000002</c:v>
                </c:pt>
                <c:pt idx="59">
                  <c:v>43.048500000000004</c:v>
                </c:pt>
                <c:pt idx="60">
                  <c:v>43.058</c:v>
                </c:pt>
                <c:pt idx="61">
                  <c:v>43.073499999999996</c:v>
                </c:pt>
                <c:pt idx="62">
                  <c:v>43.073699999999995</c:v>
                </c:pt>
                <c:pt idx="63">
                  <c:v>43.03</c:v>
                </c:pt>
                <c:pt idx="64">
                  <c:v>42.963699999999996</c:v>
                </c:pt>
                <c:pt idx="65">
                  <c:v>42.850899999999996</c:v>
                </c:pt>
                <c:pt idx="66">
                  <c:v>42.765100000000004</c:v>
                </c:pt>
                <c:pt idx="67">
                  <c:v>42.651800000000001</c:v>
                </c:pt>
                <c:pt idx="68">
                  <c:v>42.480000000000004</c:v>
                </c:pt>
                <c:pt idx="69">
                  <c:v>42.331099999999999</c:v>
                </c:pt>
                <c:pt idx="70">
                  <c:v>42.131099999999996</c:v>
                </c:pt>
                <c:pt idx="71">
                  <c:v>41.836500000000001</c:v>
                </c:pt>
                <c:pt idx="72">
                  <c:v>41.511299999999999</c:v>
                </c:pt>
                <c:pt idx="73">
                  <c:v>41.123100000000001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3.3048300000000004</c:v>
                </c:pt>
                <c:pt idx="1">
                  <c:v>3.3301500000000002</c:v>
                </c:pt>
                <c:pt idx="2">
                  <c:v>3.35907</c:v>
                </c:pt>
                <c:pt idx="3">
                  <c:v>3.3773999999999997</c:v>
                </c:pt>
                <c:pt idx="4">
                  <c:v>3.3933799999999996</c:v>
                </c:pt>
                <c:pt idx="5">
                  <c:v>3.4112199999999997</c:v>
                </c:pt>
                <c:pt idx="6">
                  <c:v>3.4308699999999996</c:v>
                </c:pt>
                <c:pt idx="7">
                  <c:v>3.4498199999999999</c:v>
                </c:pt>
                <c:pt idx="8">
                  <c:v>3.4670899999999998</c:v>
                </c:pt>
                <c:pt idx="9">
                  <c:v>3.48414</c:v>
                </c:pt>
                <c:pt idx="10">
                  <c:v>3.4993000000000003</c:v>
                </c:pt>
                <c:pt idx="11">
                  <c:v>3.5127799999999998</c:v>
                </c:pt>
                <c:pt idx="12">
                  <c:v>3.5256700000000003</c:v>
                </c:pt>
                <c:pt idx="13">
                  <c:v>3.5397699999999999</c:v>
                </c:pt>
                <c:pt idx="14">
                  <c:v>3.5552600000000001</c:v>
                </c:pt>
                <c:pt idx="15">
                  <c:v>3.5722999999999998</c:v>
                </c:pt>
                <c:pt idx="16">
                  <c:v>3.59057</c:v>
                </c:pt>
                <c:pt idx="17">
                  <c:v>3.6092200000000001</c:v>
                </c:pt>
                <c:pt idx="18">
                  <c:v>3.6275000000000004</c:v>
                </c:pt>
                <c:pt idx="19">
                  <c:v>3.6453600000000002</c:v>
                </c:pt>
                <c:pt idx="20">
                  <c:v>3.6649900000000004</c:v>
                </c:pt>
                <c:pt idx="21">
                  <c:v>3.6932900000000002</c:v>
                </c:pt>
                <c:pt idx="22">
                  <c:v>3.7246200000000003</c:v>
                </c:pt>
                <c:pt idx="23">
                  <c:v>3.7583199999999999</c:v>
                </c:pt>
                <c:pt idx="24">
                  <c:v>3.7883599999999999</c:v>
                </c:pt>
                <c:pt idx="25">
                  <c:v>3.8141799999999999</c:v>
                </c:pt>
                <c:pt idx="26">
                  <c:v>3.8320799999999999</c:v>
                </c:pt>
                <c:pt idx="27">
                  <c:v>3.8489400000000002</c:v>
                </c:pt>
                <c:pt idx="28">
                  <c:v>3.8627099999999999</c:v>
                </c:pt>
                <c:pt idx="29">
                  <c:v>3.8807700000000001</c:v>
                </c:pt>
                <c:pt idx="30">
                  <c:v>3.9015300000000002</c:v>
                </c:pt>
                <c:pt idx="31">
                  <c:v>3.9266000000000001</c:v>
                </c:pt>
                <c:pt idx="32">
                  <c:v>3.95546</c:v>
                </c:pt>
                <c:pt idx="33">
                  <c:v>3.9802599999999999</c:v>
                </c:pt>
                <c:pt idx="34">
                  <c:v>4.0017399999999999</c:v>
                </c:pt>
                <c:pt idx="35">
                  <c:v>4.0224399999999996</c:v>
                </c:pt>
                <c:pt idx="36">
                  <c:v>4.0437599999999998</c:v>
                </c:pt>
                <c:pt idx="37">
                  <c:v>4.0665200000000006</c:v>
                </c:pt>
                <c:pt idx="38">
                  <c:v>4.0852500000000003</c:v>
                </c:pt>
                <c:pt idx="39">
                  <c:v>4.1041800000000004</c:v>
                </c:pt>
                <c:pt idx="40">
                  <c:v>4.1217600000000001</c:v>
                </c:pt>
                <c:pt idx="41">
                  <c:v>4.1320100000000002</c:v>
                </c:pt>
                <c:pt idx="42">
                  <c:v>4.1400899999999998</c:v>
                </c:pt>
                <c:pt idx="43">
                  <c:v>4.1485599999999998</c:v>
                </c:pt>
                <c:pt idx="44">
                  <c:v>4.1554700000000002</c:v>
                </c:pt>
                <c:pt idx="45">
                  <c:v>4.1627000000000001</c:v>
                </c:pt>
                <c:pt idx="46">
                  <c:v>4.16873</c:v>
                </c:pt>
                <c:pt idx="47">
                  <c:v>4.1739800000000002</c:v>
                </c:pt>
                <c:pt idx="48">
                  <c:v>4.1781100000000002</c:v>
                </c:pt>
                <c:pt idx="49">
                  <c:v>4.1781499999999996</c:v>
                </c:pt>
                <c:pt idx="50">
                  <c:v>4.1749299999999998</c:v>
                </c:pt>
                <c:pt idx="51">
                  <c:v>4.1808499999999995</c:v>
                </c:pt>
                <c:pt idx="52">
                  <c:v>4.1888300000000003</c:v>
                </c:pt>
                <c:pt idx="53">
                  <c:v>4.1994199999999999</c:v>
                </c:pt>
                <c:pt idx="54">
                  <c:v>4.2085699999999999</c:v>
                </c:pt>
                <c:pt idx="55">
                  <c:v>4.2150800000000004</c:v>
                </c:pt>
                <c:pt idx="56">
                  <c:v>4.2170399999999999</c:v>
                </c:pt>
                <c:pt idx="57">
                  <c:v>4.2145899999999994</c:v>
                </c:pt>
                <c:pt idx="58">
                  <c:v>4.2140899999999997</c:v>
                </c:pt>
                <c:pt idx="59">
                  <c:v>4.2148000000000003</c:v>
                </c:pt>
                <c:pt idx="60">
                  <c:v>4.2149099999999997</c:v>
                </c:pt>
                <c:pt idx="61">
                  <c:v>4.2130999999999998</c:v>
                </c:pt>
                <c:pt idx="62">
                  <c:v>4.2077100000000005</c:v>
                </c:pt>
                <c:pt idx="63">
                  <c:v>4.2037300000000002</c:v>
                </c:pt>
                <c:pt idx="64">
                  <c:v>4.19381</c:v>
                </c:pt>
                <c:pt idx="65">
                  <c:v>4.1804399999999999</c:v>
                </c:pt>
                <c:pt idx="66">
                  <c:v>4.17577</c:v>
                </c:pt>
                <c:pt idx="67">
                  <c:v>4.1748400000000006</c:v>
                </c:pt>
                <c:pt idx="68">
                  <c:v>4.1706700000000003</c:v>
                </c:pt>
                <c:pt idx="69">
                  <c:v>4.1658600000000003</c:v>
                </c:pt>
                <c:pt idx="70">
                  <c:v>4.1546000000000003</c:v>
                </c:pt>
                <c:pt idx="71">
                  <c:v>4.13551</c:v>
                </c:pt>
                <c:pt idx="72">
                  <c:v>4.0998099999999997</c:v>
                </c:pt>
                <c:pt idx="73">
                  <c:v>4.0539500000000004</c:v>
                </c:pt>
                <c:pt idx="74">
                  <c:v>4.0076700000000001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41.123100000000001</c:v>
                </c:pt>
                <c:pt idx="1">
                  <c:v>40.745799999999996</c:v>
                </c:pt>
                <c:pt idx="2">
                  <c:v>40.215400000000002</c:v>
                </c:pt>
                <c:pt idx="3">
                  <c:v>39.775500000000001</c:v>
                </c:pt>
                <c:pt idx="4">
                  <c:v>39.422899999999998</c:v>
                </c:pt>
                <c:pt idx="5">
                  <c:v>39.044000000000004</c:v>
                </c:pt>
                <c:pt idx="6">
                  <c:v>38.624399999999994</c:v>
                </c:pt>
                <c:pt idx="7">
                  <c:v>38.251200000000004</c:v>
                </c:pt>
                <c:pt idx="8">
                  <c:v>37.906800000000004</c:v>
                </c:pt>
                <c:pt idx="9">
                  <c:v>37.503</c:v>
                </c:pt>
                <c:pt idx="10">
                  <c:v>37.1038</c:v>
                </c:pt>
                <c:pt idx="11">
                  <c:v>36.759599999999999</c:v>
                </c:pt>
                <c:pt idx="12">
                  <c:v>36.425699999999999</c:v>
                </c:pt>
                <c:pt idx="13">
                  <c:v>35.986000000000004</c:v>
                </c:pt>
                <c:pt idx="14">
                  <c:v>35.496299999999998</c:v>
                </c:pt>
                <c:pt idx="15">
                  <c:v>34.954099999999997</c:v>
                </c:pt>
                <c:pt idx="16">
                  <c:v>34.333599999999997</c:v>
                </c:pt>
                <c:pt idx="17">
                  <c:v>33.669199999999996</c:v>
                </c:pt>
                <c:pt idx="18">
                  <c:v>32.992399999999996</c:v>
                </c:pt>
                <c:pt idx="19">
                  <c:v>32.311199999999999</c:v>
                </c:pt>
                <c:pt idx="20">
                  <c:v>31.680099999999999</c:v>
                </c:pt>
                <c:pt idx="21">
                  <c:v>31.0853</c:v>
                </c:pt>
                <c:pt idx="22">
                  <c:v>30.560599999999997</c:v>
                </c:pt>
                <c:pt idx="23">
                  <c:v>30.186699999999998</c:v>
                </c:pt>
                <c:pt idx="24">
                  <c:v>29.8201</c:v>
                </c:pt>
                <c:pt idx="25">
                  <c:v>29.518499999999996</c:v>
                </c:pt>
                <c:pt idx="26">
                  <c:v>29.247400000000003</c:v>
                </c:pt>
                <c:pt idx="27">
                  <c:v>29.018699999999995</c:v>
                </c:pt>
                <c:pt idx="28">
                  <c:v>28.892400000000002</c:v>
                </c:pt>
                <c:pt idx="29">
                  <c:v>28.819699999999997</c:v>
                </c:pt>
                <c:pt idx="30">
                  <c:v>28.731499999999997</c:v>
                </c:pt>
                <c:pt idx="31">
                  <c:v>28.569400000000002</c:v>
                </c:pt>
                <c:pt idx="32">
                  <c:v>28.376600000000003</c:v>
                </c:pt>
                <c:pt idx="33">
                  <c:v>28.2681</c:v>
                </c:pt>
                <c:pt idx="34">
                  <c:v>28.152999999999999</c:v>
                </c:pt>
                <c:pt idx="35">
                  <c:v>28.053599999999999</c:v>
                </c:pt>
                <c:pt idx="36">
                  <c:v>27.946100000000001</c:v>
                </c:pt>
                <c:pt idx="37">
                  <c:v>27.811799999999998</c:v>
                </c:pt>
                <c:pt idx="38">
                  <c:v>27.7422</c:v>
                </c:pt>
                <c:pt idx="39">
                  <c:v>27.659699999999997</c:v>
                </c:pt>
                <c:pt idx="40">
                  <c:v>27.5578</c:v>
                </c:pt>
                <c:pt idx="41">
                  <c:v>27.5488</c:v>
                </c:pt>
                <c:pt idx="42">
                  <c:v>27.5243</c:v>
                </c:pt>
                <c:pt idx="43">
                  <c:v>27.4909</c:v>
                </c:pt>
                <c:pt idx="44">
                  <c:v>27.494499999999999</c:v>
                </c:pt>
                <c:pt idx="45">
                  <c:v>27.477699999999999</c:v>
                </c:pt>
                <c:pt idx="46">
                  <c:v>27.414899999999996</c:v>
                </c:pt>
                <c:pt idx="47">
                  <c:v>27.349</c:v>
                </c:pt>
                <c:pt idx="48">
                  <c:v>27.211999999999996</c:v>
                </c:pt>
                <c:pt idx="49">
                  <c:v>27.077400000000001</c:v>
                </c:pt>
                <c:pt idx="50">
                  <c:v>26.9191</c:v>
                </c:pt>
                <c:pt idx="51">
                  <c:v>26.8401</c:v>
                </c:pt>
                <c:pt idx="52">
                  <c:v>26.756</c:v>
                </c:pt>
                <c:pt idx="53">
                  <c:v>26.669999999999998</c:v>
                </c:pt>
                <c:pt idx="54">
                  <c:v>26.523499999999999</c:v>
                </c:pt>
                <c:pt idx="55">
                  <c:v>26.367600000000003</c:v>
                </c:pt>
                <c:pt idx="56">
                  <c:v>26.2486</c:v>
                </c:pt>
                <c:pt idx="57">
                  <c:v>26.132100000000001</c:v>
                </c:pt>
                <c:pt idx="58">
                  <c:v>25.987700000000004</c:v>
                </c:pt>
                <c:pt idx="59">
                  <c:v>25.905899999999999</c:v>
                </c:pt>
                <c:pt idx="60">
                  <c:v>25.825599999999998</c:v>
                </c:pt>
                <c:pt idx="61">
                  <c:v>25.745000000000001</c:v>
                </c:pt>
                <c:pt idx="62">
                  <c:v>25.706200000000003</c:v>
                </c:pt>
                <c:pt idx="63">
                  <c:v>25.6235</c:v>
                </c:pt>
                <c:pt idx="64">
                  <c:v>25.577400000000001</c:v>
                </c:pt>
                <c:pt idx="65">
                  <c:v>25.645699999999998</c:v>
                </c:pt>
                <c:pt idx="66">
                  <c:v>25.6144</c:v>
                </c:pt>
                <c:pt idx="67">
                  <c:v>25.634699999999999</c:v>
                </c:pt>
                <c:pt idx="68">
                  <c:v>25.726399999999998</c:v>
                </c:pt>
                <c:pt idx="69">
                  <c:v>25.7806</c:v>
                </c:pt>
                <c:pt idx="70">
                  <c:v>25.880199999999999</c:v>
                </c:pt>
                <c:pt idx="71">
                  <c:v>25.9438</c:v>
                </c:pt>
                <c:pt idx="72">
                  <c:v>25.8826</c:v>
                </c:pt>
                <c:pt idx="73">
                  <c:v>25.7956</c:v>
                </c:pt>
                <c:pt idx="74">
                  <c:v>25.6874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1.4353799999999999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64.906800000000004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2.4190320270270269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43.335059459459465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3.9226622972972951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29.8139108108108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3.9226622972972951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29.8139108108108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516</v>
      </c>
      <c r="D5" s="191"/>
      <c r="E5" s="191"/>
      <c r="F5" s="192"/>
      <c r="G5" s="48" t="str">
        <f>lang!B27</f>
        <v>编号</v>
      </c>
      <c r="H5" s="190">
        <v>8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515</v>
      </c>
      <c r="D6" s="145"/>
      <c r="E6" s="145"/>
      <c r="F6" s="146"/>
      <c r="G6" s="49" t="str">
        <f>lang!B28</f>
        <v xml:space="preserve"> 日期</v>
      </c>
      <c r="H6" s="129">
        <f>FH_info!A2</f>
        <v>43612.658136574071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52</v>
      </c>
      <c r="D7" s="148"/>
      <c r="E7" s="148"/>
      <c r="F7" s="149"/>
      <c r="G7" s="50" t="str">
        <f>lang!B29</f>
        <v>误差率（%）</v>
      </c>
      <c r="H7" s="132">
        <f>M!B17*1</f>
        <v>24.6907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38.551099999999998</v>
      </c>
      <c r="O8" s="59">
        <f>M!C5*1</f>
        <v>11.119199999999999</v>
      </c>
      <c r="P8" s="59">
        <f>M!D5*1</f>
        <v>28.842700000000001</v>
      </c>
      <c r="Q8" s="59">
        <f>M!E5*1</f>
        <v>20</v>
      </c>
      <c r="R8" s="59">
        <f>M!F5*1</f>
        <v>9.9908599999999996</v>
      </c>
      <c r="S8" s="59">
        <f>M!G5*1</f>
        <v>50</v>
      </c>
      <c r="T8" s="59">
        <f>M!H5*1</f>
        <v>58.808999999999997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33.3992</v>
      </c>
      <c r="O9" s="59">
        <f>M!C6*1</f>
        <v>4.2055100000000003</v>
      </c>
      <c r="P9" s="59">
        <f>M!D6*1</f>
        <v>12.591699999999999</v>
      </c>
      <c r="Q9" s="59">
        <f>M!E6*1</f>
        <v>20</v>
      </c>
      <c r="R9" s="59">
        <f>M!F6*1</f>
        <v>26.3141</v>
      </c>
      <c r="S9" s="59">
        <f>M!G6*1</f>
        <v>40</v>
      </c>
      <c r="T9" s="59">
        <f>M!H6*1</f>
        <v>38.8018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9.9908599999999996</v>
      </c>
      <c r="D10" s="99">
        <f>N8</f>
        <v>38.551099999999998</v>
      </c>
      <c r="E10" s="100">
        <f>T8</f>
        <v>58.808999999999997</v>
      </c>
      <c r="F10" s="91">
        <f>P8</f>
        <v>28.842700000000001</v>
      </c>
      <c r="G10" s="81" t="str">
        <f>CONCATENATE(M9,"
(20 ~ 40)")</f>
        <v>压力
(20 ~ 40)</v>
      </c>
      <c r="H10" s="98">
        <f>R9</f>
        <v>26.3141</v>
      </c>
      <c r="I10" s="108">
        <f>N9</f>
        <v>33.3992</v>
      </c>
      <c r="J10" s="98">
        <f>T9</f>
        <v>38.8018</v>
      </c>
      <c r="K10" s="92">
        <f>P9</f>
        <v>12.591699999999999</v>
      </c>
      <c r="L10" s="6"/>
      <c r="M10" s="27" t="str">
        <f>lang!B16</f>
        <v>焦虑</v>
      </c>
      <c r="N10" s="59">
        <f>M!B7*1</f>
        <v>26.930900000000001</v>
      </c>
      <c r="O10" s="59">
        <f>M!C7*1</f>
        <v>10.458399999999999</v>
      </c>
      <c r="P10" s="59">
        <f>M!D7*1</f>
        <v>38.834099999999999</v>
      </c>
      <c r="Q10" s="59">
        <f>M!E7*1</f>
        <v>15</v>
      </c>
      <c r="R10" s="59">
        <f>M!F7*1</f>
        <v>6.7529300000000001</v>
      </c>
      <c r="S10" s="59">
        <f>M!G7*1</f>
        <v>40</v>
      </c>
      <c r="T10" s="59">
        <f>M!H7*1</f>
        <v>54.178600000000003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6.7529300000000001</v>
      </c>
      <c r="D11" s="102">
        <f>N10</f>
        <v>26.930900000000001</v>
      </c>
      <c r="E11" s="103">
        <f>T10</f>
        <v>54.178600000000003</v>
      </c>
      <c r="F11" s="94">
        <f>P10</f>
        <v>38.834099999999999</v>
      </c>
      <c r="G11" s="52" t="str">
        <f>CONCATENATE(M11,"
(20 ~ 50)")</f>
        <v>可疑
(20 ~ 50)</v>
      </c>
      <c r="H11" s="101">
        <f>R11</f>
        <v>19.518899999999999</v>
      </c>
      <c r="I11" s="104">
        <f>N11</f>
        <v>32.725700000000003</v>
      </c>
      <c r="J11" s="101">
        <f>T11</f>
        <v>42.2438</v>
      </c>
      <c r="K11" s="95">
        <f>P11</f>
        <v>17.764099999999999</v>
      </c>
      <c r="L11" s="4"/>
      <c r="M11" s="27" t="str">
        <f>lang!B17</f>
        <v>可疑</v>
      </c>
      <c r="N11" s="59">
        <f>M!B8*1</f>
        <v>32.725700000000003</v>
      </c>
      <c r="O11" s="59">
        <f>M!C8*1</f>
        <v>5.8134199999999998</v>
      </c>
      <c r="P11" s="59">
        <f>M!D8*1</f>
        <v>17.764099999999999</v>
      </c>
      <c r="Q11" s="59">
        <f>M!E8*1</f>
        <v>20</v>
      </c>
      <c r="R11" s="59">
        <f>M!F8*1</f>
        <v>19.518899999999999</v>
      </c>
      <c r="S11" s="59">
        <f>M!G8*1</f>
        <v>50</v>
      </c>
      <c r="T11" s="59">
        <f>M!H8*1</f>
        <v>42.2438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14.7659</v>
      </c>
      <c r="D12" s="104">
        <f>N12</f>
        <v>62.969499999999996</v>
      </c>
      <c r="E12" s="101">
        <f>T12</f>
        <v>84.960899999999995</v>
      </c>
      <c r="F12" s="93">
        <f>P12</f>
        <v>26.344200000000001</v>
      </c>
      <c r="G12" s="52" t="str">
        <f>CONCATENATE(M13,"
(40 ~ 100)")</f>
        <v>自信
(40 ~ 100)</v>
      </c>
      <c r="H12" s="101">
        <f>R13</f>
        <v>52.795499999999997</v>
      </c>
      <c r="I12" s="104">
        <f>N13</f>
        <v>70.186999999999998</v>
      </c>
      <c r="J12" s="101">
        <f>T13</f>
        <v>82.289699999999996</v>
      </c>
      <c r="K12" s="95">
        <f>P13</f>
        <v>10.835699999999999</v>
      </c>
      <c r="L12" s="4"/>
      <c r="M12" s="27" t="str">
        <f>lang!B18</f>
        <v>平衡</v>
      </c>
      <c r="N12" s="59">
        <f>M!B9*1</f>
        <v>62.969499999999996</v>
      </c>
      <c r="O12" s="59">
        <f>M!C9*1</f>
        <v>16.588799999999999</v>
      </c>
      <c r="P12" s="59">
        <f>M!D9*1</f>
        <v>26.344200000000001</v>
      </c>
      <c r="Q12" s="59">
        <f>M!E9*1</f>
        <v>50</v>
      </c>
      <c r="R12" s="59">
        <f>M!F9*1</f>
        <v>14.7659</v>
      </c>
      <c r="S12" s="59">
        <f>M!G9*1</f>
        <v>100</v>
      </c>
      <c r="T12" s="59">
        <f>M!H9*1</f>
        <v>84.960899999999995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5.43222</v>
      </c>
      <c r="D13" s="102">
        <f>N14</f>
        <v>19.566099999999999</v>
      </c>
      <c r="E13" s="103">
        <f>T14</f>
        <v>28.489799999999999</v>
      </c>
      <c r="F13" s="94">
        <f>P14</f>
        <v>37.102600000000002</v>
      </c>
      <c r="G13" s="52" t="str">
        <f>CONCATENATE(M15,"
(50 ~ 100)")</f>
        <v>自我调节
(50 ~ 100)</v>
      </c>
      <c r="H13" s="101">
        <f>R15</f>
        <v>43.3596</v>
      </c>
      <c r="I13" s="104">
        <f>N15</f>
        <v>64.119699999999995</v>
      </c>
      <c r="J13" s="101">
        <f>T15</f>
        <v>74.138300000000001</v>
      </c>
      <c r="K13" s="95">
        <f>P15</f>
        <v>12.7273</v>
      </c>
      <c r="L13" s="4"/>
      <c r="M13" s="27" t="str">
        <f>lang!B19</f>
        <v>自信</v>
      </c>
      <c r="N13" s="59">
        <f>M!B10*1</f>
        <v>70.186999999999998</v>
      </c>
      <c r="O13" s="59">
        <f>M!C10*1</f>
        <v>7.6052400000000002</v>
      </c>
      <c r="P13" s="59">
        <f>M!D10*1</f>
        <v>10.835699999999999</v>
      </c>
      <c r="Q13" s="59">
        <f>M!E10*1</f>
        <v>40</v>
      </c>
      <c r="R13" s="59">
        <f>M!F10*1</f>
        <v>52.795499999999997</v>
      </c>
      <c r="S13" s="59">
        <f>M!G10*1</f>
        <v>100</v>
      </c>
      <c r="T13" s="59">
        <f>M!H10*1</f>
        <v>82.289699999999996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11.951700000000001</v>
      </c>
      <c r="D14" s="106">
        <f>N16</f>
        <v>18.190100000000001</v>
      </c>
      <c r="E14" s="107">
        <f>T16</f>
        <v>26.742899999999999</v>
      </c>
      <c r="F14" s="96">
        <f>P16</f>
        <v>16.983599999999999</v>
      </c>
      <c r="G14" s="112" t="str">
        <f>CONCATENATE(M17,"
(10 ~ 50)")</f>
        <v>神经质
(10 ~ 50)</v>
      </c>
      <c r="H14" s="105">
        <f>R17</f>
        <v>0.97060800000000003</v>
      </c>
      <c r="I14" s="106">
        <f>N17</f>
        <v>30.8933</v>
      </c>
      <c r="J14" s="107">
        <f>T17</f>
        <v>43.180799999999998</v>
      </c>
      <c r="K14" s="97">
        <f>P17</f>
        <v>44.880600000000001</v>
      </c>
      <c r="M14" s="27" t="str">
        <f>lang!B20</f>
        <v>活力</v>
      </c>
      <c r="N14" s="59">
        <f>M!B11*1</f>
        <v>19.566099999999999</v>
      </c>
      <c r="O14" s="59">
        <f>M!C11*1</f>
        <v>7.2595599999999996</v>
      </c>
      <c r="P14" s="59">
        <f>M!D11*1</f>
        <v>37.102600000000002</v>
      </c>
      <c r="Q14" s="59">
        <f>M!E11*1</f>
        <v>10</v>
      </c>
      <c r="R14" s="59">
        <f>M!F11*1</f>
        <v>5.43222</v>
      </c>
      <c r="S14" s="59">
        <f>M!G11*1</f>
        <v>50</v>
      </c>
      <c r="T14" s="59">
        <f>M!H11*1</f>
        <v>28.489799999999999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64.119699999999995</v>
      </c>
      <c r="O15" s="59">
        <f>M!C12*1</f>
        <v>8.1607199999999995</v>
      </c>
      <c r="P15" s="59">
        <f>M!D12*1</f>
        <v>12.7273</v>
      </c>
      <c r="Q15" s="59">
        <f>M!E12*1</f>
        <v>50</v>
      </c>
      <c r="R15" s="59">
        <f>M!F12*1</f>
        <v>43.3596</v>
      </c>
      <c r="S15" s="59">
        <f>M!G12*1</f>
        <v>100</v>
      </c>
      <c r="T15" s="59">
        <f>M!H12*1</f>
        <v>74.138300000000001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18.190100000000001</v>
      </c>
      <c r="O16" s="59">
        <f>M!C13*1</f>
        <v>3.0893299999999999</v>
      </c>
      <c r="P16" s="59">
        <f>M!D13*1</f>
        <v>16.983599999999999</v>
      </c>
      <c r="Q16" s="59">
        <f>M!E13*1</f>
        <v>10</v>
      </c>
      <c r="R16" s="59">
        <f>M!F13*1</f>
        <v>11.951700000000001</v>
      </c>
      <c r="S16" s="59">
        <f>M!G13*1</f>
        <v>25</v>
      </c>
      <c r="T16" s="59">
        <f>M!H13*1</f>
        <v>26.742899999999999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30.8933</v>
      </c>
      <c r="O17" s="59">
        <f>M!C14*1</f>
        <v>13.8651</v>
      </c>
      <c r="P17" s="59">
        <f>M!D14*1</f>
        <v>44.880600000000001</v>
      </c>
      <c r="Q17" s="59">
        <f>M!E14*1</f>
        <v>10</v>
      </c>
      <c r="R17" s="59">
        <f>M!F14*1</f>
        <v>0.97060800000000003</v>
      </c>
      <c r="S17" s="59">
        <f>M!G14*1</f>
        <v>50</v>
      </c>
      <c r="T17" s="59">
        <f>M!H14*1</f>
        <v>43.180799999999998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54.210574999999999</v>
      </c>
      <c r="O18" s="22">
        <f>N18/(N18+N19+N20)</f>
        <v>0.48552291006143983</v>
      </c>
      <c r="P18" s="65">
        <f>SUM(P12:P15)/4</f>
        <v>21.75245</v>
      </c>
      <c r="Q18" s="22">
        <f>P18/(P18+P19+P20)</f>
        <v>0.28179413338307896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32.901724999999999</v>
      </c>
      <c r="O19" s="22">
        <f>N19/(N18+N19+N20)</f>
        <v>0.2946757393375965</v>
      </c>
      <c r="P19" s="18">
        <f>SUM(P8:P11)/4</f>
        <v>24.508149999999997</v>
      </c>
      <c r="Q19" s="22">
        <f>P19/(P18+P19+P20)</f>
        <v>0.31749310491795202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24.541699999999999</v>
      </c>
      <c r="O20" s="22">
        <f>N20/(N18+N19+N20)</f>
        <v>0.21980135060096367</v>
      </c>
      <c r="P20" s="18">
        <f>(P16+P17)/2</f>
        <v>30.932099999999998</v>
      </c>
      <c r="Q20" s="22">
        <f>P20/(P18+P19+P20)</f>
        <v>0.40071276169896891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-0.28557451351351348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1.5940625252396798</v>
      </c>
      <c r="D25" s="44" t="str">
        <f>lang!B11</f>
        <v>频率方差</v>
      </c>
      <c r="E25" s="182">
        <f ca="1">FH!L3</f>
        <v>0.77758520343991011</v>
      </c>
      <c r="F25" s="183"/>
      <c r="G25" s="174" t="str">
        <f>lang!B12</f>
        <v>生理变化率</v>
      </c>
      <c r="H25" s="175"/>
      <c r="I25" s="62" t="str">
        <f ca="1">CONCATENATE(info!M7,"-",info!M8)</f>
        <v>25.6-64.9</v>
      </c>
      <c r="J25" s="42" t="str">
        <f>lang!B13</f>
        <v>千卡l/分钟</v>
      </c>
      <c r="K25" s="41" t="str">
        <f ca="1">CONCATENATE(info!M5,"-",info!M6)</f>
        <v>1.4-4.2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52.309000000000005</v>
      </c>
      <c r="F28" s="121"/>
      <c r="G28" s="135" t="str">
        <f>lang!B33</f>
        <v>稳定性</v>
      </c>
      <c r="H28" s="136"/>
      <c r="I28" s="137"/>
      <c r="J28" s="138">
        <f>M!B19*100</f>
        <v>75.608000000000004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43612.658136574071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11.107700000000001</v>
      </c>
      <c r="O7" s="59">
        <f t="shared" ref="O7:T7" si="2">AG7-X7</f>
        <v>-3.0373200000000002</v>
      </c>
      <c r="P7" s="59">
        <f t="shared" si="2"/>
        <v>-12.649800000000001</v>
      </c>
      <c r="Q7" s="59">
        <f t="shared" si="2"/>
        <v>0</v>
      </c>
      <c r="R7" s="59">
        <f t="shared" si="2"/>
        <v>28.877839999999999</v>
      </c>
      <c r="S7" s="59">
        <f t="shared" si="2"/>
        <v>0</v>
      </c>
      <c r="T7" s="59">
        <f t="shared" si="2"/>
        <v>20.575399999999995</v>
      </c>
      <c r="U7" s="14"/>
      <c r="V7" s="27" t="str">
        <f>M7</f>
        <v>攻击性</v>
      </c>
      <c r="W7" s="59">
        <f>'M1'!B5*1</f>
        <v>33.794800000000002</v>
      </c>
      <c r="X7" s="59">
        <f>'M1'!C5*1</f>
        <v>8.0405700000000007</v>
      </c>
      <c r="Y7" s="59">
        <f>'M1'!D5*1</f>
        <v>23.792300000000001</v>
      </c>
      <c r="Z7" s="59">
        <f>'M1'!E5*1</f>
        <v>20</v>
      </c>
      <c r="AA7" s="59">
        <f>'M1'!F5*1</f>
        <v>9.9908599999999996</v>
      </c>
      <c r="AB7" s="59">
        <f>'M1'!G5*1</f>
        <v>50</v>
      </c>
      <c r="AC7" s="59">
        <f>'M1'!H5*1</f>
        <v>38.233600000000003</v>
      </c>
      <c r="AE7" s="27" t="str">
        <f>V7</f>
        <v>攻击性</v>
      </c>
      <c r="AF7" s="59">
        <f>'M2'!B5*1</f>
        <v>44.902500000000003</v>
      </c>
      <c r="AG7" s="59">
        <f>'M2'!C5*1</f>
        <v>5.0032500000000004</v>
      </c>
      <c r="AH7" s="59">
        <f>'M2'!D5*1</f>
        <v>11.1425</v>
      </c>
      <c r="AI7" s="59">
        <f>'M2'!E5*1</f>
        <v>20</v>
      </c>
      <c r="AJ7" s="59">
        <f>'M2'!F5*1</f>
        <v>38.868699999999997</v>
      </c>
      <c r="AK7" s="59">
        <f>'M2'!G5*1</f>
        <v>50</v>
      </c>
      <c r="AL7" s="59">
        <f>'M2'!H5*1</f>
        <v>58.808999999999997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-5.0069000000000017</v>
      </c>
      <c r="O8" s="59">
        <f t="shared" ref="O8:O16" si="5">AG8-X8</f>
        <v>1.6477900000000001</v>
      </c>
      <c r="P8" s="59">
        <f t="shared" ref="P8:P16" si="6">AH8-Y8</f>
        <v>7.2541700000000002</v>
      </c>
      <c r="Q8" s="59">
        <f t="shared" ref="Q8:Q16" si="7">AI8-Z8</f>
        <v>0</v>
      </c>
      <c r="R8" s="59">
        <f t="shared" ref="R8:R16" si="8">AJ8-AA8</f>
        <v>-0.45050000000000168</v>
      </c>
      <c r="S8" s="59">
        <f t="shared" ref="S8:S16" si="9">AK8-AB8</f>
        <v>0</v>
      </c>
      <c r="T8" s="59">
        <f t="shared" ref="T8:T16" si="10">AL8-AC8</f>
        <v>-2.5900000000000034E-2</v>
      </c>
      <c r="U8" s="15"/>
      <c r="V8" s="27" t="str">
        <f t="shared" ref="V8:V16" si="11">M8</f>
        <v>压力</v>
      </c>
      <c r="W8" s="59">
        <f>'M1'!B6*1</f>
        <v>34.2226</v>
      </c>
      <c r="X8" s="59">
        <f>'M1'!C6*1</f>
        <v>3.2231000000000001</v>
      </c>
      <c r="Y8" s="59">
        <f>'M1'!D6*1</f>
        <v>9.4180299999999999</v>
      </c>
      <c r="Z8" s="59">
        <f>'M1'!E6*1</f>
        <v>20</v>
      </c>
      <c r="AA8" s="59">
        <f>'M1'!F6*1</f>
        <v>26.764600000000002</v>
      </c>
      <c r="AB8" s="59">
        <f>'M1'!G6*1</f>
        <v>40</v>
      </c>
      <c r="AC8" s="59">
        <f>'M1'!H6*1</f>
        <v>38.8018</v>
      </c>
      <c r="AE8" s="27" t="str">
        <f t="shared" ref="AE8:AE16" si="12">V8</f>
        <v>压力</v>
      </c>
      <c r="AF8" s="59">
        <f>'M2'!B6*1</f>
        <v>29.215699999999998</v>
      </c>
      <c r="AG8" s="59">
        <f>'M2'!C6*1</f>
        <v>4.8708900000000002</v>
      </c>
      <c r="AH8" s="59">
        <f>'M2'!D6*1</f>
        <v>16.6722</v>
      </c>
      <c r="AI8" s="59">
        <f>'M2'!E6*1</f>
        <v>20</v>
      </c>
      <c r="AJ8" s="59">
        <f>'M2'!F6*1</f>
        <v>26.3141</v>
      </c>
      <c r="AK8" s="59">
        <f>'M2'!G6*1</f>
        <v>40</v>
      </c>
      <c r="AL8" s="59">
        <f>'M2'!H6*1</f>
        <v>38.7759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28.877839999999999</v>
      </c>
      <c r="D9" s="78">
        <f>N7</f>
        <v>11.107700000000001</v>
      </c>
      <c r="E9" s="79">
        <f>T7</f>
        <v>20.575399999999995</v>
      </c>
      <c r="F9" s="79">
        <f>P7</f>
        <v>-12.649800000000001</v>
      </c>
      <c r="G9" s="80" t="str">
        <f>CONCATENATE(M8,"
(20 ~ 40)")</f>
        <v>压力
(20 ~ 40)</v>
      </c>
      <c r="H9" s="77">
        <f>R8</f>
        <v>-0.45050000000000168</v>
      </c>
      <c r="I9" s="81">
        <f>N8</f>
        <v>-5.0069000000000017</v>
      </c>
      <c r="J9" s="77">
        <f>T8</f>
        <v>-2.5900000000000034E-2</v>
      </c>
      <c r="K9" s="82">
        <f>P8</f>
        <v>7.2541700000000002</v>
      </c>
      <c r="L9" s="6"/>
      <c r="M9" s="27" t="str">
        <f>lang!B16</f>
        <v>焦虑</v>
      </c>
      <c r="N9" s="59">
        <f t="shared" si="4"/>
        <v>3.5086000000000013</v>
      </c>
      <c r="O9" s="59">
        <f t="shared" si="5"/>
        <v>-8.7283800000000014</v>
      </c>
      <c r="P9" s="59">
        <f t="shared" si="6"/>
        <v>-38.0916</v>
      </c>
      <c r="Q9" s="59">
        <f t="shared" si="7"/>
        <v>0</v>
      </c>
      <c r="R9" s="59">
        <f t="shared" si="8"/>
        <v>-0.55963999999999992</v>
      </c>
      <c r="S9" s="59">
        <f t="shared" si="9"/>
        <v>0</v>
      </c>
      <c r="T9" s="59">
        <f t="shared" si="10"/>
        <v>-10.901400000000002</v>
      </c>
      <c r="U9" s="14"/>
      <c r="V9" s="27" t="str">
        <f t="shared" si="11"/>
        <v>焦虑</v>
      </c>
      <c r="W9" s="59">
        <f>'M1'!B7*1</f>
        <v>24.575199999999999</v>
      </c>
      <c r="X9" s="59">
        <f>'M1'!C7*1</f>
        <v>13.7926</v>
      </c>
      <c r="Y9" s="59">
        <f>'M1'!D7*1</f>
        <v>56.124099999999999</v>
      </c>
      <c r="Z9" s="59">
        <f>'M1'!E7*1</f>
        <v>15</v>
      </c>
      <c r="AA9" s="59">
        <f>'M1'!F7*1</f>
        <v>7.31257</v>
      </c>
      <c r="AB9" s="59">
        <f>'M1'!G7*1</f>
        <v>40</v>
      </c>
      <c r="AC9" s="59">
        <f>'M1'!H7*1</f>
        <v>54.178600000000003</v>
      </c>
      <c r="AE9" s="27" t="str">
        <f t="shared" si="12"/>
        <v>焦虑</v>
      </c>
      <c r="AF9" s="59">
        <f>'M2'!B7*1</f>
        <v>28.0838</v>
      </c>
      <c r="AG9" s="59">
        <f>'M2'!C7*1</f>
        <v>5.0642199999999997</v>
      </c>
      <c r="AH9" s="59">
        <f>'M2'!D7*1</f>
        <v>18.032499999999999</v>
      </c>
      <c r="AI9" s="59">
        <f>'M2'!E7*1</f>
        <v>15</v>
      </c>
      <c r="AJ9" s="59">
        <f>'M2'!F7*1</f>
        <v>6.7529300000000001</v>
      </c>
      <c r="AK9" s="59">
        <f>'M2'!G7*1</f>
        <v>40</v>
      </c>
      <c r="AL9" s="59">
        <f>'M2'!H7*1</f>
        <v>43.277200000000001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-0.55963999999999992</v>
      </c>
      <c r="D10" s="51">
        <f>N9</f>
        <v>3.5086000000000013</v>
      </c>
      <c r="E10" s="53">
        <f>T9</f>
        <v>-10.901400000000002</v>
      </c>
      <c r="F10" s="53">
        <f>P9</f>
        <v>-38.0916</v>
      </c>
      <c r="G10" s="73" t="str">
        <f>CONCATENATE(M10,"
(20 ~ 50)")</f>
        <v>可疑
(20 ~ 50)</v>
      </c>
      <c r="H10" s="24">
        <f>R10</f>
        <v>4.9720000000000013</v>
      </c>
      <c r="I10" s="52">
        <f>N10</f>
        <v>2.9293999999999976</v>
      </c>
      <c r="J10" s="24">
        <f>T10</f>
        <v>0.62049999999999983</v>
      </c>
      <c r="K10" s="25">
        <f>P10</f>
        <v>-9.0980000000000008</v>
      </c>
      <c r="L10" s="4"/>
      <c r="M10" s="27" t="str">
        <f>lang!B17</f>
        <v>可疑</v>
      </c>
      <c r="N10" s="59">
        <f t="shared" si="4"/>
        <v>2.9293999999999976</v>
      </c>
      <c r="O10" s="59">
        <f t="shared" si="5"/>
        <v>-2.4372300000000005</v>
      </c>
      <c r="P10" s="59">
        <f t="shared" si="6"/>
        <v>-9.0980000000000008</v>
      </c>
      <c r="Q10" s="59">
        <f t="shared" si="7"/>
        <v>0</v>
      </c>
      <c r="R10" s="59">
        <f t="shared" si="8"/>
        <v>4.9720000000000013</v>
      </c>
      <c r="S10" s="59">
        <f t="shared" si="9"/>
        <v>0</v>
      </c>
      <c r="T10" s="59">
        <f t="shared" si="10"/>
        <v>0.62049999999999983</v>
      </c>
      <c r="U10" s="14"/>
      <c r="V10" s="27" t="str">
        <f t="shared" si="11"/>
        <v>可疑</v>
      </c>
      <c r="W10" s="59">
        <f>'M1'!B8*1</f>
        <v>30.606100000000001</v>
      </c>
      <c r="X10" s="59">
        <f>'M1'!C8*1</f>
        <v>6.4131600000000004</v>
      </c>
      <c r="Y10" s="59">
        <f>'M1'!D8*1</f>
        <v>20.953900000000001</v>
      </c>
      <c r="Z10" s="59">
        <f>'M1'!E8*1</f>
        <v>20</v>
      </c>
      <c r="AA10" s="59">
        <f>'M1'!F8*1</f>
        <v>19.518899999999999</v>
      </c>
      <c r="AB10" s="59">
        <f>'M1'!G8*1</f>
        <v>50</v>
      </c>
      <c r="AC10" s="59">
        <f>'M1'!H8*1</f>
        <v>41.6233</v>
      </c>
      <c r="AE10" s="27" t="str">
        <f t="shared" si="12"/>
        <v>可疑</v>
      </c>
      <c r="AF10" s="59">
        <f>'M2'!B8*1</f>
        <v>33.535499999999999</v>
      </c>
      <c r="AG10" s="59">
        <f>'M2'!C8*1</f>
        <v>3.97593</v>
      </c>
      <c r="AH10" s="59">
        <f>'M2'!D8*1</f>
        <v>11.8559</v>
      </c>
      <c r="AI10" s="59">
        <f>'M2'!E8*1</f>
        <v>20</v>
      </c>
      <c r="AJ10" s="59">
        <f>'M2'!F8*1</f>
        <v>24.4909</v>
      </c>
      <c r="AK10" s="59">
        <f>'M2'!G8*1</f>
        <v>50</v>
      </c>
      <c r="AL10" s="59">
        <f>'M2'!H8*1</f>
        <v>42.2438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42.988700000000001</v>
      </c>
      <c r="D11" s="52">
        <f>N11</f>
        <v>20.813000000000002</v>
      </c>
      <c r="E11" s="24">
        <f>T11</f>
        <v>-10.81689999999999</v>
      </c>
      <c r="F11" s="24">
        <f>P11</f>
        <v>-37.148290000000003</v>
      </c>
      <c r="G11" s="73" t="str">
        <f>CONCATENATE(M12,"
(40 ~ 100)")</f>
        <v>自信
(40 ~ 100)</v>
      </c>
      <c r="H11" s="24">
        <f>R12</f>
        <v>-3.9650999999999996</v>
      </c>
      <c r="I11" s="52">
        <f>N12</f>
        <v>8.5740999999999872</v>
      </c>
      <c r="J11" s="24">
        <f>T12</f>
        <v>-4.2595999999999918</v>
      </c>
      <c r="K11" s="25">
        <f>P12</f>
        <v>0.41580000000000084</v>
      </c>
      <c r="L11" s="4"/>
      <c r="M11" s="27" t="str">
        <f>lang!B18</f>
        <v>平衡</v>
      </c>
      <c r="N11" s="59">
        <f t="shared" si="4"/>
        <v>20.813000000000002</v>
      </c>
      <c r="O11" s="59">
        <f t="shared" si="5"/>
        <v>-15.389279999999998</v>
      </c>
      <c r="P11" s="59">
        <f t="shared" si="6"/>
        <v>-37.148290000000003</v>
      </c>
      <c r="Q11" s="59">
        <f t="shared" si="7"/>
        <v>0</v>
      </c>
      <c r="R11" s="59">
        <f t="shared" si="8"/>
        <v>42.988700000000001</v>
      </c>
      <c r="S11" s="59">
        <f t="shared" si="9"/>
        <v>0</v>
      </c>
      <c r="T11" s="59">
        <f t="shared" si="10"/>
        <v>-10.81689999999999</v>
      </c>
      <c r="U11" s="14"/>
      <c r="V11" s="27" t="str">
        <f t="shared" si="11"/>
        <v>平衡</v>
      </c>
      <c r="W11" s="59">
        <f>'M1'!B9*1</f>
        <v>44.104100000000003</v>
      </c>
      <c r="X11" s="59">
        <f>'M1'!C9*1</f>
        <v>18.491599999999998</v>
      </c>
      <c r="Y11" s="59">
        <f>'M1'!D9*1</f>
        <v>41.927199999999999</v>
      </c>
      <c r="Z11" s="59">
        <f>'M1'!E9*1</f>
        <v>50</v>
      </c>
      <c r="AA11" s="59">
        <f>'M1'!F9*1</f>
        <v>14.7659</v>
      </c>
      <c r="AB11" s="59">
        <f>'M1'!G9*1</f>
        <v>100</v>
      </c>
      <c r="AC11" s="59">
        <f>'M1'!H9*1</f>
        <v>84.960899999999995</v>
      </c>
      <c r="AE11" s="27" t="str">
        <f t="shared" si="12"/>
        <v>平衡</v>
      </c>
      <c r="AF11" s="59">
        <f>'M2'!B9*1</f>
        <v>64.917100000000005</v>
      </c>
      <c r="AG11" s="59">
        <f>'M2'!C9*1</f>
        <v>3.1023200000000002</v>
      </c>
      <c r="AH11" s="59">
        <f>'M2'!D9*1</f>
        <v>4.7789099999999998</v>
      </c>
      <c r="AI11" s="59">
        <f>'M2'!E9*1</f>
        <v>50</v>
      </c>
      <c r="AJ11" s="59">
        <f>'M2'!F9*1</f>
        <v>57.754600000000003</v>
      </c>
      <c r="AK11" s="59">
        <f>'M2'!G9*1</f>
        <v>100</v>
      </c>
      <c r="AL11" s="59">
        <f>'M2'!H9*1</f>
        <v>74.144000000000005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14.376379999999997</v>
      </c>
      <c r="D12" s="51">
        <f>N13</f>
        <v>13.633459999999999</v>
      </c>
      <c r="E12" s="53">
        <f>T13</f>
        <v>9.1661000000000001</v>
      </c>
      <c r="F12" s="53">
        <f>P13</f>
        <v>-22.3889</v>
      </c>
      <c r="G12" s="73" t="str">
        <f>CONCATENATE(M14,"
(50 ~ 100)")</f>
        <v>自我调节
(50 ~ 100)</v>
      </c>
      <c r="H12" s="24">
        <f>R14</f>
        <v>14.939399999999999</v>
      </c>
      <c r="I12" s="52">
        <f>N14</f>
        <v>11.904800000000002</v>
      </c>
      <c r="J12" s="24">
        <f>T14</f>
        <v>2.4598000000000013</v>
      </c>
      <c r="K12" s="25">
        <f>P14</f>
        <v>-9.0458300000000005</v>
      </c>
      <c r="L12" s="4"/>
      <c r="M12" s="27" t="str">
        <f>lang!B19</f>
        <v>自信</v>
      </c>
      <c r="N12" s="59">
        <f t="shared" si="4"/>
        <v>8.5740999999999872</v>
      </c>
      <c r="O12" s="59">
        <f t="shared" si="5"/>
        <v>1.2065400000000004</v>
      </c>
      <c r="P12" s="59">
        <f t="shared" si="6"/>
        <v>0.41580000000000084</v>
      </c>
      <c r="Q12" s="59">
        <f t="shared" si="7"/>
        <v>0</v>
      </c>
      <c r="R12" s="59">
        <f t="shared" si="8"/>
        <v>-3.9650999999999996</v>
      </c>
      <c r="S12" s="59">
        <f t="shared" si="9"/>
        <v>0</v>
      </c>
      <c r="T12" s="59">
        <f t="shared" si="10"/>
        <v>-4.2595999999999918</v>
      </c>
      <c r="U12" s="15"/>
      <c r="V12" s="27" t="str">
        <f t="shared" si="11"/>
        <v>自信</v>
      </c>
      <c r="W12" s="59">
        <f>'M1'!B10*1</f>
        <v>67.073400000000007</v>
      </c>
      <c r="X12" s="59">
        <f>'M1'!C10*1</f>
        <v>6.9779099999999996</v>
      </c>
      <c r="Y12" s="59">
        <f>'M1'!D10*1</f>
        <v>10.4034</v>
      </c>
      <c r="Z12" s="59">
        <f>'M1'!E10*1</f>
        <v>40</v>
      </c>
      <c r="AA12" s="59">
        <f>'M1'!F10*1</f>
        <v>56.760599999999997</v>
      </c>
      <c r="AB12" s="59">
        <f>'M1'!G10*1</f>
        <v>100</v>
      </c>
      <c r="AC12" s="59">
        <f>'M1'!H10*1</f>
        <v>82.289699999999996</v>
      </c>
      <c r="AE12" s="27" t="str">
        <f t="shared" si="12"/>
        <v>自信</v>
      </c>
      <c r="AF12" s="59">
        <f>'M2'!B10*1</f>
        <v>75.647499999999994</v>
      </c>
      <c r="AG12" s="59">
        <f>'M2'!C10*1</f>
        <v>8.18445</v>
      </c>
      <c r="AH12" s="59">
        <f>'M2'!D10*1</f>
        <v>10.8192</v>
      </c>
      <c r="AI12" s="59">
        <f>'M2'!E10*1</f>
        <v>40</v>
      </c>
      <c r="AJ12" s="59">
        <f>'M2'!F10*1</f>
        <v>52.795499999999997</v>
      </c>
      <c r="AK12" s="59">
        <f>'M2'!G10*1</f>
        <v>100</v>
      </c>
      <c r="AL12" s="59">
        <f>'M2'!H10*1</f>
        <v>78.030100000000004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3.4443999999999999</v>
      </c>
      <c r="D13" s="55">
        <f>N15</f>
        <v>-0.48179999999999978</v>
      </c>
      <c r="E13" s="56">
        <f>T15</f>
        <v>-0.92459999999999809</v>
      </c>
      <c r="F13" s="56">
        <f>P15</f>
        <v>-9.4285000000000014</v>
      </c>
      <c r="G13" s="74" t="str">
        <f>CONCATENATE(M16,"
(10 ~ 50)")</f>
        <v>神经质
(10 ~ 50)</v>
      </c>
      <c r="H13" s="54">
        <f>R16</f>
        <v>2.9233320000000003</v>
      </c>
      <c r="I13" s="55">
        <f>N16</f>
        <v>-18.081600000000002</v>
      </c>
      <c r="J13" s="56">
        <f>T16</f>
        <v>-4.8322999999999965</v>
      </c>
      <c r="K13" s="57">
        <f>P16</f>
        <v>25.8018</v>
      </c>
      <c r="M13" s="27" t="str">
        <f>lang!B20</f>
        <v>活力</v>
      </c>
      <c r="N13" s="59">
        <f t="shared" si="4"/>
        <v>13.633459999999999</v>
      </c>
      <c r="O13" s="59">
        <f t="shared" si="5"/>
        <v>-0.69599000000000011</v>
      </c>
      <c r="P13" s="59">
        <f t="shared" si="6"/>
        <v>-22.3889</v>
      </c>
      <c r="Q13" s="59">
        <f t="shared" si="7"/>
        <v>0</v>
      </c>
      <c r="R13" s="59">
        <f t="shared" si="8"/>
        <v>14.376379999999997</v>
      </c>
      <c r="S13" s="59">
        <f t="shared" si="9"/>
        <v>0</v>
      </c>
      <c r="T13" s="59">
        <f t="shared" si="10"/>
        <v>9.1661000000000001</v>
      </c>
      <c r="U13" s="14"/>
      <c r="V13" s="27" t="str">
        <f t="shared" si="11"/>
        <v>活力</v>
      </c>
      <c r="W13" s="59">
        <f>'M1'!B11*1</f>
        <v>9.7978400000000008</v>
      </c>
      <c r="X13" s="59">
        <f>'M1'!C11*1</f>
        <v>3.2699199999999999</v>
      </c>
      <c r="Y13" s="59">
        <f>'M1'!D11*1</f>
        <v>33.373899999999999</v>
      </c>
      <c r="Z13" s="59">
        <f>'M1'!E11*1</f>
        <v>10</v>
      </c>
      <c r="AA13" s="59">
        <f>'M1'!F11*1</f>
        <v>5.43222</v>
      </c>
      <c r="AB13" s="59">
        <f>'M1'!G11*1</f>
        <v>50</v>
      </c>
      <c r="AC13" s="59">
        <f>'M1'!H11*1</f>
        <v>19.323699999999999</v>
      </c>
      <c r="AE13" s="27" t="str">
        <f t="shared" si="12"/>
        <v>活力</v>
      </c>
      <c r="AF13" s="59">
        <f>'M2'!B11*1</f>
        <v>23.4313</v>
      </c>
      <c r="AG13" s="59">
        <f>'M2'!C11*1</f>
        <v>2.5739299999999998</v>
      </c>
      <c r="AH13" s="59">
        <f>'M2'!D11*1</f>
        <v>10.984999999999999</v>
      </c>
      <c r="AI13" s="59">
        <f>'M2'!E11*1</f>
        <v>10</v>
      </c>
      <c r="AJ13" s="59">
        <f>'M2'!F11*1</f>
        <v>19.808599999999998</v>
      </c>
      <c r="AK13" s="59">
        <f>'M2'!G11*1</f>
        <v>50</v>
      </c>
      <c r="AL13" s="59">
        <f>'M2'!H11*1</f>
        <v>28.489799999999999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11.904800000000002</v>
      </c>
      <c r="O14" s="59">
        <f t="shared" si="5"/>
        <v>-4.5002700000000004</v>
      </c>
      <c r="P14" s="59">
        <f t="shared" si="6"/>
        <v>-9.0458300000000005</v>
      </c>
      <c r="Q14" s="59">
        <f t="shared" si="7"/>
        <v>0</v>
      </c>
      <c r="R14" s="59">
        <f t="shared" si="8"/>
        <v>14.939399999999999</v>
      </c>
      <c r="S14" s="59">
        <f t="shared" si="9"/>
        <v>0</v>
      </c>
      <c r="T14" s="59">
        <f t="shared" si="10"/>
        <v>2.4598000000000013</v>
      </c>
      <c r="U14" s="14"/>
      <c r="V14" s="27" t="str">
        <f t="shared" si="11"/>
        <v>自我调节</v>
      </c>
      <c r="W14" s="59">
        <f>'M1'!B12*1</f>
        <v>57.044400000000003</v>
      </c>
      <c r="X14" s="59">
        <f>'M1'!C12*1</f>
        <v>8.3221000000000007</v>
      </c>
      <c r="Y14" s="59">
        <f>'M1'!D12*1</f>
        <v>14.588800000000001</v>
      </c>
      <c r="Z14" s="59">
        <f>'M1'!E12*1</f>
        <v>50</v>
      </c>
      <c r="AA14" s="59">
        <f>'M1'!F12*1</f>
        <v>43.3596</v>
      </c>
      <c r="AB14" s="59">
        <f>'M1'!G12*1</f>
        <v>100</v>
      </c>
      <c r="AC14" s="59">
        <f>'M1'!H12*1</f>
        <v>71.6785</v>
      </c>
      <c r="AE14" s="27" t="str">
        <f t="shared" si="12"/>
        <v>自我调节</v>
      </c>
      <c r="AF14" s="59">
        <f>'M2'!B12*1</f>
        <v>68.949200000000005</v>
      </c>
      <c r="AG14" s="59">
        <f>'M2'!C12*1</f>
        <v>3.8218299999999998</v>
      </c>
      <c r="AH14" s="59">
        <f>'M2'!D12*1</f>
        <v>5.5429700000000004</v>
      </c>
      <c r="AI14" s="59">
        <f>'M2'!E12*1</f>
        <v>50</v>
      </c>
      <c r="AJ14" s="59">
        <f>'M2'!F12*1</f>
        <v>58.298999999999999</v>
      </c>
      <c r="AK14" s="59">
        <f>'M2'!G12*1</f>
        <v>100</v>
      </c>
      <c r="AL14" s="59">
        <f>'M2'!H12*1</f>
        <v>74.138300000000001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-0.48179999999999978</v>
      </c>
      <c r="O15" s="59">
        <f t="shared" si="5"/>
        <v>-1.80816</v>
      </c>
      <c r="P15" s="59">
        <f t="shared" si="6"/>
        <v>-9.4285000000000014</v>
      </c>
      <c r="Q15" s="59">
        <f t="shared" si="7"/>
        <v>0</v>
      </c>
      <c r="R15" s="59">
        <f t="shared" si="8"/>
        <v>3.4443999999999999</v>
      </c>
      <c r="S15" s="59">
        <f t="shared" si="9"/>
        <v>0</v>
      </c>
      <c r="T15" s="59">
        <f t="shared" si="10"/>
        <v>-0.92459999999999809</v>
      </c>
      <c r="U15" s="14"/>
      <c r="V15" s="27" t="str">
        <f t="shared" si="11"/>
        <v>抑郁</v>
      </c>
      <c r="W15" s="59">
        <f>'M1'!B13*1</f>
        <v>18.603100000000001</v>
      </c>
      <c r="X15" s="59">
        <f>'M1'!C13*1</f>
        <v>3.8458700000000001</v>
      </c>
      <c r="Y15" s="59">
        <f>'M1'!D13*1</f>
        <v>20.673300000000001</v>
      </c>
      <c r="Z15" s="59">
        <f>'M1'!E13*1</f>
        <v>10</v>
      </c>
      <c r="AA15" s="59">
        <f>'M1'!F13*1</f>
        <v>11.951700000000001</v>
      </c>
      <c r="AB15" s="59">
        <f>'M1'!G13*1</f>
        <v>25</v>
      </c>
      <c r="AC15" s="59">
        <f>'M1'!H13*1</f>
        <v>26.742899999999999</v>
      </c>
      <c r="AE15" s="27" t="str">
        <f t="shared" si="12"/>
        <v>抑郁</v>
      </c>
      <c r="AF15" s="59">
        <f>'M2'!B13*1</f>
        <v>18.121300000000002</v>
      </c>
      <c r="AG15" s="59">
        <f>'M2'!C13*1</f>
        <v>2.0377100000000001</v>
      </c>
      <c r="AH15" s="59">
        <f>'M2'!D13*1</f>
        <v>11.2448</v>
      </c>
      <c r="AI15" s="59">
        <f>'M2'!E13*1</f>
        <v>10</v>
      </c>
      <c r="AJ15" s="59">
        <f>'M2'!F13*1</f>
        <v>15.396100000000001</v>
      </c>
      <c r="AK15" s="59">
        <f>'M2'!G13*1</f>
        <v>25</v>
      </c>
      <c r="AL15" s="59">
        <f>'M2'!H13*1</f>
        <v>25.818300000000001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-18.081600000000002</v>
      </c>
      <c r="O16" s="59">
        <f t="shared" si="5"/>
        <v>-1.6097999999999999</v>
      </c>
      <c r="P16" s="59">
        <f t="shared" si="6"/>
        <v>25.8018</v>
      </c>
      <c r="Q16" s="59">
        <f t="shared" si="7"/>
        <v>0</v>
      </c>
      <c r="R16" s="59">
        <f t="shared" si="8"/>
        <v>2.9233320000000003</v>
      </c>
      <c r="S16" s="59">
        <f t="shared" si="9"/>
        <v>0</v>
      </c>
      <c r="T16" s="59">
        <f t="shared" si="10"/>
        <v>-4.8322999999999965</v>
      </c>
      <c r="U16" s="15"/>
      <c r="V16" s="27" t="str">
        <f t="shared" si="11"/>
        <v>神经质</v>
      </c>
      <c r="W16" s="59">
        <f>'M1'!B14*1</f>
        <v>38.4587</v>
      </c>
      <c r="X16" s="59">
        <f>'M1'!C14*1</f>
        <v>14.6069</v>
      </c>
      <c r="Y16" s="59">
        <f>'M1'!D14*1</f>
        <v>37.980899999999998</v>
      </c>
      <c r="Z16" s="59">
        <f>'M1'!E14*1</f>
        <v>10</v>
      </c>
      <c r="AA16" s="59">
        <f>'M1'!F14*1</f>
        <v>0.97060800000000003</v>
      </c>
      <c r="AB16" s="59">
        <f>'M1'!G14*1</f>
        <v>50</v>
      </c>
      <c r="AC16" s="59">
        <f>'M1'!H14*1</f>
        <v>43.180799999999998</v>
      </c>
      <c r="AE16" s="27" t="str">
        <f t="shared" si="12"/>
        <v>神经质</v>
      </c>
      <c r="AF16" s="59">
        <f>'M2'!B14*1</f>
        <v>20.377099999999999</v>
      </c>
      <c r="AG16" s="59">
        <f>'M2'!C14*1</f>
        <v>12.9971</v>
      </c>
      <c r="AH16" s="59">
        <f>'M2'!D14*1</f>
        <v>63.782699999999998</v>
      </c>
      <c r="AI16" s="59">
        <f>'M2'!E14*1</f>
        <v>10</v>
      </c>
      <c r="AJ16" s="59">
        <f>'M2'!F14*1</f>
        <v>3.8939400000000002</v>
      </c>
      <c r="AK16" s="59">
        <f>'M2'!G14*1</f>
        <v>50</v>
      </c>
      <c r="AL16" s="59">
        <f>'M2'!H14*1</f>
        <v>38.348500000000001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13.731339999999998</v>
      </c>
      <c r="O17" s="22">
        <f>N17/(N17+N18+N19)</f>
        <v>1.8104858168278324</v>
      </c>
      <c r="P17" s="65">
        <f>SUM(P11:P14)/4</f>
        <v>-17.041805</v>
      </c>
      <c r="Q17" s="22">
        <f>P17/(P17+P18+P19)</f>
        <v>0.77457600829944828</v>
      </c>
      <c r="R17" s="14"/>
      <c r="S17" s="14"/>
      <c r="T17" s="14"/>
      <c r="U17" s="14"/>
      <c r="V17" s="21" t="str">
        <f>M17</f>
        <v>Positive</v>
      </c>
      <c r="W17" s="65">
        <f>SUM(W11:W14)/4</f>
        <v>44.504935000000003</v>
      </c>
      <c r="X17" s="22">
        <f>W17/(W17+W18+W19)</f>
        <v>0.42860997167539316</v>
      </c>
      <c r="Y17" s="65">
        <f>SUM(Y11:Y14)/4</f>
        <v>25.073325000000001</v>
      </c>
      <c r="Z17" s="22">
        <f>Y17/(Y17+Y18+Y19)</f>
        <v>0.30587480808733342</v>
      </c>
      <c r="AA17" s="14"/>
      <c r="AB17" s="14"/>
      <c r="AC17" s="14"/>
      <c r="AE17" s="21" t="str">
        <f>V17</f>
        <v>Positive</v>
      </c>
      <c r="AF17" s="65">
        <f>SUM(AF11:AF14)/4</f>
        <v>58.236274999999992</v>
      </c>
      <c r="AG17" s="22">
        <f>AF17/(AF17+AF18+AF19)</f>
        <v>0.52267414648287536</v>
      </c>
      <c r="AH17" s="65">
        <f>SUM(AH11:AH14)/4</f>
        <v>8.0315200000000004</v>
      </c>
      <c r="AI17" s="22">
        <f>AH17/(AH17+AH18+AH19)</f>
        <v>0.1339232958171731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3.1346999999999996</v>
      </c>
      <c r="O18" s="22">
        <f>N18/(N17+N18+N19)</f>
        <v>0.4133121669123484</v>
      </c>
      <c r="P18" s="18">
        <f>SUM(P7:P10)/4</f>
        <v>-13.146307499999999</v>
      </c>
      <c r="Q18" s="22">
        <f>P18/(P17+P18+P19)</f>
        <v>0.59751971033743778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30.799675000000001</v>
      </c>
      <c r="X18" s="22">
        <f>W18/(W17+W18+W19)</f>
        <v>0.29661986540057445</v>
      </c>
      <c r="Y18" s="18">
        <f>SUM(Y7:Y10)/4</f>
        <v>27.5720825</v>
      </c>
      <c r="Z18" s="22">
        <f>Y18/(Y17+Y18+Y19)</f>
        <v>0.33635768065287008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33.934375000000003</v>
      </c>
      <c r="AG18" s="22">
        <f>AF18/(AF17+AF18+AF19)</f>
        <v>0.30456310074012849</v>
      </c>
      <c r="AH18" s="18">
        <f>SUM(AH7:AH10)/4</f>
        <v>14.425775</v>
      </c>
      <c r="AI18" s="22">
        <f>AH18/(AH17+AH18+AH19)</f>
        <v>0.24054566666297042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-9.2817000000000007</v>
      </c>
      <c r="O19" s="22">
        <f>N19/(N17+N18+N19)</f>
        <v>-1.2237979837401809</v>
      </c>
      <c r="P19" s="18">
        <f>(P15+P16)/2</f>
        <v>8.1866500000000002</v>
      </c>
      <c r="Q19" s="22">
        <f>P19/(P17+P18+P19)</f>
        <v>-0.37209571863688612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28.530900000000003</v>
      </c>
      <c r="X19" s="22">
        <f>W19/(W17+W18+W19)</f>
        <v>0.27477016292403245</v>
      </c>
      <c r="Y19" s="18">
        <f>(Y15+Y16)/2</f>
        <v>29.327100000000002</v>
      </c>
      <c r="Z19" s="22">
        <f>Y19/(Y17+Y18+Y19)</f>
        <v>0.35776751125979644</v>
      </c>
      <c r="AA19" s="14"/>
      <c r="AB19" s="14"/>
      <c r="AC19" s="14"/>
      <c r="AE19" s="21" t="str">
        <f t="shared" si="14"/>
        <v>Physiological</v>
      </c>
      <c r="AF19" s="18">
        <f>(AF15+AF16)/2</f>
        <v>19.249200000000002</v>
      </c>
      <c r="AG19" s="22">
        <f>AF19/(AF17+AF18+AF19)</f>
        <v>0.17276275277699621</v>
      </c>
      <c r="AH19" s="18">
        <f>(AH15+AH16)/2</f>
        <v>37.513750000000002</v>
      </c>
      <c r="AI19" s="22">
        <f>AH19/(AH17+AH18+AH19)</f>
        <v>0.62553103751985639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1.06/1.9</v>
      </c>
      <c r="D24" s="44" t="str">
        <f>lang!B11</f>
        <v>频率方差</v>
      </c>
      <c r="E24" s="182" t="str">
        <f ca="1">CONCATENATE(ROUND('FH1'!L3,2),"/",ROUND('FH2'!L3,2))</f>
        <v>0.59/0.7</v>
      </c>
      <c r="F24" s="183"/>
      <c r="G24" s="174" t="str">
        <f>lang!B12</f>
        <v>生理变化率</v>
      </c>
      <c r="H24" s="175"/>
      <c r="I24" s="62" t="str">
        <f ca="1">CONCATENATE(info!M7,"-",info!M8)</f>
        <v>25.6-64.9</v>
      </c>
      <c r="J24" s="42" t="str">
        <f>lang!B13</f>
        <v>千卡l/分钟</v>
      </c>
      <c r="K24" s="41" t="str">
        <f ca="1">CONCATENATE(info!M5,"-",info!M6)</f>
        <v>1.4-4.2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14.983000000000008</v>
      </c>
      <c r="F27" s="121"/>
      <c r="G27" s="135" t="str">
        <f>lang!B33</f>
        <v>稳定性</v>
      </c>
      <c r="H27" s="136"/>
      <c r="I27" s="137"/>
      <c r="J27" s="138">
        <f>dM!B19*100</f>
        <v>24.594200000000001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-0.59679595353244264</v>
      </c>
      <c r="C2">
        <f t="array" aca="1" ref="C2" ca="1">CORREL(FT_E02,FT_PH02)</f>
        <v>-0.96513103729806704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1.4353799999999999</v>
      </c>
      <c r="G2" s="61">
        <f>IF(FT!B2&lt;&gt;"",FT!B2*100,"")</f>
        <v>64.906800000000004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1.47265</v>
      </c>
      <c r="G3" s="61">
        <f>IF(FT!B3&lt;&gt;"",FT!B3*100,"")</f>
        <v>63.970000000000006</v>
      </c>
      <c r="H3" s="61">
        <f t="shared" ref="H3:H66" si="1">(IF(F3&lt;&gt;"",1,""))</f>
        <v>1</v>
      </c>
      <c r="I3" t="str">
        <f>IF(FT!B3&lt;&gt;"",FT!E3,"")</f>
        <v>1 [0.362216]</v>
      </c>
      <c r="J3">
        <f>IF(FT!B3&lt;&gt;"",FT!C3,"")</f>
        <v>0.36221599999999998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0.43335059459459463</v>
      </c>
      <c r="V3">
        <f ca="1">AVERAGE(OFFSET(FT!B2,info!$L$3/2,0,info!$L$3/2,1))</f>
        <v>0.29813910810810801</v>
      </c>
      <c r="W3">
        <f ca="1">AVERAGE(OFFSET(FT!A2,0,0,info!$L$3/2,1))</f>
        <v>0.24190320270270269</v>
      </c>
      <c r="X3">
        <f ca="1">AVERAGE(OFFSET(FT!A2,info!$L$3/2,0,info!$L$3/2,1))</f>
        <v>0.39226622972972952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1.50756</v>
      </c>
      <c r="G4" s="61">
        <f>IF(FT!B4&lt;&gt;"",FT!B4*100,"")</f>
        <v>63.046899999999994</v>
      </c>
      <c r="H4" s="61">
        <f t="shared" si="1"/>
        <v>1</v>
      </c>
      <c r="I4" t="str">
        <f>IF(FT!B4&lt;&gt;"",FT!E4,"")</f>
        <v>1 [0.765970]</v>
      </c>
      <c r="J4">
        <f>IF(FT!B4&lt;&gt;"",FT!C4,"")</f>
        <v>0.76597000000000004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14.934575000000001</v>
      </c>
      <c r="V4">
        <f>U4*3</f>
        <v>44.803725</v>
      </c>
      <c r="W4">
        <f>U4</f>
        <v>14.934575000000001</v>
      </c>
      <c r="X4">
        <f>V4</f>
        <v>44.803725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1.5400900000000002</v>
      </c>
      <c r="G5" s="61">
        <f>IF(FT!B5&lt;&gt;"",FT!B5*100,"")</f>
        <v>62.014499999999998</v>
      </c>
      <c r="H5" s="61">
        <f t="shared" si="1"/>
        <v>1</v>
      </c>
      <c r="I5" t="str">
        <f>IF(FT!B5&lt;&gt;"",FT!E5,"")</f>
        <v>1 [1.176480]</v>
      </c>
      <c r="J5">
        <f>IF(FT!B5&lt;&gt;"",FT!C5,"")</f>
        <v>1.17648</v>
      </c>
      <c r="K5" t="s">
        <v>53</v>
      </c>
      <c r="L5" s="63">
        <f ca="1">MIN(FT_E)</f>
        <v>1.4353799999999999</v>
      </c>
      <c r="M5" s="63">
        <f ca="1">ROUND(L5,1)</f>
        <v>1.4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43.335059459459465</v>
      </c>
      <c r="V5">
        <f ca="1">V3*100</f>
        <v>29.8139108108108</v>
      </c>
      <c r="W5">
        <f ca="1">W3*10</f>
        <v>2.4190320270270269</v>
      </c>
      <c r="X5">
        <f ca="1">X3*10</f>
        <v>3.9226622972972951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1.57257</v>
      </c>
      <c r="G6" s="61">
        <f>IF(FT!B6&lt;&gt;"",FT!B6*100,"")</f>
        <v>60.926600000000001</v>
      </c>
      <c r="H6" s="61">
        <f t="shared" si="1"/>
        <v>1</v>
      </c>
      <c r="I6" t="str">
        <f>IF(FT!B6&lt;&gt;"",FT!E6,"")</f>
        <v>1 [1.575775]</v>
      </c>
      <c r="J6">
        <f>IF(FT!B6&lt;&gt;"",FT!C6,"")</f>
        <v>1.57578</v>
      </c>
      <c r="K6" t="s">
        <v>54</v>
      </c>
      <c r="L6" s="63">
        <f ca="1">MAX(FT_E)</f>
        <v>4.2170399999999999</v>
      </c>
      <c r="M6" s="63">
        <f ca="1">ROUND(L6,1)</f>
        <v>4.2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1.60575</v>
      </c>
      <c r="G7" s="61">
        <f>IF(FT!B7&lt;&gt;"",FT!B7*100,"")</f>
        <v>59.799199999999999</v>
      </c>
      <c r="H7" s="61">
        <f t="shared" si="1"/>
        <v>1</v>
      </c>
      <c r="I7" t="str">
        <f>IF(FT!B7&lt;&gt;"",FT!E7,"")</f>
        <v>1 [1.980873]</v>
      </c>
      <c r="J7">
        <f>IF(FT!B7&lt;&gt;"",FT!C7,"")</f>
        <v>1.9808699999999999</v>
      </c>
      <c r="K7" t="s">
        <v>55</v>
      </c>
      <c r="L7" s="63">
        <f ca="1">MIN(FT_PH)</f>
        <v>25.577400000000001</v>
      </c>
      <c r="M7" s="63">
        <f ca="1">ROUND(L7,1)</f>
        <v>25.6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7518</v>
      </c>
      <c r="D8" s="61">
        <f>FH!B8*1</f>
        <v>7518</v>
      </c>
      <c r="E8">
        <f t="shared" si="3"/>
        <v>6</v>
      </c>
      <c r="F8" s="61">
        <f>IF(FT!A8&lt;&gt;"",FT!A8*10,"")</f>
        <v>1.6389400000000001</v>
      </c>
      <c r="G8" s="61">
        <f>IF(FT!B8&lt;&gt;"",FT!B8*100,"")</f>
        <v>58.629699999999993</v>
      </c>
      <c r="H8" s="61">
        <f t="shared" si="1"/>
        <v>1</v>
      </c>
      <c r="I8" t="str">
        <f>IF(FT!B8&lt;&gt;"",FT!E8,"")</f>
        <v>1 [2.391724]</v>
      </c>
      <c r="J8">
        <f>IF(FT!B8&lt;&gt;"",FT!C8,"")</f>
        <v>2.3917199999999998</v>
      </c>
      <c r="K8" t="s">
        <v>56</v>
      </c>
      <c r="L8" s="63">
        <f ca="1">MAX(FT_PH)</f>
        <v>64.906800000000004</v>
      </c>
      <c r="M8" s="63">
        <f ca="1">ROUND(L8,1)</f>
        <v>64.900000000000006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1.67178</v>
      </c>
      <c r="G9" s="61">
        <f>IF(FT!B9&lt;&gt;"",FT!B9*100,"")</f>
        <v>57.448999999999998</v>
      </c>
      <c r="H9" s="61">
        <f t="shared" si="1"/>
        <v>1</v>
      </c>
      <c r="I9" t="str">
        <f>IF(FT!B9&lt;&gt;"",FT!E9,"")</f>
        <v>1 [2.797404]</v>
      </c>
      <c r="J9">
        <f>IF(FT!B9&lt;&gt;"",FT!C9,"")</f>
        <v>2.7974000000000001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15561</v>
      </c>
      <c r="D10" s="61">
        <f>FH!B10*1</f>
        <v>15561</v>
      </c>
      <c r="E10">
        <f t="shared" si="3"/>
        <v>8</v>
      </c>
      <c r="F10" s="61">
        <f>IF(FT!A10&lt;&gt;"",FT!A10*10,"")</f>
        <v>1.70373</v>
      </c>
      <c r="G10" s="61">
        <f>IF(FT!B10&lt;&gt;"",FT!B10*100,"")</f>
        <v>56.332599999999999</v>
      </c>
      <c r="H10" s="61">
        <f t="shared" si="1"/>
        <v>1</v>
      </c>
      <c r="I10" t="str">
        <f>IF(FT!B10&lt;&gt;"",FT!E10,"")</f>
        <v>1 [3.203534]</v>
      </c>
      <c r="J10">
        <f>IF(FT!B10&lt;&gt;"",FT!C10,"")</f>
        <v>3.2035300000000002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1.73543</v>
      </c>
      <c r="G11" s="61">
        <f>IF(FT!B11&lt;&gt;"",FT!B11*100,"")</f>
        <v>55.240599999999993</v>
      </c>
      <c r="H11" s="61">
        <f t="shared" si="1"/>
        <v>1</v>
      </c>
      <c r="I11" t="str">
        <f>IF(FT!B11&lt;&gt;"",FT!E11,"")</f>
        <v>1 [3.607009]</v>
      </c>
      <c r="J11">
        <f>IF(FT!B11&lt;&gt;"",FT!C11,"")</f>
        <v>3.6070099999999998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1.7648299999999999</v>
      </c>
      <c r="G12" s="61">
        <f>IF(FT!B12&lt;&gt;"",FT!B12*100,"")</f>
        <v>54.185600000000001</v>
      </c>
      <c r="H12" s="61">
        <f t="shared" si="1"/>
        <v>1</v>
      </c>
      <c r="I12" t="str">
        <f>IF(FT!B12&lt;&gt;"",FT!E12,"")</f>
        <v>1 [4.014600]</v>
      </c>
      <c r="J12">
        <f>IF(FT!B12&lt;&gt;"",FT!C12,"")</f>
        <v>4.0145999999999997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24645</v>
      </c>
      <c r="D13" s="61">
        <f>FH!B13*1</f>
        <v>24645</v>
      </c>
      <c r="E13">
        <f t="shared" si="3"/>
        <v>11</v>
      </c>
      <c r="F13" s="61">
        <f>IF(FT!A13&lt;&gt;"",FT!A13*10,"")</f>
        <v>1.7956799999999999</v>
      </c>
      <c r="G13" s="61">
        <f>IF(FT!B13&lt;&gt;"",FT!B13*100,"")</f>
        <v>53.035499999999999</v>
      </c>
      <c r="H13" s="61">
        <f t="shared" si="1"/>
        <v>1</v>
      </c>
      <c r="I13" t="str">
        <f>IF(FT!B13&lt;&gt;"",FT!E13,"")</f>
        <v>1 [4.423527]</v>
      </c>
      <c r="J13">
        <f>IF(FT!B13&lt;&gt;"",FT!C13,"")</f>
        <v>4.4235300000000004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1.8277199999999998</v>
      </c>
      <c r="G14" s="61">
        <f>IF(FT!B14&lt;&gt;"",FT!B14*100,"")</f>
        <v>51.776299999999999</v>
      </c>
      <c r="H14" s="61">
        <f t="shared" si="1"/>
        <v>1</v>
      </c>
      <c r="I14" t="str">
        <f>IF(FT!B14&lt;&gt;"",FT!E14,"")</f>
        <v>1 [4.827265]</v>
      </c>
      <c r="J14">
        <f>IF(FT!B14&lt;&gt;"",FT!C14,"")</f>
        <v>4.8272700000000004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23440</v>
      </c>
      <c r="D15" s="61">
        <f>FH!B15*1</f>
        <v>23440</v>
      </c>
      <c r="E15">
        <f t="shared" si="3"/>
        <v>13</v>
      </c>
      <c r="F15" s="61">
        <f>IF(FT!A15&lt;&gt;"",FT!A15*10,"")</f>
        <v>1.8605800000000001</v>
      </c>
      <c r="G15" s="61">
        <f>IF(FT!B15&lt;&gt;"",FT!B15*100,"")</f>
        <v>50.490100000000005</v>
      </c>
      <c r="H15" s="61">
        <f t="shared" si="1"/>
        <v>1</v>
      </c>
      <c r="I15" t="str">
        <f>IF(FT!B15&lt;&gt;"",FT!E15,"")</f>
        <v>1 [5.232590]</v>
      </c>
      <c r="J15">
        <f>IF(FT!B15&lt;&gt;"",FT!C15,"")</f>
        <v>5.2325900000000001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1.8934300000000002</v>
      </c>
      <c r="G16" s="61">
        <f>IF(FT!B16&lt;&gt;"",FT!B16*100,"")</f>
        <v>49.243900000000004</v>
      </c>
      <c r="H16" s="61">
        <f t="shared" si="1"/>
        <v>1</v>
      </c>
      <c r="I16" t="str">
        <f>IF(FT!B16&lt;&gt;"",FT!E16,"")</f>
        <v>1 [5.638670]</v>
      </c>
      <c r="J16">
        <f>IF(FT!B16&lt;&gt;"",FT!C16,"")</f>
        <v>5.6386700000000003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1.9256699999999998</v>
      </c>
      <c r="G17" s="61">
        <f>IF(FT!B17&lt;&gt;"",FT!B17*100,"")</f>
        <v>48.029299999999999</v>
      </c>
      <c r="H17" s="61">
        <f t="shared" si="1"/>
        <v>1</v>
      </c>
      <c r="I17" t="str">
        <f>IF(FT!B17&lt;&gt;"",FT!E17,"")</f>
        <v>1 [6.046399]</v>
      </c>
      <c r="J17">
        <f>IF(FT!B17&lt;&gt;"",FT!C17,"")</f>
        <v>6.0464000000000002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32444</v>
      </c>
      <c r="D18" s="61">
        <f>FH!B18*1</f>
        <v>32444</v>
      </c>
      <c r="E18">
        <f t="shared" si="3"/>
        <v>16</v>
      </c>
      <c r="F18" s="61">
        <f>IF(FT!A18&lt;&gt;"",FT!A18*10,"")</f>
        <v>1.9591400000000001</v>
      </c>
      <c r="G18" s="61">
        <f>IF(FT!B18&lt;&gt;"",FT!B18*100,"")</f>
        <v>46.764400000000002</v>
      </c>
      <c r="H18" s="61">
        <f t="shared" si="1"/>
        <v>1</v>
      </c>
      <c r="I18" t="str">
        <f>IF(FT!B18&lt;&gt;"",FT!E18,"")</f>
        <v>1 [6.453831]</v>
      </c>
      <c r="J18">
        <f>IF(FT!B18&lt;&gt;"",FT!C18,"")</f>
        <v>6.45383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1.9908600000000001</v>
      </c>
      <c r="G19" s="61">
        <f>IF(FT!B19&lt;&gt;"",FT!B19*100,"")</f>
        <v>45.6036</v>
      </c>
      <c r="H19" s="61">
        <f t="shared" si="1"/>
        <v>1</v>
      </c>
      <c r="I19" t="str">
        <f>IF(FT!B19&lt;&gt;"",FT!E19,"")</f>
        <v>1 [6.857384]</v>
      </c>
      <c r="J19">
        <f>IF(FT!B19&lt;&gt;"",FT!C19,"")</f>
        <v>6.85738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2.0219400000000003</v>
      </c>
      <c r="G20" s="61">
        <f>IF(FT!B20&lt;&gt;"",FT!B20*100,"")</f>
        <v>44.472000000000001</v>
      </c>
      <c r="H20" s="61">
        <f t="shared" si="1"/>
        <v>1</v>
      </c>
      <c r="I20" t="str">
        <f>IF(FT!B20&lt;&gt;"",FT!E20,"")</f>
        <v>1 [7.263252]</v>
      </c>
      <c r="J20">
        <f>IF(FT!B20&lt;&gt;"",FT!C20,"")</f>
        <v>7.2632500000000002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42849</v>
      </c>
      <c r="D21" s="61">
        <f>FH!B21*1</f>
        <v>42849</v>
      </c>
      <c r="E21">
        <f t="shared" si="3"/>
        <v>19</v>
      </c>
      <c r="F21" s="61">
        <f>IF(FT!A21&lt;&gt;"",FT!A21*10,"")</f>
        <v>2.05253</v>
      </c>
      <c r="G21" s="61">
        <f>IF(FT!B21&lt;&gt;"",FT!B21*100,"")</f>
        <v>43.304200000000002</v>
      </c>
      <c r="H21" s="61">
        <f t="shared" si="1"/>
        <v>1</v>
      </c>
      <c r="I21" t="str">
        <f>IF(FT!B21&lt;&gt;"",FT!E21,"")</f>
        <v>1 [7.671189]</v>
      </c>
      <c r="J21">
        <f>IF(FT!B21&lt;&gt;"",FT!C21,"")</f>
        <v>7.6711900000000002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2.0812599999999999</v>
      </c>
      <c r="G22" s="61">
        <f>IF(FT!B22&lt;&gt;"",FT!B22*100,"")</f>
        <v>42.256999999999998</v>
      </c>
      <c r="H22" s="61">
        <f t="shared" si="1"/>
        <v>1</v>
      </c>
      <c r="I22" t="str">
        <f>IF(FT!B22&lt;&gt;"",FT!E22,"")</f>
        <v>1 [8.076030]</v>
      </c>
      <c r="J22">
        <f>IF(FT!B22&lt;&gt;"",FT!C22,"")</f>
        <v>8.0760299999999994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46157</v>
      </c>
      <c r="D23" s="61">
        <f>FH!B23*1</f>
        <v>46157</v>
      </c>
      <c r="E23">
        <f t="shared" si="3"/>
        <v>21</v>
      </c>
      <c r="F23" s="61">
        <f>IF(FT!A23&lt;&gt;"",FT!A23*10,"")</f>
        <v>2.1075699999999999</v>
      </c>
      <c r="G23" s="61">
        <f>IF(FT!B23&lt;&gt;"",FT!B23*100,"")</f>
        <v>41.340600000000002</v>
      </c>
      <c r="H23" s="61">
        <f t="shared" si="1"/>
        <v>1</v>
      </c>
      <c r="I23" t="str">
        <f>IF(FT!B23&lt;&gt;"",FT!E23,"")</f>
        <v>1 [8.481806]</v>
      </c>
      <c r="J23">
        <f>IF(FT!B23&lt;&gt;"",FT!C23,"")</f>
        <v>8.4818099999999994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2.13245</v>
      </c>
      <c r="G24" s="61">
        <f>IF(FT!B24&lt;&gt;"",FT!B24*100,"")</f>
        <v>40.439599999999999</v>
      </c>
      <c r="H24" s="61">
        <f t="shared" si="1"/>
        <v>1</v>
      </c>
      <c r="I24" t="str">
        <f>IF(FT!B24&lt;&gt;"",FT!E24,"")</f>
        <v>1 [8.890575]</v>
      </c>
      <c r="J24">
        <f>IF(FT!B24&lt;&gt;"",FT!C24,"")</f>
        <v>8.8905799999999999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2.1562799999999998</v>
      </c>
      <c r="G25" s="61">
        <f>IF(FT!B25&lt;&gt;"",FT!B25*100,"")</f>
        <v>39.5488</v>
      </c>
      <c r="H25" s="61">
        <f t="shared" si="1"/>
        <v>1</v>
      </c>
      <c r="I25" t="str">
        <f>IF(FT!B25&lt;&gt;"",FT!E25,"")</f>
        <v>1 [9.297254]</v>
      </c>
      <c r="J25">
        <f>IF(FT!B25&lt;&gt;"",FT!C25,"")</f>
        <v>9.29725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67064</v>
      </c>
      <c r="D26" s="61">
        <f>FH!B26*1</f>
        <v>67064</v>
      </c>
      <c r="E26">
        <f t="shared" si="3"/>
        <v>24</v>
      </c>
      <c r="F26" s="61">
        <f>IF(FT!A26&lt;&gt;"",FT!A26*10,"")</f>
        <v>2.1785299999999999</v>
      </c>
      <c r="G26" s="61">
        <f>IF(FT!B26&lt;&gt;"",FT!B26*100,"")</f>
        <v>38.668700000000001</v>
      </c>
      <c r="H26" s="61">
        <f t="shared" si="1"/>
        <v>1</v>
      </c>
      <c r="I26" t="str">
        <f>IF(FT!B26&lt;&gt;"",FT!E26,"")</f>
        <v>1 [9.702650]</v>
      </c>
      <c r="J26">
        <f>IF(FT!B26&lt;&gt;"",FT!C26,"")</f>
        <v>9.7026500000000002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2.2006700000000001</v>
      </c>
      <c r="G27" s="61">
        <f>IF(FT!B27&lt;&gt;"",FT!B27*100,"")</f>
        <v>37.822800000000001</v>
      </c>
      <c r="H27" s="61">
        <f t="shared" si="1"/>
        <v>1</v>
      </c>
      <c r="I27" t="str">
        <f>IF(FT!B27&lt;&gt;"",FT!E27,"")</f>
        <v>1 [10.108451]</v>
      </c>
      <c r="J27">
        <f>IF(FT!B27&lt;&gt;"",FT!C27,"")</f>
        <v>10.108499999999999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70484</v>
      </c>
      <c r="D28" s="61">
        <f>FH!B28*1</f>
        <v>70484</v>
      </c>
      <c r="E28">
        <f t="shared" si="3"/>
        <v>26</v>
      </c>
      <c r="F28" s="61">
        <f>IF(FT!A28&lt;&gt;"",FT!A28*10,"")</f>
        <v>2.2222400000000002</v>
      </c>
      <c r="G28" s="61">
        <f>IF(FT!B28&lt;&gt;"",FT!B28*100,"")</f>
        <v>37.053599999999996</v>
      </c>
      <c r="H28" s="61">
        <f t="shared" si="1"/>
        <v>1</v>
      </c>
      <c r="I28" t="str">
        <f>IF(FT!B28&lt;&gt;"",FT!E28,"")</f>
        <v>1 [10.513446]</v>
      </c>
      <c r="J28">
        <f>IF(FT!B28&lt;&gt;"",FT!C28,"")</f>
        <v>10.513400000000001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2.2448600000000001</v>
      </c>
      <c r="G29" s="61">
        <f>IF(FT!B29&lt;&gt;"",FT!B29*100,"")</f>
        <v>36.324300000000001</v>
      </c>
      <c r="H29" s="61">
        <f t="shared" si="1"/>
        <v>1</v>
      </c>
      <c r="I29" t="str">
        <f>IF(FT!B29&lt;&gt;"",FT!E29,"")</f>
        <v>1 [10.921360]</v>
      </c>
      <c r="J29">
        <f>IF(FT!B29&lt;&gt;"",FT!C29,"")</f>
        <v>10.9214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2.2664300000000002</v>
      </c>
      <c r="G30" s="61">
        <f>IF(FT!B30&lt;&gt;"",FT!B30*100,"")</f>
        <v>35.636099999999999</v>
      </c>
      <c r="H30" s="61">
        <f t="shared" si="1"/>
        <v>1</v>
      </c>
      <c r="I30" t="str">
        <f>IF(FT!B30&lt;&gt;"",FT!E30,"")</f>
        <v>1 [11.325848]</v>
      </c>
      <c r="J30">
        <f>IF(FT!B30&lt;&gt;"",FT!C30,"")</f>
        <v>11.325799999999999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76186</v>
      </c>
      <c r="D31" s="61">
        <f>FH!B31*1</f>
        <v>76186</v>
      </c>
      <c r="E31">
        <f t="shared" si="3"/>
        <v>29</v>
      </c>
      <c r="F31" s="61">
        <f>IF(FT!A31&lt;&gt;"",FT!A31*10,"")</f>
        <v>2.2871700000000001</v>
      </c>
      <c r="G31" s="61">
        <f>IF(FT!B31&lt;&gt;"",FT!B31*100,"")</f>
        <v>35.054400000000001</v>
      </c>
      <c r="H31" s="61">
        <f t="shared" si="1"/>
        <v>1</v>
      </c>
      <c r="I31" t="str">
        <f>IF(FT!B31&lt;&gt;"",FT!E31,"")</f>
        <v>1 [11.733669]</v>
      </c>
      <c r="J31">
        <f>IF(FT!B31&lt;&gt;"",FT!C31,"")</f>
        <v>11.733700000000001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2.31006</v>
      </c>
      <c r="G32" s="61">
        <f>IF(FT!B32&lt;&gt;"",FT!B32*100,"")</f>
        <v>34.5105</v>
      </c>
      <c r="H32" s="61">
        <f t="shared" si="1"/>
        <v>1</v>
      </c>
      <c r="I32" t="str">
        <f>IF(FT!B32&lt;&gt;"",FT!E32,"")</f>
        <v>1 [12.140103]</v>
      </c>
      <c r="J32">
        <f>IF(FT!B32&lt;&gt;"",FT!C32,"")</f>
        <v>12.1401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84036</v>
      </c>
      <c r="D33" s="61">
        <f>FH!B33*1</f>
        <v>84036</v>
      </c>
      <c r="E33">
        <f t="shared" si="3"/>
        <v>31</v>
      </c>
      <c r="F33" s="61">
        <f>IF(FT!A33&lt;&gt;"",FT!A33*10,"")</f>
        <v>2.3345699999999998</v>
      </c>
      <c r="G33" s="61">
        <f>IF(FT!B33&lt;&gt;"",FT!B33*100,"")</f>
        <v>34.070999999999998</v>
      </c>
      <c r="H33" s="61">
        <f t="shared" si="1"/>
        <v>1</v>
      </c>
      <c r="I33" t="str">
        <f>IF(FT!B33&lt;&gt;"",FT!E33,"")</f>
        <v>1 [12.545227]</v>
      </c>
      <c r="J33">
        <f>IF(FT!B33&lt;&gt;"",FT!C33,"")</f>
        <v>12.545199999999999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2.3601800000000002</v>
      </c>
      <c r="G34" s="61">
        <f>IF(FT!B34&lt;&gt;"",FT!B34*100,"")</f>
        <v>33.7637</v>
      </c>
      <c r="H34" s="61">
        <f t="shared" si="1"/>
        <v>1</v>
      </c>
      <c r="I34" t="str">
        <f>IF(FT!B34&lt;&gt;"",FT!E34,"")</f>
        <v>1 [12.954120]</v>
      </c>
      <c r="J34">
        <f>IF(FT!B34&lt;&gt;"",FT!C34,"")</f>
        <v>12.9541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2.3869400000000001</v>
      </c>
      <c r="G35" s="61">
        <f>IF(FT!B35&lt;&gt;"",FT!B35*100,"")</f>
        <v>33.522300000000001</v>
      </c>
      <c r="H35" s="61">
        <f t="shared" si="1"/>
        <v>1</v>
      </c>
      <c r="I35" t="str">
        <f>IF(FT!B35&lt;&gt;"",FT!E35,"")</f>
        <v>1 [13.359744]</v>
      </c>
      <c r="J35">
        <f>IF(FT!B35&lt;&gt;"",FT!C35,"")</f>
        <v>13.3597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87443</v>
      </c>
      <c r="D36" s="61">
        <f>FH!B36*1</f>
        <v>87443</v>
      </c>
      <c r="E36">
        <f t="shared" si="3"/>
        <v>34</v>
      </c>
      <c r="F36" s="61">
        <f>IF(FT!A36&lt;&gt;"",FT!A36*10,"")</f>
        <v>2.4132700000000002</v>
      </c>
      <c r="G36" s="61">
        <f>IF(FT!B36&lt;&gt;"",FT!B36*100,"")</f>
        <v>33.405099999999997</v>
      </c>
      <c r="H36" s="61">
        <f t="shared" si="1"/>
        <v>1</v>
      </c>
      <c r="I36" t="str">
        <f>IF(FT!B36&lt;&gt;"",FT!E36,"")</f>
        <v>1 [13.765403]</v>
      </c>
      <c r="J36">
        <f>IF(FT!B36&lt;&gt;"",FT!C36,"")</f>
        <v>13.7654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2.4333</v>
      </c>
      <c r="G37" s="61">
        <f>IF(FT!B37&lt;&gt;"",FT!B37*100,"")</f>
        <v>33.537499999999994</v>
      </c>
      <c r="H37" s="61">
        <f t="shared" si="1"/>
        <v>1</v>
      </c>
      <c r="I37" t="str">
        <f>IF(FT!B37&lt;&gt;"",FT!E37,"")</f>
        <v>1 [14.171572]</v>
      </c>
      <c r="J37">
        <f>IF(FT!B37&lt;&gt;"",FT!C37,"")</f>
        <v>14.1716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2.4509500000000002</v>
      </c>
      <c r="G38" s="61">
        <f>IF(FT!B38&lt;&gt;"",FT!B38*100,"")</f>
        <v>33.780799999999999</v>
      </c>
      <c r="H38" s="61">
        <f t="shared" si="1"/>
        <v>1</v>
      </c>
      <c r="I38" t="str">
        <f>IF(FT!B38&lt;&gt;"",FT!E38,"")</f>
        <v>1 [14.576556]</v>
      </c>
      <c r="J38">
        <f>IF(FT!B38&lt;&gt;"",FT!C38,"")</f>
        <v>14.576599999999999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98655</v>
      </c>
      <c r="D39" s="61">
        <f>FH!B39*1</f>
        <v>98655</v>
      </c>
      <c r="E39">
        <f t="shared" si="3"/>
        <v>37</v>
      </c>
      <c r="F39" s="61">
        <f>IF(FT!A39&lt;&gt;"",FT!A39*10,"")</f>
        <v>2.4657900000000001</v>
      </c>
      <c r="G39" s="61">
        <f>IF(FT!B39&lt;&gt;"",FT!B39*100,"")</f>
        <v>34.109200000000001</v>
      </c>
      <c r="H39" s="61">
        <f t="shared" si="1"/>
        <v>1</v>
      </c>
      <c r="I39" t="str">
        <f>IF(FT!B39&lt;&gt;"",FT!E39,"")</f>
        <v>1 [14.985598]</v>
      </c>
      <c r="J39">
        <f>IF(FT!B39&lt;&gt;"",FT!C39,"")</f>
        <v>14.9856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2.4802599999999999</v>
      </c>
      <c r="G40" s="61">
        <f>IF(FT!B40&lt;&gt;"",FT!B40*100,"")</f>
        <v>34.502099999999999</v>
      </c>
      <c r="H40" s="61">
        <f t="shared" si="1"/>
        <v>1</v>
      </c>
      <c r="I40" t="str">
        <f>IF(FT!B40&lt;&gt;"",FT!E40,"")</f>
        <v>1 [15.394746]</v>
      </c>
      <c r="J40">
        <f>IF(FT!B40&lt;&gt;"",FT!C40,"")</f>
        <v>15.3947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100983</v>
      </c>
      <c r="D41" s="61">
        <f>FH!B41*1</f>
        <v>100983</v>
      </c>
      <c r="E41">
        <f t="shared" si="3"/>
        <v>39</v>
      </c>
      <c r="F41" s="61">
        <f>IF(FT!A41&lt;&gt;"",FT!A41*10,"")</f>
        <v>2.4944299999999999</v>
      </c>
      <c r="G41" s="61">
        <f>IF(FT!B41&lt;&gt;"",FT!B41*100,"")</f>
        <v>34.93</v>
      </c>
      <c r="H41" s="61">
        <f t="shared" si="1"/>
        <v>1</v>
      </c>
      <c r="I41" t="str">
        <f>IF(FT!B41&lt;&gt;"",FT!E41,"")</f>
        <v>1 [15.798948]</v>
      </c>
      <c r="J41">
        <f>IF(FT!B41&lt;&gt;"",FT!C41,"")</f>
        <v>15.7989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2.5085600000000001</v>
      </c>
      <c r="G42" s="61">
        <f>IF(FT!B42&lt;&gt;"",FT!B42*100,"")</f>
        <v>35.380000000000003</v>
      </c>
      <c r="H42" s="61">
        <f t="shared" si="1"/>
        <v>1</v>
      </c>
      <c r="I42" t="str">
        <f>IF(FT!B42&lt;&gt;"",FT!E42,"")</f>
        <v>1 [16.202282]</v>
      </c>
      <c r="J42">
        <f>IF(FT!B42&lt;&gt;"",FT!C42,"")</f>
        <v>16.202300000000001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2.5194800000000002</v>
      </c>
      <c r="G43" s="61">
        <f>IF(FT!B43&lt;&gt;"",FT!B43*100,"")</f>
        <v>35.941499999999998</v>
      </c>
      <c r="H43" s="61">
        <f t="shared" si="1"/>
        <v>1</v>
      </c>
      <c r="I43" t="str">
        <f>IF(FT!B43&lt;&gt;"",FT!E43,"")</f>
        <v>1 [16.609105]</v>
      </c>
      <c r="J43">
        <f>IF(FT!B43&lt;&gt;"",FT!C43,"")</f>
        <v>16.609100000000002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90175</v>
      </c>
      <c r="D44" s="61">
        <f>FH!B44*1</f>
        <v>90175</v>
      </c>
      <c r="E44">
        <f t="shared" si="3"/>
        <v>42</v>
      </c>
      <c r="F44" s="61">
        <f>IF(FT!A44&lt;&gt;"",FT!A44*10,"")</f>
        <v>2.5320199999999997</v>
      </c>
      <c r="G44" s="61">
        <f>IF(FT!B44&lt;&gt;"",FT!B44*100,"")</f>
        <v>36.475000000000001</v>
      </c>
      <c r="H44" s="61">
        <f t="shared" si="1"/>
        <v>1</v>
      </c>
      <c r="I44" t="str">
        <f>IF(FT!B44&lt;&gt;"",FT!E44,"")</f>
        <v>1 [17.015775]</v>
      </c>
      <c r="J44">
        <f>IF(FT!B44&lt;&gt;"",FT!C44,"")</f>
        <v>17.015799999999999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2.5455299999999998</v>
      </c>
      <c r="G45" s="61">
        <f>IF(FT!B45&lt;&gt;"",FT!B45*100,"")</f>
        <v>37</v>
      </c>
      <c r="H45" s="61">
        <f t="shared" si="1"/>
        <v>1</v>
      </c>
      <c r="I45" t="str">
        <f>IF(FT!B45&lt;&gt;"",FT!E45,"")</f>
        <v>1 [17.424031]</v>
      </c>
      <c r="J45">
        <f>IF(FT!B45&lt;&gt;"",FT!C45,"")</f>
        <v>17.423999999999999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75297</v>
      </c>
      <c r="D46" s="61">
        <f>FH!B46*1</f>
        <v>75297</v>
      </c>
      <c r="E46">
        <f t="shared" si="3"/>
        <v>44</v>
      </c>
      <c r="F46" s="61">
        <f>IF(FT!A46&lt;&gt;"",FT!A46*10,"")</f>
        <v>2.5612300000000001</v>
      </c>
      <c r="G46" s="61">
        <f>IF(FT!B46&lt;&gt;"",FT!B46*100,"")</f>
        <v>37.576999999999998</v>
      </c>
      <c r="H46" s="61">
        <f t="shared" si="1"/>
        <v>1</v>
      </c>
      <c r="I46" t="str">
        <f>IF(FT!B46&lt;&gt;"",FT!E46,"")</f>
        <v>1 [17.827659]</v>
      </c>
      <c r="J46">
        <f>IF(FT!B46&lt;&gt;"",FT!C46,"")</f>
        <v>17.8277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2.5808900000000001</v>
      </c>
      <c r="G47" s="61">
        <f>IF(FT!B47&lt;&gt;"",FT!B47*100,"")</f>
        <v>38.085999999999999</v>
      </c>
      <c r="H47" s="61">
        <f t="shared" si="1"/>
        <v>1</v>
      </c>
      <c r="I47" t="str">
        <f>IF(FT!B47&lt;&gt;"",FT!E47,"")</f>
        <v>1 [18.232341]</v>
      </c>
      <c r="J47">
        <f>IF(FT!B47&lt;&gt;"",FT!C47,"")</f>
        <v>18.232299999999999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2.6036599999999996</v>
      </c>
      <c r="G48" s="61">
        <f>IF(FT!B48&lt;&gt;"",FT!B48*100,"")</f>
        <v>38.562000000000005</v>
      </c>
      <c r="H48" s="61">
        <f t="shared" si="1"/>
        <v>1</v>
      </c>
      <c r="I48" t="str">
        <f>IF(FT!B48&lt;&gt;"",FT!E48,"")</f>
        <v>1 [18.638057]</v>
      </c>
      <c r="J48">
        <f>IF(FT!B48&lt;&gt;"",FT!C48,"")</f>
        <v>18.638100000000001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85001</v>
      </c>
      <c r="D49" s="61">
        <f>FH!B49*1</f>
        <v>85001</v>
      </c>
      <c r="E49">
        <f t="shared" si="3"/>
        <v>47</v>
      </c>
      <c r="F49" s="61">
        <f>IF(FT!A49&lt;&gt;"",FT!A49*10,"")</f>
        <v>2.6265200000000002</v>
      </c>
      <c r="G49" s="61">
        <f>IF(FT!B49&lt;&gt;"",FT!B49*100,"")</f>
        <v>39.098599999999998</v>
      </c>
      <c r="H49" s="61">
        <f t="shared" si="1"/>
        <v>1</v>
      </c>
      <c r="I49" t="str">
        <f>IF(FT!B49&lt;&gt;"",FT!E49,"")</f>
        <v>1 [19.043123]</v>
      </c>
      <c r="J49">
        <f>IF(FT!B49&lt;&gt;"",FT!C49,"")</f>
        <v>19.043099999999999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2.6503399999999999</v>
      </c>
      <c r="G50" s="61">
        <f>IF(FT!B50&lt;&gt;"",FT!B50*100,"")</f>
        <v>39.611800000000002</v>
      </c>
      <c r="H50" s="61">
        <f t="shared" si="1"/>
        <v>1</v>
      </c>
      <c r="I50" t="str">
        <f>IF(FT!B50&lt;&gt;"",FT!E50,"")</f>
        <v>1 [19.450308]</v>
      </c>
      <c r="J50">
        <f>IF(FT!B50&lt;&gt;"",FT!C50,"")</f>
        <v>19.450299999999999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76911</v>
      </c>
      <c r="D51" s="61">
        <f>FH!B51*1</f>
        <v>76911</v>
      </c>
      <c r="E51">
        <f t="shared" si="3"/>
        <v>49</v>
      </c>
      <c r="F51" s="61">
        <f>IF(FT!A51&lt;&gt;"",FT!A51*10,"")</f>
        <v>2.6777099999999998</v>
      </c>
      <c r="G51" s="61">
        <f>IF(FT!B51&lt;&gt;"",FT!B51*100,"")</f>
        <v>40.082799999999999</v>
      </c>
      <c r="H51" s="61">
        <f t="shared" si="1"/>
        <v>1</v>
      </c>
      <c r="I51" t="str">
        <f>IF(FT!B51&lt;&gt;"",FT!E51,"")</f>
        <v>1 [19.856755]</v>
      </c>
      <c r="J51">
        <f>IF(FT!B51&lt;&gt;"",FT!C51,"")</f>
        <v>19.8568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2.6980300000000002</v>
      </c>
      <c r="G52" s="61">
        <f>IF(FT!B52&lt;&gt;"",FT!B52*100,"")</f>
        <v>40.513399999999997</v>
      </c>
      <c r="H52" s="61">
        <f t="shared" si="1"/>
        <v>1</v>
      </c>
      <c r="I52" t="str">
        <f>IF(FT!B52&lt;&gt;"",FT!E52,"")</f>
        <v>1 [20.265565]</v>
      </c>
      <c r="J52">
        <f>IF(FT!B52&lt;&gt;"",FT!C52,"")</f>
        <v>20.265599999999999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2.7313000000000001</v>
      </c>
      <c r="G53" s="61">
        <f>IF(FT!B53&lt;&gt;"",FT!B53*100,"")</f>
        <v>40.9407</v>
      </c>
      <c r="H53" s="61">
        <f t="shared" si="1"/>
        <v>1</v>
      </c>
      <c r="I53" t="str">
        <f>IF(FT!B53&lt;&gt;"",FT!E53,"")</f>
        <v>1 [20.673087]</v>
      </c>
      <c r="J53">
        <f>IF(FT!B53&lt;&gt;"",FT!C53,"")</f>
        <v>20.673100000000002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80394</v>
      </c>
      <c r="D54" s="61">
        <f>FH!B54*1</f>
        <v>80394</v>
      </c>
      <c r="E54">
        <f t="shared" si="3"/>
        <v>52</v>
      </c>
      <c r="F54" s="61">
        <f>IF(FT!A54&lt;&gt;"",FT!A54*10,"")</f>
        <v>2.7652000000000001</v>
      </c>
      <c r="G54" s="61">
        <f>IF(FT!B54&lt;&gt;"",FT!B54*100,"")</f>
        <v>41.287300000000002</v>
      </c>
      <c r="H54" s="61">
        <f t="shared" si="1"/>
        <v>1</v>
      </c>
      <c r="I54" t="str">
        <f>IF(FT!B54&lt;&gt;"",FT!E54,"")</f>
        <v>1 [21.079037]</v>
      </c>
      <c r="J54">
        <f>IF(FT!B54&lt;&gt;"",FT!C54,"")</f>
        <v>21.079000000000001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2.79718</v>
      </c>
      <c r="G55" s="61">
        <f>IF(FT!B55&lt;&gt;"",FT!B55*100,"")</f>
        <v>41.688900000000004</v>
      </c>
      <c r="H55" s="61">
        <f t="shared" si="1"/>
        <v>1</v>
      </c>
      <c r="I55" t="str">
        <f>IF(FT!B55&lt;&gt;"",FT!E55,"")</f>
        <v>1 [21.481724]</v>
      </c>
      <c r="J55">
        <f>IF(FT!B55&lt;&gt;"",FT!C55,"")</f>
        <v>21.4817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2.8266799999999996</v>
      </c>
      <c r="G56" s="61">
        <f>IF(FT!B56&lt;&gt;"",FT!B56*100,"")</f>
        <v>42.068800000000003</v>
      </c>
      <c r="H56" s="61">
        <f t="shared" si="1"/>
        <v>1</v>
      </c>
      <c r="I56" t="str">
        <f>IF(FT!B56&lt;&gt;"",FT!E56,"")</f>
        <v>1 [21.888866]</v>
      </c>
      <c r="J56">
        <f>IF(FT!B56&lt;&gt;"",FT!C56,"")</f>
        <v>21.8889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74205</v>
      </c>
      <c r="D57" s="61">
        <f>FH!B57*1</f>
        <v>74205</v>
      </c>
      <c r="E57">
        <f t="shared" si="3"/>
        <v>55</v>
      </c>
      <c r="F57" s="61">
        <f>IF(FT!A57&lt;&gt;"",FT!A57*10,"")</f>
        <v>2.8521000000000001</v>
      </c>
      <c r="G57" s="61">
        <f>IF(FT!B57&lt;&gt;"",FT!B57*100,"")</f>
        <v>42.4422</v>
      </c>
      <c r="H57" s="61">
        <f t="shared" si="1"/>
        <v>1</v>
      </c>
      <c r="I57" t="str">
        <f>IF(FT!B57&lt;&gt;"",FT!E57,"")</f>
        <v>1 [22.296805]</v>
      </c>
      <c r="J57">
        <f>IF(FT!B57&lt;&gt;"",FT!C57,"")</f>
        <v>22.296800000000001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2.8736299999999999</v>
      </c>
      <c r="G58" s="61">
        <f>IF(FT!B58&lt;&gt;"",FT!B58*100,"")</f>
        <v>42.709499999999998</v>
      </c>
      <c r="H58" s="61">
        <f t="shared" si="1"/>
        <v>1</v>
      </c>
      <c r="I58" t="str">
        <f>IF(FT!B58&lt;&gt;"",FT!E58,"")</f>
        <v>1 [22.701740]</v>
      </c>
      <c r="J58">
        <f>IF(FT!B58&lt;&gt;"",FT!C58,"")</f>
        <v>22.701699999999999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78243</v>
      </c>
      <c r="D59" s="61">
        <f>FH!B59*1</f>
        <v>78243</v>
      </c>
      <c r="E59">
        <f t="shared" si="3"/>
        <v>57</v>
      </c>
      <c r="F59" s="61">
        <f>IF(FT!A59&lt;&gt;"",FT!A59*10,"")</f>
        <v>2.8954300000000002</v>
      </c>
      <c r="G59" s="61">
        <f>IF(FT!B59&lt;&gt;"",FT!B59*100,"")</f>
        <v>42.885800000000003</v>
      </c>
      <c r="H59" s="61">
        <f t="shared" si="1"/>
        <v>1</v>
      </c>
      <c r="I59" t="str">
        <f>IF(FT!B59&lt;&gt;"",FT!E59,"")</f>
        <v>1 [23.110143]</v>
      </c>
      <c r="J59">
        <f>IF(FT!B59&lt;&gt;"",FT!C59,"")</f>
        <v>23.110099999999999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2.9187099999999999</v>
      </c>
      <c r="G60" s="61">
        <f>IF(FT!B60&lt;&gt;"",FT!B60*100,"")</f>
        <v>43.015900000000002</v>
      </c>
      <c r="H60" s="61">
        <f t="shared" si="1"/>
        <v>1</v>
      </c>
      <c r="I60" t="str">
        <f>IF(FT!B60&lt;&gt;"",FT!E60,"")</f>
        <v>1 [23.512465]</v>
      </c>
      <c r="J60">
        <f>IF(FT!B60&lt;&gt;"",FT!C60,"")</f>
        <v>23.512499999999999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2.9425699999999999</v>
      </c>
      <c r="G61" s="61">
        <f>IF(FT!B61&lt;&gt;"",FT!B61*100,"")</f>
        <v>43.048500000000004</v>
      </c>
      <c r="H61" s="61">
        <f t="shared" si="1"/>
        <v>1</v>
      </c>
      <c r="I61" t="str">
        <f>IF(FT!B61&lt;&gt;"",FT!E61,"")</f>
        <v>1 [23.918776]</v>
      </c>
      <c r="J61">
        <f>IF(FT!B61&lt;&gt;"",FT!C61,"")</f>
        <v>23.918800000000001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76565</v>
      </c>
      <c r="D62" s="61">
        <f>FH!B62*1</f>
        <v>76565</v>
      </c>
      <c r="E62">
        <f t="shared" si="3"/>
        <v>60</v>
      </c>
      <c r="F62" s="61">
        <f>IF(FT!A62&lt;&gt;"",FT!A62*10,"")</f>
        <v>2.96671</v>
      </c>
      <c r="G62" s="61">
        <f>IF(FT!B62&lt;&gt;"",FT!B62*100,"")</f>
        <v>43.058</v>
      </c>
      <c r="H62" s="61">
        <f t="shared" si="1"/>
        <v>1</v>
      </c>
      <c r="I62" t="str">
        <f>IF(FT!B62&lt;&gt;"",FT!E62,"")</f>
        <v>1 [24.326792]</v>
      </c>
      <c r="J62">
        <f>IF(FT!B62&lt;&gt;"",FT!C62,"")</f>
        <v>24.326799999999999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2.9906800000000002</v>
      </c>
      <c r="G63" s="61">
        <f>IF(FT!B63&lt;&gt;"",FT!B63*100,"")</f>
        <v>43.073499999999996</v>
      </c>
      <c r="H63" s="61">
        <f t="shared" si="1"/>
        <v>1</v>
      </c>
      <c r="I63" t="str">
        <f>IF(FT!B63&lt;&gt;"",FT!E63,"")</f>
        <v>1 [24.735072]</v>
      </c>
      <c r="J63">
        <f>IF(FT!B63&lt;&gt;"",FT!C63,"")</f>
        <v>24.735099999999999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78479</v>
      </c>
      <c r="D64" s="61">
        <f>FH!B64*1</f>
        <v>78479</v>
      </c>
      <c r="E64">
        <f t="shared" si="3"/>
        <v>62</v>
      </c>
      <c r="F64" s="61">
        <f>IF(FT!A64&lt;&gt;"",FT!A64*10,"")</f>
        <v>3.0166399999999998</v>
      </c>
      <c r="G64" s="61">
        <f>IF(FT!B64&lt;&gt;"",FT!B64*100,"")</f>
        <v>43.073699999999995</v>
      </c>
      <c r="H64" s="61">
        <f t="shared" si="1"/>
        <v>1</v>
      </c>
      <c r="I64" t="str">
        <f>IF(FT!B64&lt;&gt;"",FT!E64,"")</f>
        <v>1 [25.143993]</v>
      </c>
      <c r="J64">
        <f>IF(FT!B64&lt;&gt;"",FT!C64,"")</f>
        <v>25.143999999999998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3.0424899999999999</v>
      </c>
      <c r="G65" s="61">
        <f>IF(FT!B65&lt;&gt;"",FT!B65*100,"")</f>
        <v>43.03</v>
      </c>
      <c r="H65" s="61">
        <f t="shared" si="1"/>
        <v>1</v>
      </c>
      <c r="I65" t="str">
        <f>IF(FT!B65&lt;&gt;"",FT!E65,"")</f>
        <v>1 [25.545790]</v>
      </c>
      <c r="J65">
        <f>IF(FT!B65&lt;&gt;"",FT!C65,"")</f>
        <v>25.5458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3.0684800000000001</v>
      </c>
      <c r="G66" s="61">
        <f>IF(FT!B66&lt;&gt;"",FT!B66*100,"")</f>
        <v>42.963699999999996</v>
      </c>
      <c r="H66" s="61">
        <f t="shared" si="1"/>
        <v>1</v>
      </c>
      <c r="I66" t="str">
        <f>IF(FT!B66&lt;&gt;"",FT!E66,"")</f>
        <v>1 [25.951221]</v>
      </c>
      <c r="J66">
        <f>IF(FT!B66&lt;&gt;"",FT!C66,"")</f>
        <v>25.9512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73268</v>
      </c>
      <c r="D67" s="61">
        <f>FH!B67*1</f>
        <v>73268</v>
      </c>
      <c r="E67">
        <f t="shared" si="3"/>
        <v>65</v>
      </c>
      <c r="F67" s="61">
        <f>IF(FT!A67&lt;&gt;"",FT!A67*10,"")</f>
        <v>3.0958000000000001</v>
      </c>
      <c r="G67" s="61">
        <f>IF(FT!B67&lt;&gt;"",FT!B67*100,"")</f>
        <v>42.850899999999996</v>
      </c>
      <c r="H67" s="61">
        <f t="shared" ref="H67:H130" si="9">(IF(F67&lt;&gt;"",1,""))</f>
        <v>1</v>
      </c>
      <c r="I67" t="str">
        <f>IF(FT!B67&lt;&gt;"",FT!E67,"")</f>
        <v>1 [26.356335]</v>
      </c>
      <c r="J67">
        <f>IF(FT!B67&lt;&gt;"",FT!C67,"")</f>
        <v>26.356300000000001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3.1241699999999999</v>
      </c>
      <c r="G68" s="61">
        <f>IF(FT!B68&lt;&gt;"",FT!B68*100,"")</f>
        <v>42.765100000000004</v>
      </c>
      <c r="H68" s="61">
        <f t="shared" si="9"/>
        <v>1</v>
      </c>
      <c r="I68" t="str">
        <f>IF(FT!B68&lt;&gt;"",FT!E68,"")</f>
        <v>1 [26.765883]</v>
      </c>
      <c r="J68">
        <f>IF(FT!B68&lt;&gt;"",FT!C68,"")</f>
        <v>26.765899999999998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74340</v>
      </c>
      <c r="D69" s="61">
        <f>FH!B69*1</f>
        <v>74340</v>
      </c>
      <c r="E69">
        <f t="shared" si="11"/>
        <v>67</v>
      </c>
      <c r="F69" s="61">
        <f>IF(FT!A69&lt;&gt;"",FT!A69*10,"")</f>
        <v>3.1528200000000002</v>
      </c>
      <c r="G69" s="61">
        <f>IF(FT!B69&lt;&gt;"",FT!B69*100,"")</f>
        <v>42.651800000000001</v>
      </c>
      <c r="H69" s="61">
        <f t="shared" si="9"/>
        <v>1</v>
      </c>
      <c r="I69" t="str">
        <f>IF(FT!B69&lt;&gt;"",FT!E69,"")</f>
        <v>1 [27.174430]</v>
      </c>
      <c r="J69">
        <f>IF(FT!B69&lt;&gt;"",FT!C69,"")</f>
        <v>27.174399999999999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3.1819299999999999</v>
      </c>
      <c r="G70" s="61">
        <f>IF(FT!B70&lt;&gt;"",FT!B70*100,"")</f>
        <v>42.480000000000004</v>
      </c>
      <c r="H70" s="61">
        <f t="shared" si="9"/>
        <v>1</v>
      </c>
      <c r="I70" t="str">
        <f>IF(FT!B70&lt;&gt;"",FT!E70,"")</f>
        <v>1 [27.576190]</v>
      </c>
      <c r="J70">
        <f>IF(FT!B70&lt;&gt;"",FT!C70,"")</f>
        <v>27.5762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3.2081900000000001</v>
      </c>
      <c r="G71" s="61">
        <f>IF(FT!B71&lt;&gt;"",FT!B71*100,"")</f>
        <v>42.331099999999999</v>
      </c>
      <c r="H71" s="61">
        <f t="shared" si="9"/>
        <v>1</v>
      </c>
      <c r="I71" t="str">
        <f>IF(FT!B71&lt;&gt;"",FT!E71,"")</f>
        <v>1 [27.986912]</v>
      </c>
      <c r="J71">
        <f>IF(FT!B71&lt;&gt;"",FT!C71,"")</f>
        <v>27.986899999999999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77236</v>
      </c>
      <c r="D72" s="61">
        <f>FH!B72*1</f>
        <v>77236</v>
      </c>
      <c r="E72">
        <f t="shared" si="11"/>
        <v>70</v>
      </c>
      <c r="F72" s="61">
        <f>IF(FT!A72&lt;&gt;"",FT!A72*10,"")</f>
        <v>3.2317499999999999</v>
      </c>
      <c r="G72" s="61">
        <f>IF(FT!B72&lt;&gt;"",FT!B72*100,"")</f>
        <v>42.131099999999996</v>
      </c>
      <c r="H72" s="61">
        <f t="shared" si="9"/>
        <v>1</v>
      </c>
      <c r="I72" t="str">
        <f>IF(FT!B72&lt;&gt;"",FT!E72,"")</f>
        <v>1 [28.390742]</v>
      </c>
      <c r="J72">
        <f>IF(FT!B72&lt;&gt;"",FT!C72,"")</f>
        <v>28.390699999999999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3.25467</v>
      </c>
      <c r="G73" s="61">
        <f>IF(FT!B73&lt;&gt;"",FT!B73*100,"")</f>
        <v>41.836500000000001</v>
      </c>
      <c r="H73" s="61">
        <f t="shared" si="9"/>
        <v>1</v>
      </c>
      <c r="I73" t="str">
        <f>IF(FT!B73&lt;&gt;"",FT!E73,"")</f>
        <v>1 [28.795776]</v>
      </c>
      <c r="J73">
        <f>IF(FT!B73&lt;&gt;"",FT!C73,"")</f>
        <v>28.7958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3.2789700000000002</v>
      </c>
      <c r="G74" s="61">
        <f>IF(FT!B74&lt;&gt;"",FT!B74*100,"")</f>
        <v>41.511299999999999</v>
      </c>
      <c r="H74" s="61">
        <f t="shared" si="9"/>
        <v>1</v>
      </c>
      <c r="I74" t="str">
        <f>IF(FT!B74&lt;&gt;"",FT!E74,"")</f>
        <v>1 [29.201316]</v>
      </c>
      <c r="J74">
        <f>IF(FT!B74&lt;&gt;"",FT!C74,"")</f>
        <v>29.2013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78913</v>
      </c>
      <c r="D75" s="61">
        <f>FH!B75*1</f>
        <v>78913</v>
      </c>
      <c r="E75">
        <f t="shared" si="11"/>
        <v>73</v>
      </c>
      <c r="F75" s="61">
        <f>IF(FT!A75&lt;&gt;"",FT!A75*10,"")</f>
        <v>3.3048300000000004</v>
      </c>
      <c r="G75" s="61">
        <f>IF(FT!B75&lt;&gt;"",FT!B75*100,"")</f>
        <v>41.123100000000001</v>
      </c>
      <c r="H75" s="61">
        <f t="shared" si="9"/>
        <v>1</v>
      </c>
      <c r="I75" t="str">
        <f>IF(FT!B75&lt;&gt;"",FT!E75,"")</f>
        <v>1 [29.606954]</v>
      </c>
      <c r="J75">
        <f>IF(FT!B75&lt;&gt;"",FT!C75,"")</f>
        <v>29.606999999999999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3.3301500000000002</v>
      </c>
      <c r="G76" s="61">
        <f>IF(FT!B76&lt;&gt;"",FT!B76*100,"")</f>
        <v>40.745799999999996</v>
      </c>
      <c r="H76" s="61">
        <f t="shared" si="9"/>
        <v>1</v>
      </c>
      <c r="I76" t="str">
        <f>IF(FT!B76&lt;&gt;"",FT!E76,"")</f>
        <v>2 [30.012600]</v>
      </c>
      <c r="J76">
        <f>IF(FT!B76&lt;&gt;"",FT!C76,"")</f>
        <v>30.012599999999999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80465</v>
      </c>
      <c r="D77" s="61">
        <f>FH!B77*1</f>
        <v>80465</v>
      </c>
      <c r="E77">
        <f t="shared" si="11"/>
        <v>75</v>
      </c>
      <c r="F77" s="61">
        <f>IF(FT!A77&lt;&gt;"",FT!A77*10,"")</f>
        <v>3.35907</v>
      </c>
      <c r="G77" s="61">
        <f>IF(FT!B77&lt;&gt;"",FT!B77*100,"")</f>
        <v>40.215400000000002</v>
      </c>
      <c r="H77" s="61">
        <f t="shared" si="9"/>
        <v>1</v>
      </c>
      <c r="I77" t="str">
        <f>IF(FT!B77&lt;&gt;"",FT!E77,"")</f>
        <v>2 [30.608589]</v>
      </c>
      <c r="J77">
        <f>IF(FT!B77&lt;&gt;"",FT!C77,"")</f>
        <v>30.608599999999999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3.3773999999999997</v>
      </c>
      <c r="G78" s="61">
        <f>IF(FT!B78&lt;&gt;"",FT!B78*100,"")</f>
        <v>39.775500000000001</v>
      </c>
      <c r="H78" s="61">
        <f t="shared" si="9"/>
        <v>1</v>
      </c>
      <c r="I78" t="str">
        <f>IF(FT!B78&lt;&gt;"",FT!E78,"")</f>
        <v>2 [30.980498]</v>
      </c>
      <c r="J78">
        <f>IF(FT!B78&lt;&gt;"",FT!C78,"")</f>
        <v>30.980499999999999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3.3933799999999996</v>
      </c>
      <c r="G79" s="61">
        <f>IF(FT!B79&lt;&gt;"",FT!B79*100,"")</f>
        <v>39.422899999999998</v>
      </c>
      <c r="H79" s="61">
        <f t="shared" si="9"/>
        <v>1</v>
      </c>
      <c r="I79" t="str">
        <f>IF(FT!B79&lt;&gt;"",FT!E79,"")</f>
        <v>2 [31.356382]</v>
      </c>
      <c r="J79">
        <f>IF(FT!B79&lt;&gt;"",FT!C79,"")</f>
        <v>31.356400000000001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84124</v>
      </c>
      <c r="D80" s="61">
        <f>FH!B80*1</f>
        <v>84124</v>
      </c>
      <c r="E80">
        <f t="shared" si="11"/>
        <v>78</v>
      </c>
      <c r="F80" s="61">
        <f>IF(FT!A80&lt;&gt;"",FT!A80*10,"")</f>
        <v>3.4112199999999997</v>
      </c>
      <c r="G80" s="61">
        <f>IF(FT!B80&lt;&gt;"",FT!B80*100,"")</f>
        <v>39.044000000000004</v>
      </c>
      <c r="H80" s="61">
        <f t="shared" si="9"/>
        <v>1</v>
      </c>
      <c r="I80" t="str">
        <f>IF(FT!B80&lt;&gt;"",FT!E80,"")</f>
        <v>2 [31.731564]</v>
      </c>
      <c r="J80">
        <f>IF(FT!B80&lt;&gt;"",FT!C80,"")</f>
        <v>31.7316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3.4308699999999996</v>
      </c>
      <c r="G81" s="61">
        <f>IF(FT!B81&lt;&gt;"",FT!B81*100,"")</f>
        <v>38.624399999999994</v>
      </c>
      <c r="H81" s="61">
        <f t="shared" si="9"/>
        <v>1</v>
      </c>
      <c r="I81" t="str">
        <f>IF(FT!B81&lt;&gt;"",FT!E81,"")</f>
        <v>2 [32.106834]</v>
      </c>
      <c r="J81">
        <f>IF(FT!B81&lt;&gt;"",FT!C81,"")</f>
        <v>32.1068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90296</v>
      </c>
      <c r="D82" s="61">
        <f>FH!B82*1</f>
        <v>90296</v>
      </c>
      <c r="E82">
        <f t="shared" si="11"/>
        <v>80</v>
      </c>
      <c r="F82" s="61">
        <f>IF(FT!A82&lt;&gt;"",FT!A82*10,"")</f>
        <v>3.4498199999999999</v>
      </c>
      <c r="G82" s="61">
        <f>IF(FT!B82&lt;&gt;"",FT!B82*100,"")</f>
        <v>38.251200000000004</v>
      </c>
      <c r="H82" s="61">
        <f t="shared" si="9"/>
        <v>1</v>
      </c>
      <c r="I82" t="str">
        <f>IF(FT!B82&lt;&gt;"",FT!E82,"")</f>
        <v>2 [32.513622]</v>
      </c>
      <c r="J82">
        <f>IF(FT!B82&lt;&gt;"",FT!C82,"")</f>
        <v>32.513599999999997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3.4670899999999998</v>
      </c>
      <c r="G83" s="61">
        <f>IF(FT!B83&lt;&gt;"",FT!B83*100,"")</f>
        <v>37.906800000000004</v>
      </c>
      <c r="H83" s="61">
        <f t="shared" si="9"/>
        <v>1</v>
      </c>
      <c r="I83" t="str">
        <f>IF(FT!B83&lt;&gt;"",FT!E83,"")</f>
        <v>2 [32.920849]</v>
      </c>
      <c r="J83">
        <f>IF(FT!B83&lt;&gt;"",FT!C83,"")</f>
        <v>32.9208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3.48414</v>
      </c>
      <c r="G84" s="61">
        <f>IF(FT!B84&lt;&gt;"",FT!B84*100,"")</f>
        <v>37.503</v>
      </c>
      <c r="H84" s="61">
        <f t="shared" si="9"/>
        <v>1</v>
      </c>
      <c r="I84" t="str">
        <f>IF(FT!B84&lt;&gt;"",FT!E84,"")</f>
        <v>2 [33.329693]</v>
      </c>
      <c r="J84">
        <f>IF(FT!B84&lt;&gt;"",FT!C84,"")</f>
        <v>33.329700000000003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90780</v>
      </c>
      <c r="D85" s="61">
        <f>FH!B85*1</f>
        <v>90780</v>
      </c>
      <c r="E85">
        <f t="shared" si="11"/>
        <v>83</v>
      </c>
      <c r="F85" s="61">
        <f>IF(FT!A85&lt;&gt;"",FT!A85*10,"")</f>
        <v>3.4993000000000003</v>
      </c>
      <c r="G85" s="61">
        <f>IF(FT!B85&lt;&gt;"",FT!B85*100,"")</f>
        <v>37.1038</v>
      </c>
      <c r="H85" s="61">
        <f t="shared" si="9"/>
        <v>1</v>
      </c>
      <c r="I85" t="str">
        <f>IF(FT!B85&lt;&gt;"",FT!E85,"")</f>
        <v>2 [33.731902]</v>
      </c>
      <c r="J85">
        <f>IF(FT!B85&lt;&gt;"",FT!C85,"")</f>
        <v>33.731900000000003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3.5127799999999998</v>
      </c>
      <c r="G86" s="61">
        <f>IF(FT!B86&lt;&gt;"",FT!B86*100,"")</f>
        <v>36.759599999999999</v>
      </c>
      <c r="H86" s="61">
        <f t="shared" si="9"/>
        <v>1</v>
      </c>
      <c r="I86" t="str">
        <f>IF(FT!B86&lt;&gt;"",FT!E86,"")</f>
        <v>2 [34.141229]</v>
      </c>
      <c r="J86">
        <f>IF(FT!B86&lt;&gt;"",FT!C86,"")</f>
        <v>34.141199999999998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3.5256700000000003</v>
      </c>
      <c r="G87" s="61">
        <f>IF(FT!B87&lt;&gt;"",FT!B87*100,"")</f>
        <v>36.425699999999999</v>
      </c>
      <c r="H87" s="61">
        <f t="shared" si="9"/>
        <v>1</v>
      </c>
      <c r="I87" t="str">
        <f>IF(FT!B87&lt;&gt;"",FT!E87,"")</f>
        <v>2 [34.544934]</v>
      </c>
      <c r="J87">
        <f>IF(FT!B87&lt;&gt;"",FT!C87,"")</f>
        <v>34.544899999999998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102193</v>
      </c>
      <c r="D88" s="61">
        <f>FH!B88*1</f>
        <v>102193</v>
      </c>
      <c r="E88">
        <f t="shared" si="11"/>
        <v>86</v>
      </c>
      <c r="F88" s="61">
        <f>IF(FT!A88&lt;&gt;"",FT!A88*10,"")</f>
        <v>3.5397699999999999</v>
      </c>
      <c r="G88" s="61">
        <f>IF(FT!B88&lt;&gt;"",FT!B88*100,"")</f>
        <v>35.986000000000004</v>
      </c>
      <c r="H88" s="61">
        <f t="shared" si="9"/>
        <v>1</v>
      </c>
      <c r="I88" t="str">
        <f>IF(FT!B88&lt;&gt;"",FT!E88,"")</f>
        <v>2 [34.952557]</v>
      </c>
      <c r="J88">
        <f>IF(FT!B88&lt;&gt;"",FT!C88,"")</f>
        <v>34.952599999999997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3.5552600000000001</v>
      </c>
      <c r="G89" s="61">
        <f>IF(FT!B89&lt;&gt;"",FT!B89*100,"")</f>
        <v>35.496299999999998</v>
      </c>
      <c r="H89" s="61">
        <f t="shared" si="9"/>
        <v>1</v>
      </c>
      <c r="I89" t="str">
        <f>IF(FT!B89&lt;&gt;"",FT!E89,"")</f>
        <v>2 [35.361397]</v>
      </c>
      <c r="J89">
        <f>IF(FT!B89&lt;&gt;"",FT!C89,"")</f>
        <v>35.361400000000003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103680</v>
      </c>
      <c r="D90" s="61">
        <f>FH!B90*1</f>
        <v>103680</v>
      </c>
      <c r="E90">
        <f t="shared" si="11"/>
        <v>88</v>
      </c>
      <c r="F90" s="61">
        <f>IF(FT!A90&lt;&gt;"",FT!A90*10,"")</f>
        <v>3.5722999999999998</v>
      </c>
      <c r="G90" s="61">
        <f>IF(FT!B90&lt;&gt;"",FT!B90*100,"")</f>
        <v>34.954099999999997</v>
      </c>
      <c r="H90" s="61">
        <f t="shared" si="9"/>
        <v>1</v>
      </c>
      <c r="I90" t="str">
        <f>IF(FT!B90&lt;&gt;"",FT!E90,"")</f>
        <v>2 [35.763670]</v>
      </c>
      <c r="J90">
        <f>IF(FT!B90&lt;&gt;"",FT!C90,"")</f>
        <v>35.7637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3.59057</v>
      </c>
      <c r="G91" s="61">
        <f>IF(FT!B91&lt;&gt;"",FT!B91*100,"")</f>
        <v>34.333599999999997</v>
      </c>
      <c r="H91" s="61">
        <f t="shared" si="9"/>
        <v>1</v>
      </c>
      <c r="I91" t="str">
        <f>IF(FT!B91&lt;&gt;"",FT!E91,"")</f>
        <v>2 [36.170396]</v>
      </c>
      <c r="J91">
        <f>IF(FT!B91&lt;&gt;"",FT!C91,"")</f>
        <v>36.170400000000001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3.6092200000000001</v>
      </c>
      <c r="G92" s="61">
        <f>IF(FT!B92&lt;&gt;"",FT!B92*100,"")</f>
        <v>33.669199999999996</v>
      </c>
      <c r="H92" s="61">
        <f t="shared" si="9"/>
        <v>1</v>
      </c>
      <c r="I92" t="str">
        <f>IF(FT!B92&lt;&gt;"",FT!E92,"")</f>
        <v>2 [36.578137]</v>
      </c>
      <c r="J92">
        <f>IF(FT!B92&lt;&gt;"",FT!C92,"")</f>
        <v>36.578099999999999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101345</v>
      </c>
      <c r="D93" s="61">
        <f>FH!B93*1</f>
        <v>101345</v>
      </c>
      <c r="E93">
        <f t="shared" si="11"/>
        <v>91</v>
      </c>
      <c r="F93" s="61">
        <f>IF(FT!A93&lt;&gt;"",FT!A93*10,"")</f>
        <v>3.6275000000000004</v>
      </c>
      <c r="G93" s="61">
        <f>IF(FT!B93&lt;&gt;"",FT!B93*100,"")</f>
        <v>32.992399999999996</v>
      </c>
      <c r="H93" s="61">
        <f t="shared" si="9"/>
        <v>1</v>
      </c>
      <c r="I93" t="str">
        <f>IF(FT!B93&lt;&gt;"",FT!E93,"")</f>
        <v>2 [36.981283]</v>
      </c>
      <c r="J93">
        <f>IF(FT!B93&lt;&gt;"",FT!C93,"")</f>
        <v>36.981299999999997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3.6453600000000002</v>
      </c>
      <c r="G94" s="61">
        <f>IF(FT!B94&lt;&gt;"",FT!B94*100,"")</f>
        <v>32.311199999999999</v>
      </c>
      <c r="H94" s="61">
        <f t="shared" si="9"/>
        <v>1</v>
      </c>
      <c r="I94" t="str">
        <f>IF(FT!B94&lt;&gt;"",FT!E94,"")</f>
        <v>2 [37.390509]</v>
      </c>
      <c r="J94">
        <f>IF(FT!B94&lt;&gt;"",FT!C94,"")</f>
        <v>37.390500000000003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97586</v>
      </c>
      <c r="D95" s="61">
        <f>FH!B95*1</f>
        <v>97586</v>
      </c>
      <c r="E95">
        <f t="shared" si="11"/>
        <v>93</v>
      </c>
      <c r="F95" s="61">
        <f>IF(FT!A95&lt;&gt;"",FT!A95*10,"")</f>
        <v>3.6649900000000004</v>
      </c>
      <c r="G95" s="61">
        <f>IF(FT!B95&lt;&gt;"",FT!B95*100,"")</f>
        <v>31.680099999999999</v>
      </c>
      <c r="H95" s="61">
        <f t="shared" si="9"/>
        <v>1</v>
      </c>
      <c r="I95" t="str">
        <f>IF(FT!B95&lt;&gt;"",FT!E95,"")</f>
        <v>2 [37.798563]</v>
      </c>
      <c r="J95">
        <f>IF(FT!B95&lt;&gt;"",FT!C95,"")</f>
        <v>37.7986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3.6932900000000002</v>
      </c>
      <c r="G96" s="61">
        <f>IF(FT!B96&lt;&gt;"",FT!B96*100,"")</f>
        <v>31.0853</v>
      </c>
      <c r="H96" s="61">
        <f t="shared" si="9"/>
        <v>1</v>
      </c>
      <c r="I96" t="str">
        <f>IF(FT!B96&lt;&gt;"",FT!E96,"")</f>
        <v>2 [38.203765]</v>
      </c>
      <c r="J96">
        <f>IF(FT!B96&lt;&gt;"",FT!C96,"")</f>
        <v>38.203800000000001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3.7246200000000003</v>
      </c>
      <c r="G97" s="61">
        <f>IF(FT!B97&lt;&gt;"",FT!B97*100,"")</f>
        <v>30.560599999999997</v>
      </c>
      <c r="H97" s="61">
        <f t="shared" si="9"/>
        <v>1</v>
      </c>
      <c r="I97" t="str">
        <f>IF(FT!B97&lt;&gt;"",FT!E97,"")</f>
        <v>2 [38.612548]</v>
      </c>
      <c r="J97">
        <f>IF(FT!B97&lt;&gt;"",FT!C97,"")</f>
        <v>38.612499999999997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93387</v>
      </c>
      <c r="D98" s="61">
        <f>FH!B98*1</f>
        <v>93387</v>
      </c>
      <c r="E98">
        <f t="shared" si="11"/>
        <v>96</v>
      </c>
      <c r="F98" s="61">
        <f>IF(FT!A98&lt;&gt;"",FT!A98*10,"")</f>
        <v>3.7583199999999999</v>
      </c>
      <c r="G98" s="61">
        <f>IF(FT!B98&lt;&gt;"",FT!B98*100,"")</f>
        <v>30.186699999999998</v>
      </c>
      <c r="H98" s="61">
        <f t="shared" si="9"/>
        <v>1</v>
      </c>
      <c r="I98" t="str">
        <f>IF(FT!B98&lt;&gt;"",FT!E98,"")</f>
        <v>2 [39.012774]</v>
      </c>
      <c r="J98">
        <f>IF(FT!B98&lt;&gt;"",FT!C98,"")</f>
        <v>39.012799999999999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3.7883599999999999</v>
      </c>
      <c r="G99" s="61">
        <f>IF(FT!B99&lt;&gt;"",FT!B99*100,"")</f>
        <v>29.8201</v>
      </c>
      <c r="H99" s="61">
        <f t="shared" si="9"/>
        <v>1</v>
      </c>
      <c r="I99" t="str">
        <f>IF(FT!B99&lt;&gt;"",FT!E99,"")</f>
        <v>2 [39.418604]</v>
      </c>
      <c r="J99">
        <f>IF(FT!B99&lt;&gt;"",FT!C99,"")</f>
        <v>39.418599999999998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88961</v>
      </c>
      <c r="D100" s="61">
        <f>FH!B100*1</f>
        <v>88961</v>
      </c>
      <c r="E100">
        <f t="shared" si="11"/>
        <v>98</v>
      </c>
      <c r="F100" s="61">
        <f>IF(FT!A100&lt;&gt;"",FT!A100*10,"")</f>
        <v>3.8141799999999999</v>
      </c>
      <c r="G100" s="61">
        <f>IF(FT!B100&lt;&gt;"",FT!B100*100,"")</f>
        <v>29.518499999999996</v>
      </c>
      <c r="H100" s="61">
        <f t="shared" si="9"/>
        <v>1</v>
      </c>
      <c r="I100" t="str">
        <f>IF(FT!B100&lt;&gt;"",FT!E100,"")</f>
        <v>2 [39.825069]</v>
      </c>
      <c r="J100">
        <f>IF(FT!B100&lt;&gt;"",FT!C100,"")</f>
        <v>39.825099999999999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3.8320799999999999</v>
      </c>
      <c r="G101" s="61">
        <f>IF(FT!B101&lt;&gt;"",FT!B101*100,"")</f>
        <v>29.247400000000003</v>
      </c>
      <c r="H101" s="61">
        <f t="shared" si="9"/>
        <v>1</v>
      </c>
      <c r="I101" t="str">
        <f>IF(FT!B101&lt;&gt;"",FT!E101,"")</f>
        <v>2 [40.233368]</v>
      </c>
      <c r="J101">
        <f>IF(FT!B101&lt;&gt;"",FT!C101,"")</f>
        <v>40.233400000000003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3.8489400000000002</v>
      </c>
      <c r="G102" s="61">
        <f>IF(FT!B102&lt;&gt;"",FT!B102*100,"")</f>
        <v>29.018699999999995</v>
      </c>
      <c r="H102" s="61">
        <f t="shared" si="9"/>
        <v>1</v>
      </c>
      <c r="I102" t="str">
        <f>IF(FT!B102&lt;&gt;"",FT!E102,"")</f>
        <v>2 [40.639498]</v>
      </c>
      <c r="J102">
        <f>IF(FT!B102&lt;&gt;"",FT!C102,"")</f>
        <v>40.639499999999998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81375</v>
      </c>
      <c r="D103" s="61">
        <f>FH!B103*1</f>
        <v>81375</v>
      </c>
      <c r="E103">
        <f t="shared" si="11"/>
        <v>101</v>
      </c>
      <c r="F103" s="61">
        <f>IF(FT!A103&lt;&gt;"",FT!A103*10,"")</f>
        <v>3.8627099999999999</v>
      </c>
      <c r="G103" s="61">
        <f>IF(FT!B103&lt;&gt;"",FT!B103*100,"")</f>
        <v>28.892400000000002</v>
      </c>
      <c r="H103" s="61">
        <f t="shared" si="9"/>
        <v>1</v>
      </c>
      <c r="I103" t="str">
        <f>IF(FT!B103&lt;&gt;"",FT!E103,"")</f>
        <v>2 [41.046016]</v>
      </c>
      <c r="J103">
        <f>IF(FT!B103&lt;&gt;"",FT!C103,"")</f>
        <v>41.045999999999999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3.8807700000000001</v>
      </c>
      <c r="G104" s="61">
        <f>IF(FT!B104&lt;&gt;"",FT!B104*100,"")</f>
        <v>28.819699999999997</v>
      </c>
      <c r="H104" s="61">
        <f t="shared" si="9"/>
        <v>1</v>
      </c>
      <c r="I104" t="str">
        <f>IF(FT!B104&lt;&gt;"",FT!E104,"")</f>
        <v>2 [41.452138]</v>
      </c>
      <c r="J104">
        <f>IF(FT!B104&lt;&gt;"",FT!C104,"")</f>
        <v>41.452100000000002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3.9015300000000002</v>
      </c>
      <c r="G105" s="61">
        <f>IF(FT!B105&lt;&gt;"",FT!B105*100,"")</f>
        <v>28.731499999999997</v>
      </c>
      <c r="H105" s="61">
        <f t="shared" si="9"/>
        <v>1</v>
      </c>
      <c r="I105" t="str">
        <f>IF(FT!B105&lt;&gt;"",FT!E105,"")</f>
        <v>2 [41.857447]</v>
      </c>
      <c r="J105">
        <f>IF(FT!B105&lt;&gt;"",FT!C105,"")</f>
        <v>41.857399999999998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76082</v>
      </c>
      <c r="D106" s="61">
        <f>FH!B106*1</f>
        <v>76082</v>
      </c>
      <c r="E106">
        <f t="shared" si="11"/>
        <v>104</v>
      </c>
      <c r="F106" s="61">
        <f>IF(FT!A106&lt;&gt;"",FT!A106*10,"")</f>
        <v>3.9266000000000001</v>
      </c>
      <c r="G106" s="61">
        <f>IF(FT!B106&lt;&gt;"",FT!B106*100,"")</f>
        <v>28.569400000000002</v>
      </c>
      <c r="H106" s="61">
        <f t="shared" si="9"/>
        <v>1</v>
      </c>
      <c r="I106" t="str">
        <f>IF(FT!B106&lt;&gt;"",FT!E106,"")</f>
        <v>2 [42.265563]</v>
      </c>
      <c r="J106">
        <f>IF(FT!B106&lt;&gt;"",FT!C106,"")</f>
        <v>42.265599999999999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3.95546</v>
      </c>
      <c r="G107" s="61">
        <f>IF(FT!B107&lt;&gt;"",FT!B107*100,"")</f>
        <v>28.376600000000003</v>
      </c>
      <c r="H107" s="61">
        <f t="shared" si="9"/>
        <v>1</v>
      </c>
      <c r="I107" t="str">
        <f>IF(FT!B107&lt;&gt;"",FT!E107,"")</f>
        <v>2 [42.672502]</v>
      </c>
      <c r="J107">
        <f>IF(FT!B107&lt;&gt;"",FT!C107,"")</f>
        <v>42.672499999999999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72110</v>
      </c>
      <c r="D108" s="61">
        <f>FH!B108*1</f>
        <v>72110</v>
      </c>
      <c r="E108">
        <f t="shared" si="11"/>
        <v>106</v>
      </c>
      <c r="F108" s="61">
        <f>IF(FT!A108&lt;&gt;"",FT!A108*10,"")</f>
        <v>3.9802599999999999</v>
      </c>
      <c r="G108" s="61">
        <f>IF(FT!B108&lt;&gt;"",FT!B108*100,"")</f>
        <v>28.2681</v>
      </c>
      <c r="H108" s="61">
        <f t="shared" si="9"/>
        <v>1</v>
      </c>
      <c r="I108" t="str">
        <f>IF(FT!B108&lt;&gt;"",FT!E108,"")</f>
        <v>2 [43.079152]</v>
      </c>
      <c r="J108">
        <f>IF(FT!B108&lt;&gt;"",FT!C108,"")</f>
        <v>43.0792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4.0017399999999999</v>
      </c>
      <c r="G109" s="61">
        <f>IF(FT!B109&lt;&gt;"",FT!B109*100,"")</f>
        <v>28.152999999999999</v>
      </c>
      <c r="H109" s="61">
        <f t="shared" si="9"/>
        <v>1</v>
      </c>
      <c r="I109" t="str">
        <f>IF(FT!B109&lt;&gt;"",FT!E109,"")</f>
        <v>2 [43.483273]</v>
      </c>
      <c r="J109">
        <f>IF(FT!B109&lt;&gt;"",FT!C109,"")</f>
        <v>43.4833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4.0224399999999996</v>
      </c>
      <c r="G110" s="61">
        <f>IF(FT!B110&lt;&gt;"",FT!B110*100,"")</f>
        <v>28.053599999999999</v>
      </c>
      <c r="H110" s="61">
        <f t="shared" si="9"/>
        <v>1</v>
      </c>
      <c r="I110" t="str">
        <f>IF(FT!B110&lt;&gt;"",FT!E110,"")</f>
        <v>2 [43.888746]</v>
      </c>
      <c r="J110">
        <f>IF(FT!B110&lt;&gt;"",FT!C110,"")</f>
        <v>43.8887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72020</v>
      </c>
      <c r="D111" s="61">
        <f>FH!B111*1</f>
        <v>72020</v>
      </c>
      <c r="E111">
        <f t="shared" si="11"/>
        <v>109</v>
      </c>
      <c r="F111" s="61">
        <f>IF(FT!A111&lt;&gt;"",FT!A111*10,"")</f>
        <v>4.0437599999999998</v>
      </c>
      <c r="G111" s="61">
        <f>IF(FT!B111&lt;&gt;"",FT!B111*100,"")</f>
        <v>27.946100000000001</v>
      </c>
      <c r="H111" s="61">
        <f t="shared" si="9"/>
        <v>1</v>
      </c>
      <c r="I111" t="str">
        <f>IF(FT!B111&lt;&gt;"",FT!E111,"")</f>
        <v>2 [44.296342]</v>
      </c>
      <c r="J111">
        <f>IF(FT!B111&lt;&gt;"",FT!C111,"")</f>
        <v>44.296300000000002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4.0665200000000006</v>
      </c>
      <c r="G112" s="61">
        <f>IF(FT!B112&lt;&gt;"",FT!B112*100,"")</f>
        <v>27.811799999999998</v>
      </c>
      <c r="H112" s="61">
        <f t="shared" si="9"/>
        <v>1</v>
      </c>
      <c r="I112" t="str">
        <f>IF(FT!B112&lt;&gt;"",FT!E112,"")</f>
        <v>2 [44.706297]</v>
      </c>
      <c r="J112">
        <f>IF(FT!B112&lt;&gt;"",FT!C112,"")</f>
        <v>44.706299999999999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69560</v>
      </c>
      <c r="D113" s="61">
        <f>FH!B113*1</f>
        <v>69560</v>
      </c>
      <c r="E113">
        <f t="shared" si="11"/>
        <v>111</v>
      </c>
      <c r="F113" s="61">
        <f>IF(FT!A113&lt;&gt;"",FT!A113*10,"")</f>
        <v>4.0852500000000003</v>
      </c>
      <c r="G113" s="61">
        <f>IF(FT!B113&lt;&gt;"",FT!B113*100,"")</f>
        <v>27.7422</v>
      </c>
      <c r="H113" s="61">
        <f t="shared" si="9"/>
        <v>1</v>
      </c>
      <c r="I113" t="str">
        <f>IF(FT!B113&lt;&gt;"",FT!E113,"")</f>
        <v>2 [45.108690]</v>
      </c>
      <c r="J113">
        <f>IF(FT!B113&lt;&gt;"",FT!C113,"")</f>
        <v>45.108699999999999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4.1041800000000004</v>
      </c>
      <c r="G114" s="61">
        <f>IF(FT!B114&lt;&gt;"",FT!B114*100,"")</f>
        <v>27.659699999999997</v>
      </c>
      <c r="H114" s="61">
        <f t="shared" si="9"/>
        <v>1</v>
      </c>
      <c r="I114" t="str">
        <f>IF(FT!B114&lt;&gt;"",FT!E114,"")</f>
        <v>2 [45.515240]</v>
      </c>
      <c r="J114">
        <f>IF(FT!B114&lt;&gt;"",FT!C114,"")</f>
        <v>45.5152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4.1217600000000001</v>
      </c>
      <c r="G115" s="61">
        <f>IF(FT!B115&lt;&gt;"",FT!B115*100,"")</f>
        <v>27.5578</v>
      </c>
      <c r="H115" s="61">
        <f t="shared" si="9"/>
        <v>1</v>
      </c>
      <c r="I115" t="str">
        <f>IF(FT!B115&lt;&gt;"",FT!E115,"")</f>
        <v>2 [45.918589]</v>
      </c>
      <c r="J115">
        <f>IF(FT!B115&lt;&gt;"",FT!C115,"")</f>
        <v>45.918599999999998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69639</v>
      </c>
      <c r="D116" s="61">
        <f>FH!B116*1</f>
        <v>69639</v>
      </c>
      <c r="E116">
        <f t="shared" si="11"/>
        <v>114</v>
      </c>
      <c r="F116" s="61">
        <f>IF(FT!A116&lt;&gt;"",FT!A116*10,"")</f>
        <v>4.1320100000000002</v>
      </c>
      <c r="G116" s="61">
        <f>IF(FT!B116&lt;&gt;"",FT!B116*100,"")</f>
        <v>27.5488</v>
      </c>
      <c r="H116" s="61">
        <f t="shared" si="9"/>
        <v>1</v>
      </c>
      <c r="I116" t="str">
        <f>IF(FT!B116&lt;&gt;"",FT!E116,"")</f>
        <v>2 [46.327719]</v>
      </c>
      <c r="J116">
        <f>IF(FT!B116&lt;&gt;"",FT!C116,"")</f>
        <v>46.3277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4.1400899999999998</v>
      </c>
      <c r="G117" s="61">
        <f>IF(FT!B117&lt;&gt;"",FT!B117*100,"")</f>
        <v>27.5243</v>
      </c>
      <c r="H117" s="61">
        <f t="shared" si="9"/>
        <v>1</v>
      </c>
      <c r="I117" t="str">
        <f>IF(FT!B117&lt;&gt;"",FT!E117,"")</f>
        <v>2 [46.730964]</v>
      </c>
      <c r="J117">
        <f>IF(FT!B117&lt;&gt;"",FT!C117,"")</f>
        <v>46.731000000000002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67609</v>
      </c>
      <c r="D118" s="61">
        <f>FH!B118*1</f>
        <v>67609</v>
      </c>
      <c r="E118">
        <f t="shared" si="11"/>
        <v>116</v>
      </c>
      <c r="F118" s="61">
        <f>IF(FT!A118&lt;&gt;"",FT!A118*10,"")</f>
        <v>4.1485599999999998</v>
      </c>
      <c r="G118" s="61">
        <f>IF(FT!B118&lt;&gt;"",FT!B118*100,"")</f>
        <v>27.4909</v>
      </c>
      <c r="H118" s="61">
        <f t="shared" si="9"/>
        <v>1</v>
      </c>
      <c r="I118" t="str">
        <f>IF(FT!B118&lt;&gt;"",FT!E118,"")</f>
        <v>2 [47.139590]</v>
      </c>
      <c r="J118">
        <f>IF(FT!B118&lt;&gt;"",FT!C118,"")</f>
        <v>47.139600000000002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4.1554700000000002</v>
      </c>
      <c r="G119" s="61">
        <f>IF(FT!B119&lt;&gt;"",FT!B119*100,"")</f>
        <v>27.494499999999999</v>
      </c>
      <c r="H119" s="61">
        <f t="shared" si="9"/>
        <v>1</v>
      </c>
      <c r="I119" t="str">
        <f>IF(FT!B119&lt;&gt;"",FT!E119,"")</f>
        <v>2 [47.545770]</v>
      </c>
      <c r="J119">
        <f>IF(FT!B119&lt;&gt;"",FT!C119,"")</f>
        <v>47.5458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4.1627000000000001</v>
      </c>
      <c r="G120" s="61">
        <f>IF(FT!B120&lt;&gt;"",FT!B120*100,"")</f>
        <v>27.477699999999999</v>
      </c>
      <c r="H120" s="61">
        <f t="shared" si="9"/>
        <v>1</v>
      </c>
      <c r="I120" t="str">
        <f>IF(FT!B120&lt;&gt;"",FT!E120,"")</f>
        <v>2 [47.952944]</v>
      </c>
      <c r="J120">
        <f>IF(FT!B120&lt;&gt;"",FT!C120,"")</f>
        <v>47.9529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67902</v>
      </c>
      <c r="D121" s="61">
        <f>FH!B121*1</f>
        <v>67902</v>
      </c>
      <c r="E121">
        <f t="shared" si="11"/>
        <v>119</v>
      </c>
      <c r="F121" s="61">
        <f>IF(FT!A121&lt;&gt;"",FT!A121*10,"")</f>
        <v>4.16873</v>
      </c>
      <c r="G121" s="61">
        <f>IF(FT!B121&lt;&gt;"",FT!B121*100,"")</f>
        <v>27.414899999999996</v>
      </c>
      <c r="H121" s="61">
        <f t="shared" si="9"/>
        <v>1</v>
      </c>
      <c r="I121" t="str">
        <f>IF(FT!B121&lt;&gt;"",FT!E121,"")</f>
        <v>2 [48.356919]</v>
      </c>
      <c r="J121">
        <f>IF(FT!B121&lt;&gt;"",FT!C121,"")</f>
        <v>48.356900000000003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4.1739800000000002</v>
      </c>
      <c r="G122" s="61">
        <f>IF(FT!B122&lt;&gt;"",FT!B122*100,"")</f>
        <v>27.349</v>
      </c>
      <c r="H122" s="61">
        <f t="shared" si="9"/>
        <v>1</v>
      </c>
      <c r="I122" t="str">
        <f>IF(FT!B122&lt;&gt;"",FT!E122,"")</f>
        <v>2 [48.765845]</v>
      </c>
      <c r="J122">
        <f>IF(FT!B122&lt;&gt;"",FT!C122,"")</f>
        <v>48.765799999999999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4.1781100000000002</v>
      </c>
      <c r="G123" s="61">
        <f>IF(FT!B123&lt;&gt;"",FT!B123*100,"")</f>
        <v>27.211999999999996</v>
      </c>
      <c r="H123" s="61">
        <f t="shared" si="9"/>
        <v>1</v>
      </c>
      <c r="I123" t="str">
        <f>IF(FT!B123&lt;&gt;"",FT!E123,"")</f>
        <v>2 [49.169860]</v>
      </c>
      <c r="J123">
        <f>IF(FT!B123&lt;&gt;"",FT!C123,"")</f>
        <v>49.169899999999998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63555</v>
      </c>
      <c r="D124" s="61">
        <f>FH!B124*1</f>
        <v>63555</v>
      </c>
      <c r="E124">
        <f t="shared" si="11"/>
        <v>122</v>
      </c>
      <c r="F124" s="61">
        <f>IF(FT!A124&lt;&gt;"",FT!A124*10,"")</f>
        <v>4.1781499999999996</v>
      </c>
      <c r="G124" s="61">
        <f>IF(FT!B124&lt;&gt;"",FT!B124*100,"")</f>
        <v>27.077400000000001</v>
      </c>
      <c r="H124" s="61">
        <f t="shared" si="9"/>
        <v>1</v>
      </c>
      <c r="I124" t="str">
        <f>IF(FT!B124&lt;&gt;"",FT!E124,"")</f>
        <v>2 [49.573663]</v>
      </c>
      <c r="J124">
        <f>IF(FT!B124&lt;&gt;"",FT!C124,"")</f>
        <v>49.573700000000002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4.1749299999999998</v>
      </c>
      <c r="G125" s="61">
        <f>IF(FT!B125&lt;&gt;"",FT!B125*100,"")</f>
        <v>26.9191</v>
      </c>
      <c r="H125" s="61">
        <f t="shared" si="9"/>
        <v>1</v>
      </c>
      <c r="I125" t="str">
        <f>IF(FT!B125&lt;&gt;"",FT!E125,"")</f>
        <v>2 [49.982735]</v>
      </c>
      <c r="J125">
        <f>IF(FT!B125&lt;&gt;"",FT!C125,"")</f>
        <v>49.982700000000001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60822</v>
      </c>
      <c r="D126" s="61">
        <f>FH!B126*1</f>
        <v>60822</v>
      </c>
      <c r="E126">
        <f t="shared" si="11"/>
        <v>124</v>
      </c>
      <c r="F126" s="61">
        <f>IF(FT!A126&lt;&gt;"",FT!A126*10,"")</f>
        <v>4.1808499999999995</v>
      </c>
      <c r="G126" s="61">
        <f>IF(FT!B126&lt;&gt;"",FT!B126*100,"")</f>
        <v>26.8401</v>
      </c>
      <c r="H126" s="61">
        <f t="shared" si="9"/>
        <v>1</v>
      </c>
      <c r="I126" t="str">
        <f>IF(FT!B126&lt;&gt;"",FT!E126,"")</f>
        <v>2 [50.387829]</v>
      </c>
      <c r="J126">
        <f>IF(FT!B126&lt;&gt;"",FT!C126,"")</f>
        <v>50.387799999999999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4.1888300000000003</v>
      </c>
      <c r="G127" s="61">
        <f>IF(FT!B127&lt;&gt;"",FT!B127*100,"")</f>
        <v>26.756</v>
      </c>
      <c r="H127" s="61">
        <f t="shared" si="9"/>
        <v>1</v>
      </c>
      <c r="I127" t="str">
        <f>IF(FT!B127&lt;&gt;"",FT!E127,"")</f>
        <v>2 [50.795686]</v>
      </c>
      <c r="J127">
        <f>IF(FT!B127&lt;&gt;"",FT!C127,"")</f>
        <v>50.795699999999997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4.1994199999999999</v>
      </c>
      <c r="G128" s="61">
        <f>IF(FT!B128&lt;&gt;"",FT!B128*100,"")</f>
        <v>26.669999999999998</v>
      </c>
      <c r="H128" s="61">
        <f t="shared" si="9"/>
        <v>1</v>
      </c>
      <c r="I128" t="str">
        <f>IF(FT!B128&lt;&gt;"",FT!E128,"")</f>
        <v>2 [51.203857]</v>
      </c>
      <c r="J128">
        <f>IF(FT!B128&lt;&gt;"",FT!C128,"")</f>
        <v>51.203899999999997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61919</v>
      </c>
      <c r="D129" s="61">
        <f>FH!B129*1</f>
        <v>61919</v>
      </c>
      <c r="E129">
        <f t="shared" si="11"/>
        <v>127</v>
      </c>
      <c r="F129" s="61">
        <f>IF(FT!A129&lt;&gt;"",FT!A129*10,"")</f>
        <v>4.2085699999999999</v>
      </c>
      <c r="G129" s="61">
        <f>IF(FT!B129&lt;&gt;"",FT!B129*100,"")</f>
        <v>26.523499999999999</v>
      </c>
      <c r="H129" s="61">
        <f t="shared" si="9"/>
        <v>1</v>
      </c>
      <c r="I129" t="str">
        <f>IF(FT!B129&lt;&gt;"",FT!E129,"")</f>
        <v>2 [51.606829]</v>
      </c>
      <c r="J129">
        <f>IF(FT!B129&lt;&gt;"",FT!C129,"")</f>
        <v>51.6068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4.2150800000000004</v>
      </c>
      <c r="G130" s="61">
        <f>IF(FT!B130&lt;&gt;"",FT!B130*100,"")</f>
        <v>26.367600000000003</v>
      </c>
      <c r="H130" s="61">
        <f t="shared" si="9"/>
        <v>1</v>
      </c>
      <c r="I130" t="str">
        <f>IF(FT!B130&lt;&gt;"",FT!E130,"")</f>
        <v>2 [52.016850]</v>
      </c>
      <c r="J130">
        <f>IF(FT!B130&lt;&gt;"",FT!C130,"")</f>
        <v>52.016800000000003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60497</v>
      </c>
      <c r="D131" s="61">
        <f>FH!B131*1</f>
        <v>60497</v>
      </c>
      <c r="E131">
        <f t="shared" si="11"/>
        <v>129</v>
      </c>
      <c r="F131" s="61">
        <f>IF(FT!A131&lt;&gt;"",FT!A131*10,"")</f>
        <v>4.2170399999999999</v>
      </c>
      <c r="G131" s="61">
        <f>IF(FT!B131&lt;&gt;"",FT!B131*100,"")</f>
        <v>26.2486</v>
      </c>
      <c r="H131" s="61">
        <f t="shared" ref="H131:H194" si="13">(IF(F131&lt;&gt;"",1,""))</f>
        <v>1</v>
      </c>
      <c r="I131" t="str">
        <f>IF(FT!B131&lt;&gt;"",FT!E131,"")</f>
        <v>2 [52.422827]</v>
      </c>
      <c r="J131">
        <f>IF(FT!B131&lt;&gt;"",FT!C131,"")</f>
        <v>52.422800000000002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4.2145899999999994</v>
      </c>
      <c r="G132" s="61">
        <f>IF(FT!B132&lt;&gt;"",FT!B132*100,"")</f>
        <v>26.132100000000001</v>
      </c>
      <c r="H132" s="61">
        <f t="shared" si="13"/>
        <v>1</v>
      </c>
      <c r="I132" t="str">
        <f>IF(FT!B132&lt;&gt;"",FT!E132,"")</f>
        <v>2 [52.828801]</v>
      </c>
      <c r="J132">
        <f>IF(FT!B132&lt;&gt;"",FT!C132,"")</f>
        <v>52.828800000000001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4.2140899999999997</v>
      </c>
      <c r="G133" s="61">
        <f>IF(FT!B133&lt;&gt;"",FT!B133*100,"")</f>
        <v>25.987700000000004</v>
      </c>
      <c r="H133" s="61">
        <f t="shared" si="13"/>
        <v>1</v>
      </c>
      <c r="I133" t="str">
        <f>IF(FT!B133&lt;&gt;"",FT!E133,"")</f>
        <v>2 [53.232485]</v>
      </c>
      <c r="J133">
        <f>IF(FT!B133&lt;&gt;"",FT!C133,"")</f>
        <v>53.232500000000002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61382</v>
      </c>
      <c r="D134" s="61">
        <f>FH!B134*1</f>
        <v>61382</v>
      </c>
      <c r="E134">
        <f t="shared" si="15"/>
        <v>132</v>
      </c>
      <c r="F134" s="61">
        <f>IF(FT!A134&lt;&gt;"",FT!A134*10,"")</f>
        <v>4.2148000000000003</v>
      </c>
      <c r="G134" s="61">
        <f>IF(FT!B134&lt;&gt;"",FT!B134*100,"")</f>
        <v>25.905899999999999</v>
      </c>
      <c r="H134" s="61">
        <f t="shared" si="13"/>
        <v>1</v>
      </c>
      <c r="I134" t="str">
        <f>IF(FT!B134&lt;&gt;"",FT!E134,"")</f>
        <v>2 [53.638172]</v>
      </c>
      <c r="J134">
        <f>IF(FT!B134&lt;&gt;"",FT!C134,"")</f>
        <v>53.638199999999998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4.2149099999999997</v>
      </c>
      <c r="G135" s="61">
        <f>IF(FT!B135&lt;&gt;"",FT!B135*100,"")</f>
        <v>25.825599999999998</v>
      </c>
      <c r="H135" s="61">
        <f t="shared" si="13"/>
        <v>1</v>
      </c>
      <c r="I135" t="str">
        <f>IF(FT!B135&lt;&gt;"",FT!E135,"")</f>
        <v>2 [54.049191]</v>
      </c>
      <c r="J135">
        <f>IF(FT!B135&lt;&gt;"",FT!C135,"")</f>
        <v>54.049199999999999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61002</v>
      </c>
      <c r="D136" s="61">
        <f>FH!B136*1</f>
        <v>61002</v>
      </c>
      <c r="E136">
        <f t="shared" si="15"/>
        <v>134</v>
      </c>
      <c r="F136" s="61">
        <f>IF(FT!A136&lt;&gt;"",FT!A136*10,"")</f>
        <v>4.2130999999999998</v>
      </c>
      <c r="G136" s="61">
        <f>IF(FT!B136&lt;&gt;"",FT!B136*100,"")</f>
        <v>25.745000000000001</v>
      </c>
      <c r="H136" s="61">
        <f t="shared" si="13"/>
        <v>1</v>
      </c>
      <c r="I136" t="str">
        <f>IF(FT!B136&lt;&gt;"",FT!E136,"")</f>
        <v>2 [54.451593]</v>
      </c>
      <c r="J136">
        <f>IF(FT!B136&lt;&gt;"",FT!C136,"")</f>
        <v>54.451599999999999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4.2077100000000005</v>
      </c>
      <c r="G137" s="61">
        <f>IF(FT!B137&lt;&gt;"",FT!B137*100,"")</f>
        <v>25.706200000000003</v>
      </c>
      <c r="H137" s="61">
        <f t="shared" si="13"/>
        <v>1</v>
      </c>
      <c r="I137" t="str">
        <f>IF(FT!B137&lt;&gt;"",FT!E137,"")</f>
        <v>2 [54.855572]</v>
      </c>
      <c r="J137">
        <f>IF(FT!B137&lt;&gt;"",FT!C137,"")</f>
        <v>54.855600000000003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4.2037300000000002</v>
      </c>
      <c r="G138" s="61">
        <f>IF(FT!B138&lt;&gt;"",FT!B138*100,"")</f>
        <v>25.6235</v>
      </c>
      <c r="H138" s="61">
        <f t="shared" si="13"/>
        <v>1</v>
      </c>
      <c r="I138" t="str">
        <f>IF(FT!B138&lt;&gt;"",FT!E138,"")</f>
        <v>2 [55.266184]</v>
      </c>
      <c r="J138">
        <f>IF(FT!B138&lt;&gt;"",FT!C138,"")</f>
        <v>55.266199999999998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58250</v>
      </c>
      <c r="D139" s="61">
        <f>FH!B139*1</f>
        <v>58250</v>
      </c>
      <c r="E139">
        <f t="shared" si="15"/>
        <v>137</v>
      </c>
      <c r="F139" s="61">
        <f>IF(FT!A139&lt;&gt;"",FT!A139*10,"")</f>
        <v>4.19381</v>
      </c>
      <c r="G139" s="61">
        <f>IF(FT!B139&lt;&gt;"",FT!B139*100,"")</f>
        <v>25.577400000000001</v>
      </c>
      <c r="H139" s="61">
        <f t="shared" si="13"/>
        <v>1</v>
      </c>
      <c r="I139" t="str">
        <f>IF(FT!B139&lt;&gt;"",FT!E139,"")</f>
        <v>2 [55.671825]</v>
      </c>
      <c r="J139">
        <f>IF(FT!B139&lt;&gt;"",FT!C139,"")</f>
        <v>55.671799999999998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4.1804399999999999</v>
      </c>
      <c r="G140" s="61">
        <f>IF(FT!B140&lt;&gt;"",FT!B140*100,"")</f>
        <v>25.645699999999998</v>
      </c>
      <c r="H140" s="61">
        <f t="shared" si="13"/>
        <v>1</v>
      </c>
      <c r="I140" t="str">
        <f>IF(FT!B140&lt;&gt;"",FT!E140,"")</f>
        <v>2 [56.076926]</v>
      </c>
      <c r="J140">
        <f>IF(FT!B140&lt;&gt;"",FT!C140,"")</f>
        <v>56.076900000000002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4.17577</v>
      </c>
      <c r="G141" s="61">
        <f>IF(FT!B141&lt;&gt;"",FT!B141*100,"")</f>
        <v>25.6144</v>
      </c>
      <c r="H141" s="61">
        <f t="shared" si="13"/>
        <v>1</v>
      </c>
      <c r="I141" t="str">
        <f>IF(FT!B141&lt;&gt;"",FT!E141,"")</f>
        <v>2 [56.482229]</v>
      </c>
      <c r="J141">
        <f>IF(FT!B141&lt;&gt;"",FT!C141,"")</f>
        <v>56.482199999999999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54664</v>
      </c>
      <c r="D142" s="61">
        <f>FH!B142*1</f>
        <v>54664</v>
      </c>
      <c r="E142">
        <f t="shared" si="15"/>
        <v>140</v>
      </c>
      <c r="F142" s="61">
        <f>IF(FT!A142&lt;&gt;"",FT!A142*10,"")</f>
        <v>4.1748400000000006</v>
      </c>
      <c r="G142" s="61">
        <f>IF(FT!B142&lt;&gt;"",FT!B142*100,"")</f>
        <v>25.634699999999999</v>
      </c>
      <c r="H142" s="61">
        <f t="shared" si="13"/>
        <v>1</v>
      </c>
      <c r="I142" t="str">
        <f>IF(FT!B142&lt;&gt;"",FT!E142,"")</f>
        <v>2 [56.889956]</v>
      </c>
      <c r="J142">
        <f>IF(FT!B142&lt;&gt;"",FT!C142,"")</f>
        <v>56.89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4.1706700000000003</v>
      </c>
      <c r="G143" s="61">
        <f>IF(FT!B143&lt;&gt;"",FT!B143*100,"")</f>
        <v>25.726399999999998</v>
      </c>
      <c r="H143" s="61">
        <f t="shared" si="13"/>
        <v>1</v>
      </c>
      <c r="I143" t="str">
        <f>IF(FT!B143&lt;&gt;"",FT!E143,"")</f>
        <v>2 [57.294833]</v>
      </c>
      <c r="J143">
        <f>IF(FT!B143&lt;&gt;"",FT!C143,"")</f>
        <v>57.294800000000002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47195</v>
      </c>
      <c r="D144" s="61">
        <f>FH!B144*1</f>
        <v>47195</v>
      </c>
      <c r="E144">
        <f t="shared" si="15"/>
        <v>142</v>
      </c>
      <c r="F144" s="61">
        <f>IF(FT!A144&lt;&gt;"",FT!A144*10,"")</f>
        <v>4.1658600000000003</v>
      </c>
      <c r="G144" s="61">
        <f>IF(FT!B144&lt;&gt;"",FT!B144*100,"")</f>
        <v>25.7806</v>
      </c>
      <c r="H144" s="61">
        <f t="shared" si="13"/>
        <v>1</v>
      </c>
      <c r="I144" t="str">
        <f>IF(FT!B144&lt;&gt;"",FT!E144,"")</f>
        <v>2 [57.706648]</v>
      </c>
      <c r="J144">
        <f>IF(FT!B144&lt;&gt;"",FT!C144,"")</f>
        <v>57.706600000000002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4.1546000000000003</v>
      </c>
      <c r="G145" s="61">
        <f>IF(FT!B145&lt;&gt;"",FT!B145*100,"")</f>
        <v>25.880199999999999</v>
      </c>
      <c r="H145" s="61">
        <f t="shared" si="13"/>
        <v>1</v>
      </c>
      <c r="I145" t="str">
        <f>IF(FT!B145&lt;&gt;"",FT!E145,"")</f>
        <v>2 [58.108477]</v>
      </c>
      <c r="J145">
        <f>IF(FT!B145&lt;&gt;"",FT!C145,"")</f>
        <v>58.108499999999999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4.13551</v>
      </c>
      <c r="G146" s="61">
        <f>IF(FT!B146&lt;&gt;"",FT!B146*100,"")</f>
        <v>25.9438</v>
      </c>
      <c r="H146" s="61">
        <f t="shared" si="13"/>
        <v>1</v>
      </c>
      <c r="I146" t="str">
        <f>IF(FT!B146&lt;&gt;"",FT!E146,"")</f>
        <v>2 [58.517475]</v>
      </c>
      <c r="J146">
        <f>IF(FT!B146&lt;&gt;"",FT!C146,"")</f>
        <v>58.517499999999998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42417</v>
      </c>
      <c r="D147" s="61">
        <f>FH!B147*1</f>
        <v>42417</v>
      </c>
      <c r="E147">
        <f t="shared" si="15"/>
        <v>145</v>
      </c>
      <c r="F147" s="61">
        <f>IF(FT!A147&lt;&gt;"",FT!A147*10,"")</f>
        <v>4.0998099999999997</v>
      </c>
      <c r="G147" s="61">
        <f>IF(FT!B147&lt;&gt;"",FT!B147*100,"")</f>
        <v>25.8826</v>
      </c>
      <c r="H147" s="61">
        <f t="shared" si="13"/>
        <v>1</v>
      </c>
      <c r="I147" t="str">
        <f>IF(FT!B147&lt;&gt;"",FT!E147,"")</f>
        <v>2 [58.920782]</v>
      </c>
      <c r="J147">
        <f>IF(FT!B147&lt;&gt;"",FT!C147,"")</f>
        <v>58.9208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4.0539500000000004</v>
      </c>
      <c r="G148" s="61">
        <f>IF(FT!B148&lt;&gt;"",FT!B148*100,"")</f>
        <v>25.7956</v>
      </c>
      <c r="H148" s="61">
        <f t="shared" si="13"/>
        <v>1</v>
      </c>
      <c r="I148" t="str">
        <f>IF(FT!B148&lt;&gt;"",FT!E148,"")</f>
        <v>2 [59.327454]</v>
      </c>
      <c r="J148">
        <f>IF(FT!B148&lt;&gt;"",FT!C148,"")</f>
        <v>59.327500000000001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39931</v>
      </c>
      <c r="D149" s="61">
        <f>FH!B149*1</f>
        <v>39931</v>
      </c>
      <c r="E149">
        <f t="shared" si="15"/>
        <v>147</v>
      </c>
      <c r="F149" s="61">
        <f>IF(FT!A149&lt;&gt;"",FT!A149*10,"")</f>
        <v>4.0076700000000001</v>
      </c>
      <c r="G149" s="61">
        <f>IF(FT!B149&lt;&gt;"",FT!B149*100,"")</f>
        <v>25.6874</v>
      </c>
      <c r="H149" s="61">
        <f t="shared" si="13"/>
        <v>1</v>
      </c>
      <c r="I149" t="str">
        <f>IF(FT!B149&lt;&gt;"",FT!E149,"")</f>
        <v>2 [59.738312]</v>
      </c>
      <c r="J149">
        <f>IF(FT!B149&lt;&gt;"",FT!C149,"")</f>
        <v>59.738300000000002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35979</v>
      </c>
      <c r="D152" s="61">
        <f>FH!B152*1</f>
        <v>35979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24284</v>
      </c>
      <c r="D154" s="61">
        <f>FH!B154*1</f>
        <v>24284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21724</v>
      </c>
      <c r="D157" s="61">
        <f>FH!B157*1</f>
        <v>21724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18351</v>
      </c>
      <c r="D160" s="61">
        <f>FH!B160*1</f>
        <v>18351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17045</v>
      </c>
      <c r="D162" s="61">
        <f>FH!B162*1</f>
        <v>17045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16651</v>
      </c>
      <c r="D165" s="61">
        <f>FH!B165*1</f>
        <v>16651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10671</v>
      </c>
      <c r="D167" s="61">
        <f>FH!B167*1</f>
        <v>10671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11935</v>
      </c>
      <c r="D170" s="61">
        <f>FH!B170*1</f>
        <v>11935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9213</v>
      </c>
      <c r="D173" s="61">
        <f>FH!B173*1</f>
        <v>9213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7458</v>
      </c>
      <c r="D175" s="61">
        <f>FH!B175*1</f>
        <v>7458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8195</v>
      </c>
      <c r="D178" s="61">
        <f>FH!B178*1</f>
        <v>8195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7055</v>
      </c>
      <c r="D180" s="61">
        <f>FH!B180*1</f>
        <v>7055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6281</v>
      </c>
      <c r="D183" s="61">
        <f>FH!B183*1</f>
        <v>6281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6105</v>
      </c>
      <c r="D185" s="61">
        <f>FH!B185*1</f>
        <v>6105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5918</v>
      </c>
      <c r="D188" s="61">
        <f>FH!B188*1</f>
        <v>5918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5113</v>
      </c>
      <c r="D191" s="61">
        <f>FH!B191*1</f>
        <v>5113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4530</v>
      </c>
      <c r="D193" s="61">
        <f>FH!B193*1</f>
        <v>4530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932</v>
      </c>
      <c r="D196" s="61">
        <f>FH!B196*1</f>
        <v>932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38.551099999999998</v>
      </c>
      <c r="C5" s="66">
        <v>11.119199999999999</v>
      </c>
      <c r="D5" s="66">
        <v>28.842700000000001</v>
      </c>
      <c r="E5" s="66">
        <v>20</v>
      </c>
      <c r="F5" s="66">
        <v>9.9908599999999996</v>
      </c>
      <c r="G5" s="66">
        <v>50</v>
      </c>
      <c r="H5" s="66">
        <v>58.808999999999997</v>
      </c>
    </row>
    <row r="6" spans="1:8">
      <c r="A6" s="58" t="s">
        <v>303</v>
      </c>
      <c r="B6" s="66">
        <v>33.3992</v>
      </c>
      <c r="C6" s="66">
        <v>4.2055100000000003</v>
      </c>
      <c r="D6" s="66">
        <v>12.591699999999999</v>
      </c>
      <c r="E6" s="66">
        <v>20</v>
      </c>
      <c r="F6" s="66">
        <v>26.3141</v>
      </c>
      <c r="G6" s="66">
        <v>40</v>
      </c>
      <c r="H6" s="66">
        <v>38.8018</v>
      </c>
    </row>
    <row r="7" spans="1:8">
      <c r="A7" s="58" t="s">
        <v>304</v>
      </c>
      <c r="B7" s="66">
        <v>26.930900000000001</v>
      </c>
      <c r="C7" s="66">
        <v>10.458399999999999</v>
      </c>
      <c r="D7" s="66">
        <v>38.834099999999999</v>
      </c>
      <c r="E7" s="66">
        <v>15</v>
      </c>
      <c r="F7" s="66">
        <v>6.7529300000000001</v>
      </c>
      <c r="G7" s="66">
        <v>40</v>
      </c>
      <c r="H7" s="66">
        <v>54.178600000000003</v>
      </c>
    </row>
    <row r="8" spans="1:8">
      <c r="A8" s="58" t="s">
        <v>305</v>
      </c>
      <c r="B8" s="66">
        <v>32.725700000000003</v>
      </c>
      <c r="C8" s="66">
        <v>5.8134199999999998</v>
      </c>
      <c r="D8" s="66">
        <v>17.764099999999999</v>
      </c>
      <c r="E8" s="66">
        <v>20</v>
      </c>
      <c r="F8" s="66">
        <v>19.518899999999999</v>
      </c>
      <c r="G8" s="66">
        <v>50</v>
      </c>
      <c r="H8" s="66">
        <v>42.2438</v>
      </c>
    </row>
    <row r="9" spans="1:8">
      <c r="A9" s="58" t="s">
        <v>306</v>
      </c>
      <c r="B9" s="66">
        <v>62.969499999999996</v>
      </c>
      <c r="C9" s="66">
        <v>16.588799999999999</v>
      </c>
      <c r="D9" s="66">
        <v>26.344200000000001</v>
      </c>
      <c r="E9" s="66">
        <v>50</v>
      </c>
      <c r="F9" s="66">
        <v>14.7659</v>
      </c>
      <c r="G9" s="66">
        <v>100</v>
      </c>
      <c r="H9" s="66">
        <v>84.960899999999995</v>
      </c>
    </row>
    <row r="10" spans="1:8">
      <c r="A10" s="58" t="s">
        <v>307</v>
      </c>
      <c r="B10" s="66">
        <v>70.186999999999998</v>
      </c>
      <c r="C10" s="66">
        <v>7.6052400000000002</v>
      </c>
      <c r="D10" s="66">
        <v>10.835699999999999</v>
      </c>
      <c r="E10" s="66">
        <v>40</v>
      </c>
      <c r="F10" s="66">
        <v>52.795499999999997</v>
      </c>
      <c r="G10" s="66">
        <v>100</v>
      </c>
      <c r="H10" s="66">
        <v>82.289699999999996</v>
      </c>
    </row>
    <row r="11" spans="1:8">
      <c r="A11" s="58" t="s">
        <v>308</v>
      </c>
      <c r="B11" s="66">
        <v>19.566099999999999</v>
      </c>
      <c r="C11" s="66">
        <v>7.2595599999999996</v>
      </c>
      <c r="D11" s="66">
        <v>37.102600000000002</v>
      </c>
      <c r="E11" s="66">
        <v>10</v>
      </c>
      <c r="F11" s="66">
        <v>5.43222</v>
      </c>
      <c r="G11" s="66">
        <v>50</v>
      </c>
      <c r="H11" s="66">
        <v>28.489799999999999</v>
      </c>
    </row>
    <row r="12" spans="1:8">
      <c r="A12" s="58" t="s">
        <v>309</v>
      </c>
      <c r="B12" s="66">
        <v>64.119699999999995</v>
      </c>
      <c r="C12" s="66">
        <v>8.1607199999999995</v>
      </c>
      <c r="D12" s="66">
        <v>12.7273</v>
      </c>
      <c r="E12" s="66">
        <v>50</v>
      </c>
      <c r="F12" s="66">
        <v>43.3596</v>
      </c>
      <c r="G12" s="66">
        <v>100</v>
      </c>
      <c r="H12" s="66">
        <v>74.138300000000001</v>
      </c>
    </row>
    <row r="13" spans="1:8">
      <c r="A13" s="58" t="s">
        <v>310</v>
      </c>
      <c r="B13" s="66">
        <v>18.190100000000001</v>
      </c>
      <c r="C13" s="66">
        <v>3.0893299999999999</v>
      </c>
      <c r="D13" s="66">
        <v>16.983599999999999</v>
      </c>
      <c r="E13" s="66">
        <v>10</v>
      </c>
      <c r="F13" s="66">
        <v>11.951700000000001</v>
      </c>
      <c r="G13" s="66">
        <v>25</v>
      </c>
      <c r="H13" s="66">
        <v>26.742899999999999</v>
      </c>
    </row>
    <row r="14" spans="1:8">
      <c r="A14" s="58" t="s">
        <v>311</v>
      </c>
      <c r="B14" s="66">
        <v>30.8933</v>
      </c>
      <c r="C14" s="66">
        <v>13.8651</v>
      </c>
      <c r="D14" s="66">
        <v>44.880600000000001</v>
      </c>
      <c r="E14" s="66">
        <v>10</v>
      </c>
      <c r="F14" s="66">
        <v>0.97060800000000003</v>
      </c>
      <c r="G14" s="66">
        <v>50</v>
      </c>
      <c r="H14" s="66">
        <v>43.180799999999998</v>
      </c>
    </row>
    <row r="15" spans="1:8">
      <c r="A15" s="58" t="s">
        <v>312</v>
      </c>
      <c r="B15" s="66">
        <v>0.158637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0.341839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24.6907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0.52309000000000005</v>
      </c>
      <c r="C18" s="66">
        <v>2.43108E-2</v>
      </c>
      <c r="D18" s="66">
        <v>4.64754E-2</v>
      </c>
      <c r="E18" s="66">
        <v>0</v>
      </c>
      <c r="F18" s="66">
        <v>0.49877899999999997</v>
      </c>
      <c r="G18" s="66">
        <v>0</v>
      </c>
      <c r="H18" s="66">
        <v>0.5474</v>
      </c>
    </row>
    <row r="19" spans="1:8">
      <c r="A19" s="58" t="s">
        <v>316</v>
      </c>
      <c r="B19" s="66">
        <v>0.75607999999999997</v>
      </c>
      <c r="C19" s="66">
        <v>5.2743600000000002E-2</v>
      </c>
      <c r="D19" s="66">
        <v>6.9759199999999993E-2</v>
      </c>
      <c r="E19" s="66">
        <v>0</v>
      </c>
      <c r="F19" s="66">
        <v>0.70333599999999996</v>
      </c>
      <c r="G19" s="66">
        <v>0</v>
      </c>
      <c r="H19" s="66">
        <v>0.80882399999999999</v>
      </c>
    </row>
    <row r="20" spans="1:8">
      <c r="A20" s="58" t="s">
        <v>317</v>
      </c>
      <c r="B20" s="66">
        <v>2.0444999999999999E-3</v>
      </c>
      <c r="C20" s="66">
        <v>6.1426599999999998E-2</v>
      </c>
      <c r="D20" s="66">
        <v>30.044899999999998</v>
      </c>
      <c r="E20" s="66">
        <v>0</v>
      </c>
      <c r="F20" s="66">
        <v>0</v>
      </c>
      <c r="G20" s="66">
        <v>0</v>
      </c>
      <c r="H20" s="66">
        <v>1.26088</v>
      </c>
    </row>
    <row r="21" spans="1:8">
      <c r="A21" s="58" t="s">
        <v>318</v>
      </c>
      <c r="B21" s="66">
        <v>5.2217199999999998E-2</v>
      </c>
      <c r="C21" s="66">
        <v>0.31073099999999998</v>
      </c>
      <c r="D21" s="66">
        <v>5.9507500000000002</v>
      </c>
      <c r="E21" s="66">
        <v>0</v>
      </c>
      <c r="F21" s="66">
        <v>1.89223E-4</v>
      </c>
      <c r="G21" s="66">
        <v>0</v>
      </c>
      <c r="H21" s="66">
        <v>2.96956</v>
      </c>
    </row>
    <row r="22" spans="1:8">
      <c r="A22" s="58" t="s">
        <v>319</v>
      </c>
      <c r="B22" s="66">
        <v>54.642899999999997</v>
      </c>
      <c r="C22" s="66">
        <v>19.792300000000001</v>
      </c>
      <c r="D22" s="66">
        <v>0.36221100000000001</v>
      </c>
      <c r="E22" s="66">
        <v>0</v>
      </c>
      <c r="F22" s="66">
        <v>20.311399999999999</v>
      </c>
      <c r="G22" s="66">
        <v>0</v>
      </c>
      <c r="H22" s="66">
        <v>137.45699999999999</v>
      </c>
    </row>
    <row r="23" spans="1:8">
      <c r="A23" s="58" t="s">
        <v>320</v>
      </c>
      <c r="B23" s="66">
        <v>14.8794</v>
      </c>
      <c r="C23" s="66">
        <v>9.4880399999999998</v>
      </c>
      <c r="D23" s="66">
        <v>0.63766400000000001</v>
      </c>
      <c r="E23" s="66">
        <v>0</v>
      </c>
      <c r="F23" s="66">
        <v>7.7849700000000004</v>
      </c>
      <c r="G23" s="66">
        <v>0</v>
      </c>
      <c r="H23" s="66">
        <v>40.072699999999998</v>
      </c>
    </row>
    <row r="24" spans="1:8">
      <c r="A24" s="58" t="s">
        <v>321</v>
      </c>
      <c r="B24" s="66">
        <v>1.16191E-2</v>
      </c>
      <c r="C24" s="66">
        <v>3.3688900000000001E-2</v>
      </c>
      <c r="D24" s="66">
        <v>2.8994499999999999</v>
      </c>
      <c r="E24" s="66">
        <v>0</v>
      </c>
      <c r="F24" s="196">
        <v>2.16835E-5</v>
      </c>
      <c r="G24" s="66">
        <v>0</v>
      </c>
      <c r="H24" s="66">
        <v>0.39266699999999999</v>
      </c>
    </row>
    <row r="25" spans="1:8">
      <c r="A25" s="58" t="s">
        <v>322</v>
      </c>
      <c r="B25" s="66">
        <v>8.4339300000000006E-2</v>
      </c>
      <c r="C25" s="66">
        <v>0.16498599999999999</v>
      </c>
      <c r="D25" s="66">
        <v>1.9562200000000001</v>
      </c>
      <c r="E25" s="66">
        <v>0</v>
      </c>
      <c r="F25" s="66">
        <v>2.6984999999999999E-2</v>
      </c>
      <c r="G25" s="66">
        <v>0</v>
      </c>
      <c r="H25" s="66">
        <v>0.93258099999999999</v>
      </c>
    </row>
    <row r="26" spans="1:8">
      <c r="A26" s="58" t="s">
        <v>323</v>
      </c>
      <c r="B26" s="66">
        <v>6.4666500000000004E-4</v>
      </c>
      <c r="C26" s="66">
        <v>6.7492400000000001E-3</v>
      </c>
      <c r="D26" s="66">
        <v>10.436999999999999</v>
      </c>
      <c r="E26" s="66">
        <v>0</v>
      </c>
      <c r="F26" s="66">
        <v>0</v>
      </c>
      <c r="G26" s="66">
        <v>0</v>
      </c>
      <c r="H26" s="66">
        <v>0.15234700000000001</v>
      </c>
    </row>
    <row r="27" spans="1:8">
      <c r="A27" s="58" t="s">
        <v>324</v>
      </c>
      <c r="B27" s="196">
        <v>-6.5651299999999996E-6</v>
      </c>
      <c r="C27" s="66">
        <v>8.0856000000000001E-3</v>
      </c>
      <c r="D27" s="66">
        <v>-1231.5999999999999</v>
      </c>
      <c r="E27" s="66">
        <v>0</v>
      </c>
      <c r="F27" s="66">
        <v>-0.150148</v>
      </c>
      <c r="G27" s="66">
        <v>0</v>
      </c>
      <c r="H27" s="66">
        <v>0.14934700000000001</v>
      </c>
    </row>
    <row r="28" spans="1:8">
      <c r="A28" s="58" t="s">
        <v>325</v>
      </c>
      <c r="B28" s="66">
        <v>8.2893900000000006E-3</v>
      </c>
      <c r="C28" s="66">
        <v>2.38617E-2</v>
      </c>
      <c r="D28" s="66">
        <v>2.87859</v>
      </c>
      <c r="E28" s="66">
        <v>0</v>
      </c>
      <c r="F28" s="196">
        <v>5.2083300000000003E-5</v>
      </c>
      <c r="G28" s="66">
        <v>0</v>
      </c>
      <c r="H28" s="66">
        <v>0.220885</v>
      </c>
    </row>
    <row r="29" spans="1:8">
      <c r="A29" s="58" t="s">
        <v>326</v>
      </c>
      <c r="B29" s="66">
        <v>73.261300000000006</v>
      </c>
      <c r="C29" s="66">
        <v>11.9986</v>
      </c>
      <c r="D29" s="66">
        <v>0.16377800000000001</v>
      </c>
      <c r="E29" s="66">
        <v>0</v>
      </c>
      <c r="F29" s="66">
        <v>41.240600000000001</v>
      </c>
      <c r="G29" s="66">
        <v>0</v>
      </c>
      <c r="H29" s="66">
        <v>107.64</v>
      </c>
    </row>
    <row r="30" spans="1:8">
      <c r="A30" s="58" t="s">
        <v>327</v>
      </c>
      <c r="B30" s="66">
        <v>16.3752</v>
      </c>
      <c r="C30" s="66">
        <v>9.8692299999999999</v>
      </c>
      <c r="D30" s="66">
        <v>0.60269300000000003</v>
      </c>
      <c r="E30" s="66">
        <v>0</v>
      </c>
      <c r="F30" s="66">
        <v>8.8877600000000001</v>
      </c>
      <c r="G30" s="66">
        <v>0</v>
      </c>
      <c r="H30" s="66">
        <v>41.822899999999997</v>
      </c>
    </row>
    <row r="31" spans="1:8">
      <c r="A31" s="58" t="s">
        <v>328</v>
      </c>
      <c r="B31" s="66">
        <v>202.30799999999999</v>
      </c>
      <c r="C31" s="66">
        <v>102.861</v>
      </c>
      <c r="D31" s="66">
        <v>0.508436</v>
      </c>
      <c r="E31" s="66">
        <v>0</v>
      </c>
      <c r="F31" s="66">
        <v>47.624699999999997</v>
      </c>
      <c r="G31" s="66">
        <v>0</v>
      </c>
      <c r="H31" s="66">
        <v>410.32499999999999</v>
      </c>
    </row>
    <row r="32" spans="1:8">
      <c r="A32" s="58" t="s">
        <v>329</v>
      </c>
      <c r="B32" s="66">
        <v>0.26930900000000002</v>
      </c>
      <c r="C32" s="66">
        <v>0.104584</v>
      </c>
      <c r="D32" s="66">
        <v>0.38834099999999999</v>
      </c>
      <c r="E32" s="66">
        <v>0.15</v>
      </c>
      <c r="F32" s="66">
        <v>6.75293E-2</v>
      </c>
      <c r="G32" s="66">
        <v>0.4</v>
      </c>
      <c r="H32" s="66">
        <v>0.54178599999999999</v>
      </c>
    </row>
    <row r="33" spans="1:8">
      <c r="A33" s="58" t="s">
        <v>330</v>
      </c>
      <c r="B33" s="66">
        <v>0.37467499999999998</v>
      </c>
      <c r="C33" s="66">
        <v>3.5423200000000002E-2</v>
      </c>
      <c r="D33" s="66">
        <v>9.45439E-2</v>
      </c>
      <c r="E33" s="66">
        <v>0</v>
      </c>
      <c r="F33" s="66">
        <v>0.29020800000000002</v>
      </c>
      <c r="G33" s="66">
        <v>0</v>
      </c>
      <c r="H33" s="66">
        <v>0.44577099999999997</v>
      </c>
    </row>
    <row r="34" spans="1:8">
      <c r="A34" s="58" t="s">
        <v>331</v>
      </c>
      <c r="B34" s="66">
        <v>0.18190100000000001</v>
      </c>
      <c r="C34" s="66">
        <v>3.0893299999999999E-2</v>
      </c>
      <c r="D34" s="66">
        <v>0.16983599999999999</v>
      </c>
      <c r="E34" s="66">
        <v>0.1</v>
      </c>
      <c r="F34" s="66">
        <v>0.119517</v>
      </c>
      <c r="G34" s="66">
        <v>0.25</v>
      </c>
      <c r="H34" s="66">
        <v>0.26742899999999997</v>
      </c>
    </row>
    <row r="35" spans="1:8">
      <c r="A35" s="58" t="s">
        <v>332</v>
      </c>
      <c r="B35" s="66">
        <v>8.2516999999999993E-2</v>
      </c>
      <c r="C35" s="66">
        <v>1.9891499999999999E-2</v>
      </c>
      <c r="D35" s="66">
        <v>0.24106</v>
      </c>
      <c r="E35" s="66">
        <v>0</v>
      </c>
      <c r="F35" s="66">
        <v>4.1992300000000003E-2</v>
      </c>
      <c r="G35" s="66">
        <v>0</v>
      </c>
      <c r="H35" s="66">
        <v>0.13958999999999999</v>
      </c>
    </row>
    <row r="36" spans="1:8">
      <c r="A36" s="58" t="s">
        <v>333</v>
      </c>
      <c r="B36" s="66">
        <v>0.17228399999999999</v>
      </c>
      <c r="C36" s="66">
        <v>9.2923199999999997E-2</v>
      </c>
      <c r="D36" s="66">
        <v>0.53936099999999998</v>
      </c>
      <c r="E36" s="66">
        <v>0</v>
      </c>
      <c r="F36" s="66">
        <v>3.5960699999999998E-2</v>
      </c>
      <c r="G36" s="66">
        <v>0</v>
      </c>
      <c r="H36" s="66">
        <v>0.50513300000000005</v>
      </c>
    </row>
    <row r="37" spans="1:8">
      <c r="A37" s="58" t="s">
        <v>334</v>
      </c>
      <c r="B37" s="66">
        <v>0.30893300000000001</v>
      </c>
      <c r="C37" s="66">
        <v>0.138651</v>
      </c>
      <c r="D37" s="66">
        <v>0.44880599999999998</v>
      </c>
      <c r="E37" s="66">
        <v>0.1</v>
      </c>
      <c r="F37" s="66">
        <v>9.7060800000000006E-3</v>
      </c>
      <c r="G37" s="66">
        <v>0.5</v>
      </c>
      <c r="H37" s="66">
        <v>0.43180800000000003</v>
      </c>
    </row>
    <row r="38" spans="1:8">
      <c r="A38" s="58" t="s">
        <v>335</v>
      </c>
      <c r="B38" s="66">
        <v>-20.546099999999999</v>
      </c>
      <c r="C38" s="66">
        <v>49.161700000000003</v>
      </c>
      <c r="D38" s="66">
        <v>-2.3927499999999999</v>
      </c>
      <c r="E38" s="66">
        <v>0</v>
      </c>
      <c r="F38" s="66">
        <v>-176.309</v>
      </c>
      <c r="G38" s="66">
        <v>0</v>
      </c>
      <c r="H38" s="66">
        <v>335.48399999999998</v>
      </c>
    </row>
    <row r="39" spans="1:8">
      <c r="A39" s="58" t="s">
        <v>336</v>
      </c>
      <c r="B39" s="66">
        <v>-7.1702500000000002</v>
      </c>
      <c r="C39" s="66">
        <v>7.1381500000000004</v>
      </c>
      <c r="D39" s="66">
        <v>-0.99552300000000005</v>
      </c>
      <c r="E39" s="66">
        <v>0</v>
      </c>
      <c r="F39" s="66">
        <v>-50.381100000000004</v>
      </c>
      <c r="G39" s="66">
        <v>0</v>
      </c>
      <c r="H39" s="66">
        <v>31.1846</v>
      </c>
    </row>
    <row r="40" spans="1:8">
      <c r="A40" s="58" t="s">
        <v>337</v>
      </c>
      <c r="B40" s="66">
        <v>-1.80718</v>
      </c>
      <c r="C40" s="66">
        <v>2.0301900000000002</v>
      </c>
      <c r="D40" s="66">
        <v>-1.12341</v>
      </c>
      <c r="E40" s="66">
        <v>0</v>
      </c>
      <c r="F40" s="66">
        <v>-6.3126600000000002</v>
      </c>
      <c r="G40" s="66">
        <v>0</v>
      </c>
      <c r="H40" s="66">
        <v>1.2562599999999999</v>
      </c>
    </row>
    <row r="41" spans="1:8">
      <c r="A41" s="58" t="s">
        <v>338</v>
      </c>
      <c r="B41" s="66">
        <v>-0.17954800000000001</v>
      </c>
      <c r="C41" s="66">
        <v>0.29328399999999999</v>
      </c>
      <c r="D41" s="66">
        <v>-1.6334599999999999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-0.177952</v>
      </c>
      <c r="C42" s="66">
        <v>9.6985799999999997E-2</v>
      </c>
      <c r="D42" s="66">
        <v>-0.54501200000000005</v>
      </c>
      <c r="E42" s="66">
        <v>0</v>
      </c>
      <c r="F42" s="66">
        <v>-0.60760800000000004</v>
      </c>
      <c r="G42" s="66">
        <v>0</v>
      </c>
      <c r="H42" s="66">
        <v>0.24916099999999999</v>
      </c>
    </row>
    <row r="43" spans="1:8">
      <c r="A43" s="58" t="s">
        <v>340</v>
      </c>
      <c r="B43" s="66">
        <v>-0.135412</v>
      </c>
      <c r="C43" s="66">
        <v>7.1078500000000003E-2</v>
      </c>
      <c r="D43" s="66">
        <v>-0.52490499999999995</v>
      </c>
      <c r="E43" s="66">
        <v>0</v>
      </c>
      <c r="F43" s="66">
        <v>-0.26576100000000002</v>
      </c>
      <c r="G43" s="66">
        <v>0</v>
      </c>
      <c r="H43" s="66">
        <v>6.4350700000000002E-3</v>
      </c>
    </row>
    <row r="44" spans="1:8">
      <c r="A44" s="58" t="s">
        <v>341</v>
      </c>
      <c r="B44" s="66">
        <v>2.9294699999999998</v>
      </c>
      <c r="C44" s="66">
        <v>15.0274</v>
      </c>
      <c r="D44" s="66">
        <v>5.12974</v>
      </c>
      <c r="E44" s="66">
        <v>0</v>
      </c>
      <c r="F44" s="66">
        <v>-24.415400000000002</v>
      </c>
      <c r="G44" s="66">
        <v>0</v>
      </c>
      <c r="H44" s="66">
        <v>36.363</v>
      </c>
    </row>
    <row r="45" spans="1:8">
      <c r="A45" s="58" t="s">
        <v>342</v>
      </c>
      <c r="B45" s="66">
        <v>59.612000000000002</v>
      </c>
      <c r="C45" s="66">
        <v>6.8528900000000004</v>
      </c>
      <c r="D45" s="66">
        <v>0.114958</v>
      </c>
      <c r="E45" s="66">
        <v>0</v>
      </c>
      <c r="F45" s="66">
        <v>39.142200000000003</v>
      </c>
      <c r="G45" s="66">
        <v>0</v>
      </c>
      <c r="H45" s="66">
        <v>81.046599999999998</v>
      </c>
    </row>
    <row r="46" spans="1:8">
      <c r="A46" s="58" t="s">
        <v>343</v>
      </c>
      <c r="B46" s="66">
        <v>27.805599999999998</v>
      </c>
      <c r="C46" s="66">
        <v>9.7057800000000007</v>
      </c>
      <c r="D46" s="66">
        <v>0.34905900000000001</v>
      </c>
      <c r="E46" s="66">
        <v>0</v>
      </c>
      <c r="F46" s="66">
        <v>7.8409399999999998</v>
      </c>
      <c r="G46" s="66">
        <v>0</v>
      </c>
      <c r="H46" s="66">
        <v>46.846899999999998</v>
      </c>
    </row>
    <row r="47" spans="1:8">
      <c r="A47" s="58" t="s">
        <v>344</v>
      </c>
      <c r="B47" s="66">
        <v>0.71097600000000005</v>
      </c>
      <c r="C47" s="66">
        <v>0.27148</v>
      </c>
      <c r="D47" s="66">
        <v>0.38184099999999999</v>
      </c>
      <c r="E47" s="66">
        <v>0</v>
      </c>
      <c r="F47" s="66">
        <v>0.21561</v>
      </c>
      <c r="G47" s="66">
        <v>0</v>
      </c>
      <c r="H47" s="66">
        <v>1.8796999999999999</v>
      </c>
    </row>
    <row r="48" spans="1:8">
      <c r="A48" s="58" t="s">
        <v>345</v>
      </c>
      <c r="B48" s="66">
        <v>0.75765000000000005</v>
      </c>
      <c r="C48" s="66">
        <v>0.19698099999999999</v>
      </c>
      <c r="D48" s="66">
        <v>0.25998900000000003</v>
      </c>
      <c r="E48" s="66">
        <v>0</v>
      </c>
      <c r="F48" s="66">
        <v>0.37062699999999998</v>
      </c>
      <c r="G48" s="66">
        <v>0</v>
      </c>
      <c r="H48" s="66">
        <v>1.07036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11.107700000000001</v>
      </c>
      <c r="C5" s="66">
        <f>'M2'!C5-'M1'!C5</f>
        <v>-3.0373200000000002</v>
      </c>
      <c r="D5" s="66">
        <f>'M2'!D5-'M1'!D5</f>
        <v>-12.649800000000001</v>
      </c>
      <c r="E5" s="66">
        <f>'M2'!E5-'M1'!E5</f>
        <v>0</v>
      </c>
      <c r="F5" s="66">
        <f>'M2'!F5-'M1'!F5</f>
        <v>28.877839999999999</v>
      </c>
      <c r="G5" s="66">
        <f>'M2'!G5-'M1'!G5</f>
        <v>0</v>
      </c>
      <c r="H5" s="66">
        <f>'M2'!H5-'M1'!H5</f>
        <v>20.575399999999995</v>
      </c>
    </row>
    <row r="6" spans="1:8">
      <c r="A6" s="66" t="s">
        <v>244</v>
      </c>
      <c r="B6" s="66">
        <f>'M2'!B6-'M1'!B6</f>
        <v>-5.0069000000000017</v>
      </c>
      <c r="C6" s="66">
        <f>'M2'!C6-'M1'!C6</f>
        <v>1.6477900000000001</v>
      </c>
      <c r="D6" s="66">
        <f>'M2'!D6-'M1'!D6</f>
        <v>7.2541700000000002</v>
      </c>
      <c r="E6" s="66">
        <f>'M2'!E6-'M1'!E6</f>
        <v>0</v>
      </c>
      <c r="F6" s="66">
        <f>'M2'!F6-'M1'!F6</f>
        <v>-0.45050000000000168</v>
      </c>
      <c r="G6" s="66">
        <f>'M2'!G6-'M1'!G6</f>
        <v>0</v>
      </c>
      <c r="H6" s="66">
        <f>'M2'!H6-'M1'!H6</f>
        <v>-2.5900000000000034E-2</v>
      </c>
    </row>
    <row r="7" spans="1:8">
      <c r="A7" s="66" t="s">
        <v>245</v>
      </c>
      <c r="B7" s="66">
        <f>'M2'!B7-'M1'!B7</f>
        <v>3.5086000000000013</v>
      </c>
      <c r="C7" s="66">
        <f>'M2'!C7-'M1'!C7</f>
        <v>-8.7283800000000014</v>
      </c>
      <c r="D7" s="66">
        <f>'M2'!D7-'M1'!D7</f>
        <v>-38.0916</v>
      </c>
      <c r="E7" s="66">
        <f>'M2'!E7-'M1'!E7</f>
        <v>0</v>
      </c>
      <c r="F7" s="66">
        <f>'M2'!F7-'M1'!F7</f>
        <v>-0.55963999999999992</v>
      </c>
      <c r="G7" s="66">
        <f>'M2'!G7-'M1'!G7</f>
        <v>0</v>
      </c>
      <c r="H7" s="66">
        <f>'M2'!H7-'M1'!H7</f>
        <v>-10.901400000000002</v>
      </c>
    </row>
    <row r="8" spans="1:8">
      <c r="A8" s="66" t="s">
        <v>246</v>
      </c>
      <c r="B8" s="66">
        <f>'M2'!B8-'M1'!B8</f>
        <v>2.9293999999999976</v>
      </c>
      <c r="C8" s="66">
        <f>'M2'!C8-'M1'!C8</f>
        <v>-2.4372300000000005</v>
      </c>
      <c r="D8" s="66">
        <f>'M2'!D8-'M1'!D8</f>
        <v>-9.0980000000000008</v>
      </c>
      <c r="E8" s="66">
        <f>'M2'!E8-'M1'!E8</f>
        <v>0</v>
      </c>
      <c r="F8" s="66">
        <f>'M2'!F8-'M1'!F8</f>
        <v>4.9720000000000013</v>
      </c>
      <c r="G8" s="66">
        <f>'M2'!G8-'M1'!G8</f>
        <v>0</v>
      </c>
      <c r="H8" s="66">
        <f>'M2'!H8-'M1'!H8</f>
        <v>0.62049999999999983</v>
      </c>
    </row>
    <row r="9" spans="1:8">
      <c r="A9" s="66" t="s">
        <v>247</v>
      </c>
      <c r="B9" s="66">
        <f>'M2'!B9-'M1'!B9</f>
        <v>20.813000000000002</v>
      </c>
      <c r="C9" s="66">
        <f>'M2'!C9-'M1'!C9</f>
        <v>-15.389279999999998</v>
      </c>
      <c r="D9" s="66">
        <f>'M2'!D9-'M1'!D9</f>
        <v>-37.148290000000003</v>
      </c>
      <c r="E9" s="66">
        <f>'M2'!E9-'M1'!E9</f>
        <v>0</v>
      </c>
      <c r="F9" s="66">
        <f>'M2'!F9-'M1'!F9</f>
        <v>42.988700000000001</v>
      </c>
      <c r="G9" s="66">
        <f>'M2'!G9-'M1'!G9</f>
        <v>0</v>
      </c>
      <c r="H9" s="66">
        <f>'M2'!H9-'M1'!H9</f>
        <v>-10.81689999999999</v>
      </c>
    </row>
    <row r="10" spans="1:8">
      <c r="A10" s="66" t="s">
        <v>248</v>
      </c>
      <c r="B10" s="66">
        <f>'M2'!B10-'M1'!B10</f>
        <v>8.5740999999999872</v>
      </c>
      <c r="C10" s="66">
        <f>'M2'!C10-'M1'!C10</f>
        <v>1.2065400000000004</v>
      </c>
      <c r="D10" s="66">
        <f>'M2'!D10-'M1'!D10</f>
        <v>0.41580000000000084</v>
      </c>
      <c r="E10" s="66">
        <f>'M2'!E10-'M1'!E10</f>
        <v>0</v>
      </c>
      <c r="F10" s="66">
        <f>'M2'!F10-'M1'!F10</f>
        <v>-3.9650999999999996</v>
      </c>
      <c r="G10" s="66">
        <f>'M2'!G10-'M1'!G10</f>
        <v>0</v>
      </c>
      <c r="H10" s="66">
        <f>'M2'!H10-'M1'!H10</f>
        <v>-4.2595999999999918</v>
      </c>
    </row>
    <row r="11" spans="1:8">
      <c r="A11" s="66" t="s">
        <v>249</v>
      </c>
      <c r="B11" s="66">
        <f>'M2'!B11-'M1'!B11</f>
        <v>13.633459999999999</v>
      </c>
      <c r="C11" s="66">
        <f>'M2'!C11-'M1'!C11</f>
        <v>-0.69599000000000011</v>
      </c>
      <c r="D11" s="66">
        <f>'M2'!D11-'M1'!D11</f>
        <v>-22.3889</v>
      </c>
      <c r="E11" s="66">
        <f>'M2'!E11-'M1'!E11</f>
        <v>0</v>
      </c>
      <c r="F11" s="66">
        <f>'M2'!F11-'M1'!F11</f>
        <v>14.376379999999997</v>
      </c>
      <c r="G11" s="66">
        <f>'M2'!G11-'M1'!G11</f>
        <v>0</v>
      </c>
      <c r="H11" s="66">
        <f>'M2'!H11-'M1'!H11</f>
        <v>9.1661000000000001</v>
      </c>
    </row>
    <row r="12" spans="1:8">
      <c r="A12" s="66" t="s">
        <v>250</v>
      </c>
      <c r="B12" s="66">
        <f>'M2'!B12-'M1'!B12</f>
        <v>11.904800000000002</v>
      </c>
      <c r="C12" s="66">
        <f>'M2'!C12-'M1'!C12</f>
        <v>-4.5002700000000004</v>
      </c>
      <c r="D12" s="66">
        <f>'M2'!D12-'M1'!D12</f>
        <v>-9.0458300000000005</v>
      </c>
      <c r="E12" s="66">
        <f>'M2'!E12-'M1'!E12</f>
        <v>0</v>
      </c>
      <c r="F12" s="66">
        <f>'M2'!F12-'M1'!F12</f>
        <v>14.939399999999999</v>
      </c>
      <c r="G12" s="66">
        <f>'M2'!G12-'M1'!G12</f>
        <v>0</v>
      </c>
      <c r="H12" s="66">
        <f>'M2'!H12-'M1'!H12</f>
        <v>2.4598000000000013</v>
      </c>
    </row>
    <row r="13" spans="1:8">
      <c r="A13" s="66" t="s">
        <v>251</v>
      </c>
      <c r="B13" s="66">
        <f>'M2'!B13-'M1'!B13</f>
        <v>-0.48179999999999978</v>
      </c>
      <c r="C13" s="66">
        <f>'M2'!C13-'M1'!C13</f>
        <v>-1.80816</v>
      </c>
      <c r="D13" s="66">
        <f>'M2'!D13-'M1'!D13</f>
        <v>-9.4285000000000014</v>
      </c>
      <c r="E13" s="66">
        <f>'M2'!E13-'M1'!E13</f>
        <v>0</v>
      </c>
      <c r="F13" s="66">
        <f>'M2'!F13-'M1'!F13</f>
        <v>3.4443999999999999</v>
      </c>
      <c r="G13" s="66">
        <f>'M2'!G13-'M1'!G13</f>
        <v>0</v>
      </c>
      <c r="H13" s="66">
        <f>'M2'!H13-'M1'!H13</f>
        <v>-0.92459999999999809</v>
      </c>
    </row>
    <row r="14" spans="1:8">
      <c r="A14" s="66" t="s">
        <v>252</v>
      </c>
      <c r="B14" s="66">
        <f>'M2'!B14-'M1'!B14</f>
        <v>-18.081600000000002</v>
      </c>
      <c r="C14" s="66">
        <f>'M2'!C14-'M1'!C14</f>
        <v>-1.6097999999999999</v>
      </c>
      <c r="D14" s="66">
        <f>'M2'!D14-'M1'!D14</f>
        <v>25.8018</v>
      </c>
      <c r="E14" s="66">
        <f>'M2'!E14-'M1'!E14</f>
        <v>0</v>
      </c>
      <c r="F14" s="66">
        <f>'M2'!F14-'M1'!F14</f>
        <v>2.9233320000000003</v>
      </c>
      <c r="G14" s="66">
        <f>'M2'!G14-'M1'!G14</f>
        <v>0</v>
      </c>
      <c r="H14" s="66">
        <f>'M2'!H14-'M1'!H14</f>
        <v>-4.8322999999999965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0.14983000000000007</v>
      </c>
      <c r="C18" s="66">
        <f>'M2'!C18-'M1'!C18</f>
        <v>2.43108E-2</v>
      </c>
      <c r="D18" s="66">
        <f>'M2'!D18-'M1'!D18</f>
        <v>4.64754E-2</v>
      </c>
      <c r="E18" s="66">
        <f>'M2'!E18-'M1'!E18</f>
        <v>0</v>
      </c>
      <c r="F18" s="66">
        <f>'M2'!F18-'M1'!F18</f>
        <v>0.49877899999999997</v>
      </c>
      <c r="G18" s="66">
        <f>'M2'!G18-'M1'!G18</f>
        <v>0</v>
      </c>
      <c r="H18" s="66">
        <f>'M2'!H18-'M1'!H18</f>
        <v>0.5474</v>
      </c>
    </row>
    <row r="19" spans="1:8">
      <c r="A19" s="66" t="s">
        <v>256</v>
      </c>
      <c r="B19" s="66">
        <f>'M2'!B19-'M1'!B19</f>
        <v>0.24594199999999999</v>
      </c>
      <c r="C19" s="66">
        <f>'M2'!C19-'M1'!C19</f>
        <v>5.2743600000000002E-2</v>
      </c>
      <c r="D19" s="66">
        <f>'M2'!D19-'M1'!D19</f>
        <v>6.9759199999999993E-2</v>
      </c>
      <c r="E19" s="66">
        <f>'M2'!E19-'M1'!E19</f>
        <v>0</v>
      </c>
      <c r="F19" s="66">
        <f>'M2'!F19-'M1'!F19</f>
        <v>0.70333599999999996</v>
      </c>
      <c r="G19" s="66">
        <f>'M2'!G19-'M1'!G19</f>
        <v>0</v>
      </c>
      <c r="H19" s="66">
        <f>'M2'!H19-'M1'!H19</f>
        <v>0.80882399999999999</v>
      </c>
    </row>
    <row r="20" spans="1:8">
      <c r="A20" s="66" t="s">
        <v>63</v>
      </c>
      <c r="B20" s="66">
        <f>'M2'!B20-'M1'!B20</f>
        <v>-4.4448970000000006E-3</v>
      </c>
      <c r="C20" s="66">
        <f>'M2'!C20-'M1'!C20</f>
        <v>-6.4909999999999995E-2</v>
      </c>
      <c r="D20" s="66">
        <f>'M2'!D20-'M1'!D20</f>
        <v>35.731900000000003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-1.1645704000000001</v>
      </c>
    </row>
    <row r="21" spans="1:8">
      <c r="A21" s="66" t="s">
        <v>64</v>
      </c>
      <c r="B21" s="66">
        <f>'M2'!B21-'M1'!B21</f>
        <v>7.9459999999999947E-4</v>
      </c>
      <c r="C21" s="66">
        <f>'M2'!C21-'M1'!C21</f>
        <v>-0.347221</v>
      </c>
      <c r="D21" s="66">
        <f>'M2'!D21-'M1'!D21</f>
        <v>-6.7756099999999995</v>
      </c>
      <c r="E21" s="66">
        <f>'M2'!E21-'M1'!E21</f>
        <v>0</v>
      </c>
      <c r="F21" s="66">
        <f>'M2'!F21-'M1'!F21</f>
        <v>-1.2991769999999999E-3</v>
      </c>
      <c r="G21" s="66">
        <f>'M2'!G21-'M1'!G21</f>
        <v>0</v>
      </c>
      <c r="H21" s="66">
        <f>'M2'!H21-'M1'!H21</f>
        <v>-2.6372779999999998</v>
      </c>
    </row>
    <row r="22" spans="1:8">
      <c r="A22" s="66" t="s">
        <v>65</v>
      </c>
      <c r="B22" s="66">
        <f>'M2'!B22-'M1'!B22</f>
        <v>19.125500000000002</v>
      </c>
      <c r="C22" s="66">
        <f>'M2'!C22-'M1'!C22</f>
        <v>5.9635999999999996</v>
      </c>
      <c r="D22" s="66">
        <f>'M2'!D22-'M1'!D22</f>
        <v>6.0870000000000091E-3</v>
      </c>
      <c r="E22" s="66">
        <f>'M2'!E22-'M1'!E22</f>
        <v>0</v>
      </c>
      <c r="F22" s="66">
        <f>'M2'!F22-'M1'!F22</f>
        <v>12.741300000000003</v>
      </c>
      <c r="G22" s="66">
        <f>'M2'!G22-'M1'!G22</f>
        <v>0</v>
      </c>
      <c r="H22" s="66">
        <f>'M2'!H22-'M1'!H22</f>
        <v>59.252899999999997</v>
      </c>
    </row>
    <row r="23" spans="1:8">
      <c r="A23" s="66" t="s">
        <v>66</v>
      </c>
      <c r="B23" s="66">
        <f>'M2'!B23-'M1'!B23</f>
        <v>4.4283999999999981</v>
      </c>
      <c r="C23" s="66">
        <f>'M2'!C23-'M1'!C23</f>
        <v>8.5950000000000006</v>
      </c>
      <c r="D23" s="66">
        <f>'M2'!D23-'M1'!D23</f>
        <v>0.46128899999999995</v>
      </c>
      <c r="E23" s="66">
        <f>'M2'!E23-'M1'!E23</f>
        <v>0</v>
      </c>
      <c r="F23" s="66">
        <f>'M2'!F23-'M1'!F23</f>
        <v>6.3788299999999998</v>
      </c>
      <c r="G23" s="66">
        <f>'M2'!G23-'M1'!G23</f>
        <v>0</v>
      </c>
      <c r="H23" s="66">
        <f>'M2'!H23-'M1'!H23</f>
        <v>24.059399999999997</v>
      </c>
    </row>
    <row r="24" spans="1:8">
      <c r="A24" s="66" t="s">
        <v>67</v>
      </c>
      <c r="B24" s="66">
        <f>'M2'!B24-'M1'!B24</f>
        <v>-6.6907400000000006E-3</v>
      </c>
      <c r="C24" s="66">
        <f>'M2'!C24-'M1'!C24</f>
        <v>-3.4500499999999996E-2</v>
      </c>
      <c r="D24" s="66">
        <f>'M2'!D24-'M1'!D24</f>
        <v>-1.7696099999999999</v>
      </c>
      <c r="E24" s="66">
        <f>'M2'!E24-'M1'!E24</f>
        <v>0</v>
      </c>
      <c r="F24" s="66">
        <f>'M2'!F24-'M1'!F24</f>
        <v>-2.4992299999999998E-5</v>
      </c>
      <c r="G24" s="66">
        <f>'M2'!G24-'M1'!G24</f>
        <v>0</v>
      </c>
      <c r="H24" s="66">
        <f>'M2'!H24-'M1'!H24</f>
        <v>-0.35073759999999998</v>
      </c>
    </row>
    <row r="25" spans="1:8">
      <c r="A25" s="66" t="s">
        <v>68</v>
      </c>
      <c r="B25" s="66">
        <f>'M2'!B25-'M1'!B25</f>
        <v>1.3910599999999995E-2</v>
      </c>
      <c r="C25" s="66">
        <f>'M2'!C25-'M1'!C25</f>
        <v>-0.19096750000000001</v>
      </c>
      <c r="D25" s="66">
        <f>'M2'!D25-'M1'!D25</f>
        <v>-2.710912</v>
      </c>
      <c r="E25" s="66">
        <f>'M2'!E25-'M1'!E25</f>
        <v>0</v>
      </c>
      <c r="F25" s="66">
        <f>'M2'!F25-'M1'!F25</f>
        <v>1.55298E-2</v>
      </c>
      <c r="G25" s="66">
        <f>'M2'!G25-'M1'!G25</f>
        <v>0</v>
      </c>
      <c r="H25" s="66">
        <f>'M2'!H25-'M1'!H25</f>
        <v>-0.64796999999999993</v>
      </c>
    </row>
    <row r="26" spans="1:8">
      <c r="A26" s="66" t="s">
        <v>69</v>
      </c>
      <c r="B26" s="66">
        <f>'M2'!B26-'M1'!B26</f>
        <v>-1.1948520000000002E-3</v>
      </c>
      <c r="C26" s="66">
        <f>'M2'!C26-'M1'!C26</f>
        <v>-8.0244900000000004E-3</v>
      </c>
      <c r="D26" s="66">
        <f>'M2'!D26-'M1'!D26</f>
        <v>0.96415999999999968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-0.14702925</v>
      </c>
    </row>
    <row r="27" spans="1:8">
      <c r="A27" s="66" t="s">
        <v>70</v>
      </c>
      <c r="B27" s="66">
        <f>'M2'!B27-'M1'!B27</f>
        <v>-3.2825699999999997E-6</v>
      </c>
      <c r="C27" s="66">
        <f>'M2'!C27-'M1'!C27</f>
        <v>-1.035526E-2</v>
      </c>
      <c r="D27" s="66">
        <f>'M2'!D27-'M1'!D27</f>
        <v>3311.9479999999999</v>
      </c>
      <c r="E27" s="66">
        <f>'M2'!E27-'M1'!E27</f>
        <v>0</v>
      </c>
      <c r="F27" s="66">
        <f>'M2'!F27-'M1'!F27</f>
        <v>0.14598243</v>
      </c>
      <c r="G27" s="66">
        <f>'M2'!G27-'M1'!G27</f>
        <v>0</v>
      </c>
      <c r="H27" s="66">
        <f>'M2'!H27-'M1'!H27</f>
        <v>-0.14506326</v>
      </c>
    </row>
    <row r="28" spans="1:8">
      <c r="A28" s="66" t="s">
        <v>71</v>
      </c>
      <c r="B28" s="66">
        <f>'M2'!B28-'M1'!B28</f>
        <v>3.5799999999999027E-5</v>
      </c>
      <c r="C28" s="66">
        <f>'M2'!C28-'M1'!C28</f>
        <v>-2.6152030000000003E-2</v>
      </c>
      <c r="D28" s="66">
        <f>'M2'!D28-'M1'!D28</f>
        <v>-3.158175</v>
      </c>
      <c r="E28" s="66">
        <f>'M2'!E28-'M1'!E28</f>
        <v>0</v>
      </c>
      <c r="F28" s="66">
        <f>'M2'!F28-'M1'!F28</f>
        <v>-4.8502570000000001E-4</v>
      </c>
      <c r="G28" s="66">
        <f>'M2'!G28-'M1'!G28</f>
        <v>0</v>
      </c>
      <c r="H28" s="66">
        <f>'M2'!H28-'M1'!H28</f>
        <v>-0.18529580000000001</v>
      </c>
    </row>
    <row r="29" spans="1:8">
      <c r="A29" s="66" t="s">
        <v>72</v>
      </c>
      <c r="B29" s="66">
        <f>'M2'!B29-'M1'!B29</f>
        <v>13.883800000000008</v>
      </c>
      <c r="C29" s="66">
        <f>'M2'!C29-'M1'!C29</f>
        <v>0.23310999999999993</v>
      </c>
      <c r="D29" s="66">
        <f>'M2'!D29-'M1'!D29</f>
        <v>-2.0416999999999991E-2</v>
      </c>
      <c r="E29" s="66">
        <f>'M2'!E29-'M1'!E29</f>
        <v>0</v>
      </c>
      <c r="F29" s="66">
        <f>'M2'!F29-'M1'!F29</f>
        <v>12.378799999999998</v>
      </c>
      <c r="G29" s="66">
        <f>'M2'!G29-'M1'!G29</f>
        <v>0</v>
      </c>
      <c r="H29" s="66">
        <f>'M2'!H29-'M1'!H29</f>
        <v>23.647400000000005</v>
      </c>
    </row>
    <row r="30" spans="1:8">
      <c r="A30" s="66" t="s">
        <v>73</v>
      </c>
      <c r="B30" s="66">
        <f>'M2'!B30-'M1'!B30</f>
        <v>4.0949000000000009</v>
      </c>
      <c r="C30" s="66">
        <f>'M2'!C30-'M1'!C30</f>
        <v>9.086549999999999</v>
      </c>
      <c r="D30" s="66">
        <f>'M2'!D30-'M1'!D30</f>
        <v>0.48709699999999995</v>
      </c>
      <c r="E30" s="66">
        <f>'M2'!E30-'M1'!E30</f>
        <v>0</v>
      </c>
      <c r="F30" s="66">
        <f>'M2'!F30-'M1'!F30</f>
        <v>5.6375399999999996</v>
      </c>
      <c r="G30" s="66">
        <f>'M2'!G30-'M1'!G30</f>
        <v>0</v>
      </c>
      <c r="H30" s="66">
        <f>'M2'!H30-'M1'!H30</f>
        <v>24.362599999999997</v>
      </c>
    </row>
    <row r="31" spans="1:8">
      <c r="A31" s="66" t="s">
        <v>74</v>
      </c>
      <c r="B31" s="66">
        <f>'M2'!B31-'M1'!B31</f>
        <v>147.107</v>
      </c>
      <c r="C31" s="66">
        <f>'M2'!C31-'M1'!C31</f>
        <v>23.4054</v>
      </c>
      <c r="D31" s="66">
        <f>'M2'!D31-'M1'!D31</f>
        <v>-4.5099999999999973E-2</v>
      </c>
      <c r="E31" s="66">
        <f>'M2'!E31-'M1'!E31</f>
        <v>0</v>
      </c>
      <c r="F31" s="66">
        <f>'M2'!F31-'M1'!F31</f>
        <v>154.41030000000001</v>
      </c>
      <c r="G31" s="66">
        <f>'M2'!G31-'M1'!G31</f>
        <v>0</v>
      </c>
      <c r="H31" s="66">
        <f>'M2'!H31-'M1'!H31</f>
        <v>206.91</v>
      </c>
    </row>
    <row r="32" spans="1:8">
      <c r="A32" s="66" t="s">
        <v>75</v>
      </c>
      <c r="B32" s="66">
        <f>'M2'!B32-'M1'!B32</f>
        <v>3.5085999999999978E-2</v>
      </c>
      <c r="C32" s="66">
        <f>'M2'!C32-'M1'!C32</f>
        <v>-8.7283799999999995E-2</v>
      </c>
      <c r="D32" s="66">
        <f>'M2'!D32-'M1'!D32</f>
        <v>-0.38091599999999998</v>
      </c>
      <c r="E32" s="66">
        <f>'M2'!E32-'M1'!E32</f>
        <v>0</v>
      </c>
      <c r="F32" s="66">
        <f>'M2'!F32-'M1'!F32</f>
        <v>-5.5964000000000014E-3</v>
      </c>
      <c r="G32" s="66">
        <f>'M2'!G32-'M1'!G32</f>
        <v>0</v>
      </c>
      <c r="H32" s="66">
        <f>'M2'!H32-'M1'!H32</f>
        <v>-0.109014</v>
      </c>
    </row>
    <row r="33" spans="1:8">
      <c r="A33" s="66" t="s">
        <v>76</v>
      </c>
      <c r="B33" s="66">
        <f>'M2'!B33-'M1'!B33</f>
        <v>-1.0674000000000017E-2</v>
      </c>
      <c r="C33" s="66">
        <f>'M2'!C33-'M1'!C33</f>
        <v>-3.4470000000000021E-3</v>
      </c>
      <c r="D33" s="66">
        <f>'M2'!D33-'M1'!D33</f>
        <v>-6.7045999999999911E-3</v>
      </c>
      <c r="E33" s="66">
        <f>'M2'!E33-'M1'!E33</f>
        <v>0</v>
      </c>
      <c r="F33" s="66">
        <f>'M2'!F33-'M1'!F33</f>
        <v>-4.7622999999999971E-2</v>
      </c>
      <c r="G33" s="66">
        <f>'M2'!G33-'M1'!G33</f>
        <v>0</v>
      </c>
      <c r="H33" s="66">
        <f>'M2'!H33-'M1'!H33</f>
        <v>-9.4189999999999552E-3</v>
      </c>
    </row>
    <row r="34" spans="1:8">
      <c r="A34" s="66" t="s">
        <v>77</v>
      </c>
      <c r="B34" s="66">
        <f>'M2'!B34-'M1'!B34</f>
        <v>-4.817999999999989E-3</v>
      </c>
      <c r="C34" s="66">
        <f>'M2'!C34-'M1'!C34</f>
        <v>-1.80816E-2</v>
      </c>
      <c r="D34" s="66">
        <f>'M2'!D34-'M1'!D34</f>
        <v>-9.4284999999999994E-2</v>
      </c>
      <c r="E34" s="66">
        <f>'M2'!E34-'M1'!E34</f>
        <v>0</v>
      </c>
      <c r="F34" s="66">
        <f>'M2'!F34-'M1'!F34</f>
        <v>3.4443999999999989E-2</v>
      </c>
      <c r="G34" s="66">
        <f>'M2'!G34-'M1'!G34</f>
        <v>0</v>
      </c>
      <c r="H34" s="66">
        <f>'M2'!H34-'M1'!H34</f>
        <v>-9.2459999999999765E-3</v>
      </c>
    </row>
    <row r="35" spans="1:8">
      <c r="A35" s="66" t="s">
        <v>78</v>
      </c>
      <c r="B35" s="66">
        <f>'M2'!B35-'M1'!B35</f>
        <v>2.6360999999999885E-3</v>
      </c>
      <c r="C35" s="66">
        <f>'M2'!C35-'M1'!C35</f>
        <v>-5.1713999999999996E-3</v>
      </c>
      <c r="D35" s="66">
        <f>'M2'!D35-'M1'!D35</f>
        <v>-7.0516999999999969E-2</v>
      </c>
      <c r="E35" s="66">
        <f>'M2'!E35-'M1'!E35</f>
        <v>0</v>
      </c>
      <c r="F35" s="66">
        <f>'M2'!F35-'M1'!F35</f>
        <v>3.0442999999999998E-3</v>
      </c>
      <c r="G35" s="66">
        <f>'M2'!G35-'M1'!G35</f>
        <v>0</v>
      </c>
      <c r="H35" s="66">
        <f>'M2'!H35-'M1'!H35</f>
        <v>-2.0145999999999997E-2</v>
      </c>
    </row>
    <row r="36" spans="1:8">
      <c r="A36" s="66" t="s">
        <v>79</v>
      </c>
      <c r="B36" s="66">
        <f>'M2'!B36-'M1'!B36</f>
        <v>2.7261000000000007E-2</v>
      </c>
      <c r="C36" s="66">
        <f>'M2'!C36-'M1'!C36</f>
        <v>-4.8422000000000048E-3</v>
      </c>
      <c r="D36" s="66">
        <f>'M2'!D36-'M1'!D36</f>
        <v>-0.12272099999999997</v>
      </c>
      <c r="E36" s="66">
        <f>'M2'!E36-'M1'!E36</f>
        <v>0</v>
      </c>
      <c r="F36" s="66">
        <f>'M2'!F36-'M1'!F36</f>
        <v>7.3032000000000027E-3</v>
      </c>
      <c r="G36" s="66">
        <f>'M2'!G36-'M1'!G36</f>
        <v>0</v>
      </c>
      <c r="H36" s="66">
        <f>'M2'!H36-'M1'!H36</f>
        <v>-9.4305000000000028E-2</v>
      </c>
    </row>
    <row r="37" spans="1:8">
      <c r="A37" s="66" t="s">
        <v>80</v>
      </c>
      <c r="B37" s="66">
        <f>'M2'!B37-'M1'!B37</f>
        <v>-0.180816</v>
      </c>
      <c r="C37" s="66">
        <f>'M2'!C37-'M1'!C37</f>
        <v>-1.6098000000000001E-2</v>
      </c>
      <c r="D37" s="66">
        <f>'M2'!D37-'M1'!D37</f>
        <v>0.25801800000000003</v>
      </c>
      <c r="E37" s="66">
        <f>'M2'!E37-'M1'!E37</f>
        <v>0</v>
      </c>
      <c r="F37" s="66">
        <f>'M2'!F37-'M1'!F37</f>
        <v>2.923332E-2</v>
      </c>
      <c r="G37" s="66">
        <f>'M2'!G37-'M1'!G37</f>
        <v>0</v>
      </c>
      <c r="H37" s="66">
        <f>'M2'!H37-'M1'!H37</f>
        <v>-4.8323000000000005E-2</v>
      </c>
    </row>
    <row r="38" spans="1:8">
      <c r="A38" s="66" t="s">
        <v>81</v>
      </c>
      <c r="B38" s="66">
        <f>'M2'!B38-'M1'!B38</f>
        <v>-0.63890000000000313</v>
      </c>
      <c r="C38" s="66">
        <f>'M2'!C38-'M1'!C38</f>
        <v>-6.9270999999999958</v>
      </c>
      <c r="D38" s="66">
        <f>'M2'!D38-'M1'!D38</f>
        <v>0.40593999999999975</v>
      </c>
      <c r="E38" s="66">
        <f>'M2'!E38-'M1'!E38</f>
        <v>0</v>
      </c>
      <c r="F38" s="66">
        <f>'M2'!F38-'M1'!F38</f>
        <v>-28.015999999999991</v>
      </c>
      <c r="G38" s="66">
        <f>'M2'!G38-'M1'!G38</f>
        <v>0</v>
      </c>
      <c r="H38" s="66">
        <f>'M2'!H38-'M1'!H38</f>
        <v>-105.73299999999998</v>
      </c>
    </row>
    <row r="39" spans="1:8">
      <c r="A39" s="66" t="s">
        <v>82</v>
      </c>
      <c r="B39" s="66">
        <f>'M2'!B39-'M1'!B39</f>
        <v>-4.4118399999999998</v>
      </c>
      <c r="C39" s="66">
        <f>'M2'!C39-'M1'!C39</f>
        <v>2.77888</v>
      </c>
      <c r="D39" s="66">
        <f>'M2'!D39-'M1'!D39</f>
        <v>0.21424700000000008</v>
      </c>
      <c r="E39" s="66">
        <f>'M2'!E39-'M1'!E39</f>
        <v>0</v>
      </c>
      <c r="F39" s="66">
        <f>'M2'!F39-'M1'!F39</f>
        <v>-38.453100000000006</v>
      </c>
      <c r="G39" s="66">
        <f>'M2'!G39-'M1'!G39</f>
        <v>0</v>
      </c>
      <c r="H39" s="66">
        <f>'M2'!H39-'M1'!H39</f>
        <v>13.666599999999999</v>
      </c>
    </row>
    <row r="40" spans="1:8">
      <c r="A40" s="66" t="s">
        <v>83</v>
      </c>
      <c r="B40" s="66">
        <f>'M2'!B40-'M1'!B40</f>
        <v>0.68859000000000004</v>
      </c>
      <c r="C40" s="66">
        <f>'M2'!C40-'M1'!C40</f>
        <v>1.7421959999999999</v>
      </c>
      <c r="D40" s="66">
        <f>'M2'!D40-'M1'!D40</f>
        <v>-1.7409250000000001</v>
      </c>
      <c r="E40" s="66">
        <f>'M2'!E40-'M1'!E40</f>
        <v>0</v>
      </c>
      <c r="F40" s="66">
        <f>'M2'!F40-'M1'!F40</f>
        <v>-3.8286600000000002</v>
      </c>
      <c r="G40" s="66">
        <f>'M2'!G40-'M1'!G40</f>
        <v>0</v>
      </c>
      <c r="H40" s="66">
        <f>'M2'!H40-'M1'!H40</f>
        <v>-0.60744299999999996</v>
      </c>
    </row>
    <row r="41" spans="1:8">
      <c r="A41" s="66" t="s">
        <v>84</v>
      </c>
      <c r="B41" s="66">
        <f>'M2'!B41-'M1'!B41</f>
        <v>-2.6507000000000003E-2</v>
      </c>
      <c r="C41" s="66">
        <f>'M2'!C41-'M1'!C41</f>
        <v>-2.7328999999999992E-2</v>
      </c>
      <c r="D41" s="66">
        <f>'M2'!D41-'M1'!D41</f>
        <v>0.40966999999999998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3.053399999999995E-2</v>
      </c>
    </row>
    <row r="42" spans="1:8">
      <c r="A42" s="66" t="s">
        <v>85</v>
      </c>
      <c r="B42" s="66">
        <f>'M2'!B42-'M1'!B42</f>
        <v>-3.098200000000001E-2</v>
      </c>
      <c r="C42" s="66">
        <f>'M2'!C42-'M1'!C42</f>
        <v>-2.6999200000000001E-2</v>
      </c>
      <c r="D42" s="66">
        <f>'M2'!D42-'M1'!D42</f>
        <v>0.24095300000000003</v>
      </c>
      <c r="E42" s="66">
        <f>'M2'!E42-'M1'!E42</f>
        <v>0</v>
      </c>
      <c r="F42" s="66">
        <f>'M2'!F42-'M1'!F42</f>
        <v>-0.26361300000000004</v>
      </c>
      <c r="G42" s="66">
        <f>'M2'!G42-'M1'!G42</f>
        <v>0</v>
      </c>
      <c r="H42" s="66">
        <f>'M2'!H42-'M1'!H42</f>
        <v>-0.10874</v>
      </c>
    </row>
    <row r="43" spans="1:8">
      <c r="A43" s="66" t="s">
        <v>86</v>
      </c>
      <c r="B43" s="66">
        <f>'M2'!B43-'M1'!B43</f>
        <v>3.4123000000000001E-2</v>
      </c>
      <c r="C43" s="66">
        <f>'M2'!C43-'M1'!C43</f>
        <v>-3.2091000000000064E-3</v>
      </c>
      <c r="D43" s="66">
        <f>'M2'!D43-'M1'!D43</f>
        <v>-0.11558300000000005</v>
      </c>
      <c r="E43" s="66">
        <f>'M2'!E43-'M1'!E43</f>
        <v>0</v>
      </c>
      <c r="F43" s="66">
        <f>'M2'!F43-'M1'!F43</f>
        <v>-6.4740000000000353E-3</v>
      </c>
      <c r="G43" s="66">
        <f>'M2'!G43-'M1'!G43</f>
        <v>0</v>
      </c>
      <c r="H43" s="66">
        <f>'M2'!H43-'M1'!H43</f>
        <v>-3.6279769999999996E-2</v>
      </c>
    </row>
    <row r="44" spans="1:8">
      <c r="A44" s="66" t="s">
        <v>87</v>
      </c>
      <c r="B44" s="66">
        <f>'M2'!B44-'M1'!B44</f>
        <v>-1.3296699999999999</v>
      </c>
      <c r="C44" s="66">
        <f>'M2'!C44-'M1'!C44</f>
        <v>11.960989999999999</v>
      </c>
      <c r="D44" s="66">
        <f>'M2'!D44-'M1'!D44</f>
        <v>7.7110999999999992</v>
      </c>
      <c r="E44" s="66">
        <f>'M2'!E44-'M1'!E44</f>
        <v>0</v>
      </c>
      <c r="F44" s="66">
        <f>'M2'!F44-'M1'!F44</f>
        <v>-17.110990000000001</v>
      </c>
      <c r="G44" s="66">
        <f>'M2'!G44-'M1'!G44</f>
        <v>0</v>
      </c>
      <c r="H44" s="66">
        <f>'M2'!H44-'M1'!H44</f>
        <v>16.524100000000001</v>
      </c>
    </row>
    <row r="45" spans="1:8">
      <c r="A45" s="66" t="s">
        <v>88</v>
      </c>
      <c r="B45" s="66">
        <f>'M2'!B45-'M1'!B45</f>
        <v>2.0825000000000031</v>
      </c>
      <c r="C45" s="66">
        <f>'M2'!C45-'M1'!C45</f>
        <v>-0.96501999999999999</v>
      </c>
      <c r="D45" s="66">
        <f>'M2'!D45-'M1'!D45</f>
        <v>-2.0144999999999996E-2</v>
      </c>
      <c r="E45" s="66">
        <f>'M2'!E45-'M1'!E45</f>
        <v>0</v>
      </c>
      <c r="F45" s="66">
        <f>'M2'!F45-'M1'!F45</f>
        <v>6.7001999999999953</v>
      </c>
      <c r="G45" s="66">
        <f>'M2'!G45-'M1'!G45</f>
        <v>0</v>
      </c>
      <c r="H45" s="66">
        <f>'M2'!H45-'M1'!H45</f>
        <v>7.1899999999999977</v>
      </c>
    </row>
    <row r="46" spans="1:8">
      <c r="A46" s="66" t="s">
        <v>89</v>
      </c>
      <c r="B46" s="66">
        <f>'M2'!B46-'M1'!B46</f>
        <v>9.9803999999999995</v>
      </c>
      <c r="C46" s="66">
        <f>'M2'!C46-'M1'!C46</f>
        <v>0.53695999999999966</v>
      </c>
      <c r="D46" s="66">
        <f>'M2'!D46-'M1'!D46</f>
        <v>-4.6129000000000003E-2</v>
      </c>
      <c r="E46" s="66">
        <f>'M2'!E46-'M1'!E46</f>
        <v>0</v>
      </c>
      <c r="F46" s="66">
        <f>'M2'!F46-'M1'!F46</f>
        <v>20.113959999999999</v>
      </c>
      <c r="G46" s="66">
        <f>'M2'!G46-'M1'!G46</f>
        <v>0</v>
      </c>
      <c r="H46" s="66">
        <f>'M2'!H46-'M1'!H46</f>
        <v>19.1907</v>
      </c>
    </row>
    <row r="47" spans="1:8">
      <c r="A47" s="66" t="s">
        <v>90</v>
      </c>
      <c r="B47" s="66">
        <f>'M2'!B47-'M1'!B47</f>
        <v>-0.10275000000000001</v>
      </c>
      <c r="C47" s="66">
        <f>'M2'!C47-'M1'!C47</f>
        <v>-3.4098000000000017E-2</v>
      </c>
      <c r="D47" s="66">
        <f>'M2'!D47-'M1'!D47</f>
        <v>6.7420000000000258E-3</v>
      </c>
      <c r="E47" s="66">
        <f>'M2'!E47-'M1'!E47</f>
        <v>0</v>
      </c>
      <c r="F47" s="66">
        <f>'M2'!F47-'M1'!F47</f>
        <v>-0.13395199999999999</v>
      </c>
      <c r="G47" s="66">
        <f>'M2'!G47-'M1'!G47</f>
        <v>0</v>
      </c>
      <c r="H47" s="66">
        <f>'M2'!H47-'M1'!H47</f>
        <v>-0.44371999999999989</v>
      </c>
    </row>
    <row r="48" spans="1:8">
      <c r="A48" s="66" t="s">
        <v>91</v>
      </c>
      <c r="B48" s="66">
        <f>'M2'!B48-'M1'!B48</f>
        <v>0.34826900000000005</v>
      </c>
      <c r="C48" s="66">
        <f>'M2'!C48-'M1'!C48</f>
        <v>-7.0515900000000006E-2</v>
      </c>
      <c r="D48" s="66">
        <f>'M2'!D48-'M1'!D48</f>
        <v>-0.22784200000000002</v>
      </c>
      <c r="E48" s="66">
        <f>'M2'!E48-'M1'!E48</f>
        <v>0</v>
      </c>
      <c r="F48" s="66">
        <f>'M2'!F48-'M1'!F48</f>
        <v>0.34307300000000002</v>
      </c>
      <c r="G48" s="66">
        <f>'M2'!G48-'M1'!G48</f>
        <v>0</v>
      </c>
      <c r="H48" s="66">
        <f>'M2'!H48-'M1'!H48</f>
        <v>0.19646299999999994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33.794800000000002</v>
      </c>
      <c r="C5" s="66">
        <v>8.0405700000000007</v>
      </c>
      <c r="D5" s="66">
        <v>23.792300000000001</v>
      </c>
      <c r="E5" s="66">
        <v>20</v>
      </c>
      <c r="F5" s="66">
        <v>9.9908599999999996</v>
      </c>
      <c r="G5" s="66">
        <v>50</v>
      </c>
      <c r="H5" s="66">
        <v>38.233600000000003</v>
      </c>
    </row>
    <row r="6" spans="1:8">
      <c r="A6" s="66" t="s">
        <v>303</v>
      </c>
      <c r="B6" s="66">
        <v>34.2226</v>
      </c>
      <c r="C6" s="66">
        <v>3.2231000000000001</v>
      </c>
      <c r="D6" s="66">
        <v>9.4180299999999999</v>
      </c>
      <c r="E6" s="66">
        <v>20</v>
      </c>
      <c r="F6" s="66">
        <v>26.764600000000002</v>
      </c>
      <c r="G6" s="66">
        <v>40</v>
      </c>
      <c r="H6" s="66">
        <v>38.8018</v>
      </c>
    </row>
    <row r="7" spans="1:8">
      <c r="A7" s="66" t="s">
        <v>304</v>
      </c>
      <c r="B7" s="66">
        <v>24.575199999999999</v>
      </c>
      <c r="C7" s="66">
        <v>13.7926</v>
      </c>
      <c r="D7" s="66">
        <v>56.124099999999999</v>
      </c>
      <c r="E7" s="66">
        <v>15</v>
      </c>
      <c r="F7" s="66">
        <v>7.31257</v>
      </c>
      <c r="G7" s="66">
        <v>40</v>
      </c>
      <c r="H7" s="66">
        <v>54.178600000000003</v>
      </c>
    </row>
    <row r="8" spans="1:8">
      <c r="A8" s="66" t="s">
        <v>305</v>
      </c>
      <c r="B8" s="66">
        <v>30.606100000000001</v>
      </c>
      <c r="C8" s="66">
        <v>6.4131600000000004</v>
      </c>
      <c r="D8" s="66">
        <v>20.953900000000001</v>
      </c>
      <c r="E8" s="66">
        <v>20</v>
      </c>
      <c r="F8" s="66">
        <v>19.518899999999999</v>
      </c>
      <c r="G8" s="66">
        <v>50</v>
      </c>
      <c r="H8" s="66">
        <v>41.6233</v>
      </c>
    </row>
    <row r="9" spans="1:8">
      <c r="A9" s="66" t="s">
        <v>306</v>
      </c>
      <c r="B9" s="66">
        <v>44.104100000000003</v>
      </c>
      <c r="C9" s="66">
        <v>18.491599999999998</v>
      </c>
      <c r="D9" s="66">
        <v>41.927199999999999</v>
      </c>
      <c r="E9" s="66">
        <v>50</v>
      </c>
      <c r="F9" s="66">
        <v>14.7659</v>
      </c>
      <c r="G9" s="66">
        <v>100</v>
      </c>
      <c r="H9" s="66">
        <v>84.960899999999995</v>
      </c>
    </row>
    <row r="10" spans="1:8">
      <c r="A10" s="66" t="s">
        <v>307</v>
      </c>
      <c r="B10" s="66">
        <v>67.073400000000007</v>
      </c>
      <c r="C10" s="66">
        <v>6.9779099999999996</v>
      </c>
      <c r="D10" s="66">
        <v>10.4034</v>
      </c>
      <c r="E10" s="66">
        <v>40</v>
      </c>
      <c r="F10" s="66">
        <v>56.760599999999997</v>
      </c>
      <c r="G10" s="66">
        <v>100</v>
      </c>
      <c r="H10" s="66">
        <v>82.289699999999996</v>
      </c>
    </row>
    <row r="11" spans="1:8">
      <c r="A11" s="66" t="s">
        <v>308</v>
      </c>
      <c r="B11" s="66">
        <v>9.7978400000000008</v>
      </c>
      <c r="C11" s="66">
        <v>3.2699199999999999</v>
      </c>
      <c r="D11" s="66">
        <v>33.373899999999999</v>
      </c>
      <c r="E11" s="66">
        <v>10</v>
      </c>
      <c r="F11" s="66">
        <v>5.43222</v>
      </c>
      <c r="G11" s="66">
        <v>50</v>
      </c>
      <c r="H11" s="66">
        <v>19.323699999999999</v>
      </c>
    </row>
    <row r="12" spans="1:8">
      <c r="A12" s="66" t="s">
        <v>309</v>
      </c>
      <c r="B12" s="66">
        <v>57.044400000000003</v>
      </c>
      <c r="C12" s="66">
        <v>8.3221000000000007</v>
      </c>
      <c r="D12" s="66">
        <v>14.588800000000001</v>
      </c>
      <c r="E12" s="66">
        <v>50</v>
      </c>
      <c r="F12" s="66">
        <v>43.3596</v>
      </c>
      <c r="G12" s="66">
        <v>100</v>
      </c>
      <c r="H12" s="66">
        <v>71.6785</v>
      </c>
    </row>
    <row r="13" spans="1:8">
      <c r="A13" s="66" t="s">
        <v>310</v>
      </c>
      <c r="B13" s="66">
        <v>18.603100000000001</v>
      </c>
      <c r="C13" s="66">
        <v>3.8458700000000001</v>
      </c>
      <c r="D13" s="66">
        <v>20.673300000000001</v>
      </c>
      <c r="E13" s="66">
        <v>10</v>
      </c>
      <c r="F13" s="66">
        <v>11.951700000000001</v>
      </c>
      <c r="G13" s="66">
        <v>25</v>
      </c>
      <c r="H13" s="66">
        <v>26.742899999999999</v>
      </c>
    </row>
    <row r="14" spans="1:8">
      <c r="A14" s="66" t="s">
        <v>311</v>
      </c>
      <c r="B14" s="66">
        <v>38.4587</v>
      </c>
      <c r="C14" s="66">
        <v>14.6069</v>
      </c>
      <c r="D14" s="66">
        <v>37.980899999999998</v>
      </c>
      <c r="E14" s="66">
        <v>10</v>
      </c>
      <c r="F14" s="66">
        <v>0.97060800000000003</v>
      </c>
      <c r="G14" s="66">
        <v>50</v>
      </c>
      <c r="H14" s="66">
        <v>43.180799999999998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0.37325999999999998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0.51013799999999998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4.8048400000000003E-3</v>
      </c>
      <c r="C20" s="66">
        <v>8.40693E-2</v>
      </c>
      <c r="D20" s="66">
        <v>17.4968</v>
      </c>
      <c r="E20" s="66">
        <v>0</v>
      </c>
      <c r="F20" s="66">
        <v>0</v>
      </c>
      <c r="G20" s="66">
        <v>0</v>
      </c>
      <c r="H20" s="66">
        <v>1.26088</v>
      </c>
    </row>
    <row r="21" spans="1:8">
      <c r="A21" s="66" t="s">
        <v>318</v>
      </c>
      <c r="B21" s="66">
        <v>5.1422599999999999E-2</v>
      </c>
      <c r="C21" s="66">
        <v>0.42600399999999999</v>
      </c>
      <c r="D21" s="66">
        <v>8.2843599999999995</v>
      </c>
      <c r="E21" s="66">
        <v>0</v>
      </c>
      <c r="F21" s="66">
        <v>1.4884E-3</v>
      </c>
      <c r="G21" s="66">
        <v>0</v>
      </c>
      <c r="H21" s="66">
        <v>2.96956</v>
      </c>
    </row>
    <row r="22" spans="1:8">
      <c r="A22" s="66" t="s">
        <v>319</v>
      </c>
      <c r="B22" s="66">
        <v>44.164299999999997</v>
      </c>
      <c r="C22" s="66">
        <v>12.881399999999999</v>
      </c>
      <c r="D22" s="66">
        <v>0.29166999999999998</v>
      </c>
      <c r="E22" s="66">
        <v>0</v>
      </c>
      <c r="F22" s="66">
        <v>20.311399999999999</v>
      </c>
      <c r="G22" s="66">
        <v>0</v>
      </c>
      <c r="H22" s="66">
        <v>78.204099999999997</v>
      </c>
    </row>
    <row r="23" spans="1:8">
      <c r="A23" s="66" t="s">
        <v>320</v>
      </c>
      <c r="B23" s="66">
        <v>12.8161</v>
      </c>
      <c r="C23" s="66">
        <v>1.8531</v>
      </c>
      <c r="D23" s="66">
        <v>0.144591</v>
      </c>
      <c r="E23" s="66">
        <v>0</v>
      </c>
      <c r="F23" s="66">
        <v>7.7849700000000004</v>
      </c>
      <c r="G23" s="66">
        <v>0</v>
      </c>
      <c r="H23" s="66">
        <v>16.013300000000001</v>
      </c>
    </row>
    <row r="24" spans="1:8">
      <c r="A24" s="66" t="s">
        <v>321</v>
      </c>
      <c r="B24" s="66">
        <v>1.38271E-2</v>
      </c>
      <c r="C24" s="66">
        <v>4.5200299999999999E-2</v>
      </c>
      <c r="D24" s="66">
        <v>3.2689499999999998</v>
      </c>
      <c r="E24" s="66">
        <v>0</v>
      </c>
      <c r="F24" s="196">
        <v>4.6675799999999998E-5</v>
      </c>
      <c r="G24" s="66">
        <v>0</v>
      </c>
      <c r="H24" s="66">
        <v>0.39266699999999999</v>
      </c>
    </row>
    <row r="25" spans="1:8">
      <c r="A25" s="66" t="s">
        <v>322</v>
      </c>
      <c r="B25" s="66">
        <v>7.2244900000000001E-2</v>
      </c>
      <c r="C25" s="66">
        <v>0.22120100000000001</v>
      </c>
      <c r="D25" s="66">
        <v>3.0618300000000001</v>
      </c>
      <c r="E25" s="66">
        <v>0</v>
      </c>
      <c r="F25" s="66">
        <v>2.6984999999999999E-2</v>
      </c>
      <c r="G25" s="66">
        <v>0</v>
      </c>
      <c r="H25" s="66">
        <v>0.93258099999999999</v>
      </c>
    </row>
    <row r="26" spans="1:8">
      <c r="A26" s="66" t="s">
        <v>323</v>
      </c>
      <c r="B26" s="66">
        <v>1.3589800000000001E-3</v>
      </c>
      <c r="C26" s="66">
        <v>9.3067400000000008E-3</v>
      </c>
      <c r="D26" s="66">
        <v>6.8483200000000002</v>
      </c>
      <c r="E26" s="66">
        <v>0</v>
      </c>
      <c r="F26" s="66">
        <v>0</v>
      </c>
      <c r="G26" s="66">
        <v>0</v>
      </c>
      <c r="H26" s="66">
        <v>0.15234700000000001</v>
      </c>
    </row>
    <row r="27" spans="1:8">
      <c r="A27" s="66" t="s">
        <v>324</v>
      </c>
      <c r="B27" s="196">
        <v>-3.2825599999999999E-6</v>
      </c>
      <c r="C27" s="66">
        <v>1.13881E-2</v>
      </c>
      <c r="D27" s="66">
        <v>-3469.27</v>
      </c>
      <c r="E27" s="66">
        <v>0</v>
      </c>
      <c r="F27" s="66">
        <v>-0.150148</v>
      </c>
      <c r="G27" s="66">
        <v>0</v>
      </c>
      <c r="H27" s="66">
        <v>0.14934700000000001</v>
      </c>
    </row>
    <row r="28" spans="1:8">
      <c r="A28" s="66" t="s">
        <v>325</v>
      </c>
      <c r="B28" s="66">
        <v>8.2893900000000006E-3</v>
      </c>
      <c r="C28" s="66">
        <v>3.2502200000000002E-2</v>
      </c>
      <c r="D28" s="66">
        <v>3.9209399999999999</v>
      </c>
      <c r="E28" s="66">
        <v>0</v>
      </c>
      <c r="F28" s="66">
        <v>5.3710900000000002E-4</v>
      </c>
      <c r="G28" s="66">
        <v>0</v>
      </c>
      <c r="H28" s="66">
        <v>0.220885</v>
      </c>
    </row>
    <row r="29" spans="1:8">
      <c r="A29" s="66" t="s">
        <v>326</v>
      </c>
      <c r="B29" s="66">
        <v>67.923299999999998</v>
      </c>
      <c r="C29" s="66">
        <v>9.3115100000000002</v>
      </c>
      <c r="D29" s="66">
        <v>0.13708899999999999</v>
      </c>
      <c r="E29" s="66">
        <v>0</v>
      </c>
      <c r="F29" s="66">
        <v>41.240600000000001</v>
      </c>
      <c r="G29" s="66">
        <v>0</v>
      </c>
      <c r="H29" s="66">
        <v>83.992599999999996</v>
      </c>
    </row>
    <row r="30" spans="1:8">
      <c r="A30" s="66" t="s">
        <v>327</v>
      </c>
      <c r="B30" s="66">
        <v>13.342000000000001</v>
      </c>
      <c r="C30" s="66">
        <v>1.93255</v>
      </c>
      <c r="D30" s="66">
        <v>0.144847</v>
      </c>
      <c r="E30" s="66">
        <v>0</v>
      </c>
      <c r="F30" s="66">
        <v>8.8877600000000001</v>
      </c>
      <c r="G30" s="66">
        <v>0</v>
      </c>
      <c r="H30" s="66">
        <v>17.4603</v>
      </c>
    </row>
    <row r="31" spans="1:8">
      <c r="A31" s="66" t="s">
        <v>328</v>
      </c>
      <c r="B31" s="66">
        <v>178.46799999999999</v>
      </c>
      <c r="C31" s="66">
        <v>46.2089</v>
      </c>
      <c r="D31" s="66">
        <v>0.25891999999999998</v>
      </c>
      <c r="E31" s="66">
        <v>0</v>
      </c>
      <c r="F31" s="66">
        <v>47.624699999999997</v>
      </c>
      <c r="G31" s="66">
        <v>0</v>
      </c>
      <c r="H31" s="66">
        <v>203.41499999999999</v>
      </c>
    </row>
    <row r="32" spans="1:8">
      <c r="A32" s="66" t="s">
        <v>329</v>
      </c>
      <c r="B32" s="66">
        <v>0.245752</v>
      </c>
      <c r="C32" s="66">
        <v>0.13792599999999999</v>
      </c>
      <c r="D32" s="66">
        <v>0.56124099999999999</v>
      </c>
      <c r="E32" s="66">
        <v>0.15</v>
      </c>
      <c r="F32" s="66">
        <v>7.3125700000000002E-2</v>
      </c>
      <c r="G32" s="66">
        <v>0.4</v>
      </c>
      <c r="H32" s="66">
        <v>0.54178599999999999</v>
      </c>
    </row>
    <row r="33" spans="1:8">
      <c r="A33" s="66" t="s">
        <v>330</v>
      </c>
      <c r="B33" s="66">
        <v>0.38104100000000002</v>
      </c>
      <c r="C33" s="66">
        <v>3.4408800000000003E-2</v>
      </c>
      <c r="D33" s="66">
        <v>9.0302099999999996E-2</v>
      </c>
      <c r="E33" s="66">
        <v>0</v>
      </c>
      <c r="F33" s="66">
        <v>0.33783099999999999</v>
      </c>
      <c r="G33" s="66">
        <v>0</v>
      </c>
      <c r="H33" s="66">
        <v>0.44577099999999997</v>
      </c>
    </row>
    <row r="34" spans="1:8">
      <c r="A34" s="66" t="s">
        <v>331</v>
      </c>
      <c r="B34" s="66">
        <v>0.186031</v>
      </c>
      <c r="C34" s="66">
        <v>3.8458699999999998E-2</v>
      </c>
      <c r="D34" s="66">
        <v>0.206733</v>
      </c>
      <c r="E34" s="66">
        <v>0.1</v>
      </c>
      <c r="F34" s="66">
        <v>0.119517</v>
      </c>
      <c r="G34" s="66">
        <v>0.25</v>
      </c>
      <c r="H34" s="66">
        <v>0.26742899999999997</v>
      </c>
    </row>
    <row r="35" spans="1:8">
      <c r="A35" s="66" t="s">
        <v>332</v>
      </c>
      <c r="B35" s="66">
        <v>8.0975000000000005E-2</v>
      </c>
      <c r="C35" s="66">
        <v>2.22626E-2</v>
      </c>
      <c r="D35" s="66">
        <v>0.27493099999999998</v>
      </c>
      <c r="E35" s="66">
        <v>0</v>
      </c>
      <c r="F35" s="66">
        <v>4.1992300000000003E-2</v>
      </c>
      <c r="G35" s="66">
        <v>0</v>
      </c>
      <c r="H35" s="66">
        <v>0.13958999999999999</v>
      </c>
    </row>
    <row r="36" spans="1:8">
      <c r="A36" s="66" t="s">
        <v>333</v>
      </c>
      <c r="B36" s="66">
        <v>0.1517</v>
      </c>
      <c r="C36" s="66">
        <v>9.5268400000000003E-2</v>
      </c>
      <c r="D36" s="66">
        <v>0.62800599999999995</v>
      </c>
      <c r="E36" s="66">
        <v>0</v>
      </c>
      <c r="F36" s="66">
        <v>3.5960699999999998E-2</v>
      </c>
      <c r="G36" s="66">
        <v>0</v>
      </c>
      <c r="H36" s="66">
        <v>0.50513300000000005</v>
      </c>
    </row>
    <row r="37" spans="1:8">
      <c r="A37" s="66" t="s">
        <v>334</v>
      </c>
      <c r="B37" s="66">
        <v>0.38458700000000001</v>
      </c>
      <c r="C37" s="66">
        <v>0.146069</v>
      </c>
      <c r="D37" s="66">
        <v>0.37980900000000001</v>
      </c>
      <c r="E37" s="66">
        <v>0.1</v>
      </c>
      <c r="F37" s="66">
        <v>9.7060800000000006E-3</v>
      </c>
      <c r="G37" s="66">
        <v>0.5</v>
      </c>
      <c r="H37" s="66">
        <v>0.43180800000000003</v>
      </c>
    </row>
    <row r="38" spans="1:8">
      <c r="A38" s="66" t="s">
        <v>335</v>
      </c>
      <c r="B38" s="66">
        <v>-20.456399999999999</v>
      </c>
      <c r="C38" s="66">
        <v>52.4</v>
      </c>
      <c r="D38" s="66">
        <v>-2.5615399999999999</v>
      </c>
      <c r="E38" s="66">
        <v>0</v>
      </c>
      <c r="F38" s="66">
        <v>-148.29300000000001</v>
      </c>
      <c r="G38" s="66">
        <v>0</v>
      </c>
      <c r="H38" s="66">
        <v>335.48399999999998</v>
      </c>
    </row>
    <row r="39" spans="1:8">
      <c r="A39" s="66" t="s">
        <v>336</v>
      </c>
      <c r="B39" s="66">
        <v>-4.75258</v>
      </c>
      <c r="C39" s="66">
        <v>5.1086</v>
      </c>
      <c r="D39" s="66">
        <v>-1.07491</v>
      </c>
      <c r="E39" s="66">
        <v>0</v>
      </c>
      <c r="F39" s="66">
        <v>-11.928000000000001</v>
      </c>
      <c r="G39" s="66">
        <v>0</v>
      </c>
      <c r="H39" s="66">
        <v>17.518000000000001</v>
      </c>
    </row>
    <row r="40" spans="1:8">
      <c r="A40" s="66" t="s">
        <v>337</v>
      </c>
      <c r="B40" s="66">
        <v>-1.8748100000000001</v>
      </c>
      <c r="C40" s="66">
        <v>0.87920399999999999</v>
      </c>
      <c r="D40" s="66">
        <v>-0.46895500000000001</v>
      </c>
      <c r="E40" s="66">
        <v>0</v>
      </c>
      <c r="F40" s="66">
        <v>-2.484</v>
      </c>
      <c r="G40" s="66">
        <v>0</v>
      </c>
      <c r="H40" s="66">
        <v>1.2562599999999999</v>
      </c>
    </row>
    <row r="41" spans="1:8">
      <c r="A41" s="66" t="s">
        <v>338</v>
      </c>
      <c r="B41" s="66">
        <v>-0.162326</v>
      </c>
      <c r="C41" s="66">
        <v>0.30637500000000001</v>
      </c>
      <c r="D41" s="66">
        <v>-1.88741</v>
      </c>
      <c r="E41" s="66">
        <v>0</v>
      </c>
      <c r="F41" s="66">
        <v>-1</v>
      </c>
      <c r="G41" s="66">
        <v>0</v>
      </c>
      <c r="H41" s="66">
        <v>0.96946600000000005</v>
      </c>
    </row>
    <row r="42" spans="1:8">
      <c r="A42" s="66" t="s">
        <v>339</v>
      </c>
      <c r="B42" s="66">
        <v>-0.16387399999999999</v>
      </c>
      <c r="C42" s="66">
        <v>0.105534</v>
      </c>
      <c r="D42" s="66">
        <v>-0.64399300000000004</v>
      </c>
      <c r="E42" s="66">
        <v>0</v>
      </c>
      <c r="F42" s="66">
        <v>-0.343995</v>
      </c>
      <c r="G42" s="66">
        <v>0</v>
      </c>
      <c r="H42" s="66">
        <v>0.24916099999999999</v>
      </c>
    </row>
    <row r="43" spans="1:8">
      <c r="A43" s="66" t="s">
        <v>340</v>
      </c>
      <c r="B43" s="66">
        <v>-0.149531</v>
      </c>
      <c r="C43" s="66">
        <v>7.2516600000000001E-2</v>
      </c>
      <c r="D43" s="66">
        <v>-0.48496</v>
      </c>
      <c r="E43" s="66">
        <v>0</v>
      </c>
      <c r="F43" s="66">
        <v>-0.25928699999999999</v>
      </c>
      <c r="G43" s="66">
        <v>0</v>
      </c>
      <c r="H43" s="66">
        <v>6.4350700000000002E-3</v>
      </c>
    </row>
    <row r="44" spans="1:8">
      <c r="A44" s="66" t="s">
        <v>341</v>
      </c>
      <c r="B44" s="66">
        <v>3.2893699999999999</v>
      </c>
      <c r="C44" s="66">
        <v>7.7935100000000004</v>
      </c>
      <c r="D44" s="66">
        <v>2.3693</v>
      </c>
      <c r="E44" s="66">
        <v>0</v>
      </c>
      <c r="F44" s="66">
        <v>-7.3044099999999998</v>
      </c>
      <c r="G44" s="66">
        <v>0</v>
      </c>
      <c r="H44" s="66">
        <v>19.838899999999999</v>
      </c>
    </row>
    <row r="45" spans="1:8">
      <c r="A45" s="66" t="s">
        <v>342</v>
      </c>
      <c r="B45" s="66">
        <v>58.486699999999999</v>
      </c>
      <c r="C45" s="66">
        <v>7.1648399999999999</v>
      </c>
      <c r="D45" s="66">
        <v>0.122504</v>
      </c>
      <c r="E45" s="66">
        <v>0</v>
      </c>
      <c r="F45" s="66">
        <v>39.142200000000003</v>
      </c>
      <c r="G45" s="66">
        <v>0</v>
      </c>
      <c r="H45" s="66">
        <v>73.8566</v>
      </c>
    </row>
    <row r="46" spans="1:8">
      <c r="A46" s="66" t="s">
        <v>343</v>
      </c>
      <c r="B46" s="66">
        <v>26.1602</v>
      </c>
      <c r="C46" s="66">
        <v>5.7772300000000003</v>
      </c>
      <c r="D46" s="66">
        <v>0.22084100000000001</v>
      </c>
      <c r="E46" s="66">
        <v>0</v>
      </c>
      <c r="F46" s="66">
        <v>7.8409399999999998</v>
      </c>
      <c r="G46" s="66">
        <v>0</v>
      </c>
      <c r="H46" s="66">
        <v>27.656199999999998</v>
      </c>
    </row>
    <row r="47" spans="1:8">
      <c r="A47" s="66" t="s">
        <v>344</v>
      </c>
      <c r="B47" s="66">
        <v>0.75264699999999995</v>
      </c>
      <c r="C47" s="66">
        <v>0.28186600000000001</v>
      </c>
      <c r="D47" s="66">
        <v>0.3745</v>
      </c>
      <c r="E47" s="66">
        <v>0</v>
      </c>
      <c r="F47" s="66">
        <v>0.34956199999999998</v>
      </c>
      <c r="G47" s="66">
        <v>0</v>
      </c>
      <c r="H47" s="66">
        <v>1.8796999999999999</v>
      </c>
    </row>
    <row r="48" spans="1:8">
      <c r="A48" s="66" t="s">
        <v>345</v>
      </c>
      <c r="B48" s="66">
        <v>0.47015499999999999</v>
      </c>
      <c r="C48" s="66">
        <v>0.15653600000000001</v>
      </c>
      <c r="D48" s="66">
        <v>0.33294600000000002</v>
      </c>
      <c r="E48" s="66">
        <v>0</v>
      </c>
      <c r="F48" s="66">
        <v>0.37062699999999998</v>
      </c>
      <c r="G48" s="66">
        <v>0</v>
      </c>
      <c r="H48" s="66">
        <v>0.87389700000000003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44.902500000000003</v>
      </c>
      <c r="C5" s="66">
        <v>5.0032500000000004</v>
      </c>
      <c r="D5" s="66">
        <v>11.1425</v>
      </c>
      <c r="E5" s="66">
        <v>20</v>
      </c>
      <c r="F5" s="66">
        <v>38.868699999999997</v>
      </c>
      <c r="G5" s="66">
        <v>50</v>
      </c>
      <c r="H5" s="66">
        <v>58.808999999999997</v>
      </c>
    </row>
    <row r="6" spans="1:8">
      <c r="A6" s="66" t="s">
        <v>303</v>
      </c>
      <c r="B6" s="66">
        <v>29.215699999999998</v>
      </c>
      <c r="C6" s="66">
        <v>4.8708900000000002</v>
      </c>
      <c r="D6" s="66">
        <v>16.6722</v>
      </c>
      <c r="E6" s="66">
        <v>20</v>
      </c>
      <c r="F6" s="66">
        <v>26.3141</v>
      </c>
      <c r="G6" s="66">
        <v>40</v>
      </c>
      <c r="H6" s="66">
        <v>38.7759</v>
      </c>
    </row>
    <row r="7" spans="1:8">
      <c r="A7" s="66" t="s">
        <v>304</v>
      </c>
      <c r="B7" s="66">
        <v>28.0838</v>
      </c>
      <c r="C7" s="66">
        <v>5.0642199999999997</v>
      </c>
      <c r="D7" s="66">
        <v>18.032499999999999</v>
      </c>
      <c r="E7" s="66">
        <v>15</v>
      </c>
      <c r="F7" s="66">
        <v>6.7529300000000001</v>
      </c>
      <c r="G7" s="66">
        <v>40</v>
      </c>
      <c r="H7" s="66">
        <v>43.277200000000001</v>
      </c>
    </row>
    <row r="8" spans="1:8">
      <c r="A8" s="66" t="s">
        <v>305</v>
      </c>
      <c r="B8" s="66">
        <v>33.535499999999999</v>
      </c>
      <c r="C8" s="66">
        <v>3.97593</v>
      </c>
      <c r="D8" s="66">
        <v>11.8559</v>
      </c>
      <c r="E8" s="66">
        <v>20</v>
      </c>
      <c r="F8" s="66">
        <v>24.4909</v>
      </c>
      <c r="G8" s="66">
        <v>50</v>
      </c>
      <c r="H8" s="66">
        <v>42.2438</v>
      </c>
    </row>
    <row r="9" spans="1:8">
      <c r="A9" s="66" t="s">
        <v>306</v>
      </c>
      <c r="B9" s="66">
        <v>64.917100000000005</v>
      </c>
      <c r="C9" s="66">
        <v>3.1023200000000002</v>
      </c>
      <c r="D9" s="66">
        <v>4.7789099999999998</v>
      </c>
      <c r="E9" s="66">
        <v>50</v>
      </c>
      <c r="F9" s="66">
        <v>57.754600000000003</v>
      </c>
      <c r="G9" s="66">
        <v>100</v>
      </c>
      <c r="H9" s="66">
        <v>74.144000000000005</v>
      </c>
    </row>
    <row r="10" spans="1:8">
      <c r="A10" s="66" t="s">
        <v>307</v>
      </c>
      <c r="B10" s="66">
        <v>75.647499999999994</v>
      </c>
      <c r="C10" s="66">
        <v>8.18445</v>
      </c>
      <c r="D10" s="66">
        <v>10.8192</v>
      </c>
      <c r="E10" s="66">
        <v>40</v>
      </c>
      <c r="F10" s="66">
        <v>52.795499999999997</v>
      </c>
      <c r="G10" s="66">
        <v>100</v>
      </c>
      <c r="H10" s="66">
        <v>78.030100000000004</v>
      </c>
    </row>
    <row r="11" spans="1:8">
      <c r="A11" s="66" t="s">
        <v>308</v>
      </c>
      <c r="B11" s="66">
        <v>23.4313</v>
      </c>
      <c r="C11" s="66">
        <v>2.5739299999999998</v>
      </c>
      <c r="D11" s="66">
        <v>10.984999999999999</v>
      </c>
      <c r="E11" s="66">
        <v>10</v>
      </c>
      <c r="F11" s="66">
        <v>19.808599999999998</v>
      </c>
      <c r="G11" s="66">
        <v>50</v>
      </c>
      <c r="H11" s="66">
        <v>28.489799999999999</v>
      </c>
    </row>
    <row r="12" spans="1:8">
      <c r="A12" s="66" t="s">
        <v>309</v>
      </c>
      <c r="B12" s="66">
        <v>68.949200000000005</v>
      </c>
      <c r="C12" s="66">
        <v>3.8218299999999998</v>
      </c>
      <c r="D12" s="66">
        <v>5.5429700000000004</v>
      </c>
      <c r="E12" s="66">
        <v>50</v>
      </c>
      <c r="F12" s="66">
        <v>58.298999999999999</v>
      </c>
      <c r="G12" s="66">
        <v>100</v>
      </c>
      <c r="H12" s="66">
        <v>74.138300000000001</v>
      </c>
    </row>
    <row r="13" spans="1:8">
      <c r="A13" s="66" t="s">
        <v>310</v>
      </c>
      <c r="B13" s="66">
        <v>18.121300000000002</v>
      </c>
      <c r="C13" s="66">
        <v>2.0377100000000001</v>
      </c>
      <c r="D13" s="66">
        <v>11.2448</v>
      </c>
      <c r="E13" s="66">
        <v>10</v>
      </c>
      <c r="F13" s="66">
        <v>15.396100000000001</v>
      </c>
      <c r="G13" s="66">
        <v>25</v>
      </c>
      <c r="H13" s="66">
        <v>25.818300000000001</v>
      </c>
    </row>
    <row r="14" spans="1:8">
      <c r="A14" s="66" t="s">
        <v>311</v>
      </c>
      <c r="B14" s="66">
        <v>20.377099999999999</v>
      </c>
      <c r="C14" s="66">
        <v>12.9971</v>
      </c>
      <c r="D14" s="66">
        <v>63.782699999999998</v>
      </c>
      <c r="E14" s="66">
        <v>10</v>
      </c>
      <c r="F14" s="66">
        <v>3.8939400000000002</v>
      </c>
      <c r="G14" s="66">
        <v>50</v>
      </c>
      <c r="H14" s="66">
        <v>38.348500000000001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0.52309000000000005</v>
      </c>
      <c r="C18" s="66">
        <v>2.43108E-2</v>
      </c>
      <c r="D18" s="66">
        <v>4.64754E-2</v>
      </c>
      <c r="E18" s="66">
        <v>0</v>
      </c>
      <c r="F18" s="66">
        <v>0.49877899999999997</v>
      </c>
      <c r="G18" s="66">
        <v>0</v>
      </c>
      <c r="H18" s="66">
        <v>0.5474</v>
      </c>
    </row>
    <row r="19" spans="1:8">
      <c r="A19" s="66" t="s">
        <v>316</v>
      </c>
      <c r="B19" s="66">
        <v>0.75607999999999997</v>
      </c>
      <c r="C19" s="66">
        <v>5.2743600000000002E-2</v>
      </c>
      <c r="D19" s="66">
        <v>6.9759199999999993E-2</v>
      </c>
      <c r="E19" s="66">
        <v>0</v>
      </c>
      <c r="F19" s="66">
        <v>0.70333599999999996</v>
      </c>
      <c r="G19" s="66">
        <v>0</v>
      </c>
      <c r="H19" s="66">
        <v>0.80882399999999999</v>
      </c>
    </row>
    <row r="20" spans="1:8">
      <c r="A20" s="66" t="s">
        <v>317</v>
      </c>
      <c r="B20" s="66">
        <v>3.5994299999999999E-4</v>
      </c>
      <c r="C20" s="66">
        <v>1.9159300000000001E-2</v>
      </c>
      <c r="D20" s="66">
        <v>53.228700000000003</v>
      </c>
      <c r="E20" s="66">
        <v>0</v>
      </c>
      <c r="F20" s="66">
        <v>0</v>
      </c>
      <c r="G20" s="66">
        <v>0</v>
      </c>
      <c r="H20" s="66">
        <v>9.6309599999999995E-2</v>
      </c>
    </row>
    <row r="21" spans="1:8">
      <c r="A21" s="66" t="s">
        <v>318</v>
      </c>
      <c r="B21" s="66">
        <v>5.2217199999999998E-2</v>
      </c>
      <c r="C21" s="66">
        <v>7.8783000000000006E-2</v>
      </c>
      <c r="D21" s="66">
        <v>1.50875</v>
      </c>
      <c r="E21" s="66">
        <v>0</v>
      </c>
      <c r="F21" s="66">
        <v>1.89223E-4</v>
      </c>
      <c r="G21" s="66">
        <v>0</v>
      </c>
      <c r="H21" s="66">
        <v>0.33228200000000002</v>
      </c>
    </row>
    <row r="22" spans="1:8">
      <c r="A22" s="66" t="s">
        <v>319</v>
      </c>
      <c r="B22" s="66">
        <v>63.2898</v>
      </c>
      <c r="C22" s="66">
        <v>18.844999999999999</v>
      </c>
      <c r="D22" s="66">
        <v>0.29775699999999999</v>
      </c>
      <c r="E22" s="66">
        <v>0</v>
      </c>
      <c r="F22" s="66">
        <v>33.052700000000002</v>
      </c>
      <c r="G22" s="66">
        <v>0</v>
      </c>
      <c r="H22" s="66">
        <v>137.45699999999999</v>
      </c>
    </row>
    <row r="23" spans="1:8">
      <c r="A23" s="66" t="s">
        <v>320</v>
      </c>
      <c r="B23" s="66">
        <v>17.244499999999999</v>
      </c>
      <c r="C23" s="66">
        <v>10.4481</v>
      </c>
      <c r="D23" s="66">
        <v>0.60587999999999997</v>
      </c>
      <c r="E23" s="66">
        <v>0</v>
      </c>
      <c r="F23" s="66">
        <v>14.1638</v>
      </c>
      <c r="G23" s="66">
        <v>0</v>
      </c>
      <c r="H23" s="66">
        <v>40.072699999999998</v>
      </c>
    </row>
    <row r="24" spans="1:8">
      <c r="A24" s="66" t="s">
        <v>321</v>
      </c>
      <c r="B24" s="66">
        <v>7.1363599999999996E-3</v>
      </c>
      <c r="C24" s="66">
        <v>1.0699800000000001E-2</v>
      </c>
      <c r="D24" s="66">
        <v>1.4993399999999999</v>
      </c>
      <c r="E24" s="66">
        <v>0</v>
      </c>
      <c r="F24" s="196">
        <v>2.16835E-5</v>
      </c>
      <c r="G24" s="66">
        <v>0</v>
      </c>
      <c r="H24" s="66">
        <v>4.1929399999999999E-2</v>
      </c>
    </row>
    <row r="25" spans="1:8">
      <c r="A25" s="66" t="s">
        <v>322</v>
      </c>
      <c r="B25" s="66">
        <v>8.6155499999999996E-2</v>
      </c>
      <c r="C25" s="66">
        <v>3.02335E-2</v>
      </c>
      <c r="D25" s="66">
        <v>0.35091800000000001</v>
      </c>
      <c r="E25" s="66">
        <v>0</v>
      </c>
      <c r="F25" s="66">
        <v>4.2514799999999998E-2</v>
      </c>
      <c r="G25" s="66">
        <v>0</v>
      </c>
      <c r="H25" s="66">
        <v>0.284611</v>
      </c>
    </row>
    <row r="26" spans="1:8">
      <c r="A26" s="66" t="s">
        <v>323</v>
      </c>
      <c r="B26" s="66">
        <v>1.6412800000000001E-4</v>
      </c>
      <c r="C26" s="66">
        <v>1.28225E-3</v>
      </c>
      <c r="D26" s="66">
        <v>7.8124799999999999</v>
      </c>
      <c r="E26" s="66">
        <v>0</v>
      </c>
      <c r="F26" s="66">
        <v>0</v>
      </c>
      <c r="G26" s="66">
        <v>0</v>
      </c>
      <c r="H26" s="66">
        <v>5.3177500000000004E-3</v>
      </c>
    </row>
    <row r="27" spans="1:8">
      <c r="A27" s="66" t="s">
        <v>324</v>
      </c>
      <c r="B27" s="196">
        <v>-6.5651299999999996E-6</v>
      </c>
      <c r="C27" s="66">
        <v>1.0328399999999999E-3</v>
      </c>
      <c r="D27" s="66">
        <v>-157.322</v>
      </c>
      <c r="E27" s="66">
        <v>0</v>
      </c>
      <c r="F27" s="66">
        <v>-4.1655700000000004E-3</v>
      </c>
      <c r="G27" s="66">
        <v>0</v>
      </c>
      <c r="H27" s="66">
        <v>4.2837400000000003E-3</v>
      </c>
    </row>
    <row r="28" spans="1:8">
      <c r="A28" s="66" t="s">
        <v>325</v>
      </c>
      <c r="B28" s="66">
        <v>8.3251899999999997E-3</v>
      </c>
      <c r="C28" s="66">
        <v>6.3501699999999996E-3</v>
      </c>
      <c r="D28" s="66">
        <v>0.76276500000000003</v>
      </c>
      <c r="E28" s="66">
        <v>0</v>
      </c>
      <c r="F28" s="196">
        <v>5.2083300000000003E-5</v>
      </c>
      <c r="G28" s="66">
        <v>0</v>
      </c>
      <c r="H28" s="66">
        <v>3.5589200000000001E-2</v>
      </c>
    </row>
    <row r="29" spans="1:8">
      <c r="A29" s="66" t="s">
        <v>326</v>
      </c>
      <c r="B29" s="66">
        <v>81.807100000000005</v>
      </c>
      <c r="C29" s="66">
        <v>9.5446200000000001</v>
      </c>
      <c r="D29" s="66">
        <v>0.116672</v>
      </c>
      <c r="E29" s="66">
        <v>0</v>
      </c>
      <c r="F29" s="66">
        <v>53.619399999999999</v>
      </c>
      <c r="G29" s="66">
        <v>0</v>
      </c>
      <c r="H29" s="66">
        <v>107.64</v>
      </c>
    </row>
    <row r="30" spans="1:8">
      <c r="A30" s="66" t="s">
        <v>327</v>
      </c>
      <c r="B30" s="66">
        <v>17.436900000000001</v>
      </c>
      <c r="C30" s="66">
        <v>11.0191</v>
      </c>
      <c r="D30" s="66">
        <v>0.63194399999999995</v>
      </c>
      <c r="E30" s="66">
        <v>0</v>
      </c>
      <c r="F30" s="66">
        <v>14.5253</v>
      </c>
      <c r="G30" s="66">
        <v>0</v>
      </c>
      <c r="H30" s="66">
        <v>41.822899999999997</v>
      </c>
    </row>
    <row r="31" spans="1:8">
      <c r="A31" s="66" t="s">
        <v>328</v>
      </c>
      <c r="B31" s="66">
        <v>325.57499999999999</v>
      </c>
      <c r="C31" s="66">
        <v>69.6143</v>
      </c>
      <c r="D31" s="66">
        <v>0.21382000000000001</v>
      </c>
      <c r="E31" s="66">
        <v>0</v>
      </c>
      <c r="F31" s="66">
        <v>202.035</v>
      </c>
      <c r="G31" s="66">
        <v>0</v>
      </c>
      <c r="H31" s="66">
        <v>410.32499999999999</v>
      </c>
    </row>
    <row r="32" spans="1:8">
      <c r="A32" s="66" t="s">
        <v>329</v>
      </c>
      <c r="B32" s="66">
        <v>0.28083799999999998</v>
      </c>
      <c r="C32" s="66">
        <v>5.0642199999999998E-2</v>
      </c>
      <c r="D32" s="66">
        <v>0.18032500000000001</v>
      </c>
      <c r="E32" s="66">
        <v>0.15</v>
      </c>
      <c r="F32" s="66">
        <v>6.75293E-2</v>
      </c>
      <c r="G32" s="66">
        <v>0.4</v>
      </c>
      <c r="H32" s="66">
        <v>0.43277199999999999</v>
      </c>
    </row>
    <row r="33" spans="1:8">
      <c r="A33" s="66" t="s">
        <v>330</v>
      </c>
      <c r="B33" s="66">
        <v>0.370367</v>
      </c>
      <c r="C33" s="66">
        <v>3.0961800000000001E-2</v>
      </c>
      <c r="D33" s="66">
        <v>8.3597500000000005E-2</v>
      </c>
      <c r="E33" s="66">
        <v>0</v>
      </c>
      <c r="F33" s="66">
        <v>0.29020800000000002</v>
      </c>
      <c r="G33" s="66">
        <v>0</v>
      </c>
      <c r="H33" s="66">
        <v>0.43635200000000002</v>
      </c>
    </row>
    <row r="34" spans="1:8">
      <c r="A34" s="66" t="s">
        <v>331</v>
      </c>
      <c r="B34" s="66">
        <v>0.18121300000000001</v>
      </c>
      <c r="C34" s="66">
        <v>2.0377099999999999E-2</v>
      </c>
      <c r="D34" s="66">
        <v>0.11244800000000001</v>
      </c>
      <c r="E34" s="66">
        <v>0.1</v>
      </c>
      <c r="F34" s="66">
        <v>0.15396099999999999</v>
      </c>
      <c r="G34" s="66">
        <v>0.25</v>
      </c>
      <c r="H34" s="66">
        <v>0.258183</v>
      </c>
    </row>
    <row r="35" spans="1:8">
      <c r="A35" s="66" t="s">
        <v>332</v>
      </c>
      <c r="B35" s="66">
        <v>8.3611099999999994E-2</v>
      </c>
      <c r="C35" s="66">
        <v>1.7091200000000001E-2</v>
      </c>
      <c r="D35" s="66">
        <v>0.20441400000000001</v>
      </c>
      <c r="E35" s="66">
        <v>0</v>
      </c>
      <c r="F35" s="66">
        <v>4.5036600000000003E-2</v>
      </c>
      <c r="G35" s="66">
        <v>0</v>
      </c>
      <c r="H35" s="66">
        <v>0.11944399999999999</v>
      </c>
    </row>
    <row r="36" spans="1:8">
      <c r="A36" s="66" t="s">
        <v>333</v>
      </c>
      <c r="B36" s="66">
        <v>0.17896100000000001</v>
      </c>
      <c r="C36" s="66">
        <v>9.0426199999999998E-2</v>
      </c>
      <c r="D36" s="66">
        <v>0.50528499999999998</v>
      </c>
      <c r="E36" s="66">
        <v>0</v>
      </c>
      <c r="F36" s="66">
        <v>4.3263900000000001E-2</v>
      </c>
      <c r="G36" s="66">
        <v>0</v>
      </c>
      <c r="H36" s="66">
        <v>0.41082800000000003</v>
      </c>
    </row>
    <row r="37" spans="1:8">
      <c r="A37" s="66" t="s">
        <v>334</v>
      </c>
      <c r="B37" s="66">
        <v>0.20377100000000001</v>
      </c>
      <c r="C37" s="66">
        <v>0.129971</v>
      </c>
      <c r="D37" s="66">
        <v>0.63782700000000003</v>
      </c>
      <c r="E37" s="66">
        <v>0.1</v>
      </c>
      <c r="F37" s="66">
        <v>3.8939399999999999E-2</v>
      </c>
      <c r="G37" s="66">
        <v>0.5</v>
      </c>
      <c r="H37" s="66">
        <v>0.38348500000000002</v>
      </c>
    </row>
    <row r="38" spans="1:8">
      <c r="A38" s="66" t="s">
        <v>335</v>
      </c>
      <c r="B38" s="66">
        <v>-21.095300000000002</v>
      </c>
      <c r="C38" s="66">
        <v>45.472900000000003</v>
      </c>
      <c r="D38" s="66">
        <v>-2.1556000000000002</v>
      </c>
      <c r="E38" s="66">
        <v>0</v>
      </c>
      <c r="F38" s="66">
        <v>-176.309</v>
      </c>
      <c r="G38" s="66">
        <v>0</v>
      </c>
      <c r="H38" s="66">
        <v>229.751</v>
      </c>
    </row>
    <row r="39" spans="1:8">
      <c r="A39" s="66" t="s">
        <v>336</v>
      </c>
      <c r="B39" s="66">
        <v>-9.1644199999999998</v>
      </c>
      <c r="C39" s="66">
        <v>7.88748</v>
      </c>
      <c r="D39" s="66">
        <v>-0.86066299999999996</v>
      </c>
      <c r="E39" s="66">
        <v>0</v>
      </c>
      <c r="F39" s="66">
        <v>-50.381100000000004</v>
      </c>
      <c r="G39" s="66">
        <v>0</v>
      </c>
      <c r="H39" s="66">
        <v>31.1846</v>
      </c>
    </row>
    <row r="40" spans="1:8">
      <c r="A40" s="66" t="s">
        <v>337</v>
      </c>
      <c r="B40" s="66">
        <v>-1.1862200000000001</v>
      </c>
      <c r="C40" s="66">
        <v>2.6214</v>
      </c>
      <c r="D40" s="66">
        <v>-2.2098800000000001</v>
      </c>
      <c r="E40" s="66">
        <v>0</v>
      </c>
      <c r="F40" s="66">
        <v>-6.3126600000000002</v>
      </c>
      <c r="G40" s="66">
        <v>0</v>
      </c>
      <c r="H40" s="66">
        <v>0.64881699999999998</v>
      </c>
    </row>
    <row r="41" spans="1:8">
      <c r="A41" s="66" t="s">
        <v>338</v>
      </c>
      <c r="B41" s="66">
        <v>-0.188833</v>
      </c>
      <c r="C41" s="66">
        <v>0.27904600000000002</v>
      </c>
      <c r="D41" s="66">
        <v>-1.4777400000000001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-0.194856</v>
      </c>
      <c r="C42" s="66">
        <v>7.8534800000000002E-2</v>
      </c>
      <c r="D42" s="66">
        <v>-0.40304000000000001</v>
      </c>
      <c r="E42" s="66">
        <v>0</v>
      </c>
      <c r="F42" s="66">
        <v>-0.60760800000000004</v>
      </c>
      <c r="G42" s="66">
        <v>0</v>
      </c>
      <c r="H42" s="66">
        <v>0.14042099999999999</v>
      </c>
    </row>
    <row r="43" spans="1:8">
      <c r="A43" s="66" t="s">
        <v>340</v>
      </c>
      <c r="B43" s="66">
        <v>-0.115408</v>
      </c>
      <c r="C43" s="66">
        <v>6.9307499999999994E-2</v>
      </c>
      <c r="D43" s="66">
        <v>-0.60054300000000005</v>
      </c>
      <c r="E43" s="66">
        <v>0</v>
      </c>
      <c r="F43" s="66">
        <v>-0.26576100000000002</v>
      </c>
      <c r="G43" s="66">
        <v>0</v>
      </c>
      <c r="H43" s="66">
        <v>-2.9844699999999998E-2</v>
      </c>
    </row>
    <row r="44" spans="1:8">
      <c r="A44" s="66" t="s">
        <v>341</v>
      </c>
      <c r="B44" s="66">
        <v>1.9597</v>
      </c>
      <c r="C44" s="66">
        <v>19.7545</v>
      </c>
      <c r="D44" s="66">
        <v>10.080399999999999</v>
      </c>
      <c r="E44" s="66">
        <v>0</v>
      </c>
      <c r="F44" s="66">
        <v>-24.415400000000002</v>
      </c>
      <c r="G44" s="66">
        <v>0</v>
      </c>
      <c r="H44" s="66">
        <v>36.363</v>
      </c>
    </row>
    <row r="45" spans="1:8">
      <c r="A45" s="66" t="s">
        <v>342</v>
      </c>
      <c r="B45" s="66">
        <v>60.569200000000002</v>
      </c>
      <c r="C45" s="66">
        <v>6.1998199999999999</v>
      </c>
      <c r="D45" s="66">
        <v>0.10235900000000001</v>
      </c>
      <c r="E45" s="66">
        <v>0</v>
      </c>
      <c r="F45" s="66">
        <v>45.842399999999998</v>
      </c>
      <c r="G45" s="66">
        <v>0</v>
      </c>
      <c r="H45" s="66">
        <v>81.046599999999998</v>
      </c>
    </row>
    <row r="46" spans="1:8">
      <c r="A46" s="66" t="s">
        <v>343</v>
      </c>
      <c r="B46" s="66">
        <v>36.140599999999999</v>
      </c>
      <c r="C46" s="66">
        <v>6.31419</v>
      </c>
      <c r="D46" s="66">
        <v>0.17471200000000001</v>
      </c>
      <c r="E46" s="66">
        <v>0</v>
      </c>
      <c r="F46" s="66">
        <v>27.954899999999999</v>
      </c>
      <c r="G46" s="66">
        <v>0</v>
      </c>
      <c r="H46" s="66">
        <v>46.846899999999998</v>
      </c>
    </row>
    <row r="47" spans="1:8">
      <c r="A47" s="66" t="s">
        <v>344</v>
      </c>
      <c r="B47" s="66">
        <v>0.64989699999999995</v>
      </c>
      <c r="C47" s="66">
        <v>0.24776799999999999</v>
      </c>
      <c r="D47" s="66">
        <v>0.38124200000000003</v>
      </c>
      <c r="E47" s="66">
        <v>0</v>
      </c>
      <c r="F47" s="66">
        <v>0.21561</v>
      </c>
      <c r="G47" s="66">
        <v>0</v>
      </c>
      <c r="H47" s="66">
        <v>1.43598</v>
      </c>
    </row>
    <row r="48" spans="1:8">
      <c r="A48" s="66" t="s">
        <v>345</v>
      </c>
      <c r="B48" s="66">
        <v>0.81842400000000004</v>
      </c>
      <c r="C48" s="66">
        <v>8.6020100000000002E-2</v>
      </c>
      <c r="D48" s="66">
        <v>0.105104</v>
      </c>
      <c r="E48" s="66">
        <v>0</v>
      </c>
      <c r="F48" s="66">
        <v>0.7137</v>
      </c>
      <c r="G48" s="66">
        <v>0</v>
      </c>
      <c r="H48" s="66">
        <v>1.07036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82.561871535402986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1.5940625252396798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0.77758520343991011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7518</v>
      </c>
      <c r="B8" s="66">
        <v>7518</v>
      </c>
      <c r="D8">
        <f t="shared" si="0"/>
        <v>7.2511574074074076E-2</v>
      </c>
      <c r="E8">
        <f t="shared" si="0"/>
        <v>7.2511574074074076E-2</v>
      </c>
      <c r="G8">
        <f t="shared" ca="1" si="1"/>
        <v>6</v>
      </c>
      <c r="H8">
        <f t="shared" ca="1" si="2"/>
        <v>0.43506944444444445</v>
      </c>
      <c r="I8">
        <f t="shared" ca="1" si="3"/>
        <v>425.04255652624124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15561</v>
      </c>
      <c r="B10" s="66">
        <v>15561</v>
      </c>
      <c r="D10">
        <f t="shared" si="0"/>
        <v>0.15008680555555556</v>
      </c>
      <c r="E10">
        <f t="shared" si="0"/>
        <v>0.15008680555555556</v>
      </c>
      <c r="G10">
        <f t="shared" ca="1" si="1"/>
        <v>8</v>
      </c>
      <c r="H10">
        <f t="shared" ca="1" si="2"/>
        <v>1.2006944444444445</v>
      </c>
      <c r="I10">
        <f t="shared" ca="1" si="3"/>
        <v>834.40349614446973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24645</v>
      </c>
      <c r="B13" s="66">
        <v>24645</v>
      </c>
      <c r="D13">
        <f t="shared" si="0"/>
        <v>0.23770254629629631</v>
      </c>
      <c r="E13">
        <f t="shared" si="0"/>
        <v>0.23770254629629631</v>
      </c>
      <c r="G13">
        <f t="shared" ca="1" si="1"/>
        <v>11</v>
      </c>
      <c r="H13">
        <f t="shared" ca="1" si="2"/>
        <v>2.6147280092592595</v>
      </c>
      <c r="I13">
        <f t="shared" ca="1" si="3"/>
        <v>1217.2988563249655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23440</v>
      </c>
      <c r="B15" s="66">
        <v>23440</v>
      </c>
      <c r="D15">
        <f t="shared" si="0"/>
        <v>0.22608024691358025</v>
      </c>
      <c r="E15">
        <f t="shared" si="0"/>
        <v>0.22608024691358025</v>
      </c>
      <c r="G15">
        <f t="shared" ca="1" si="1"/>
        <v>13</v>
      </c>
      <c r="H15">
        <f t="shared" ca="1" si="2"/>
        <v>2.9390432098765431</v>
      </c>
      <c r="I15">
        <f t="shared" ca="1" si="3"/>
        <v>1093.9693006572661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32444</v>
      </c>
      <c r="B18" s="66">
        <v>32444</v>
      </c>
      <c r="D18">
        <f t="shared" si="0"/>
        <v>0.31292438271604939</v>
      </c>
      <c r="E18">
        <f t="shared" si="0"/>
        <v>0.31292438271604939</v>
      </c>
      <c r="G18">
        <f t="shared" ca="1" si="1"/>
        <v>16</v>
      </c>
      <c r="H18">
        <f t="shared" ca="1" si="2"/>
        <v>5.0067901234567902</v>
      </c>
      <c r="I18">
        <f t="shared" ca="1" si="3"/>
        <v>1386.4060772669261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42849</v>
      </c>
      <c r="B21" s="66">
        <v>42849</v>
      </c>
      <c r="D21">
        <f t="shared" si="0"/>
        <v>0.41328124999999999</v>
      </c>
      <c r="E21">
        <f t="shared" si="0"/>
        <v>0.41328124999999999</v>
      </c>
      <c r="G21">
        <f t="shared" ca="1" si="1"/>
        <v>19</v>
      </c>
      <c r="H21">
        <f t="shared" ca="1" si="2"/>
        <v>7.8523437500000002</v>
      </c>
      <c r="I21">
        <f t="shared" ca="1" si="3"/>
        <v>1669.7023362663633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46157</v>
      </c>
      <c r="B23" s="66">
        <v>46157</v>
      </c>
      <c r="D23">
        <f t="shared" si="0"/>
        <v>0.44518711419753088</v>
      </c>
      <c r="E23">
        <f t="shared" si="0"/>
        <v>0.44518711419753088</v>
      </c>
      <c r="G23">
        <f t="shared" ca="1" si="1"/>
        <v>21</v>
      </c>
      <c r="H23">
        <f t="shared" ca="1" si="2"/>
        <v>9.3489293981481492</v>
      </c>
      <c r="I23">
        <f t="shared" ca="1" si="3"/>
        <v>1687.1986293551022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67064</v>
      </c>
      <c r="B26" s="66">
        <v>67064</v>
      </c>
      <c r="D26">
        <f t="shared" si="0"/>
        <v>0.64683641975308637</v>
      </c>
      <c r="E26">
        <f t="shared" si="0"/>
        <v>0.64683641975308637</v>
      </c>
      <c r="G26">
        <f t="shared" ca="1" si="1"/>
        <v>24</v>
      </c>
      <c r="H26">
        <f t="shared" ca="1" si="2"/>
        <v>15.524074074074072</v>
      </c>
      <c r="I26">
        <f t="shared" ca="1" si="3"/>
        <v>2218.3208428520497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70484</v>
      </c>
      <c r="B28" s="66">
        <v>70484</v>
      </c>
      <c r="D28">
        <f t="shared" si="0"/>
        <v>0.67982253086419753</v>
      </c>
      <c r="E28">
        <f t="shared" si="0"/>
        <v>0.67982253086419753</v>
      </c>
      <c r="G28">
        <f t="shared" ca="1" si="1"/>
        <v>26</v>
      </c>
      <c r="H28">
        <f t="shared" ca="1" si="2"/>
        <v>17.675385802469137</v>
      </c>
      <c r="I28">
        <f t="shared" ca="1" si="3"/>
        <v>2174.9190445787854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76186</v>
      </c>
      <c r="B31" s="66">
        <v>76186</v>
      </c>
      <c r="D31">
        <f t="shared" si="0"/>
        <v>0.73481867283950619</v>
      </c>
      <c r="E31">
        <f t="shared" si="0"/>
        <v>0.73481867283950619</v>
      </c>
      <c r="G31">
        <f t="shared" ca="1" si="1"/>
        <v>29</v>
      </c>
      <c r="H31">
        <f t="shared" ca="1" si="2"/>
        <v>21.309741512345681</v>
      </c>
      <c r="I31">
        <f t="shared" ca="1" si="3"/>
        <v>2108.1022457544632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84036</v>
      </c>
      <c r="B33" s="66">
        <v>84036</v>
      </c>
      <c r="D33">
        <f t="shared" si="0"/>
        <v>0.8105324074074074</v>
      </c>
      <c r="E33">
        <f t="shared" si="0"/>
        <v>0.8105324074074074</v>
      </c>
      <c r="G33">
        <f t="shared" ca="1" si="1"/>
        <v>31</v>
      </c>
      <c r="H33">
        <f t="shared" ca="1" si="2"/>
        <v>25.126504629629629</v>
      </c>
      <c r="I33">
        <f t="shared" ca="1" si="3"/>
        <v>2154.9030154424195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87443</v>
      </c>
      <c r="B36" s="66">
        <v>87443</v>
      </c>
      <c r="D36">
        <f t="shared" si="0"/>
        <v>0.84339313271604943</v>
      </c>
      <c r="E36">
        <f t="shared" si="0"/>
        <v>0.84339313271604943</v>
      </c>
      <c r="G36">
        <f t="shared" ca="1" si="1"/>
        <v>34</v>
      </c>
      <c r="H36">
        <f t="shared" ca="1" si="2"/>
        <v>28.675366512345679</v>
      </c>
      <c r="I36">
        <f t="shared" ca="1" si="3"/>
        <v>1988.9363817362635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98655</v>
      </c>
      <c r="B39" s="66">
        <v>98655</v>
      </c>
      <c r="D39">
        <f t="shared" si="0"/>
        <v>0.95153356481481477</v>
      </c>
      <c r="E39">
        <f t="shared" si="0"/>
        <v>0.95153356481481477</v>
      </c>
      <c r="G39">
        <f t="shared" ca="1" si="1"/>
        <v>37</v>
      </c>
      <c r="H39">
        <f t="shared" ca="1" si="2"/>
        <v>35.206741898148145</v>
      </c>
      <c r="I39">
        <f t="shared" ca="1" si="3"/>
        <v>1975.2734337915119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100983</v>
      </c>
      <c r="B41" s="66">
        <v>100983</v>
      </c>
      <c r="D41">
        <f t="shared" si="0"/>
        <v>0.97398726851851847</v>
      </c>
      <c r="E41">
        <f t="shared" si="0"/>
        <v>0.97398726851851847</v>
      </c>
      <c r="G41">
        <f t="shared" ca="1" si="1"/>
        <v>39</v>
      </c>
      <c r="H41">
        <f t="shared" ca="1" si="2"/>
        <v>37.98550347222222</v>
      </c>
      <c r="I41">
        <f t="shared" ca="1" si="3"/>
        <v>1848.2739389977228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90175</v>
      </c>
      <c r="B44" s="66">
        <v>90175</v>
      </c>
      <c r="D44">
        <f t="shared" si="0"/>
        <v>0.86974344135802473</v>
      </c>
      <c r="E44">
        <f t="shared" si="0"/>
        <v>0.86974344135802473</v>
      </c>
      <c r="G44">
        <f t="shared" ca="1" si="1"/>
        <v>42</v>
      </c>
      <c r="H44">
        <f t="shared" ca="1" si="2"/>
        <v>36.529224537037038</v>
      </c>
      <c r="I44">
        <f t="shared" ca="1" si="3"/>
        <v>1430.9588104729717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75297</v>
      </c>
      <c r="B46" s="66">
        <v>75297</v>
      </c>
      <c r="D46">
        <f t="shared" si="0"/>
        <v>0.72624421296296293</v>
      </c>
      <c r="E46">
        <f t="shared" si="0"/>
        <v>0.72624421296296293</v>
      </c>
      <c r="G46">
        <f t="shared" ca="1" si="1"/>
        <v>44</v>
      </c>
      <c r="H46">
        <f t="shared" ca="1" si="2"/>
        <v>31.954745370370368</v>
      </c>
      <c r="I46">
        <f t="shared" ca="1" si="3"/>
        <v>1079.938170819388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85001</v>
      </c>
      <c r="B49" s="66">
        <v>85001</v>
      </c>
      <c r="D49">
        <f t="shared" si="0"/>
        <v>0.8198398919753086</v>
      </c>
      <c r="E49">
        <f t="shared" si="0"/>
        <v>0.8198398919753086</v>
      </c>
      <c r="G49">
        <f t="shared" ca="1" si="1"/>
        <v>47</v>
      </c>
      <c r="H49">
        <f t="shared" ca="1" si="2"/>
        <v>38.532474922839505</v>
      </c>
      <c r="I49">
        <f t="shared" ca="1" si="3"/>
        <v>1036.8078197362079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76911</v>
      </c>
      <c r="B51" s="66">
        <v>76911</v>
      </c>
      <c r="D51">
        <f t="shared" si="0"/>
        <v>0.74181134259259263</v>
      </c>
      <c r="E51">
        <f t="shared" si="0"/>
        <v>0.74181134259259263</v>
      </c>
      <c r="G51">
        <f t="shared" ca="1" si="1"/>
        <v>49</v>
      </c>
      <c r="H51">
        <f t="shared" ca="1" si="2"/>
        <v>36.348755787037035</v>
      </c>
      <c r="I51">
        <f t="shared" ca="1" si="3"/>
        <v>835.57571839476702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80394</v>
      </c>
      <c r="B54" s="66">
        <v>80394</v>
      </c>
      <c r="D54">
        <f t="shared" si="0"/>
        <v>0.7754050925925926</v>
      </c>
      <c r="E54">
        <f t="shared" si="0"/>
        <v>0.7754050925925926</v>
      </c>
      <c r="G54">
        <f t="shared" ca="1" si="1"/>
        <v>52</v>
      </c>
      <c r="H54">
        <f t="shared" ca="1" si="2"/>
        <v>40.321064814814818</v>
      </c>
      <c r="I54">
        <f t="shared" ca="1" si="3"/>
        <v>724.250061424249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74205</v>
      </c>
      <c r="B57" s="66">
        <v>74205</v>
      </c>
      <c r="D57">
        <f t="shared" si="0"/>
        <v>0.71571180555555558</v>
      </c>
      <c r="E57">
        <f t="shared" si="0"/>
        <v>0.71571180555555558</v>
      </c>
      <c r="G57">
        <f t="shared" ca="1" si="1"/>
        <v>55</v>
      </c>
      <c r="H57">
        <f t="shared" ca="1" si="2"/>
        <v>39.364149305555557</v>
      </c>
      <c r="I57">
        <f t="shared" ca="1" si="3"/>
        <v>543.69531311573814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78243</v>
      </c>
      <c r="B59" s="66">
        <v>78243</v>
      </c>
      <c r="D59">
        <f t="shared" si="0"/>
        <v>0.75465856481481486</v>
      </c>
      <c r="E59">
        <f t="shared" si="0"/>
        <v>0.75465856481481486</v>
      </c>
      <c r="G59">
        <f t="shared" ca="1" si="1"/>
        <v>57</v>
      </c>
      <c r="H59">
        <f t="shared" ca="1" si="2"/>
        <v>43.015538194444446</v>
      </c>
      <c r="I59">
        <f t="shared" ca="1" si="3"/>
        <v>493.1009067590096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76565</v>
      </c>
      <c r="B62" s="66">
        <v>76565</v>
      </c>
      <c r="D62">
        <f t="shared" si="0"/>
        <v>0.73847415123456794</v>
      </c>
      <c r="E62">
        <f t="shared" si="0"/>
        <v>0.73847415123456794</v>
      </c>
      <c r="G62">
        <f t="shared" ca="1" si="1"/>
        <v>60</v>
      </c>
      <c r="H62">
        <f t="shared" ca="1" si="2"/>
        <v>44.308449074074076</v>
      </c>
      <c r="I62">
        <f t="shared" ca="1" si="3"/>
        <v>375.91143983737277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78479</v>
      </c>
      <c r="B64" s="66">
        <v>78479</v>
      </c>
      <c r="D64">
        <f t="shared" si="0"/>
        <v>0.75693479938271602</v>
      </c>
      <c r="E64">
        <f t="shared" si="0"/>
        <v>0.75693479938271602</v>
      </c>
      <c r="G64">
        <f t="shared" ca="1" si="1"/>
        <v>62</v>
      </c>
      <c r="H64">
        <f t="shared" ca="1" si="2"/>
        <v>46.929957561728394</v>
      </c>
      <c r="I64">
        <f t="shared" ca="1" si="3"/>
        <v>320.02488850051901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73268</v>
      </c>
      <c r="B67" s="66">
        <v>73268</v>
      </c>
      <c r="D67">
        <f t="shared" ref="D67:E130" si="4">IFERROR( A67/MAX(A$2:A$257), 0 )</f>
        <v>0.70667438271604943</v>
      </c>
      <c r="E67">
        <f t="shared" si="4"/>
        <v>0.70667438271604943</v>
      </c>
      <c r="G67">
        <f t="shared" ref="G67:G130" ca="1" si="5">CELL("row",D67)-2</f>
        <v>65</v>
      </c>
      <c r="H67">
        <f t="shared" ref="H67:H130" ca="1" si="6">D67*G67</f>
        <v>45.933834876543216</v>
      </c>
      <c r="I67">
        <f t="shared" ref="I67:I130" ca="1" si="7">D67*((G67-$L$1)^2)</f>
        <v>217.95204093583328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74340</v>
      </c>
      <c r="B69" s="66">
        <v>74340</v>
      </c>
      <c r="D69">
        <f t="shared" si="4"/>
        <v>0.71701388888888884</v>
      </c>
      <c r="E69">
        <f t="shared" si="4"/>
        <v>0.71701388888888884</v>
      </c>
      <c r="G69">
        <f t="shared" ca="1" si="5"/>
        <v>67</v>
      </c>
      <c r="H69">
        <f t="shared" ca="1" si="6"/>
        <v>48.03993055555555</v>
      </c>
      <c r="I69">
        <f t="shared" ca="1" si="7"/>
        <v>173.64057685356124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77236</v>
      </c>
      <c r="B72" s="66">
        <v>77236</v>
      </c>
      <c r="D72">
        <f t="shared" si="4"/>
        <v>0.74494598765432096</v>
      </c>
      <c r="E72">
        <f t="shared" si="4"/>
        <v>0.74494598765432096</v>
      </c>
      <c r="G72">
        <f t="shared" ca="1" si="5"/>
        <v>70</v>
      </c>
      <c r="H72">
        <f t="shared" ca="1" si="6"/>
        <v>52.146219135802468</v>
      </c>
      <c r="I72">
        <f t="shared" ca="1" si="7"/>
        <v>117.55293609017075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78913</v>
      </c>
      <c r="B75" s="66">
        <v>78913</v>
      </c>
      <c r="D75">
        <f t="shared" si="4"/>
        <v>0.76112075617283947</v>
      </c>
      <c r="E75">
        <f t="shared" si="4"/>
        <v>0.76112075617283947</v>
      </c>
      <c r="G75">
        <f t="shared" ca="1" si="5"/>
        <v>73</v>
      </c>
      <c r="H75">
        <f t="shared" ca="1" si="6"/>
        <v>55.561815200617282</v>
      </c>
      <c r="I75">
        <f t="shared" ca="1" si="7"/>
        <v>69.58880436740796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80465</v>
      </c>
      <c r="B77" s="66">
        <v>80465</v>
      </c>
      <c r="D77">
        <f t="shared" si="4"/>
        <v>0.77608989197530864</v>
      </c>
      <c r="E77">
        <f t="shared" si="4"/>
        <v>0.77608989197530864</v>
      </c>
      <c r="G77">
        <f t="shared" ca="1" si="5"/>
        <v>75</v>
      </c>
      <c r="H77">
        <f t="shared" ca="1" si="6"/>
        <v>58.206741898148145</v>
      </c>
      <c r="I77">
        <f t="shared" ca="1" si="7"/>
        <v>44.378295461563212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84124</v>
      </c>
      <c r="B80" s="66">
        <v>84124</v>
      </c>
      <c r="D80">
        <f t="shared" si="4"/>
        <v>0.81138117283950617</v>
      </c>
      <c r="E80">
        <f t="shared" si="4"/>
        <v>0.81138117283950617</v>
      </c>
      <c r="G80">
        <f t="shared" ca="1" si="5"/>
        <v>78</v>
      </c>
      <c r="H80">
        <f t="shared" ca="1" si="6"/>
        <v>63.28773148148148</v>
      </c>
      <c r="I80">
        <f t="shared" ca="1" si="7"/>
        <v>16.885387378278974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90296</v>
      </c>
      <c r="B82" s="66">
        <v>90296</v>
      </c>
      <c r="D82">
        <f t="shared" si="4"/>
        <v>0.87091049382716046</v>
      </c>
      <c r="E82">
        <f t="shared" si="4"/>
        <v>0.87091049382716046</v>
      </c>
      <c r="G82">
        <f t="shared" ca="1" si="5"/>
        <v>80</v>
      </c>
      <c r="H82">
        <f t="shared" ca="1" si="6"/>
        <v>69.672839506172835</v>
      </c>
      <c r="I82">
        <f t="shared" ca="1" si="7"/>
        <v>5.7159473547245518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90780</v>
      </c>
      <c r="B85" s="66">
        <v>90780</v>
      </c>
      <c r="D85">
        <f t="shared" si="4"/>
        <v>0.87557870370370372</v>
      </c>
      <c r="E85">
        <f t="shared" si="4"/>
        <v>0.87557870370370372</v>
      </c>
      <c r="G85">
        <f t="shared" ca="1" si="5"/>
        <v>83</v>
      </c>
      <c r="H85">
        <f t="shared" ca="1" si="6"/>
        <v>72.673032407407405</v>
      </c>
      <c r="I85">
        <f t="shared" ca="1" si="7"/>
        <v>0.16807306852116741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102193</v>
      </c>
      <c r="B88" s="66">
        <v>102193</v>
      </c>
      <c r="D88">
        <f t="shared" si="4"/>
        <v>0.98565779320987656</v>
      </c>
      <c r="E88">
        <f t="shared" si="4"/>
        <v>0.98565779320987656</v>
      </c>
      <c r="G88">
        <f t="shared" ca="1" si="5"/>
        <v>86</v>
      </c>
      <c r="H88">
        <f t="shared" ca="1" si="6"/>
        <v>84.766570216049388</v>
      </c>
      <c r="I88">
        <f t="shared" ca="1" si="7"/>
        <v>11.651192023165581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103680</v>
      </c>
      <c r="B90" s="66">
        <v>103680</v>
      </c>
      <c r="D90">
        <f t="shared" si="4"/>
        <v>1</v>
      </c>
      <c r="E90">
        <f t="shared" si="4"/>
        <v>1</v>
      </c>
      <c r="G90">
        <f t="shared" ca="1" si="5"/>
        <v>88</v>
      </c>
      <c r="H90">
        <f t="shared" ca="1" si="6"/>
        <v>88</v>
      </c>
      <c r="I90">
        <f t="shared" ca="1" si="7"/>
        <v>29.573241197460277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101345</v>
      </c>
      <c r="B93" s="66">
        <v>101345</v>
      </c>
      <c r="D93">
        <f t="shared" si="4"/>
        <v>0.97747878086419748</v>
      </c>
      <c r="E93">
        <f t="shared" si="4"/>
        <v>0.97747878086419748</v>
      </c>
      <c r="G93">
        <f t="shared" ca="1" si="5"/>
        <v>91</v>
      </c>
      <c r="H93">
        <f t="shared" ca="1" si="6"/>
        <v>88.950569058641975</v>
      </c>
      <c r="I93">
        <f t="shared" ca="1" si="7"/>
        <v>69.59845587021718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97586</v>
      </c>
      <c r="B95" s="66">
        <v>97586</v>
      </c>
      <c r="D95">
        <f t="shared" si="4"/>
        <v>0.94122299382716046</v>
      </c>
      <c r="E95">
        <f t="shared" si="4"/>
        <v>0.94122299382716046</v>
      </c>
      <c r="G95">
        <f t="shared" ca="1" si="5"/>
        <v>93</v>
      </c>
      <c r="H95">
        <f t="shared" ca="1" si="6"/>
        <v>87.533738425925918</v>
      </c>
      <c r="I95">
        <f t="shared" ca="1" si="7"/>
        <v>102.5505050053723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93387</v>
      </c>
      <c r="B98" s="66">
        <v>93387</v>
      </c>
      <c r="D98">
        <f t="shared" si="4"/>
        <v>0.90072337962962967</v>
      </c>
      <c r="E98">
        <f t="shared" si="4"/>
        <v>0.90072337962962967</v>
      </c>
      <c r="G98">
        <f t="shared" ca="1" si="5"/>
        <v>96</v>
      </c>
      <c r="H98">
        <f t="shared" ca="1" si="6"/>
        <v>86.469444444444449</v>
      </c>
      <c r="I98">
        <f t="shared" ca="1" si="7"/>
        <v>162.6555972461455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88961</v>
      </c>
      <c r="B100" s="66">
        <v>88961</v>
      </c>
      <c r="D100">
        <f t="shared" si="4"/>
        <v>0.85803433641975313</v>
      </c>
      <c r="E100">
        <f t="shared" si="4"/>
        <v>0.85803433641975313</v>
      </c>
      <c r="G100">
        <f t="shared" ca="1" si="5"/>
        <v>98</v>
      </c>
      <c r="H100">
        <f t="shared" ca="1" si="6"/>
        <v>84.087364969135805</v>
      </c>
      <c r="I100">
        <f t="shared" ca="1" si="7"/>
        <v>204.50030899833683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81375</v>
      </c>
      <c r="B103" s="66">
        <v>81375</v>
      </c>
      <c r="D103">
        <f t="shared" si="4"/>
        <v>0.78486689814814814</v>
      </c>
      <c r="E103">
        <f t="shared" si="4"/>
        <v>0.78486689814814814</v>
      </c>
      <c r="G103">
        <f t="shared" ca="1" si="5"/>
        <v>101</v>
      </c>
      <c r="H103">
        <f t="shared" ca="1" si="6"/>
        <v>79.271556712962962</v>
      </c>
      <c r="I103">
        <f t="shared" ca="1" si="7"/>
        <v>266.82694638709938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76082</v>
      </c>
      <c r="B106" s="66">
        <v>76082</v>
      </c>
      <c r="D106">
        <f t="shared" si="4"/>
        <v>0.73381558641975309</v>
      </c>
      <c r="E106">
        <f t="shared" si="4"/>
        <v>0.73381558641975309</v>
      </c>
      <c r="G106">
        <f t="shared" ca="1" si="5"/>
        <v>104</v>
      </c>
      <c r="H106">
        <f t="shared" ca="1" si="6"/>
        <v>76.316820987654324</v>
      </c>
      <c r="I106">
        <f t="shared" ca="1" si="7"/>
        <v>337.25676515987863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72110</v>
      </c>
      <c r="B108" s="66">
        <v>72110</v>
      </c>
      <c r="D108">
        <f t="shared" si="4"/>
        <v>0.69550540123456794</v>
      </c>
      <c r="E108">
        <f t="shared" si="4"/>
        <v>0.69550540123456794</v>
      </c>
      <c r="G108">
        <f t="shared" ca="1" si="5"/>
        <v>106</v>
      </c>
      <c r="H108">
        <f t="shared" ca="1" si="6"/>
        <v>73.723572530864203</v>
      </c>
      <c r="I108">
        <f t="shared" ca="1" si="7"/>
        <v>382.07301689529447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72020</v>
      </c>
      <c r="B111" s="66">
        <v>72020</v>
      </c>
      <c r="D111">
        <f t="shared" si="4"/>
        <v>0.69463734567901236</v>
      </c>
      <c r="E111">
        <f t="shared" si="4"/>
        <v>0.69463734567901236</v>
      </c>
      <c r="G111">
        <f t="shared" ca="1" si="5"/>
        <v>109</v>
      </c>
      <c r="H111">
        <f t="shared" ca="1" si="6"/>
        <v>75.715470679012341</v>
      </c>
      <c r="I111">
        <f t="shared" ca="1" si="7"/>
        <v>485.53388634155795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69560</v>
      </c>
      <c r="B113" s="66">
        <v>69560</v>
      </c>
      <c r="D113">
        <f t="shared" si="4"/>
        <v>0.6709104938271605</v>
      </c>
      <c r="E113">
        <f t="shared" si="4"/>
        <v>0.6709104938271605</v>
      </c>
      <c r="G113">
        <f t="shared" ca="1" si="5"/>
        <v>111</v>
      </c>
      <c r="H113">
        <f t="shared" ca="1" si="6"/>
        <v>74.47106481481481</v>
      </c>
      <c r="I113">
        <f t="shared" ca="1" si="7"/>
        <v>542.58353195962854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69639</v>
      </c>
      <c r="B116" s="66">
        <v>69639</v>
      </c>
      <c r="D116">
        <f t="shared" si="4"/>
        <v>0.67167245370370365</v>
      </c>
      <c r="E116">
        <f t="shared" si="4"/>
        <v>0.67167245370370365</v>
      </c>
      <c r="G116">
        <f t="shared" ca="1" si="5"/>
        <v>114</v>
      </c>
      <c r="H116">
        <f t="shared" ca="1" si="6"/>
        <v>76.570659722222217</v>
      </c>
      <c r="I116">
        <f t="shared" ca="1" si="7"/>
        <v>663.85144683010856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67609</v>
      </c>
      <c r="B118" s="66">
        <v>67609</v>
      </c>
      <c r="D118">
        <f t="shared" si="4"/>
        <v>0.65209297839506175</v>
      </c>
      <c r="E118">
        <f t="shared" si="4"/>
        <v>0.65209297839506175</v>
      </c>
      <c r="G118">
        <f t="shared" ca="1" si="5"/>
        <v>116</v>
      </c>
      <c r="H118">
        <f t="shared" ca="1" si="6"/>
        <v>75.642785493827162</v>
      </c>
      <c r="I118">
        <f t="shared" ca="1" si="7"/>
        <v>729.1106596879215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67902</v>
      </c>
      <c r="B121" s="66">
        <v>67902</v>
      </c>
      <c r="D121">
        <f t="shared" si="4"/>
        <v>0.65491898148148153</v>
      </c>
      <c r="E121">
        <f t="shared" si="4"/>
        <v>0.65491898148148153</v>
      </c>
      <c r="G121">
        <f t="shared" ca="1" si="5"/>
        <v>119</v>
      </c>
      <c r="H121">
        <f t="shared" ca="1" si="6"/>
        <v>77.935358796296299</v>
      </c>
      <c r="I121">
        <f t="shared" ca="1" si="7"/>
        <v>869.5602986302091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63555</v>
      </c>
      <c r="B124" s="66">
        <v>63555</v>
      </c>
      <c r="D124">
        <f t="shared" si="4"/>
        <v>0.61299189814814814</v>
      </c>
      <c r="E124">
        <f t="shared" si="4"/>
        <v>0.61299189814814814</v>
      </c>
      <c r="G124">
        <f t="shared" ca="1" si="5"/>
        <v>122</v>
      </c>
      <c r="H124">
        <f t="shared" ca="1" si="6"/>
        <v>74.785011574074076</v>
      </c>
      <c r="I124">
        <f t="shared" ca="1" si="7"/>
        <v>953.42674242758562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60822</v>
      </c>
      <c r="B126" s="66">
        <v>60822</v>
      </c>
      <c r="D126">
        <f t="shared" si="4"/>
        <v>0.58663194444444444</v>
      </c>
      <c r="E126">
        <f t="shared" si="4"/>
        <v>0.58663194444444444</v>
      </c>
      <c r="G126">
        <f t="shared" ca="1" si="5"/>
        <v>124</v>
      </c>
      <c r="H126">
        <f t="shared" ca="1" si="6"/>
        <v>72.742361111111109</v>
      </c>
      <c r="I126">
        <f t="shared" ca="1" si="7"/>
        <v>1007.316559010607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61919</v>
      </c>
      <c r="B129" s="66">
        <v>61919</v>
      </c>
      <c r="D129">
        <f t="shared" si="4"/>
        <v>0.59721257716049381</v>
      </c>
      <c r="E129">
        <f t="shared" si="4"/>
        <v>0.59721257716049381</v>
      </c>
      <c r="G129">
        <f t="shared" ca="1" si="5"/>
        <v>127</v>
      </c>
      <c r="H129">
        <f t="shared" ca="1" si="6"/>
        <v>75.845997299382717</v>
      </c>
      <c r="I129">
        <f t="shared" ca="1" si="7"/>
        <v>1179.3439012428373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60497</v>
      </c>
      <c r="B131" s="66">
        <v>60497</v>
      </c>
      <c r="D131">
        <f t="shared" ref="D131:E194" si="8">IFERROR( A131/MAX(A$2:A$257), 0 )</f>
        <v>0.58349729938271599</v>
      </c>
      <c r="E131">
        <f t="shared" si="8"/>
        <v>0.58349729938271599</v>
      </c>
      <c r="G131">
        <f t="shared" ref="G131:G194" ca="1" si="9">CELL("row",D131)-2</f>
        <v>129</v>
      </c>
      <c r="H131">
        <f t="shared" ref="H131:H194" ca="1" si="10">D131*G131</f>
        <v>75.271151620370361</v>
      </c>
      <c r="I131">
        <f t="shared" ref="I131:I194" ca="1" si="11">D131*((G131-$L$1)^2)</f>
        <v>1258.3117950037254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61382</v>
      </c>
      <c r="B134" s="66">
        <v>61382</v>
      </c>
      <c r="D134">
        <f t="shared" si="8"/>
        <v>0.59203317901234565</v>
      </c>
      <c r="E134">
        <f t="shared" si="8"/>
        <v>0.59203317901234565</v>
      </c>
      <c r="G134">
        <f t="shared" ca="1" si="9"/>
        <v>132</v>
      </c>
      <c r="H134">
        <f t="shared" ca="1" si="10"/>
        <v>78.14837962962963</v>
      </c>
      <c r="I134">
        <f t="shared" ca="1" si="11"/>
        <v>1447.0051930517475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61002</v>
      </c>
      <c r="B136" s="66">
        <v>61002</v>
      </c>
      <c r="D136">
        <f t="shared" si="8"/>
        <v>0.5883680555555556</v>
      </c>
      <c r="E136">
        <f t="shared" si="8"/>
        <v>0.5883680555555556</v>
      </c>
      <c r="G136">
        <f t="shared" ca="1" si="9"/>
        <v>134</v>
      </c>
      <c r="H136">
        <f t="shared" ca="1" si="10"/>
        <v>78.841319444444451</v>
      </c>
      <c r="I136">
        <f t="shared" ca="1" si="11"/>
        <v>1556.751894468397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58250</v>
      </c>
      <c r="B139" s="66">
        <v>58250</v>
      </c>
      <c r="D139">
        <f t="shared" si="8"/>
        <v>0.56182484567901236</v>
      </c>
      <c r="E139">
        <f t="shared" si="8"/>
        <v>0.56182484567901236</v>
      </c>
      <c r="G139">
        <f t="shared" ca="1" si="9"/>
        <v>137</v>
      </c>
      <c r="H139">
        <f t="shared" ca="1" si="10"/>
        <v>76.970003858024697</v>
      </c>
      <c r="I139">
        <f t="shared" ca="1" si="11"/>
        <v>1664.9734533169765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54664</v>
      </c>
      <c r="B142" s="66">
        <v>54664</v>
      </c>
      <c r="D142">
        <f t="shared" si="8"/>
        <v>0.52723765432098768</v>
      </c>
      <c r="E142">
        <f t="shared" si="8"/>
        <v>0.52723765432098768</v>
      </c>
      <c r="G142">
        <f t="shared" ca="1" si="9"/>
        <v>140</v>
      </c>
      <c r="H142">
        <f t="shared" ca="1" si="10"/>
        <v>73.813271604938279</v>
      </c>
      <c r="I142">
        <f t="shared" ca="1" si="11"/>
        <v>1739.4300975428823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47195</v>
      </c>
      <c r="B144" s="66">
        <v>47195</v>
      </c>
      <c r="D144">
        <f t="shared" si="8"/>
        <v>0.45519868827160492</v>
      </c>
      <c r="E144">
        <f t="shared" si="8"/>
        <v>0.45519868827160492</v>
      </c>
      <c r="G144">
        <f t="shared" ca="1" si="9"/>
        <v>142</v>
      </c>
      <c r="H144">
        <f t="shared" ca="1" si="10"/>
        <v>64.638213734567898</v>
      </c>
      <c r="I144">
        <f t="shared" ca="1" si="11"/>
        <v>1608.1674015246238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42417</v>
      </c>
      <c r="B147" s="66">
        <v>42417</v>
      </c>
      <c r="D147">
        <f t="shared" si="8"/>
        <v>0.40911458333333334</v>
      </c>
      <c r="E147">
        <f t="shared" si="8"/>
        <v>0.40911458333333334</v>
      </c>
      <c r="G147">
        <f t="shared" ca="1" si="9"/>
        <v>145</v>
      </c>
      <c r="H147">
        <f t="shared" ca="1" si="10"/>
        <v>59.321614583333336</v>
      </c>
      <c r="I147">
        <f t="shared" ca="1" si="11"/>
        <v>1594.9413388436844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39931</v>
      </c>
      <c r="B149" s="66">
        <v>39931</v>
      </c>
      <c r="D149">
        <f t="shared" si="8"/>
        <v>0.38513695987654323</v>
      </c>
      <c r="E149">
        <f t="shared" si="8"/>
        <v>0.38513695987654323</v>
      </c>
      <c r="G149">
        <f t="shared" ca="1" si="9"/>
        <v>147</v>
      </c>
      <c r="H149">
        <f t="shared" ca="1" si="10"/>
        <v>56.615133101851853</v>
      </c>
      <c r="I149">
        <f t="shared" ca="1" si="11"/>
        <v>1599.193568722945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35979</v>
      </c>
      <c r="B152" s="66">
        <v>35979</v>
      </c>
      <c r="D152">
        <f t="shared" si="8"/>
        <v>0.34701967592592592</v>
      </c>
      <c r="E152">
        <f t="shared" si="8"/>
        <v>0.34701967592592592</v>
      </c>
      <c r="G152">
        <f t="shared" ca="1" si="9"/>
        <v>150</v>
      </c>
      <c r="H152">
        <f t="shared" ca="1" si="10"/>
        <v>52.052951388888886</v>
      </c>
      <c r="I152">
        <f t="shared" ca="1" si="11"/>
        <v>1578.2111904367544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24284</v>
      </c>
      <c r="B154" s="66">
        <v>24284</v>
      </c>
      <c r="D154">
        <f t="shared" si="8"/>
        <v>0.23422067901234567</v>
      </c>
      <c r="E154">
        <f t="shared" si="8"/>
        <v>0.23422067901234567</v>
      </c>
      <c r="G154">
        <f t="shared" ca="1" si="9"/>
        <v>152</v>
      </c>
      <c r="H154">
        <f t="shared" ca="1" si="10"/>
        <v>35.601543209876539</v>
      </c>
      <c r="I154">
        <f t="shared" ca="1" si="11"/>
        <v>1129.3309999848204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21724</v>
      </c>
      <c r="B157" s="66">
        <v>21724</v>
      </c>
      <c r="D157">
        <f t="shared" si="8"/>
        <v>0.20952932098765431</v>
      </c>
      <c r="E157">
        <f t="shared" si="8"/>
        <v>0.20952932098765431</v>
      </c>
      <c r="G157">
        <f t="shared" ca="1" si="9"/>
        <v>155</v>
      </c>
      <c r="H157">
        <f t="shared" ca="1" si="10"/>
        <v>32.477044753086417</v>
      </c>
      <c r="I157">
        <f t="shared" ca="1" si="11"/>
        <v>1099.4595299215948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18351</v>
      </c>
      <c r="B160" s="66">
        <v>18351</v>
      </c>
      <c r="D160">
        <f t="shared" si="8"/>
        <v>0.17699652777777777</v>
      </c>
      <c r="E160">
        <f t="shared" si="8"/>
        <v>0.17699652777777777</v>
      </c>
      <c r="G160">
        <f t="shared" ca="1" si="9"/>
        <v>158</v>
      </c>
      <c r="H160">
        <f t="shared" ca="1" si="10"/>
        <v>27.965451388888887</v>
      </c>
      <c r="I160">
        <f t="shared" ca="1" si="11"/>
        <v>1007.2715269362401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17045</v>
      </c>
      <c r="B162" s="66">
        <v>17045</v>
      </c>
      <c r="D162">
        <f t="shared" si="8"/>
        <v>0.16440007716049382</v>
      </c>
      <c r="E162">
        <f t="shared" si="8"/>
        <v>0.16440007716049382</v>
      </c>
      <c r="G162">
        <f t="shared" ca="1" si="9"/>
        <v>160</v>
      </c>
      <c r="H162">
        <f t="shared" ca="1" si="10"/>
        <v>26.304012345679013</v>
      </c>
      <c r="I162">
        <f t="shared" ca="1" si="11"/>
        <v>985.85198157788182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16651</v>
      </c>
      <c r="B165" s="66">
        <v>16651</v>
      </c>
      <c r="D165">
        <f t="shared" si="8"/>
        <v>0.16059992283950617</v>
      </c>
      <c r="E165">
        <f t="shared" si="8"/>
        <v>0.16059992283950617</v>
      </c>
      <c r="G165">
        <f t="shared" ca="1" si="9"/>
        <v>163</v>
      </c>
      <c r="H165">
        <f t="shared" ca="1" si="10"/>
        <v>26.177787422839504</v>
      </c>
      <c r="I165">
        <f t="shared" ca="1" si="11"/>
        <v>1039.1284779974887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10671</v>
      </c>
      <c r="B167" s="66">
        <v>10671</v>
      </c>
      <c r="D167">
        <f t="shared" si="8"/>
        <v>0.1029224537037037</v>
      </c>
      <c r="E167">
        <f t="shared" si="8"/>
        <v>0.1029224537037037</v>
      </c>
      <c r="G167">
        <f t="shared" ca="1" si="9"/>
        <v>165</v>
      </c>
      <c r="H167">
        <f t="shared" ca="1" si="10"/>
        <v>16.982204861111111</v>
      </c>
      <c r="I167">
        <f t="shared" ca="1" si="11"/>
        <v>699.46562942764433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11935</v>
      </c>
      <c r="B170" s="66">
        <v>11935</v>
      </c>
      <c r="D170">
        <f t="shared" si="8"/>
        <v>0.11511381172839506</v>
      </c>
      <c r="E170">
        <f t="shared" si="8"/>
        <v>0.11511381172839506</v>
      </c>
      <c r="G170">
        <f t="shared" ca="1" si="9"/>
        <v>168</v>
      </c>
      <c r="H170">
        <f t="shared" ca="1" si="10"/>
        <v>19.33912037037037</v>
      </c>
      <c r="I170">
        <f t="shared" ca="1" si="11"/>
        <v>840.29327497768281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9213</v>
      </c>
      <c r="B173" s="66">
        <v>9213</v>
      </c>
      <c r="D173">
        <f t="shared" si="8"/>
        <v>8.8859953703703698E-2</v>
      </c>
      <c r="E173">
        <f t="shared" si="8"/>
        <v>8.8859953703703698E-2</v>
      </c>
      <c r="G173">
        <f t="shared" ca="1" si="9"/>
        <v>171</v>
      </c>
      <c r="H173">
        <f t="shared" ca="1" si="10"/>
        <v>15.195052083333332</v>
      </c>
      <c r="I173">
        <f t="shared" ca="1" si="11"/>
        <v>695.00058394590428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7458</v>
      </c>
      <c r="B175" s="66">
        <v>7458</v>
      </c>
      <c r="D175">
        <f t="shared" si="8"/>
        <v>7.1932870370370369E-2</v>
      </c>
      <c r="E175">
        <f t="shared" si="8"/>
        <v>7.1932870370370369E-2</v>
      </c>
      <c r="G175">
        <f t="shared" ca="1" si="9"/>
        <v>173</v>
      </c>
      <c r="H175">
        <f t="shared" ca="1" si="10"/>
        <v>12.444386574074073</v>
      </c>
      <c r="I175">
        <f t="shared" ca="1" si="11"/>
        <v>588.34290883463177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8195</v>
      </c>
      <c r="B178" s="66">
        <v>8195</v>
      </c>
      <c r="D178">
        <f t="shared" si="8"/>
        <v>7.9041280864197525E-2</v>
      </c>
      <c r="E178">
        <f t="shared" si="8"/>
        <v>7.9041280864197525E-2</v>
      </c>
      <c r="G178">
        <f t="shared" ca="1" si="9"/>
        <v>176</v>
      </c>
      <c r="H178">
        <f t="shared" ca="1" si="10"/>
        <v>13.911265432098764</v>
      </c>
      <c r="I178">
        <f t="shared" ca="1" si="11"/>
        <v>690.08443440075951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7055</v>
      </c>
      <c r="B180" s="66">
        <v>7055</v>
      </c>
      <c r="D180">
        <f t="shared" si="8"/>
        <v>6.8045910493827161E-2</v>
      </c>
      <c r="E180">
        <f t="shared" si="8"/>
        <v>6.8045910493827161E-2</v>
      </c>
      <c r="G180">
        <f t="shared" ca="1" si="9"/>
        <v>178</v>
      </c>
      <c r="H180">
        <f t="shared" ca="1" si="10"/>
        <v>12.112172067901234</v>
      </c>
      <c r="I180">
        <f t="shared" ca="1" si="11"/>
        <v>619.79184561959721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6281</v>
      </c>
      <c r="B183" s="66">
        <v>6281</v>
      </c>
      <c r="D183">
        <f t="shared" si="8"/>
        <v>6.0580632716049382E-2</v>
      </c>
      <c r="E183">
        <f t="shared" si="8"/>
        <v>6.0580632716049382E-2</v>
      </c>
      <c r="G183">
        <f t="shared" ca="1" si="9"/>
        <v>181</v>
      </c>
      <c r="H183">
        <f t="shared" ca="1" si="10"/>
        <v>10.965094521604938</v>
      </c>
      <c r="I183">
        <f t="shared" ca="1" si="11"/>
        <v>587.03027697513642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6105</v>
      </c>
      <c r="B185" s="66">
        <v>6105</v>
      </c>
      <c r="D185">
        <f t="shared" si="8"/>
        <v>5.8883101851851853E-2</v>
      </c>
      <c r="E185">
        <f t="shared" si="8"/>
        <v>5.8883101851851853E-2</v>
      </c>
      <c r="G185">
        <f t="shared" ca="1" si="9"/>
        <v>183</v>
      </c>
      <c r="H185">
        <f t="shared" ca="1" si="10"/>
        <v>10.775607638888889</v>
      </c>
      <c r="I185">
        <f t="shared" ca="1" si="11"/>
        <v>594.00199411670337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5918</v>
      </c>
      <c r="B188" s="66">
        <v>5918</v>
      </c>
      <c r="D188">
        <f t="shared" si="8"/>
        <v>5.7079475308641978E-2</v>
      </c>
      <c r="E188">
        <f t="shared" si="8"/>
        <v>5.7079475308641978E-2</v>
      </c>
      <c r="G188">
        <f t="shared" ca="1" si="9"/>
        <v>186</v>
      </c>
      <c r="H188">
        <f t="shared" ca="1" si="10"/>
        <v>10.616782407407408</v>
      </c>
      <c r="I188">
        <f t="shared" ca="1" si="11"/>
        <v>610.71878776128142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5113</v>
      </c>
      <c r="B191" s="66">
        <v>5113</v>
      </c>
      <c r="D191">
        <f t="shared" si="8"/>
        <v>4.931520061728395E-2</v>
      </c>
      <c r="E191">
        <f t="shared" si="8"/>
        <v>4.931520061728395E-2</v>
      </c>
      <c r="G191">
        <f t="shared" ca="1" si="9"/>
        <v>189</v>
      </c>
      <c r="H191">
        <f t="shared" ca="1" si="10"/>
        <v>9.3205729166666664</v>
      </c>
      <c r="I191">
        <f t="shared" ca="1" si="11"/>
        <v>558.69561585473082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4530</v>
      </c>
      <c r="B193" s="66">
        <v>4530</v>
      </c>
      <c r="D193">
        <f t="shared" si="8"/>
        <v>4.3692129629629629E-2</v>
      </c>
      <c r="E193">
        <f t="shared" si="8"/>
        <v>4.3692129629629629E-2</v>
      </c>
      <c r="G193">
        <f t="shared" ca="1" si="9"/>
        <v>191</v>
      </c>
      <c r="H193">
        <f t="shared" ca="1" si="10"/>
        <v>8.3451967592592595</v>
      </c>
      <c r="I193">
        <f t="shared" ca="1" si="11"/>
        <v>513.76822437516523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932</v>
      </c>
      <c r="B196" s="66">
        <v>932</v>
      </c>
      <c r="D196">
        <f t="shared" si="12"/>
        <v>8.9891975308641972E-3</v>
      </c>
      <c r="E196">
        <f t="shared" si="12"/>
        <v>8.9891975308641972E-3</v>
      </c>
      <c r="G196">
        <f t="shared" ca="1" si="13"/>
        <v>194</v>
      </c>
      <c r="H196">
        <f t="shared" ca="1" si="14"/>
        <v>1.7439043209876544</v>
      </c>
      <c r="I196">
        <f t="shared" ca="1" si="15"/>
        <v>111.63195828843529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54.895446931247548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1.0598933034344058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0.59082131518969727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4964</v>
      </c>
      <c r="B8" s="66">
        <v>4964</v>
      </c>
      <c r="D8">
        <f t="shared" si="0"/>
        <v>6.0406196380982511</v>
      </c>
      <c r="E8">
        <f t="shared" si="1"/>
        <v>6.0406196380982511</v>
      </c>
      <c r="G8">
        <f t="shared" ca="1" si="2"/>
        <v>6</v>
      </c>
      <c r="H8">
        <f t="shared" ca="1" si="3"/>
        <v>36.24371782858951</v>
      </c>
      <c r="I8">
        <f t="shared" ca="1" si="4"/>
        <v>14441.70038177397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12358</v>
      </c>
      <c r="B10" s="66">
        <v>12358</v>
      </c>
      <c r="D10">
        <f t="shared" si="0"/>
        <v>15.038271049076993</v>
      </c>
      <c r="E10">
        <f t="shared" si="1"/>
        <v>15.038271049076993</v>
      </c>
      <c r="G10">
        <f t="shared" ca="1" si="2"/>
        <v>8</v>
      </c>
      <c r="H10">
        <f t="shared" ca="1" si="3"/>
        <v>120.30616839261594</v>
      </c>
      <c r="I10">
        <f t="shared" ca="1" si="4"/>
        <v>33071.909181558127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19329</v>
      </c>
      <c r="B13" s="66">
        <v>19329</v>
      </c>
      <c r="D13">
        <f t="shared" si="0"/>
        <v>23.521179892183945</v>
      </c>
      <c r="E13">
        <f t="shared" si="1"/>
        <v>23.521179892183945</v>
      </c>
      <c r="G13">
        <f t="shared" ca="1" si="2"/>
        <v>11</v>
      </c>
      <c r="H13">
        <f t="shared" ca="1" si="3"/>
        <v>258.7329788140234</v>
      </c>
      <c r="I13">
        <f t="shared" ca="1" si="4"/>
        <v>45320.85077400141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16174</v>
      </c>
      <c r="B15" s="66">
        <v>16174</v>
      </c>
      <c r="D15">
        <f t="shared" si="0"/>
        <v>19.68190612945228</v>
      </c>
      <c r="E15">
        <f t="shared" si="1"/>
        <v>19.68190612945228</v>
      </c>
      <c r="G15">
        <f t="shared" ca="1" si="2"/>
        <v>13</v>
      </c>
      <c r="H15">
        <f t="shared" ca="1" si="3"/>
        <v>255.86477968287963</v>
      </c>
      <c r="I15">
        <f t="shared" ca="1" si="4"/>
        <v>34546.242052526468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20626</v>
      </c>
      <c r="B18" s="66">
        <v>20626</v>
      </c>
      <c r="D18">
        <f t="shared" si="0"/>
        <v>25.099480389890115</v>
      </c>
      <c r="E18">
        <f t="shared" si="1"/>
        <v>25.099480389890115</v>
      </c>
      <c r="G18">
        <f t="shared" ca="1" si="2"/>
        <v>16</v>
      </c>
      <c r="H18">
        <f t="shared" ca="1" si="3"/>
        <v>401.59168623824183</v>
      </c>
      <c r="I18">
        <f t="shared" ca="1" si="4"/>
        <v>37971.894283571193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27555</v>
      </c>
      <c r="B21" s="66">
        <v>27555</v>
      </c>
      <c r="D21">
        <f t="shared" si="0"/>
        <v>33.53128004186086</v>
      </c>
      <c r="E21">
        <f t="shared" si="1"/>
        <v>33.53128004186086</v>
      </c>
      <c r="G21">
        <f t="shared" ca="1" si="2"/>
        <v>19</v>
      </c>
      <c r="H21">
        <f t="shared" ca="1" si="3"/>
        <v>637.09432079535634</v>
      </c>
      <c r="I21">
        <f t="shared" ca="1" si="4"/>
        <v>43204.488003829436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31565</v>
      </c>
      <c r="B23" s="66">
        <v>31565</v>
      </c>
      <c r="D23">
        <f t="shared" si="0"/>
        <v>38.410990909865291</v>
      </c>
      <c r="E23">
        <f t="shared" si="1"/>
        <v>38.410990909865291</v>
      </c>
      <c r="G23">
        <f t="shared" ca="1" si="2"/>
        <v>21</v>
      </c>
      <c r="H23">
        <f t="shared" ca="1" si="3"/>
        <v>806.6308091071711</v>
      </c>
      <c r="I23">
        <f t="shared" ca="1" si="4"/>
        <v>44130.438261371892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50096</v>
      </c>
      <c r="B26" s="66">
        <v>50096</v>
      </c>
      <c r="D26">
        <f t="shared" si="0"/>
        <v>60.961096170461325</v>
      </c>
      <c r="E26">
        <f t="shared" si="1"/>
        <v>60.961096170461325</v>
      </c>
      <c r="G26">
        <f t="shared" ca="1" si="2"/>
        <v>24</v>
      </c>
      <c r="H26">
        <f t="shared" ca="1" si="3"/>
        <v>1463.0663080910717</v>
      </c>
      <c r="I26">
        <f t="shared" ca="1" si="4"/>
        <v>58189.112286431126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54053</v>
      </c>
      <c r="B28" s="66">
        <v>54053</v>
      </c>
      <c r="D28">
        <f t="shared" si="0"/>
        <v>65.776312106793867</v>
      </c>
      <c r="E28">
        <f t="shared" si="1"/>
        <v>65.776312106793867</v>
      </c>
      <c r="G28">
        <f t="shared" ca="1" si="2"/>
        <v>26</v>
      </c>
      <c r="H28">
        <f t="shared" ca="1" si="3"/>
        <v>1710.1841147766406</v>
      </c>
      <c r="I28">
        <f t="shared" ca="1" si="4"/>
        <v>54919.724818965442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59252</v>
      </c>
      <c r="B31" s="66">
        <v>59252</v>
      </c>
      <c r="D31">
        <f t="shared" si="0"/>
        <v>72.102899838154229</v>
      </c>
      <c r="E31">
        <f t="shared" si="1"/>
        <v>72.102899838154229</v>
      </c>
      <c r="G31">
        <f t="shared" ca="1" si="2"/>
        <v>29</v>
      </c>
      <c r="H31">
        <f t="shared" ca="1" si="3"/>
        <v>2090.9840953064727</v>
      </c>
      <c r="I31">
        <f t="shared" ca="1" si="4"/>
        <v>48350.342341117619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65289</v>
      </c>
      <c r="B33" s="66">
        <v>65289</v>
      </c>
      <c r="D33">
        <f t="shared" si="0"/>
        <v>79.449237621232214</v>
      </c>
      <c r="E33">
        <f t="shared" si="1"/>
        <v>79.449237621232214</v>
      </c>
      <c r="G33">
        <f t="shared" ca="1" si="2"/>
        <v>31</v>
      </c>
      <c r="H33">
        <f t="shared" ca="1" si="3"/>
        <v>2462.9263662581989</v>
      </c>
      <c r="I33">
        <f t="shared" ca="1" si="4"/>
        <v>45364.909599831029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68736</v>
      </c>
      <c r="B36" s="66">
        <v>68736</v>
      </c>
      <c r="D36">
        <f t="shared" si="0"/>
        <v>83.64384195091084</v>
      </c>
      <c r="E36">
        <f t="shared" si="1"/>
        <v>83.64384195091084</v>
      </c>
      <c r="G36">
        <f t="shared" ca="1" si="2"/>
        <v>34</v>
      </c>
      <c r="H36">
        <f t="shared" ca="1" si="3"/>
        <v>2843.8906263309686</v>
      </c>
      <c r="I36">
        <f t="shared" ca="1" si="4"/>
        <v>36520.549384932106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79802</v>
      </c>
      <c r="B39" s="66">
        <v>79802</v>
      </c>
      <c r="D39">
        <f t="shared" si="0"/>
        <v>97.10989692979787</v>
      </c>
      <c r="E39">
        <f t="shared" si="1"/>
        <v>97.10989692979787</v>
      </c>
      <c r="G39">
        <f t="shared" ca="1" si="2"/>
        <v>37</v>
      </c>
      <c r="H39">
        <f t="shared" ca="1" si="3"/>
        <v>3593.066186402521</v>
      </c>
      <c r="I39">
        <f t="shared" ca="1" si="4"/>
        <v>31099.155188672867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82177</v>
      </c>
      <c r="B41" s="66">
        <v>82177</v>
      </c>
      <c r="D41">
        <f t="shared" si="0"/>
        <v>100</v>
      </c>
      <c r="E41">
        <f t="shared" si="1"/>
        <v>100</v>
      </c>
      <c r="G41">
        <f t="shared" ca="1" si="2"/>
        <v>39</v>
      </c>
      <c r="H41">
        <f t="shared" ca="1" si="3"/>
        <v>3900</v>
      </c>
      <c r="I41">
        <f t="shared" ca="1" si="4"/>
        <v>25266.523314410711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68717</v>
      </c>
      <c r="B44" s="66">
        <v>68717</v>
      </c>
      <c r="D44">
        <f t="shared" si="0"/>
        <v>83.620721126349224</v>
      </c>
      <c r="E44">
        <f t="shared" si="1"/>
        <v>83.620721126349224</v>
      </c>
      <c r="G44">
        <f t="shared" ca="1" si="2"/>
        <v>42</v>
      </c>
      <c r="H44">
        <f t="shared" ca="1" si="3"/>
        <v>3512.0702873066675</v>
      </c>
      <c r="I44">
        <f t="shared" ca="1" si="4"/>
        <v>13905.503079105323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59075</v>
      </c>
      <c r="B46" s="66">
        <v>59075</v>
      </c>
      <c r="D46">
        <f t="shared" si="0"/>
        <v>71.887511104080218</v>
      </c>
      <c r="E46">
        <f t="shared" si="1"/>
        <v>71.887511104080218</v>
      </c>
      <c r="G46">
        <f t="shared" ca="1" si="2"/>
        <v>44</v>
      </c>
      <c r="H46">
        <f t="shared" ca="1" si="3"/>
        <v>3163.0504885795294</v>
      </c>
      <c r="I46">
        <f t="shared" ca="1" si="4"/>
        <v>8533.8213531202618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65087</v>
      </c>
      <c r="B49" s="66">
        <v>65087</v>
      </c>
      <c r="D49">
        <f t="shared" si="0"/>
        <v>79.203426749577133</v>
      </c>
      <c r="E49">
        <f t="shared" si="1"/>
        <v>79.203426749577133</v>
      </c>
      <c r="G49">
        <f t="shared" ca="1" si="2"/>
        <v>47</v>
      </c>
      <c r="H49">
        <f t="shared" ca="1" si="3"/>
        <v>3722.5610572301252</v>
      </c>
      <c r="I49">
        <f t="shared" ca="1" si="4"/>
        <v>4937.3897307333582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57728</v>
      </c>
      <c r="B51" s="66">
        <v>57728</v>
      </c>
      <c r="D51">
        <f t="shared" si="0"/>
        <v>70.248366331211898</v>
      </c>
      <c r="E51">
        <f t="shared" si="1"/>
        <v>70.248366331211898</v>
      </c>
      <c r="G51">
        <f t="shared" ca="1" si="2"/>
        <v>49</v>
      </c>
      <c r="H51">
        <f t="shared" ca="1" si="3"/>
        <v>3442.1699502293832</v>
      </c>
      <c r="I51">
        <f t="shared" ca="1" si="4"/>
        <v>2441.5729096971727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56977</v>
      </c>
      <c r="B54" s="66">
        <v>56977</v>
      </c>
      <c r="D54">
        <f t="shared" si="0"/>
        <v>69.334485318276407</v>
      </c>
      <c r="E54">
        <f t="shared" si="1"/>
        <v>69.334485318276407</v>
      </c>
      <c r="G54">
        <f t="shared" ca="1" si="2"/>
        <v>52</v>
      </c>
      <c r="H54">
        <f t="shared" ca="1" si="3"/>
        <v>3605.3932365503733</v>
      </c>
      <c r="I54">
        <f t="shared" ca="1" si="4"/>
        <v>581.27348772504433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48415</v>
      </c>
      <c r="B57" s="66">
        <v>48415</v>
      </c>
      <c r="D57">
        <f t="shared" si="0"/>
        <v>58.915511639509837</v>
      </c>
      <c r="E57">
        <f t="shared" si="1"/>
        <v>58.915511639509837</v>
      </c>
      <c r="G57">
        <f t="shared" ca="1" si="2"/>
        <v>55</v>
      </c>
      <c r="H57">
        <f t="shared" ca="1" si="3"/>
        <v>3240.3531401730411</v>
      </c>
      <c r="I57">
        <f t="shared" ca="1" si="4"/>
        <v>0.64402573559954923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47320</v>
      </c>
      <c r="B59" s="66">
        <v>47320</v>
      </c>
      <c r="D59">
        <f t="shared" si="0"/>
        <v>57.583022013458752</v>
      </c>
      <c r="E59">
        <f t="shared" si="1"/>
        <v>57.583022013458752</v>
      </c>
      <c r="G59">
        <f t="shared" ca="1" si="2"/>
        <v>57</v>
      </c>
      <c r="H59">
        <f t="shared" ca="1" si="3"/>
        <v>3282.2322547671488</v>
      </c>
      <c r="I59">
        <f t="shared" ca="1" si="4"/>
        <v>255.04347452489691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42652</v>
      </c>
      <c r="B62" s="66">
        <v>42652</v>
      </c>
      <c r="D62">
        <f t="shared" si="0"/>
        <v>51.90260048432043</v>
      </c>
      <c r="E62">
        <f t="shared" si="1"/>
        <v>51.90260048432043</v>
      </c>
      <c r="G62">
        <f t="shared" ca="1" si="2"/>
        <v>60</v>
      </c>
      <c r="H62">
        <f t="shared" ca="1" si="3"/>
        <v>3114.1560290592261</v>
      </c>
      <c r="I62">
        <f t="shared" ca="1" si="4"/>
        <v>1352.3981388667121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37918</v>
      </c>
      <c r="B64" s="66">
        <v>37918</v>
      </c>
      <c r="D64">
        <f t="shared" si="0"/>
        <v>46.141864511968066</v>
      </c>
      <c r="E64">
        <f t="shared" si="1"/>
        <v>46.141864511968066</v>
      </c>
      <c r="G64">
        <f t="shared" ca="1" si="2"/>
        <v>62</v>
      </c>
      <c r="H64">
        <f t="shared" ca="1" si="3"/>
        <v>2860.7955997420199</v>
      </c>
      <c r="I64">
        <f t="shared" ca="1" si="4"/>
        <v>2328.9955831463844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34433</v>
      </c>
      <c r="B67" s="66">
        <v>34433</v>
      </c>
      <c r="D67">
        <f t="shared" ref="D67:D130" si="5">IFERROR( 100*A67/MAX(A$2:A$257), 0 )</f>
        <v>41.901018533166216</v>
      </c>
      <c r="E67">
        <f t="shared" ref="E67:E130" si="6">IFERROR( 100*B67/MAX(B$2:B$257), 0 )</f>
        <v>41.901018533166216</v>
      </c>
      <c r="G67">
        <f t="shared" ref="G67:G130" ca="1" si="7">CELL("row",D67)-2</f>
        <v>65</v>
      </c>
      <c r="H67">
        <f t="shared" ref="H67:H130" ca="1" si="8">D67*G67</f>
        <v>2723.5662046558041</v>
      </c>
      <c r="I67">
        <f t="shared" ref="I67:I130" ca="1" si="9">D67*((G67-$L$1)^2)</f>
        <v>4278.1774892018502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28469</v>
      </c>
      <c r="B69" s="66">
        <v>28469</v>
      </c>
      <c r="D69">
        <f t="shared" si="5"/>
        <v>34.64351339182496</v>
      </c>
      <c r="E69">
        <f t="shared" si="6"/>
        <v>34.64351339182496</v>
      </c>
      <c r="G69">
        <f t="shared" ca="1" si="7"/>
        <v>67</v>
      </c>
      <c r="H69">
        <f t="shared" ca="1" si="8"/>
        <v>2321.1153972522725</v>
      </c>
      <c r="I69">
        <f t="shared" ca="1" si="9"/>
        <v>5075.9746838910451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25563</v>
      </c>
      <c r="B72" s="66">
        <v>25563</v>
      </c>
      <c r="D72">
        <f t="shared" si="5"/>
        <v>31.107244119400807</v>
      </c>
      <c r="E72">
        <f t="shared" si="6"/>
        <v>31.107244119400807</v>
      </c>
      <c r="G72">
        <f t="shared" ca="1" si="7"/>
        <v>70</v>
      </c>
      <c r="H72">
        <f t="shared" ca="1" si="8"/>
        <v>2177.5070883580565</v>
      </c>
      <c r="I72">
        <f t="shared" ca="1" si="9"/>
        <v>7097.0407058507653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25332</v>
      </c>
      <c r="B75" s="66">
        <v>25332</v>
      </c>
      <c r="D75">
        <f t="shared" si="5"/>
        <v>30.826143568151672</v>
      </c>
      <c r="E75">
        <f t="shared" si="6"/>
        <v>30.826143568151672</v>
      </c>
      <c r="G75">
        <f t="shared" ca="1" si="7"/>
        <v>73</v>
      </c>
      <c r="H75">
        <f t="shared" ca="1" si="8"/>
        <v>2250.308480475072</v>
      </c>
      <c r="I75">
        <f t="shared" ca="1" si="9"/>
        <v>10104.03433194914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22474</v>
      </c>
      <c r="B77" s="66">
        <v>22474</v>
      </c>
      <c r="D77">
        <f t="shared" si="5"/>
        <v>27.348284799883178</v>
      </c>
      <c r="E77">
        <f t="shared" si="6"/>
        <v>27.348284799883178</v>
      </c>
      <c r="G77">
        <f t="shared" ca="1" si="7"/>
        <v>75</v>
      </c>
      <c r="H77">
        <f t="shared" ca="1" si="8"/>
        <v>2051.1213599912385</v>
      </c>
      <c r="I77">
        <f t="shared" ca="1" si="9"/>
        <v>11053.986757505056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20370</v>
      </c>
      <c r="B80" s="66">
        <v>20370</v>
      </c>
      <c r="D80">
        <f t="shared" si="5"/>
        <v>24.787957701059906</v>
      </c>
      <c r="E80">
        <f t="shared" si="6"/>
        <v>24.787957701059906</v>
      </c>
      <c r="G80">
        <f t="shared" ca="1" si="7"/>
        <v>78</v>
      </c>
      <c r="H80">
        <f t="shared" ca="1" si="8"/>
        <v>1933.4607006826727</v>
      </c>
      <c r="I80">
        <f t="shared" ca="1" si="9"/>
        <v>13232.316813662559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20807</v>
      </c>
      <c r="B82" s="66">
        <v>20807</v>
      </c>
      <c r="D82">
        <f t="shared" si="5"/>
        <v>25.3197366659771</v>
      </c>
      <c r="E82">
        <f t="shared" si="6"/>
        <v>25.3197366659771</v>
      </c>
      <c r="G82">
        <f t="shared" ca="1" si="7"/>
        <v>80</v>
      </c>
      <c r="H82">
        <f t="shared" ca="1" si="8"/>
        <v>2025.5789332781681</v>
      </c>
      <c r="I82">
        <f t="shared" ca="1" si="9"/>
        <v>15957.475003413465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16988</v>
      </c>
      <c r="B85" s="66">
        <v>16988</v>
      </c>
      <c r="D85">
        <f t="shared" si="5"/>
        <v>20.672450929092083</v>
      </c>
      <c r="E85">
        <f t="shared" si="6"/>
        <v>20.672450929092083</v>
      </c>
      <c r="G85">
        <f t="shared" ca="1" si="7"/>
        <v>83</v>
      </c>
      <c r="H85">
        <f t="shared" ca="1" si="8"/>
        <v>1715.8134271146428</v>
      </c>
      <c r="I85">
        <f t="shared" ca="1" si="9"/>
        <v>16328.464124347636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17628</v>
      </c>
      <c r="B88" s="66">
        <v>17628</v>
      </c>
      <c r="D88">
        <f t="shared" si="5"/>
        <v>21.451257651167602</v>
      </c>
      <c r="E88">
        <f t="shared" si="6"/>
        <v>21.451257651167602</v>
      </c>
      <c r="G88">
        <f t="shared" ca="1" si="7"/>
        <v>86</v>
      </c>
      <c r="H88">
        <f t="shared" ca="1" si="8"/>
        <v>1844.8081580004136</v>
      </c>
      <c r="I88">
        <f t="shared" ca="1" si="9"/>
        <v>20753.946372446466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16550</v>
      </c>
      <c r="B90" s="66">
        <v>16550</v>
      </c>
      <c r="D90">
        <f t="shared" si="5"/>
        <v>20.139455078671649</v>
      </c>
      <c r="E90">
        <f t="shared" si="6"/>
        <v>20.139455078671649</v>
      </c>
      <c r="G90">
        <f t="shared" ca="1" si="7"/>
        <v>88</v>
      </c>
      <c r="H90">
        <f t="shared" ca="1" si="8"/>
        <v>1772.2720469231051</v>
      </c>
      <c r="I90">
        <f t="shared" ca="1" si="9"/>
        <v>22071.0590928661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11637</v>
      </c>
      <c r="B93" s="66">
        <v>11637</v>
      </c>
      <c r="D93">
        <f t="shared" si="5"/>
        <v>14.16089660123879</v>
      </c>
      <c r="E93">
        <f t="shared" si="6"/>
        <v>14.16089660123879</v>
      </c>
      <c r="G93">
        <f t="shared" ca="1" si="7"/>
        <v>91</v>
      </c>
      <c r="H93">
        <f t="shared" ca="1" si="8"/>
        <v>1288.6415907127298</v>
      </c>
      <c r="I93">
        <f t="shared" ca="1" si="9"/>
        <v>18459.277486948282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12514</v>
      </c>
      <c r="B95" s="66">
        <v>12514</v>
      </c>
      <c r="D95">
        <f t="shared" si="5"/>
        <v>15.2281051875829</v>
      </c>
      <c r="E95">
        <f t="shared" si="6"/>
        <v>15.2281051875829</v>
      </c>
      <c r="G95">
        <f t="shared" ca="1" si="7"/>
        <v>93</v>
      </c>
      <c r="H95">
        <f t="shared" ca="1" si="8"/>
        <v>1416.2137824452097</v>
      </c>
      <c r="I95">
        <f t="shared" ca="1" si="9"/>
        <v>22110.553384305971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13123</v>
      </c>
      <c r="B98" s="66">
        <v>13123</v>
      </c>
      <c r="D98">
        <f t="shared" si="5"/>
        <v>15.969188459057888</v>
      </c>
      <c r="E98">
        <f t="shared" si="6"/>
        <v>15.969188459057888</v>
      </c>
      <c r="G98">
        <f t="shared" ca="1" si="7"/>
        <v>96</v>
      </c>
      <c r="H98">
        <f t="shared" ca="1" si="8"/>
        <v>1533.0420920695572</v>
      </c>
      <c r="I98">
        <f t="shared" ca="1" si="9"/>
        <v>26981.28983239994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13592</v>
      </c>
      <c r="B100" s="66">
        <v>13592</v>
      </c>
      <c r="D100">
        <f t="shared" si="5"/>
        <v>16.539907760078854</v>
      </c>
      <c r="E100">
        <f t="shared" si="6"/>
        <v>16.539907760078854</v>
      </c>
      <c r="G100">
        <f t="shared" ca="1" si="7"/>
        <v>98</v>
      </c>
      <c r="H100">
        <f t="shared" ca="1" si="8"/>
        <v>1620.9109604877278</v>
      </c>
      <c r="I100">
        <f t="shared" ca="1" si="9"/>
        <v>30731.189889545418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11335</v>
      </c>
      <c r="B103" s="66">
        <v>11335</v>
      </c>
      <c r="D103">
        <f t="shared" si="5"/>
        <v>13.793397179259404</v>
      </c>
      <c r="E103">
        <f t="shared" si="6"/>
        <v>13.793397179259404</v>
      </c>
      <c r="G103">
        <f t="shared" ca="1" si="7"/>
        <v>101</v>
      </c>
      <c r="H103">
        <f t="shared" ca="1" si="8"/>
        <v>1393.1331151051997</v>
      </c>
      <c r="I103">
        <f t="shared" ca="1" si="9"/>
        <v>29319.656276017351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11998</v>
      </c>
      <c r="B106" s="66">
        <v>11998</v>
      </c>
      <c r="D106">
        <f t="shared" si="5"/>
        <v>14.600192267909513</v>
      </c>
      <c r="E106">
        <f t="shared" si="6"/>
        <v>14.600192267909513</v>
      </c>
      <c r="G106">
        <f t="shared" ca="1" si="7"/>
        <v>104</v>
      </c>
      <c r="H106">
        <f t="shared" ca="1" si="8"/>
        <v>1518.4199958625893</v>
      </c>
      <c r="I106">
        <f t="shared" ca="1" si="9"/>
        <v>35204.817735764198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12112</v>
      </c>
      <c r="B108" s="66">
        <v>12112</v>
      </c>
      <c r="D108">
        <f t="shared" si="5"/>
        <v>14.738917215279214</v>
      </c>
      <c r="E108">
        <f t="shared" si="6"/>
        <v>14.738917215279214</v>
      </c>
      <c r="G108">
        <f t="shared" ca="1" si="7"/>
        <v>106</v>
      </c>
      <c r="H108">
        <f t="shared" ca="1" si="8"/>
        <v>1562.3252248195968</v>
      </c>
      <c r="I108">
        <f t="shared" ca="1" si="9"/>
        <v>38493.266693662707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11740</v>
      </c>
      <c r="B111" s="66">
        <v>11740</v>
      </c>
      <c r="D111">
        <f t="shared" si="5"/>
        <v>14.286235808072819</v>
      </c>
      <c r="E111">
        <f t="shared" si="6"/>
        <v>14.286235808072819</v>
      </c>
      <c r="G111">
        <f t="shared" ca="1" si="7"/>
        <v>109</v>
      </c>
      <c r="H111">
        <f t="shared" ca="1" si="8"/>
        <v>1557.1997030799373</v>
      </c>
      <c r="I111">
        <f t="shared" ca="1" si="9"/>
        <v>41820.136121923832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12556</v>
      </c>
      <c r="B113" s="66">
        <v>12556</v>
      </c>
      <c r="D113">
        <f t="shared" si="5"/>
        <v>15.279214378719105</v>
      </c>
      <c r="E113">
        <f t="shared" si="6"/>
        <v>15.279214378719105</v>
      </c>
      <c r="G113">
        <f t="shared" ca="1" si="7"/>
        <v>111</v>
      </c>
      <c r="H113">
        <f t="shared" ca="1" si="8"/>
        <v>1695.9927960378207</v>
      </c>
      <c r="I113">
        <f t="shared" ca="1" si="9"/>
        <v>48094.702054173598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11985</v>
      </c>
      <c r="B116" s="66">
        <v>11985</v>
      </c>
      <c r="D116">
        <f t="shared" si="5"/>
        <v>14.584372756367353</v>
      </c>
      <c r="E116">
        <f t="shared" si="6"/>
        <v>14.584372756367353</v>
      </c>
      <c r="G116">
        <f t="shared" ca="1" si="7"/>
        <v>114</v>
      </c>
      <c r="H116">
        <f t="shared" ca="1" si="8"/>
        <v>1662.6184942258783</v>
      </c>
      <c r="I116">
        <f t="shared" ca="1" si="9"/>
        <v>50948.292221159012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10587</v>
      </c>
      <c r="B118" s="66">
        <v>10587</v>
      </c>
      <c r="D118">
        <f t="shared" si="5"/>
        <v>12.88316682283364</v>
      </c>
      <c r="E118">
        <f t="shared" si="6"/>
        <v>12.88316682283364</v>
      </c>
      <c r="G118">
        <f t="shared" ca="1" si="7"/>
        <v>116</v>
      </c>
      <c r="H118">
        <f t="shared" ca="1" si="8"/>
        <v>1494.4473514487022</v>
      </c>
      <c r="I118">
        <f t="shared" ca="1" si="9"/>
        <v>48102.735482537115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9402</v>
      </c>
      <c r="B121" s="66">
        <v>9402</v>
      </c>
      <c r="D121">
        <f t="shared" si="5"/>
        <v>11.441157501490684</v>
      </c>
      <c r="E121">
        <f t="shared" si="6"/>
        <v>11.441157501490684</v>
      </c>
      <c r="G121">
        <f t="shared" ca="1" si="7"/>
        <v>119</v>
      </c>
      <c r="H121">
        <f t="shared" ca="1" si="8"/>
        <v>1361.4977426773914</v>
      </c>
      <c r="I121">
        <f t="shared" ca="1" si="9"/>
        <v>47016.220833574574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8290</v>
      </c>
      <c r="B124" s="66">
        <v>8290</v>
      </c>
      <c r="D124">
        <f t="shared" si="5"/>
        <v>10.08798082188447</v>
      </c>
      <c r="E124">
        <f t="shared" si="6"/>
        <v>10.08798082188447</v>
      </c>
      <c r="G124">
        <f t="shared" ca="1" si="7"/>
        <v>122</v>
      </c>
      <c r="H124">
        <f t="shared" ca="1" si="8"/>
        <v>1230.7336602699054</v>
      </c>
      <c r="I124">
        <f t="shared" ca="1" si="9"/>
        <v>45426.38991785737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7727</v>
      </c>
      <c r="B126" s="66">
        <v>7727</v>
      </c>
      <c r="D126">
        <f t="shared" si="5"/>
        <v>9.4028742835586598</v>
      </c>
      <c r="E126">
        <f t="shared" si="6"/>
        <v>9.4028742835586598</v>
      </c>
      <c r="G126">
        <f t="shared" ca="1" si="7"/>
        <v>124</v>
      </c>
      <c r="H126">
        <f t="shared" ca="1" si="8"/>
        <v>1165.9564111612738</v>
      </c>
      <c r="I126">
        <f t="shared" ca="1" si="9"/>
        <v>44902.854961956567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8570</v>
      </c>
      <c r="B129" s="66">
        <v>8570</v>
      </c>
      <c r="D129">
        <f t="shared" si="5"/>
        <v>10.428708762792509</v>
      </c>
      <c r="E129">
        <f t="shared" si="6"/>
        <v>10.428708762792509</v>
      </c>
      <c r="G129">
        <f t="shared" ca="1" si="7"/>
        <v>127</v>
      </c>
      <c r="H129">
        <f t="shared" ca="1" si="8"/>
        <v>1324.4460128746487</v>
      </c>
      <c r="I129">
        <f t="shared" ca="1" si="9"/>
        <v>54219.551130736938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7520</v>
      </c>
      <c r="B131" s="66">
        <v>7520</v>
      </c>
      <c r="D131">
        <f t="shared" ref="D131:D194" si="10">IFERROR( 100*A131/MAX(A$2:A$257), 0 )</f>
        <v>9.1509789843873595</v>
      </c>
      <c r="E131">
        <f t="shared" ref="E131:E194" si="11">IFERROR( 100*B131/MAX(B$2:B$257), 0 )</f>
        <v>9.1509789843873595</v>
      </c>
      <c r="G131">
        <f t="shared" ref="G131:G194" ca="1" si="12">CELL("row",D131)-2</f>
        <v>129</v>
      </c>
      <c r="H131">
        <f t="shared" ref="H131:H194" ca="1" si="13">D131*G131</f>
        <v>1180.4762889859694</v>
      </c>
      <c r="I131">
        <f t="shared" ref="I131:I194" ca="1" si="14">D131*((G131-$L$1)^2)</f>
        <v>50252.461865372316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7354</v>
      </c>
      <c r="B134" s="66">
        <v>7354</v>
      </c>
      <c r="D134">
        <f t="shared" si="10"/>
        <v>8.9489759908490214</v>
      </c>
      <c r="E134">
        <f t="shared" si="11"/>
        <v>8.9489759908490214</v>
      </c>
      <c r="G134">
        <f t="shared" ca="1" si="12"/>
        <v>132</v>
      </c>
      <c r="H134">
        <f t="shared" ca="1" si="13"/>
        <v>1181.2648307920708</v>
      </c>
      <c r="I134">
        <f t="shared" ca="1" si="14"/>
        <v>53202.665480993943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6102</v>
      </c>
      <c r="B136" s="66">
        <v>6102</v>
      </c>
      <c r="D136">
        <f t="shared" si="10"/>
        <v>7.425435340788785</v>
      </c>
      <c r="E136">
        <f t="shared" si="11"/>
        <v>7.425435340788785</v>
      </c>
      <c r="G136">
        <f t="shared" ca="1" si="12"/>
        <v>134</v>
      </c>
      <c r="H136">
        <f t="shared" ca="1" si="13"/>
        <v>995.00833566569713</v>
      </c>
      <c r="I136">
        <f t="shared" ca="1" si="14"/>
        <v>46464.886756021224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6625</v>
      </c>
      <c r="B139" s="66">
        <v>6625</v>
      </c>
      <c r="D139">
        <f t="shared" si="10"/>
        <v>8.0618664589848734</v>
      </c>
      <c r="E139">
        <f t="shared" si="11"/>
        <v>8.0618664589848734</v>
      </c>
      <c r="G139">
        <f t="shared" ca="1" si="12"/>
        <v>137</v>
      </c>
      <c r="H139">
        <f t="shared" ca="1" si="13"/>
        <v>1104.4757048809277</v>
      </c>
      <c r="I139">
        <f t="shared" ca="1" si="14"/>
        <v>54346.312629269465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4671</v>
      </c>
      <c r="B142" s="66">
        <v>4671</v>
      </c>
      <c r="D142">
        <f t="shared" si="10"/>
        <v>5.6840721856480521</v>
      </c>
      <c r="E142">
        <f t="shared" si="11"/>
        <v>5.6840721856480521</v>
      </c>
      <c r="G142">
        <f t="shared" ca="1" si="12"/>
        <v>140</v>
      </c>
      <c r="H142">
        <f t="shared" ca="1" si="13"/>
        <v>795.7701059907273</v>
      </c>
      <c r="I142">
        <f t="shared" ca="1" si="14"/>
        <v>41168.512498160009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3948</v>
      </c>
      <c r="B144" s="66">
        <v>3948</v>
      </c>
      <c r="D144">
        <f t="shared" si="10"/>
        <v>4.8042639668033633</v>
      </c>
      <c r="E144">
        <f t="shared" si="11"/>
        <v>4.8042639668033633</v>
      </c>
      <c r="G144">
        <f t="shared" ca="1" si="12"/>
        <v>142</v>
      </c>
      <c r="H144">
        <f t="shared" ca="1" si="13"/>
        <v>682.20548328607754</v>
      </c>
      <c r="I144">
        <f t="shared" ca="1" si="14"/>
        <v>36450.926775901382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2998</v>
      </c>
      <c r="B147" s="66">
        <v>2998</v>
      </c>
      <c r="D147">
        <f t="shared" si="10"/>
        <v>3.6482227387225135</v>
      </c>
      <c r="E147">
        <f t="shared" si="11"/>
        <v>3.6482227387225135</v>
      </c>
      <c r="G147">
        <f t="shared" ca="1" si="12"/>
        <v>145</v>
      </c>
      <c r="H147">
        <f t="shared" ca="1" si="13"/>
        <v>528.99229711476448</v>
      </c>
      <c r="I147">
        <f t="shared" ca="1" si="14"/>
        <v>29619.301982539444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2588</v>
      </c>
      <c r="B149" s="66">
        <v>2588</v>
      </c>
      <c r="D149">
        <f t="shared" si="10"/>
        <v>3.1492996823928836</v>
      </c>
      <c r="E149">
        <f t="shared" si="11"/>
        <v>3.1492996823928836</v>
      </c>
      <c r="G149">
        <f t="shared" ca="1" si="12"/>
        <v>147</v>
      </c>
      <c r="H149">
        <f t="shared" ca="1" si="13"/>
        <v>462.9470533117539</v>
      </c>
      <c r="I149">
        <f t="shared" ca="1" si="14"/>
        <v>26716.292423955751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2490</v>
      </c>
      <c r="B152" s="66">
        <v>2490</v>
      </c>
      <c r="D152">
        <f t="shared" si="10"/>
        <v>3.0300449030750696</v>
      </c>
      <c r="E152">
        <f t="shared" si="11"/>
        <v>3.0300449030750696</v>
      </c>
      <c r="G152">
        <f t="shared" ca="1" si="12"/>
        <v>150</v>
      </c>
      <c r="H152">
        <f t="shared" ca="1" si="13"/>
        <v>454.50673546126046</v>
      </c>
      <c r="I152">
        <f t="shared" ca="1" si="14"/>
        <v>27406.380466400336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915</v>
      </c>
      <c r="B154" s="66">
        <v>915</v>
      </c>
      <c r="D154">
        <f t="shared" si="10"/>
        <v>1.1134502354673448</v>
      </c>
      <c r="E154">
        <f t="shared" si="11"/>
        <v>1.1134502354673448</v>
      </c>
      <c r="G154">
        <f t="shared" ca="1" si="12"/>
        <v>152</v>
      </c>
      <c r="H154">
        <f t="shared" ca="1" si="13"/>
        <v>169.24443579103641</v>
      </c>
      <c r="I154">
        <f t="shared" ca="1" si="14"/>
        <v>10499.049876990128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1382</v>
      </c>
      <c r="B157" s="66">
        <v>1382</v>
      </c>
      <c r="D157">
        <f t="shared" si="10"/>
        <v>1.6817357654818259</v>
      </c>
      <c r="E157">
        <f t="shared" si="11"/>
        <v>1.6817357654818259</v>
      </c>
      <c r="G157">
        <f t="shared" ca="1" si="12"/>
        <v>155</v>
      </c>
      <c r="H157">
        <f t="shared" ca="1" si="13"/>
        <v>260.66904364968303</v>
      </c>
      <c r="I157">
        <f t="shared" ca="1" si="14"/>
        <v>16852.542165473114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1342</v>
      </c>
      <c r="B160" s="66">
        <v>1342</v>
      </c>
      <c r="D160">
        <f t="shared" si="10"/>
        <v>1.6330603453521058</v>
      </c>
      <c r="E160">
        <f t="shared" si="11"/>
        <v>1.6330603453521058</v>
      </c>
      <c r="G160">
        <f t="shared" ca="1" si="12"/>
        <v>158</v>
      </c>
      <c r="H160">
        <f t="shared" ca="1" si="13"/>
        <v>258.0235345656327</v>
      </c>
      <c r="I160">
        <f t="shared" ca="1" si="14"/>
        <v>17360.327798321487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960</v>
      </c>
      <c r="B162" s="66">
        <v>960</v>
      </c>
      <c r="D162">
        <f t="shared" si="10"/>
        <v>1.1682100831132798</v>
      </c>
      <c r="E162">
        <f t="shared" si="11"/>
        <v>1.1682100831132798</v>
      </c>
      <c r="G162">
        <f t="shared" ca="1" si="12"/>
        <v>160</v>
      </c>
      <c r="H162">
        <f t="shared" ca="1" si="13"/>
        <v>186.91361329812477</v>
      </c>
      <c r="I162">
        <f t="shared" ca="1" si="14"/>
        <v>12905.17832574919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1076</v>
      </c>
      <c r="B165" s="66">
        <v>1076</v>
      </c>
      <c r="D165">
        <f t="shared" si="10"/>
        <v>1.3093688014894678</v>
      </c>
      <c r="E165">
        <f t="shared" si="11"/>
        <v>1.3093688014894678</v>
      </c>
      <c r="G165">
        <f t="shared" ca="1" si="12"/>
        <v>163</v>
      </c>
      <c r="H165">
        <f t="shared" ca="1" si="13"/>
        <v>213.42711464278324</v>
      </c>
      <c r="I165">
        <f t="shared" ca="1" si="14"/>
        <v>15302.062095420268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59</v>
      </c>
      <c r="B167" s="66">
        <v>59</v>
      </c>
      <c r="D167">
        <f t="shared" si="10"/>
        <v>7.1796244691336997E-2</v>
      </c>
      <c r="E167">
        <f t="shared" si="11"/>
        <v>7.1796244691336997E-2</v>
      </c>
      <c r="G167">
        <f t="shared" ca="1" si="12"/>
        <v>165</v>
      </c>
      <c r="H167">
        <f t="shared" ca="1" si="13"/>
        <v>11.846380374070604</v>
      </c>
      <c r="I167">
        <f t="shared" ca="1" si="14"/>
        <v>870.38677949026351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98.466438093333252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1.9011397881297953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0.70008455220012888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2564</v>
      </c>
      <c r="B8" s="66">
        <v>2564</v>
      </c>
      <c r="D8">
        <f t="shared" si="0"/>
        <v>2.8306156920325454</v>
      </c>
      <c r="E8">
        <f t="shared" si="1"/>
        <v>2.8306156920325454</v>
      </c>
      <c r="G8">
        <f t="shared" ca="1" si="2"/>
        <v>6</v>
      </c>
      <c r="H8">
        <f t="shared" ca="1" si="3"/>
        <v>16.983694152195273</v>
      </c>
      <c r="I8">
        <f t="shared" ca="1" si="4"/>
        <v>24201.883544325348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3203</v>
      </c>
      <c r="B10" s="66">
        <v>3203</v>
      </c>
      <c r="D10">
        <f t="shared" si="0"/>
        <v>3.5360616464821542</v>
      </c>
      <c r="E10">
        <f t="shared" si="1"/>
        <v>3.5360616464821542</v>
      </c>
      <c r="G10">
        <f t="shared" ca="1" si="2"/>
        <v>8</v>
      </c>
      <c r="H10">
        <f t="shared" ca="1" si="3"/>
        <v>28.288493171857233</v>
      </c>
      <c r="I10">
        <f t="shared" ca="1" si="4"/>
        <v>28939.752351384461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5316</v>
      </c>
      <c r="B13" s="66">
        <v>5316</v>
      </c>
      <c r="D13">
        <f t="shared" si="0"/>
        <v>5.8687804285666969</v>
      </c>
      <c r="E13">
        <f t="shared" si="1"/>
        <v>5.8687804285666969</v>
      </c>
      <c r="G13">
        <f t="shared" ca="1" si="2"/>
        <v>11</v>
      </c>
      <c r="H13">
        <f t="shared" ca="1" si="3"/>
        <v>64.556584714233665</v>
      </c>
      <c r="I13">
        <f t="shared" ca="1" si="4"/>
        <v>44898.387461143859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7266</v>
      </c>
      <c r="B15" s="66">
        <v>7266</v>
      </c>
      <c r="D15">
        <f t="shared" si="0"/>
        <v>8.0215497731312304</v>
      </c>
      <c r="E15">
        <f t="shared" si="1"/>
        <v>8.0215497731312304</v>
      </c>
      <c r="G15">
        <f t="shared" ca="1" si="2"/>
        <v>13</v>
      </c>
      <c r="H15">
        <f t="shared" ca="1" si="3"/>
        <v>104.28014705070599</v>
      </c>
      <c r="I15">
        <f t="shared" ca="1" si="4"/>
        <v>58593.506900196655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11843</v>
      </c>
      <c r="B18" s="66">
        <v>11843</v>
      </c>
      <c r="D18">
        <f t="shared" si="0"/>
        <v>13.074485819321932</v>
      </c>
      <c r="E18">
        <f t="shared" si="1"/>
        <v>13.074485819321932</v>
      </c>
      <c r="G18">
        <f t="shared" ca="1" si="2"/>
        <v>16</v>
      </c>
      <c r="H18">
        <f t="shared" ca="1" si="3"/>
        <v>209.19177310915092</v>
      </c>
      <c r="I18">
        <f t="shared" ca="1" si="4"/>
        <v>88915.831063872043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15414</v>
      </c>
      <c r="B21" s="66">
        <v>15414</v>
      </c>
      <c r="D21">
        <f t="shared" si="0"/>
        <v>17.01681368057319</v>
      </c>
      <c r="E21">
        <f t="shared" si="1"/>
        <v>17.01681368057319</v>
      </c>
      <c r="G21">
        <f t="shared" ca="1" si="2"/>
        <v>19</v>
      </c>
      <c r="H21">
        <f t="shared" ca="1" si="3"/>
        <v>323.31945993089062</v>
      </c>
      <c r="I21">
        <f t="shared" ca="1" si="4"/>
        <v>107459.72827511896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14805</v>
      </c>
      <c r="B23" s="66">
        <v>14805</v>
      </c>
      <c r="D23">
        <f t="shared" si="0"/>
        <v>16.344487254501495</v>
      </c>
      <c r="E23">
        <f t="shared" si="1"/>
        <v>16.344487254501495</v>
      </c>
      <c r="G23">
        <f t="shared" ca="1" si="2"/>
        <v>21</v>
      </c>
      <c r="H23">
        <f t="shared" ca="1" si="3"/>
        <v>343.23423234453139</v>
      </c>
      <c r="I23">
        <f t="shared" ca="1" si="4"/>
        <v>98084.069398664375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17382</v>
      </c>
      <c r="B26" s="66">
        <v>17382</v>
      </c>
      <c r="D26">
        <f t="shared" si="0"/>
        <v>19.189454742164472</v>
      </c>
      <c r="E26">
        <f t="shared" si="1"/>
        <v>19.189454742164472</v>
      </c>
      <c r="G26">
        <f t="shared" ca="1" si="2"/>
        <v>24</v>
      </c>
      <c r="H26">
        <f t="shared" ca="1" si="3"/>
        <v>460.54691381194732</v>
      </c>
      <c r="I26">
        <f t="shared" ca="1" si="4"/>
        <v>106410.33162906318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16681</v>
      </c>
      <c r="B28" s="66">
        <v>16681</v>
      </c>
      <c r="D28">
        <f t="shared" si="0"/>
        <v>18.415561762400504</v>
      </c>
      <c r="E28">
        <f t="shared" si="1"/>
        <v>18.415561762400504</v>
      </c>
      <c r="G28">
        <f t="shared" ca="1" si="2"/>
        <v>26</v>
      </c>
      <c r="H28">
        <f t="shared" ca="1" si="3"/>
        <v>478.80460582241312</v>
      </c>
      <c r="I28">
        <f t="shared" ca="1" si="4"/>
        <v>96707.198358998125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17272</v>
      </c>
      <c r="B31" s="66">
        <v>17272</v>
      </c>
      <c r="D31">
        <f t="shared" si="0"/>
        <v>19.068016471445446</v>
      </c>
      <c r="E31">
        <f t="shared" si="1"/>
        <v>19.068016471445446</v>
      </c>
      <c r="G31">
        <f t="shared" ca="1" si="2"/>
        <v>29</v>
      </c>
      <c r="H31">
        <f t="shared" ca="1" si="3"/>
        <v>552.97247767191789</v>
      </c>
      <c r="I31">
        <f t="shared" ca="1" si="4"/>
        <v>92014.353739953513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19148</v>
      </c>
      <c r="B33" s="66">
        <v>19148</v>
      </c>
      <c r="D33">
        <f t="shared" si="0"/>
        <v>21.139090979344456</v>
      </c>
      <c r="E33">
        <f t="shared" si="1"/>
        <v>21.139090979344456</v>
      </c>
      <c r="G33">
        <f t="shared" ca="1" si="2"/>
        <v>31</v>
      </c>
      <c r="H33">
        <f t="shared" ca="1" si="3"/>
        <v>655.31182035967811</v>
      </c>
      <c r="I33">
        <f t="shared" ca="1" si="4"/>
        <v>96219.228878950365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18978</v>
      </c>
      <c r="B36" s="66">
        <v>18978</v>
      </c>
      <c r="D36">
        <f t="shared" si="0"/>
        <v>20.951413651869597</v>
      </c>
      <c r="E36">
        <f t="shared" si="1"/>
        <v>20.951413651869597</v>
      </c>
      <c r="G36">
        <f t="shared" ca="1" si="2"/>
        <v>34</v>
      </c>
      <c r="H36">
        <f t="shared" ca="1" si="3"/>
        <v>712.34806416356628</v>
      </c>
      <c r="I36">
        <f t="shared" ca="1" si="4"/>
        <v>87072.433393647763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19247</v>
      </c>
      <c r="B39" s="66">
        <v>19247</v>
      </c>
      <c r="D39">
        <f t="shared" si="0"/>
        <v>21.248385422991575</v>
      </c>
      <c r="E39">
        <f t="shared" si="1"/>
        <v>21.248385422991575</v>
      </c>
      <c r="G39">
        <f t="shared" ca="1" si="2"/>
        <v>37</v>
      </c>
      <c r="H39">
        <f t="shared" ca="1" si="3"/>
        <v>786.19026065068829</v>
      </c>
      <c r="I39">
        <f t="shared" ca="1" si="4"/>
        <v>80279.013931933354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19094</v>
      </c>
      <c r="B41" s="66">
        <v>19094</v>
      </c>
      <c r="D41">
        <f t="shared" si="0"/>
        <v>21.079475828264204</v>
      </c>
      <c r="E41">
        <f t="shared" si="1"/>
        <v>21.079475828264204</v>
      </c>
      <c r="G41">
        <f t="shared" ca="1" si="2"/>
        <v>39</v>
      </c>
      <c r="H41">
        <f t="shared" ca="1" si="3"/>
        <v>822.09955730230399</v>
      </c>
      <c r="I41">
        <f t="shared" ca="1" si="4"/>
        <v>74542.449424327686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21860</v>
      </c>
      <c r="B44" s="66">
        <v>21860</v>
      </c>
      <c r="D44">
        <f t="shared" si="0"/>
        <v>24.133096344708051</v>
      </c>
      <c r="E44">
        <f t="shared" si="1"/>
        <v>24.133096344708051</v>
      </c>
      <c r="G44">
        <f t="shared" ca="1" si="2"/>
        <v>42</v>
      </c>
      <c r="H44">
        <f t="shared" ca="1" si="3"/>
        <v>1013.5900464777382</v>
      </c>
      <c r="I44">
        <f t="shared" ca="1" si="4"/>
        <v>76947.379331789722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16651</v>
      </c>
      <c r="B46" s="66">
        <v>16651</v>
      </c>
      <c r="D46">
        <f t="shared" si="0"/>
        <v>18.382442234022587</v>
      </c>
      <c r="E46">
        <f t="shared" si="1"/>
        <v>18.382442234022587</v>
      </c>
      <c r="G46">
        <f t="shared" ca="1" si="2"/>
        <v>44</v>
      </c>
      <c r="H46">
        <f t="shared" ca="1" si="3"/>
        <v>808.82745829699388</v>
      </c>
      <c r="I46">
        <f t="shared" ca="1" si="4"/>
        <v>54533.222222265955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20249</v>
      </c>
      <c r="B49" s="66">
        <v>20249</v>
      </c>
      <c r="D49">
        <f t="shared" si="0"/>
        <v>22.354577670813967</v>
      </c>
      <c r="E49">
        <f t="shared" si="1"/>
        <v>22.354577670813967</v>
      </c>
      <c r="G49">
        <f t="shared" ca="1" si="2"/>
        <v>47</v>
      </c>
      <c r="H49">
        <f t="shared" ca="1" si="3"/>
        <v>1050.6651505282564</v>
      </c>
      <c r="I49">
        <f t="shared" ca="1" si="4"/>
        <v>59212.676795963605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19548</v>
      </c>
      <c r="B51" s="66">
        <v>19548</v>
      </c>
      <c r="D51">
        <f t="shared" si="0"/>
        <v>21.580684691049999</v>
      </c>
      <c r="E51">
        <f t="shared" si="1"/>
        <v>21.580684691049999</v>
      </c>
      <c r="G51">
        <f t="shared" ca="1" si="2"/>
        <v>49</v>
      </c>
      <c r="H51">
        <f t="shared" ca="1" si="3"/>
        <v>1057.45354986145</v>
      </c>
      <c r="I51">
        <f t="shared" ca="1" si="4"/>
        <v>52806.392369147427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24057</v>
      </c>
      <c r="B54" s="66">
        <v>24057</v>
      </c>
      <c r="D54">
        <f t="shared" si="0"/>
        <v>26.55854980625076</v>
      </c>
      <c r="E54">
        <f t="shared" si="1"/>
        <v>26.55854980625076</v>
      </c>
      <c r="G54">
        <f t="shared" ca="1" si="2"/>
        <v>52</v>
      </c>
      <c r="H54">
        <f t="shared" ca="1" si="3"/>
        <v>1381.0445899250394</v>
      </c>
      <c r="I54">
        <f t="shared" ca="1" si="4"/>
        <v>57343.358166166603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26516</v>
      </c>
      <c r="B57" s="66">
        <v>26516</v>
      </c>
      <c r="D57">
        <f t="shared" si="0"/>
        <v>29.2732471489606</v>
      </c>
      <c r="E57">
        <f t="shared" si="1"/>
        <v>29.2732471489606</v>
      </c>
      <c r="G57">
        <f t="shared" ca="1" si="2"/>
        <v>55</v>
      </c>
      <c r="H57">
        <f t="shared" ca="1" si="3"/>
        <v>1610.0285931928329</v>
      </c>
      <c r="I57">
        <f t="shared" ca="1" si="4"/>
        <v>55306.860350040304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31612</v>
      </c>
      <c r="B59" s="66">
        <v>31612</v>
      </c>
      <c r="D59">
        <f t="shared" si="0"/>
        <v>34.899151036089243</v>
      </c>
      <c r="E59">
        <f t="shared" si="1"/>
        <v>34.899151036089243</v>
      </c>
      <c r="G59">
        <f t="shared" ca="1" si="2"/>
        <v>57</v>
      </c>
      <c r="H59">
        <f t="shared" ca="1" si="3"/>
        <v>1989.2516090570869</v>
      </c>
      <c r="I59">
        <f t="shared" ca="1" si="4"/>
        <v>60007.885772228314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34837</v>
      </c>
      <c r="B62" s="66">
        <v>34837</v>
      </c>
      <c r="D62">
        <f t="shared" si="0"/>
        <v>38.459500336715202</v>
      </c>
      <c r="E62">
        <f t="shared" si="1"/>
        <v>38.459500336715202</v>
      </c>
      <c r="G62">
        <f t="shared" ca="1" si="2"/>
        <v>60</v>
      </c>
      <c r="H62">
        <f t="shared" ca="1" si="3"/>
        <v>2307.570020202912</v>
      </c>
      <c r="I62">
        <f t="shared" ca="1" si="4"/>
        <v>56907.248084560226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41225</v>
      </c>
      <c r="B64" s="66">
        <v>41225</v>
      </c>
      <c r="D64">
        <f t="shared" si="0"/>
        <v>45.511751912652763</v>
      </c>
      <c r="E64">
        <f t="shared" si="1"/>
        <v>45.511751912652763</v>
      </c>
      <c r="G64">
        <f t="shared" ca="1" si="2"/>
        <v>62</v>
      </c>
      <c r="H64">
        <f t="shared" ca="1" si="3"/>
        <v>2821.7286185844714</v>
      </c>
      <c r="I64">
        <f t="shared" ca="1" si="4"/>
        <v>60521.578084735782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39545</v>
      </c>
      <c r="B67" s="66">
        <v>39545</v>
      </c>
      <c r="D67">
        <f t="shared" ref="D67:D130" si="5">IFERROR(100*A67/MAX(A$2:A$257), 0 )</f>
        <v>43.657058323489473</v>
      </c>
      <c r="E67">
        <f t="shared" ref="E67:E130" si="6">IFERROR(100*B67/MAX(B$2:B$257), 0 )</f>
        <v>43.657058323489473</v>
      </c>
      <c r="G67">
        <f t="shared" ref="G67:G130" ca="1" si="7">CELL("row",D67)-2</f>
        <v>65</v>
      </c>
      <c r="H67">
        <f t="shared" ref="H67:H130" ca="1" si="8">D67*G67</f>
        <v>2837.7087910268156</v>
      </c>
      <c r="I67">
        <f t="shared" ref="I67:I130" ca="1" si="9">D67*((G67-$L$1)^2)</f>
        <v>48896.013533090052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46713</v>
      </c>
      <c r="B69" s="66">
        <v>46713</v>
      </c>
      <c r="D69">
        <f t="shared" si="5"/>
        <v>51.570417637252845</v>
      </c>
      <c r="E69">
        <f t="shared" si="6"/>
        <v>51.570417637252845</v>
      </c>
      <c r="G69">
        <f t="shared" ca="1" si="7"/>
        <v>67</v>
      </c>
      <c r="H69">
        <f t="shared" ca="1" si="8"/>
        <v>3455.2179816959406</v>
      </c>
      <c r="I69">
        <f t="shared" ca="1" si="9"/>
        <v>51061.764492323076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52689</v>
      </c>
      <c r="B72" s="66">
        <v>52689</v>
      </c>
      <c r="D72">
        <f t="shared" si="5"/>
        <v>58.167827690133691</v>
      </c>
      <c r="E72">
        <f t="shared" si="6"/>
        <v>58.167827690133691</v>
      </c>
      <c r="G72">
        <f t="shared" ca="1" si="7"/>
        <v>70</v>
      </c>
      <c r="H72">
        <f t="shared" ca="1" si="8"/>
        <v>4071.7479383093582</v>
      </c>
      <c r="I72">
        <f t="shared" ca="1" si="9"/>
        <v>47135.606839019267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54615</v>
      </c>
      <c r="B75" s="66">
        <v>54615</v>
      </c>
      <c r="D75">
        <f t="shared" si="5"/>
        <v>60.294101411995896</v>
      </c>
      <c r="E75">
        <f t="shared" si="6"/>
        <v>60.294101411995896</v>
      </c>
      <c r="G75">
        <f t="shared" ca="1" si="7"/>
        <v>73</v>
      </c>
      <c r="H75">
        <f t="shared" ca="1" si="8"/>
        <v>4401.4694030757</v>
      </c>
      <c r="I75">
        <f t="shared" ca="1" si="9"/>
        <v>39103.104523309987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59065</v>
      </c>
      <c r="B77" s="66">
        <v>59065</v>
      </c>
      <c r="D77">
        <f t="shared" si="5"/>
        <v>65.206831454720088</v>
      </c>
      <c r="E77">
        <f t="shared" si="6"/>
        <v>65.206831454720088</v>
      </c>
      <c r="G77">
        <f t="shared" ca="1" si="7"/>
        <v>75</v>
      </c>
      <c r="H77">
        <f t="shared" ca="1" si="8"/>
        <v>4890.5123591040065</v>
      </c>
      <c r="I77">
        <f t="shared" ca="1" si="9"/>
        <v>35907.688237155162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64787</v>
      </c>
      <c r="B80" s="66">
        <v>64787</v>
      </c>
      <c r="D80">
        <f t="shared" si="5"/>
        <v>71.523829500667915</v>
      </c>
      <c r="E80">
        <f t="shared" si="6"/>
        <v>71.523829500667915</v>
      </c>
      <c r="G80">
        <f t="shared" ca="1" si="7"/>
        <v>78</v>
      </c>
      <c r="H80">
        <f t="shared" ca="1" si="8"/>
        <v>5578.8587010520978</v>
      </c>
      <c r="I80">
        <f t="shared" ca="1" si="9"/>
        <v>29959.550392514044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70748</v>
      </c>
      <c r="B82" s="66">
        <v>70748</v>
      </c>
      <c r="D82">
        <f t="shared" si="5"/>
        <v>78.104679789359793</v>
      </c>
      <c r="E82">
        <f t="shared" si="6"/>
        <v>78.104679789359793</v>
      </c>
      <c r="G82">
        <f t="shared" ca="1" si="7"/>
        <v>80</v>
      </c>
      <c r="H82">
        <f t="shared" ca="1" si="8"/>
        <v>6248.3743831487836</v>
      </c>
      <c r="I82">
        <f t="shared" ca="1" si="9"/>
        <v>26634.424982129953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75148</v>
      </c>
      <c r="B85" s="66">
        <v>75148</v>
      </c>
      <c r="D85">
        <f t="shared" si="5"/>
        <v>82.962210618120793</v>
      </c>
      <c r="E85">
        <f t="shared" si="6"/>
        <v>82.962210618120793</v>
      </c>
      <c r="G85">
        <f t="shared" ca="1" si="7"/>
        <v>83</v>
      </c>
      <c r="H85">
        <f t="shared" ca="1" si="8"/>
        <v>6885.8634813040262</v>
      </c>
      <c r="I85">
        <f t="shared" ca="1" si="9"/>
        <v>19845.449080709961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86163</v>
      </c>
      <c r="B88" s="66">
        <v>86163</v>
      </c>
      <c r="D88">
        <f t="shared" si="5"/>
        <v>95.122597454212254</v>
      </c>
      <c r="E88">
        <f t="shared" si="6"/>
        <v>95.122597454212254</v>
      </c>
      <c r="G88">
        <f t="shared" ca="1" si="7"/>
        <v>86</v>
      </c>
      <c r="H88">
        <f t="shared" ca="1" si="8"/>
        <v>8180.5433810622535</v>
      </c>
      <c r="I88">
        <f t="shared" ca="1" si="9"/>
        <v>14783.200605023223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88458</v>
      </c>
      <c r="B90" s="66">
        <v>88458</v>
      </c>
      <c r="D90">
        <f t="shared" si="5"/>
        <v>97.656241375122818</v>
      </c>
      <c r="E90">
        <f t="shared" si="6"/>
        <v>97.656241375122818</v>
      </c>
      <c r="G90">
        <f t="shared" ca="1" si="7"/>
        <v>88</v>
      </c>
      <c r="H90">
        <f t="shared" ca="1" si="8"/>
        <v>8593.749241010808</v>
      </c>
      <c r="I90">
        <f t="shared" ca="1" si="9"/>
        <v>10697.882488924184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90581</v>
      </c>
      <c r="B93" s="66">
        <v>90581</v>
      </c>
      <c r="D93">
        <f t="shared" si="5"/>
        <v>100</v>
      </c>
      <c r="E93">
        <f t="shared" si="6"/>
        <v>100</v>
      </c>
      <c r="G93">
        <f t="shared" ca="1" si="7"/>
        <v>91</v>
      </c>
      <c r="H93">
        <f t="shared" ca="1" si="8"/>
        <v>9100</v>
      </c>
      <c r="I93">
        <f t="shared" ca="1" si="9"/>
        <v>5574.7697801577897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85505</v>
      </c>
      <c r="B95" s="66">
        <v>85505</v>
      </c>
      <c r="D95">
        <f t="shared" si="5"/>
        <v>94.396175798456625</v>
      </c>
      <c r="E95">
        <f t="shared" si="6"/>
        <v>94.396175798456625</v>
      </c>
      <c r="G95">
        <f t="shared" ca="1" si="7"/>
        <v>93</v>
      </c>
      <c r="H95">
        <f t="shared" ca="1" si="8"/>
        <v>8778.8443492564656</v>
      </c>
      <c r="I95">
        <f t="shared" ca="1" si="9"/>
        <v>2820.7413738444911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80736</v>
      </c>
      <c r="B98" s="66">
        <v>80736</v>
      </c>
      <c r="D98">
        <f t="shared" si="5"/>
        <v>89.131274770647266</v>
      </c>
      <c r="E98">
        <f t="shared" si="6"/>
        <v>89.131274770647266</v>
      </c>
      <c r="G98">
        <f t="shared" ca="1" si="7"/>
        <v>96</v>
      </c>
      <c r="H98">
        <f t="shared" ca="1" si="8"/>
        <v>8556.6023779821371</v>
      </c>
      <c r="I98">
        <f t="shared" ca="1" si="9"/>
        <v>542.21378730049139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75839</v>
      </c>
      <c r="B100" s="66">
        <v>75839</v>
      </c>
      <c r="D100">
        <f t="shared" si="5"/>
        <v>83.725063755092123</v>
      </c>
      <c r="E100">
        <f t="shared" si="6"/>
        <v>83.725063755092123</v>
      </c>
      <c r="G100">
        <f t="shared" ca="1" si="7"/>
        <v>98</v>
      </c>
      <c r="H100">
        <f t="shared" ca="1" si="8"/>
        <v>8205.0562479990276</v>
      </c>
      <c r="I100">
        <f t="shared" ca="1" si="9"/>
        <v>18.215601207381745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70424</v>
      </c>
      <c r="B103" s="66">
        <v>70424</v>
      </c>
      <c r="D103">
        <f t="shared" si="5"/>
        <v>77.746988882878313</v>
      </c>
      <c r="E103">
        <f t="shared" si="6"/>
        <v>77.746988882878313</v>
      </c>
      <c r="G103">
        <f t="shared" ca="1" si="7"/>
        <v>101</v>
      </c>
      <c r="H103">
        <f t="shared" ca="1" si="8"/>
        <v>7852.4458771707095</v>
      </c>
      <c r="I103">
        <f t="shared" ca="1" si="9"/>
        <v>499.05294077157708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64480</v>
      </c>
      <c r="B106" s="66">
        <v>64480</v>
      </c>
      <c r="D106">
        <f t="shared" si="5"/>
        <v>71.184906326933898</v>
      </c>
      <c r="E106">
        <f t="shared" si="6"/>
        <v>71.184906326933898</v>
      </c>
      <c r="G106">
        <f t="shared" ca="1" si="7"/>
        <v>104</v>
      </c>
      <c r="H106">
        <f t="shared" ca="1" si="8"/>
        <v>7403.2302580011255</v>
      </c>
      <c r="I106">
        <f t="shared" ca="1" si="9"/>
        <v>2179.7037121851286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60260</v>
      </c>
      <c r="B108" s="66">
        <v>60260</v>
      </c>
      <c r="D108">
        <f t="shared" si="5"/>
        <v>66.526092668440398</v>
      </c>
      <c r="E108">
        <f t="shared" si="6"/>
        <v>66.526092668440398</v>
      </c>
      <c r="G108">
        <f t="shared" ca="1" si="7"/>
        <v>106</v>
      </c>
      <c r="H108">
        <f t="shared" ca="1" si="8"/>
        <v>7051.7658228546825</v>
      </c>
      <c r="I108">
        <f t="shared" ca="1" si="9"/>
        <v>3775.6587853912301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60546</v>
      </c>
      <c r="B111" s="66">
        <v>60546</v>
      </c>
      <c r="D111">
        <f t="shared" si="5"/>
        <v>66.841832172309864</v>
      </c>
      <c r="E111">
        <f t="shared" si="6"/>
        <v>66.841832172309864</v>
      </c>
      <c r="G111">
        <f t="shared" ca="1" si="7"/>
        <v>109</v>
      </c>
      <c r="H111">
        <f t="shared" ca="1" si="8"/>
        <v>7285.7597067817751</v>
      </c>
      <c r="I111">
        <f t="shared" ca="1" si="9"/>
        <v>7416.4974137313029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57270</v>
      </c>
      <c r="B113" s="66">
        <v>57270</v>
      </c>
      <c r="D113">
        <f t="shared" si="5"/>
        <v>63.225179673441453</v>
      </c>
      <c r="E113">
        <f t="shared" si="6"/>
        <v>63.225179673441453</v>
      </c>
      <c r="G113">
        <f t="shared" ca="1" si="7"/>
        <v>111</v>
      </c>
      <c r="H113">
        <f t="shared" ca="1" si="8"/>
        <v>7017.9949437520008</v>
      </c>
      <c r="I113">
        <f t="shared" ca="1" si="9"/>
        <v>9932.0544803971607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58234</v>
      </c>
      <c r="B116" s="66">
        <v>58234</v>
      </c>
      <c r="D116">
        <f t="shared" si="5"/>
        <v>64.289420518651809</v>
      </c>
      <c r="E116">
        <f t="shared" si="6"/>
        <v>64.289420518651809</v>
      </c>
      <c r="G116">
        <f t="shared" ca="1" si="7"/>
        <v>114</v>
      </c>
      <c r="H116">
        <f t="shared" ca="1" si="8"/>
        <v>7328.993939126306</v>
      </c>
      <c r="I116">
        <f t="shared" ca="1" si="9"/>
        <v>15512.493636775183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57509</v>
      </c>
      <c r="B118" s="66">
        <v>57509</v>
      </c>
      <c r="D118">
        <f t="shared" si="5"/>
        <v>63.48903191618551</v>
      </c>
      <c r="E118">
        <f t="shared" si="6"/>
        <v>63.48903191618551</v>
      </c>
      <c r="G118">
        <f t="shared" ca="1" si="7"/>
        <v>116</v>
      </c>
      <c r="H118">
        <f t="shared" ca="1" si="8"/>
        <v>7364.7277022775188</v>
      </c>
      <c r="I118">
        <f t="shared" ca="1" si="9"/>
        <v>19518.16599220128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58731</v>
      </c>
      <c r="B121" s="66">
        <v>58731</v>
      </c>
      <c r="D121">
        <f t="shared" si="5"/>
        <v>64.838100705445953</v>
      </c>
      <c r="E121">
        <f t="shared" si="6"/>
        <v>64.838100705445953</v>
      </c>
      <c r="G121">
        <f t="shared" ca="1" si="7"/>
        <v>119</v>
      </c>
      <c r="H121">
        <f t="shared" ca="1" si="8"/>
        <v>7715.7339839480683</v>
      </c>
      <c r="I121">
        <f t="shared" ca="1" si="9"/>
        <v>27337.504556860022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55967</v>
      </c>
      <c r="B124" s="66">
        <v>55967</v>
      </c>
      <c r="D124">
        <f t="shared" si="5"/>
        <v>61.786688157560633</v>
      </c>
      <c r="E124">
        <f t="shared" si="6"/>
        <v>61.786688157560633</v>
      </c>
      <c r="G124">
        <f t="shared" ca="1" si="7"/>
        <v>122</v>
      </c>
      <c r="H124">
        <f t="shared" ca="1" si="8"/>
        <v>7537.9759552223968</v>
      </c>
      <c r="I124">
        <f t="shared" ca="1" si="9"/>
        <v>34219.231047511967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53240</v>
      </c>
      <c r="B126" s="66">
        <v>53240</v>
      </c>
      <c r="D126">
        <f t="shared" si="5"/>
        <v>58.77612302800808</v>
      </c>
      <c r="E126">
        <f t="shared" si="6"/>
        <v>58.77612302800808</v>
      </c>
      <c r="G126">
        <f t="shared" ca="1" si="7"/>
        <v>124</v>
      </c>
      <c r="H126">
        <f t="shared" ca="1" si="8"/>
        <v>7288.2392554730022</v>
      </c>
      <c r="I126">
        <f t="shared" ca="1" si="9"/>
        <v>38319.844781000305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53585</v>
      </c>
      <c r="B129" s="66">
        <v>53585</v>
      </c>
      <c r="D129">
        <f t="shared" si="5"/>
        <v>59.156997604354117</v>
      </c>
      <c r="E129">
        <f t="shared" si="6"/>
        <v>59.156997604354117</v>
      </c>
      <c r="G129">
        <f t="shared" ca="1" si="7"/>
        <v>127</v>
      </c>
      <c r="H129">
        <f t="shared" ca="1" si="8"/>
        <v>7512.9386957529732</v>
      </c>
      <c r="I129">
        <f t="shared" ca="1" si="9"/>
        <v>48163.506971712246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53015</v>
      </c>
      <c r="B131" s="66">
        <v>53015</v>
      </c>
      <c r="D131">
        <f t="shared" ref="D131:D194" si="10">IFERROR(100*A131/MAX(A$2:A$257), 0 )</f>
        <v>58.527726565173715</v>
      </c>
      <c r="E131">
        <f t="shared" ref="E131:E194" si="11">IFERROR(100*B131/MAX(B$2:B$257), 0 )</f>
        <v>58.527726565173715</v>
      </c>
      <c r="G131">
        <f t="shared" ref="G131:G194" ca="1" si="12">CELL("row",D131)-2</f>
        <v>129</v>
      </c>
      <c r="H131">
        <f t="shared" ref="H131:H194" ca="1" si="13">D131*G131</f>
        <v>7550.0767269074095</v>
      </c>
      <c r="I131">
        <f t="shared" ref="I131:I194" ca="1" si="14">D131*((G131-$L$1)^2)</f>
        <v>54565.305990856708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54396</v>
      </c>
      <c r="B134" s="66">
        <v>54396</v>
      </c>
      <c r="D134">
        <f t="shared" si="10"/>
        <v>60.052328854837107</v>
      </c>
      <c r="E134">
        <f t="shared" si="11"/>
        <v>60.052328854837107</v>
      </c>
      <c r="G134">
        <f t="shared" ca="1" si="12"/>
        <v>132</v>
      </c>
      <c r="H134">
        <f t="shared" ca="1" si="13"/>
        <v>7926.9074088384978</v>
      </c>
      <c r="I134">
        <f t="shared" ca="1" si="14"/>
        <v>67528.830234340829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55177</v>
      </c>
      <c r="B136" s="66">
        <v>55177</v>
      </c>
      <c r="D136">
        <f t="shared" si="10"/>
        <v>60.914540576942187</v>
      </c>
      <c r="E136">
        <f t="shared" si="11"/>
        <v>60.914540576942187</v>
      </c>
      <c r="G136">
        <f t="shared" ca="1" si="12"/>
        <v>134</v>
      </c>
      <c r="H136">
        <f t="shared" ca="1" si="13"/>
        <v>8162.5484373102527</v>
      </c>
      <c r="I136">
        <f t="shared" ca="1" si="14"/>
        <v>76912.771353235963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51944</v>
      </c>
      <c r="B139" s="66">
        <v>51944</v>
      </c>
      <c r="D139">
        <f t="shared" si="10"/>
        <v>57.345359402082117</v>
      </c>
      <c r="E139">
        <f t="shared" si="11"/>
        <v>57.345359402082117</v>
      </c>
      <c r="G139">
        <f t="shared" ca="1" si="12"/>
        <v>137</v>
      </c>
      <c r="H139">
        <f t="shared" ca="1" si="13"/>
        <v>7856.3142380852496</v>
      </c>
      <c r="I139">
        <f t="shared" ca="1" si="14"/>
        <v>85148.419276841436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50220</v>
      </c>
      <c r="B142" s="66">
        <v>50220</v>
      </c>
      <c r="D142">
        <f t="shared" si="10"/>
        <v>55.442090504631217</v>
      </c>
      <c r="E142">
        <f t="shared" si="11"/>
        <v>55.442090504631217</v>
      </c>
      <c r="G142">
        <f t="shared" ca="1" si="12"/>
        <v>140</v>
      </c>
      <c r="H142">
        <f t="shared" ca="1" si="13"/>
        <v>7761.8926706483708</v>
      </c>
      <c r="I142">
        <f t="shared" ca="1" si="14"/>
        <v>95639.644429814245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43406</v>
      </c>
      <c r="B144" s="66">
        <v>43406</v>
      </c>
      <c r="D144">
        <f t="shared" si="10"/>
        <v>47.919541625727248</v>
      </c>
      <c r="E144">
        <f t="shared" si="11"/>
        <v>47.919541625727248</v>
      </c>
      <c r="G144">
        <f t="shared" ca="1" si="12"/>
        <v>142</v>
      </c>
      <c r="H144">
        <f t="shared" ca="1" si="13"/>
        <v>6804.5749108532691</v>
      </c>
      <c r="I144">
        <f t="shared" ca="1" si="14"/>
        <v>90815.726210899113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39474</v>
      </c>
      <c r="B147" s="66">
        <v>39474</v>
      </c>
      <c r="D147">
        <f t="shared" si="10"/>
        <v>43.578675439661737</v>
      </c>
      <c r="E147">
        <f t="shared" si="11"/>
        <v>43.578675439661737</v>
      </c>
      <c r="G147">
        <f t="shared" ca="1" si="12"/>
        <v>145</v>
      </c>
      <c r="H147">
        <f t="shared" ca="1" si="13"/>
        <v>6318.9079387509519</v>
      </c>
      <c r="I147">
        <f t="shared" ca="1" si="14"/>
        <v>94364.060316209696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37399</v>
      </c>
      <c r="B149" s="66">
        <v>37399</v>
      </c>
      <c r="D149">
        <f t="shared" si="10"/>
        <v>41.287908060189224</v>
      </c>
      <c r="E149">
        <f t="shared" si="11"/>
        <v>41.287908060189224</v>
      </c>
      <c r="G149">
        <f t="shared" ca="1" si="12"/>
        <v>147</v>
      </c>
      <c r="H149">
        <f t="shared" ca="1" si="13"/>
        <v>6069.3224848478158</v>
      </c>
      <c r="I149">
        <f t="shared" ca="1" si="14"/>
        <v>97253.941230272714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33489</v>
      </c>
      <c r="B152" s="66">
        <v>33489</v>
      </c>
      <c r="D152">
        <f t="shared" si="10"/>
        <v>36.971329528267518</v>
      </c>
      <c r="E152">
        <f t="shared" si="11"/>
        <v>36.971329528267518</v>
      </c>
      <c r="G152">
        <f t="shared" ca="1" si="12"/>
        <v>150</v>
      </c>
      <c r="H152">
        <f t="shared" ca="1" si="13"/>
        <v>5545.6994292401278</v>
      </c>
      <c r="I152">
        <f t="shared" ca="1" si="14"/>
        <v>98185.055701941732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23369</v>
      </c>
      <c r="B154" s="66">
        <v>23369</v>
      </c>
      <c r="D154">
        <f t="shared" si="10"/>
        <v>25.799008622117221</v>
      </c>
      <c r="E154">
        <f t="shared" si="11"/>
        <v>25.799008622117221</v>
      </c>
      <c r="G154">
        <f t="shared" ca="1" si="12"/>
        <v>152</v>
      </c>
      <c r="H154">
        <f t="shared" ca="1" si="13"/>
        <v>3921.4493105618176</v>
      </c>
      <c r="I154">
        <f t="shared" ca="1" si="14"/>
        <v>73935.888928082364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20342</v>
      </c>
      <c r="B157" s="66">
        <v>20342</v>
      </c>
      <c r="D157">
        <f t="shared" si="10"/>
        <v>22.457248208785508</v>
      </c>
      <c r="E157">
        <f t="shared" si="11"/>
        <v>22.457248208785508</v>
      </c>
      <c r="G157">
        <f t="shared" ca="1" si="12"/>
        <v>155</v>
      </c>
      <c r="H157">
        <f t="shared" ca="1" si="13"/>
        <v>3480.8734723617536</v>
      </c>
      <c r="I157">
        <f t="shared" ca="1" si="14"/>
        <v>71774.344902101788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17009</v>
      </c>
      <c r="B160" s="66">
        <v>17009</v>
      </c>
      <c r="D160">
        <f t="shared" si="10"/>
        <v>18.77766860599905</v>
      </c>
      <c r="E160">
        <f t="shared" si="11"/>
        <v>18.77766860599905</v>
      </c>
      <c r="G160">
        <f t="shared" ca="1" si="12"/>
        <v>158</v>
      </c>
      <c r="H160">
        <f t="shared" ca="1" si="13"/>
        <v>2966.8716397478502</v>
      </c>
      <c r="I160">
        <f t="shared" ca="1" si="14"/>
        <v>66552.657942563368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16085</v>
      </c>
      <c r="B162" s="66">
        <v>16085</v>
      </c>
      <c r="D162">
        <f t="shared" si="10"/>
        <v>17.757587131959241</v>
      </c>
      <c r="E162">
        <f t="shared" si="11"/>
        <v>17.757587131959241</v>
      </c>
      <c r="G162">
        <f t="shared" ca="1" si="12"/>
        <v>160</v>
      </c>
      <c r="H162">
        <f t="shared" ca="1" si="13"/>
        <v>2841.2139411134785</v>
      </c>
      <c r="I162">
        <f t="shared" ca="1" si="14"/>
        <v>67236.959285306802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15575</v>
      </c>
      <c r="B165" s="66">
        <v>15575</v>
      </c>
      <c r="D165">
        <f t="shared" si="10"/>
        <v>17.194555149534672</v>
      </c>
      <c r="E165">
        <f t="shared" si="11"/>
        <v>17.194555149534672</v>
      </c>
      <c r="G165">
        <f t="shared" ca="1" si="12"/>
        <v>163</v>
      </c>
      <c r="H165">
        <f t="shared" ca="1" si="13"/>
        <v>2802.7124893741516</v>
      </c>
      <c r="I165">
        <f t="shared" ca="1" si="14"/>
        <v>71608.11101393422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10612</v>
      </c>
      <c r="B167" s="66">
        <v>10612</v>
      </c>
      <c r="D167">
        <f t="shared" si="10"/>
        <v>11.715481171548117</v>
      </c>
      <c r="E167">
        <f t="shared" si="11"/>
        <v>11.715481171548117</v>
      </c>
      <c r="G167">
        <f t="shared" ca="1" si="12"/>
        <v>165</v>
      </c>
      <c r="H167">
        <f t="shared" ca="1" si="13"/>
        <v>1933.0543933054391</v>
      </c>
      <c r="I167">
        <f t="shared" ca="1" si="14"/>
        <v>51861.09459400468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11935</v>
      </c>
      <c r="B170" s="66">
        <v>11935</v>
      </c>
      <c r="D170">
        <f t="shared" si="10"/>
        <v>13.176052373014208</v>
      </c>
      <c r="E170">
        <f t="shared" si="11"/>
        <v>13.176052373014208</v>
      </c>
      <c r="G170">
        <f t="shared" ca="1" si="12"/>
        <v>168</v>
      </c>
      <c r="H170">
        <f t="shared" ca="1" si="13"/>
        <v>2213.5767986663868</v>
      </c>
      <c r="I170">
        <f t="shared" ca="1" si="14"/>
        <v>63705.109484435197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9213</v>
      </c>
      <c r="B173" s="66">
        <v>9213</v>
      </c>
      <c r="D173">
        <f t="shared" si="10"/>
        <v>10.171007164857972</v>
      </c>
      <c r="E173">
        <f t="shared" si="11"/>
        <v>10.171007164857972</v>
      </c>
      <c r="G173">
        <f t="shared" ca="1" si="12"/>
        <v>171</v>
      </c>
      <c r="H173">
        <f t="shared" ca="1" si="13"/>
        <v>1739.2422251907133</v>
      </c>
      <c r="I173">
        <f t="shared" ca="1" si="14"/>
        <v>53510.864833933447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7458</v>
      </c>
      <c r="B175" s="66">
        <v>7458</v>
      </c>
      <c r="D175">
        <f t="shared" si="10"/>
        <v>8.2335147547498924</v>
      </c>
      <c r="E175">
        <f t="shared" si="11"/>
        <v>8.2335147547498924</v>
      </c>
      <c r="G175">
        <f t="shared" ca="1" si="12"/>
        <v>173</v>
      </c>
      <c r="H175">
        <f t="shared" ca="1" si="13"/>
        <v>1424.3980525717313</v>
      </c>
      <c r="I175">
        <f t="shared" ca="1" si="14"/>
        <v>45739.248077401608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8195</v>
      </c>
      <c r="B178" s="66">
        <v>8195</v>
      </c>
      <c r="D178">
        <f t="shared" si="10"/>
        <v>9.0471511685673605</v>
      </c>
      <c r="E178">
        <f t="shared" si="11"/>
        <v>9.0471511685673605</v>
      </c>
      <c r="G178">
        <f t="shared" ca="1" si="12"/>
        <v>176</v>
      </c>
      <c r="H178">
        <f t="shared" ca="1" si="13"/>
        <v>1592.2986056678556</v>
      </c>
      <c r="I178">
        <f t="shared" ca="1" si="14"/>
        <v>54386.526041616577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7055</v>
      </c>
      <c r="B180" s="66">
        <v>7055</v>
      </c>
      <c r="D180">
        <f t="shared" si="10"/>
        <v>7.7886090902065552</v>
      </c>
      <c r="E180">
        <f t="shared" si="11"/>
        <v>7.7886090902065552</v>
      </c>
      <c r="G180">
        <f t="shared" ca="1" si="12"/>
        <v>178</v>
      </c>
      <c r="H180">
        <f t="shared" ca="1" si="13"/>
        <v>1386.3724180567667</v>
      </c>
      <c r="I180">
        <f t="shared" ca="1" si="14"/>
        <v>49267.528066324099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6281</v>
      </c>
      <c r="B183" s="66">
        <v>6281</v>
      </c>
      <c r="D183">
        <f t="shared" si="10"/>
        <v>6.9341252580563255</v>
      </c>
      <c r="E183">
        <f t="shared" si="11"/>
        <v>6.9341252580563255</v>
      </c>
      <c r="G183">
        <f t="shared" ca="1" si="12"/>
        <v>181</v>
      </c>
      <c r="H183">
        <f t="shared" ca="1" si="13"/>
        <v>1255.0766717081949</v>
      </c>
      <c r="I183">
        <f t="shared" ca="1" si="14"/>
        <v>47233.797054935363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6105</v>
      </c>
      <c r="B185" s="66">
        <v>6105</v>
      </c>
      <c r="D185">
        <f t="shared" si="10"/>
        <v>6.7398240249058849</v>
      </c>
      <c r="E185">
        <f t="shared" si="11"/>
        <v>6.7398240249058849</v>
      </c>
      <c r="G185">
        <f t="shared" ca="1" si="12"/>
        <v>183</v>
      </c>
      <c r="H185">
        <f t="shared" ca="1" si="13"/>
        <v>1233.3877965577769</v>
      </c>
      <c r="I185">
        <f t="shared" ca="1" si="14"/>
        <v>48162.264112866411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5918</v>
      </c>
      <c r="B188" s="66">
        <v>5918</v>
      </c>
      <c r="D188">
        <f t="shared" si="10"/>
        <v>6.5333789646835427</v>
      </c>
      <c r="E188">
        <f t="shared" si="11"/>
        <v>6.5333789646835427</v>
      </c>
      <c r="G188">
        <f t="shared" ca="1" si="12"/>
        <v>186</v>
      </c>
      <c r="H188">
        <f t="shared" ca="1" si="13"/>
        <v>1215.208487431139</v>
      </c>
      <c r="I188">
        <f t="shared" ca="1" si="14"/>
        <v>50059.56277219722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5113</v>
      </c>
      <c r="B191" s="66">
        <v>5113</v>
      </c>
      <c r="D191">
        <f t="shared" si="10"/>
        <v>5.6446716198761333</v>
      </c>
      <c r="E191">
        <f t="shared" si="11"/>
        <v>5.6446716198761333</v>
      </c>
      <c r="G191">
        <f t="shared" ca="1" si="12"/>
        <v>189</v>
      </c>
      <c r="H191">
        <f t="shared" ca="1" si="13"/>
        <v>1066.8429361565893</v>
      </c>
      <c r="I191">
        <f t="shared" ca="1" si="14"/>
        <v>46265.567808372325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4530</v>
      </c>
      <c r="B193" s="66">
        <v>4530</v>
      </c>
      <c r="D193">
        <f t="shared" si="10"/>
        <v>5.0010487850653007</v>
      </c>
      <c r="E193">
        <f t="shared" si="11"/>
        <v>5.0010487850653007</v>
      </c>
      <c r="G193">
        <f t="shared" ca="1" si="12"/>
        <v>191</v>
      </c>
      <c r="H193">
        <f t="shared" ca="1" si="13"/>
        <v>955.2003179474724</v>
      </c>
      <c r="I193">
        <f t="shared" ca="1" si="14"/>
        <v>42821.280575927871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932</v>
      </c>
      <c r="B196" s="66">
        <v>932</v>
      </c>
      <c r="D196">
        <f t="shared" si="15"/>
        <v>1.0289133482739206</v>
      </c>
      <c r="E196">
        <f t="shared" si="16"/>
        <v>1.0289133482739206</v>
      </c>
      <c r="G196">
        <f t="shared" ca="1" si="17"/>
        <v>194</v>
      </c>
      <c r="H196">
        <f t="shared" ca="1" si="18"/>
        <v>199.60918956514058</v>
      </c>
      <c r="I196">
        <f t="shared" ca="1" si="19"/>
        <v>9390.5437916735664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0.143538</v>
      </c>
      <c r="B2" s="68">
        <v>0.64906799999999998</v>
      </c>
      <c r="C2" s="68">
        <v>0</v>
      </c>
      <c r="D2" s="68">
        <v>1</v>
      </c>
      <c r="E2" s="68" t="s">
        <v>355</v>
      </c>
    </row>
    <row r="3" spans="1:5">
      <c r="A3" s="68">
        <v>0.14726500000000001</v>
      </c>
      <c r="B3" s="68">
        <v>0.63970000000000005</v>
      </c>
      <c r="C3" s="68">
        <v>0.36221599999999998</v>
      </c>
      <c r="D3" s="89">
        <v>1</v>
      </c>
      <c r="E3" s="68" t="s">
        <v>356</v>
      </c>
    </row>
    <row r="4" spans="1:5">
      <c r="A4" s="68">
        <v>0.150756</v>
      </c>
      <c r="B4" s="68">
        <v>0.63046899999999995</v>
      </c>
      <c r="C4" s="68">
        <v>0.76597000000000004</v>
      </c>
      <c r="D4" s="89">
        <v>1</v>
      </c>
      <c r="E4" s="68" t="s">
        <v>357</v>
      </c>
    </row>
    <row r="5" spans="1:5">
      <c r="A5" s="89">
        <v>0.15400900000000001</v>
      </c>
      <c r="B5" s="89">
        <v>0.62014499999999995</v>
      </c>
      <c r="C5" s="89">
        <v>1.17648</v>
      </c>
      <c r="D5" s="89">
        <v>1</v>
      </c>
      <c r="E5" s="68" t="s">
        <v>358</v>
      </c>
    </row>
    <row r="6" spans="1:5">
      <c r="A6" s="68">
        <v>0.15725700000000001</v>
      </c>
      <c r="B6" s="68">
        <v>0.60926599999999997</v>
      </c>
      <c r="C6" s="68">
        <v>1.57578</v>
      </c>
      <c r="D6" s="68">
        <v>1</v>
      </c>
      <c r="E6" s="68" t="s">
        <v>359</v>
      </c>
    </row>
    <row r="7" spans="1:5">
      <c r="A7" s="68">
        <v>0.160575</v>
      </c>
      <c r="B7" s="68">
        <v>0.59799199999999997</v>
      </c>
      <c r="C7" s="68">
        <v>1.9808699999999999</v>
      </c>
      <c r="D7" s="68">
        <v>1</v>
      </c>
      <c r="E7" s="68" t="s">
        <v>360</v>
      </c>
    </row>
    <row r="8" spans="1:5">
      <c r="A8" s="68">
        <v>0.16389400000000001</v>
      </c>
      <c r="B8" s="68">
        <v>0.58629699999999996</v>
      </c>
      <c r="C8" s="68">
        <v>2.3917199999999998</v>
      </c>
      <c r="D8" s="68">
        <v>1</v>
      </c>
      <c r="E8" s="68" t="s">
        <v>361</v>
      </c>
    </row>
    <row r="9" spans="1:5">
      <c r="A9" s="68">
        <v>0.16717799999999999</v>
      </c>
      <c r="B9" s="68">
        <v>0.57448999999999995</v>
      </c>
      <c r="C9" s="68">
        <v>2.7974000000000001</v>
      </c>
      <c r="D9" s="68">
        <v>1</v>
      </c>
      <c r="E9" s="68" t="s">
        <v>362</v>
      </c>
    </row>
    <row r="10" spans="1:5">
      <c r="A10" s="68">
        <v>0.170373</v>
      </c>
      <c r="B10" s="68">
        <v>0.56332599999999999</v>
      </c>
      <c r="C10" s="68">
        <v>3.2035300000000002</v>
      </c>
      <c r="D10" s="68">
        <v>1</v>
      </c>
      <c r="E10" s="68" t="s">
        <v>363</v>
      </c>
    </row>
    <row r="11" spans="1:5">
      <c r="A11" s="68">
        <v>0.173543</v>
      </c>
      <c r="B11" s="68">
        <v>0.55240599999999995</v>
      </c>
      <c r="C11" s="68">
        <v>3.6070099999999998</v>
      </c>
      <c r="D11" s="68">
        <v>1</v>
      </c>
      <c r="E11" s="68" t="s">
        <v>364</v>
      </c>
    </row>
    <row r="12" spans="1:5">
      <c r="A12" s="68">
        <v>0.176483</v>
      </c>
      <c r="B12" s="68">
        <v>0.541856</v>
      </c>
      <c r="C12" s="68">
        <v>4.0145999999999997</v>
      </c>
      <c r="D12" s="68">
        <v>1</v>
      </c>
      <c r="E12" s="68" t="s">
        <v>365</v>
      </c>
    </row>
    <row r="13" spans="1:5">
      <c r="A13" s="68">
        <v>0.17956800000000001</v>
      </c>
      <c r="B13" s="68">
        <v>0.53035500000000002</v>
      </c>
      <c r="C13" s="68">
        <v>4.4235300000000004</v>
      </c>
      <c r="D13" s="68">
        <v>1</v>
      </c>
      <c r="E13" s="68" t="s">
        <v>366</v>
      </c>
    </row>
    <row r="14" spans="1:5">
      <c r="A14" s="68">
        <v>0.18277199999999999</v>
      </c>
      <c r="B14" s="68">
        <v>0.51776299999999997</v>
      </c>
      <c r="C14" s="68">
        <v>4.8272700000000004</v>
      </c>
      <c r="D14" s="68">
        <v>1</v>
      </c>
      <c r="E14" s="68" t="s">
        <v>367</v>
      </c>
    </row>
    <row r="15" spans="1:5">
      <c r="A15" s="68">
        <v>0.186058</v>
      </c>
      <c r="B15" s="68">
        <v>0.50490100000000004</v>
      </c>
      <c r="C15" s="68">
        <v>5.2325900000000001</v>
      </c>
      <c r="D15" s="68">
        <v>1</v>
      </c>
      <c r="E15" s="68" t="s">
        <v>368</v>
      </c>
    </row>
    <row r="16" spans="1:5">
      <c r="A16" s="68">
        <v>0.18934300000000001</v>
      </c>
      <c r="B16" s="68">
        <v>0.49243900000000002</v>
      </c>
      <c r="C16" s="68">
        <v>5.6386700000000003</v>
      </c>
      <c r="D16" s="68">
        <v>1</v>
      </c>
      <c r="E16" s="68" t="s">
        <v>369</v>
      </c>
    </row>
    <row r="17" spans="1:5">
      <c r="A17" s="68">
        <v>0.19256699999999999</v>
      </c>
      <c r="B17" s="68">
        <v>0.48029300000000003</v>
      </c>
      <c r="C17" s="68">
        <v>6.0464000000000002</v>
      </c>
      <c r="D17" s="68">
        <v>1</v>
      </c>
      <c r="E17" s="68" t="s">
        <v>370</v>
      </c>
    </row>
    <row r="18" spans="1:5">
      <c r="A18" s="68">
        <v>0.195914</v>
      </c>
      <c r="B18" s="68">
        <v>0.467644</v>
      </c>
      <c r="C18" s="68">
        <v>6.45383</v>
      </c>
      <c r="D18" s="68">
        <v>1</v>
      </c>
      <c r="E18" s="68" t="s">
        <v>371</v>
      </c>
    </row>
    <row r="19" spans="1:5">
      <c r="A19" s="68">
        <v>0.19908600000000001</v>
      </c>
      <c r="B19" s="68">
        <v>0.456036</v>
      </c>
      <c r="C19" s="68">
        <v>6.85738</v>
      </c>
      <c r="D19" s="68">
        <v>1</v>
      </c>
      <c r="E19" s="68" t="s">
        <v>372</v>
      </c>
    </row>
    <row r="20" spans="1:5">
      <c r="A20" s="68">
        <v>0.20219400000000001</v>
      </c>
      <c r="B20" s="68">
        <v>0.44472</v>
      </c>
      <c r="C20" s="68">
        <v>7.2632500000000002</v>
      </c>
      <c r="D20" s="68">
        <v>1</v>
      </c>
      <c r="E20" s="68" t="s">
        <v>373</v>
      </c>
    </row>
    <row r="21" spans="1:5">
      <c r="A21" s="68">
        <v>0.20525299999999999</v>
      </c>
      <c r="B21" s="68">
        <v>0.43304199999999998</v>
      </c>
      <c r="C21" s="68">
        <v>7.6711900000000002</v>
      </c>
      <c r="D21" s="68">
        <v>1</v>
      </c>
      <c r="E21" s="68" t="s">
        <v>374</v>
      </c>
    </row>
    <row r="22" spans="1:5">
      <c r="A22" s="68">
        <v>0.20812600000000001</v>
      </c>
      <c r="B22" s="68">
        <v>0.42257</v>
      </c>
      <c r="C22" s="68">
        <v>8.0760299999999994</v>
      </c>
      <c r="D22" s="68">
        <v>1</v>
      </c>
      <c r="E22" s="68" t="s">
        <v>375</v>
      </c>
    </row>
    <row r="23" spans="1:5">
      <c r="A23" s="68">
        <v>0.210757</v>
      </c>
      <c r="B23" s="68">
        <v>0.413406</v>
      </c>
      <c r="C23" s="68">
        <v>8.4818099999999994</v>
      </c>
      <c r="D23" s="68">
        <v>1</v>
      </c>
      <c r="E23" s="68" t="s">
        <v>376</v>
      </c>
    </row>
    <row r="24" spans="1:5">
      <c r="A24" s="68">
        <v>0.21324499999999999</v>
      </c>
      <c r="B24" s="68">
        <v>0.40439599999999998</v>
      </c>
      <c r="C24" s="68">
        <v>8.8905799999999999</v>
      </c>
      <c r="D24" s="68">
        <v>1</v>
      </c>
      <c r="E24" s="68" t="s">
        <v>377</v>
      </c>
    </row>
    <row r="25" spans="1:5">
      <c r="A25" s="68">
        <v>0.21562799999999999</v>
      </c>
      <c r="B25" s="68">
        <v>0.39548800000000001</v>
      </c>
      <c r="C25" s="68">
        <v>9.29725</v>
      </c>
      <c r="D25" s="68">
        <v>1</v>
      </c>
      <c r="E25" s="68" t="s">
        <v>378</v>
      </c>
    </row>
    <row r="26" spans="1:5">
      <c r="A26" s="68">
        <v>0.21785299999999999</v>
      </c>
      <c r="B26" s="68">
        <v>0.386687</v>
      </c>
      <c r="C26" s="68">
        <v>9.7026500000000002</v>
      </c>
      <c r="D26" s="68">
        <v>1</v>
      </c>
      <c r="E26" s="68" t="s">
        <v>379</v>
      </c>
    </row>
    <row r="27" spans="1:5">
      <c r="A27" s="68">
        <v>0.22006700000000001</v>
      </c>
      <c r="B27" s="68">
        <v>0.37822800000000001</v>
      </c>
      <c r="C27" s="68">
        <v>10.108499999999999</v>
      </c>
      <c r="D27" s="68">
        <v>1</v>
      </c>
      <c r="E27" s="68" t="s">
        <v>380</v>
      </c>
    </row>
    <row r="28" spans="1:5">
      <c r="A28" s="68">
        <v>0.222224</v>
      </c>
      <c r="B28" s="68">
        <v>0.37053599999999998</v>
      </c>
      <c r="C28" s="68">
        <v>10.513400000000001</v>
      </c>
      <c r="D28" s="68">
        <v>1</v>
      </c>
      <c r="E28" s="68" t="s">
        <v>381</v>
      </c>
    </row>
    <row r="29" spans="1:5">
      <c r="A29" s="68">
        <v>0.22448599999999999</v>
      </c>
      <c r="B29" s="68">
        <v>0.36324299999999998</v>
      </c>
      <c r="C29" s="68">
        <v>10.9214</v>
      </c>
      <c r="D29" s="68">
        <v>1</v>
      </c>
      <c r="E29" s="68" t="s">
        <v>382</v>
      </c>
    </row>
    <row r="30" spans="1:5">
      <c r="A30" s="68">
        <v>0.22664300000000001</v>
      </c>
      <c r="B30" s="68">
        <v>0.35636099999999998</v>
      </c>
      <c r="C30" s="68">
        <v>11.325799999999999</v>
      </c>
      <c r="D30" s="68">
        <v>1</v>
      </c>
      <c r="E30" s="68" t="s">
        <v>383</v>
      </c>
    </row>
    <row r="31" spans="1:5">
      <c r="A31" s="68">
        <v>0.228717</v>
      </c>
      <c r="B31" s="68">
        <v>0.35054400000000002</v>
      </c>
      <c r="C31" s="68">
        <v>11.733700000000001</v>
      </c>
      <c r="D31" s="68">
        <v>1</v>
      </c>
      <c r="E31" s="68" t="s">
        <v>384</v>
      </c>
    </row>
    <row r="32" spans="1:5">
      <c r="A32" s="68">
        <v>0.23100599999999999</v>
      </c>
      <c r="B32" s="68">
        <v>0.345105</v>
      </c>
      <c r="C32" s="68">
        <v>12.1401</v>
      </c>
      <c r="D32" s="68">
        <v>1</v>
      </c>
      <c r="E32" s="68" t="s">
        <v>385</v>
      </c>
    </row>
    <row r="33" spans="1:5">
      <c r="A33" s="68">
        <v>0.233457</v>
      </c>
      <c r="B33" s="68">
        <v>0.34071000000000001</v>
      </c>
      <c r="C33" s="68">
        <v>12.545199999999999</v>
      </c>
      <c r="D33" s="68">
        <v>1</v>
      </c>
      <c r="E33" s="68" t="s">
        <v>386</v>
      </c>
    </row>
    <row r="34" spans="1:5">
      <c r="A34" s="68">
        <v>0.23601800000000001</v>
      </c>
      <c r="B34" s="68">
        <v>0.33763700000000002</v>
      </c>
      <c r="C34" s="68">
        <v>12.9541</v>
      </c>
      <c r="D34" s="68">
        <v>1</v>
      </c>
      <c r="E34" s="68" t="s">
        <v>387</v>
      </c>
    </row>
    <row r="35" spans="1:5">
      <c r="A35" s="68">
        <v>0.23869399999999999</v>
      </c>
      <c r="B35" s="68">
        <v>0.33522299999999999</v>
      </c>
      <c r="C35" s="68">
        <v>13.3597</v>
      </c>
      <c r="D35" s="68">
        <v>1</v>
      </c>
      <c r="E35" s="68" t="s">
        <v>388</v>
      </c>
    </row>
    <row r="36" spans="1:5">
      <c r="A36" s="68">
        <v>0.24132700000000001</v>
      </c>
      <c r="B36" s="68">
        <v>0.33405099999999999</v>
      </c>
      <c r="C36" s="68">
        <v>13.7654</v>
      </c>
      <c r="D36" s="68">
        <v>1</v>
      </c>
      <c r="E36" s="68" t="s">
        <v>389</v>
      </c>
    </row>
    <row r="37" spans="1:5">
      <c r="A37" s="68">
        <v>0.24332999999999999</v>
      </c>
      <c r="B37" s="68">
        <v>0.33537499999999998</v>
      </c>
      <c r="C37" s="68">
        <v>14.1716</v>
      </c>
      <c r="D37" s="68">
        <v>1</v>
      </c>
      <c r="E37" s="68" t="s">
        <v>390</v>
      </c>
    </row>
    <row r="38" spans="1:5">
      <c r="A38" s="68">
        <v>0.24509500000000001</v>
      </c>
      <c r="B38" s="68">
        <v>0.337808</v>
      </c>
      <c r="C38" s="68">
        <v>14.576599999999999</v>
      </c>
      <c r="D38" s="68">
        <v>1</v>
      </c>
      <c r="E38" s="68" t="s">
        <v>391</v>
      </c>
    </row>
    <row r="39" spans="1:5">
      <c r="A39" s="68">
        <v>0.24657899999999999</v>
      </c>
      <c r="B39" s="68">
        <v>0.34109200000000001</v>
      </c>
      <c r="C39" s="68">
        <v>14.9856</v>
      </c>
      <c r="D39" s="68">
        <v>1</v>
      </c>
      <c r="E39" s="68" t="s">
        <v>392</v>
      </c>
    </row>
    <row r="40" spans="1:5">
      <c r="A40" s="68">
        <v>0.248026</v>
      </c>
      <c r="B40" s="68">
        <v>0.34502100000000002</v>
      </c>
      <c r="C40" s="68">
        <v>15.3947</v>
      </c>
      <c r="D40" s="68">
        <v>1</v>
      </c>
      <c r="E40" s="68" t="s">
        <v>393</v>
      </c>
    </row>
    <row r="41" spans="1:5">
      <c r="A41" s="68">
        <v>0.249443</v>
      </c>
      <c r="B41" s="68">
        <v>0.3493</v>
      </c>
      <c r="C41" s="68">
        <v>15.7989</v>
      </c>
      <c r="D41" s="68">
        <v>1</v>
      </c>
      <c r="E41" s="68" t="s">
        <v>394</v>
      </c>
    </row>
    <row r="42" spans="1:5">
      <c r="A42" s="68">
        <v>0.25085600000000002</v>
      </c>
      <c r="B42" s="68">
        <v>0.3538</v>
      </c>
      <c r="C42" s="68">
        <v>16.202300000000001</v>
      </c>
      <c r="D42" s="68">
        <v>1</v>
      </c>
      <c r="E42" s="68" t="s">
        <v>395</v>
      </c>
    </row>
    <row r="43" spans="1:5">
      <c r="A43" s="68">
        <v>0.25194800000000001</v>
      </c>
      <c r="B43" s="68">
        <v>0.35941499999999998</v>
      </c>
      <c r="C43" s="68">
        <v>16.609100000000002</v>
      </c>
      <c r="D43" s="68">
        <v>1</v>
      </c>
      <c r="E43" s="68" t="s">
        <v>396</v>
      </c>
    </row>
    <row r="44" spans="1:5">
      <c r="A44" s="68">
        <v>0.25320199999999998</v>
      </c>
      <c r="B44" s="68">
        <v>0.36475000000000002</v>
      </c>
      <c r="C44" s="68">
        <v>17.015799999999999</v>
      </c>
      <c r="D44" s="68">
        <v>1</v>
      </c>
      <c r="E44" s="68" t="s">
        <v>397</v>
      </c>
    </row>
    <row r="45" spans="1:5">
      <c r="A45" s="68">
        <v>0.25455299999999997</v>
      </c>
      <c r="B45" s="68">
        <v>0.37</v>
      </c>
      <c r="C45" s="68">
        <v>17.423999999999999</v>
      </c>
      <c r="D45" s="68">
        <v>1</v>
      </c>
      <c r="E45" s="68" t="s">
        <v>398</v>
      </c>
    </row>
    <row r="46" spans="1:5">
      <c r="A46" s="68">
        <v>0.25612299999999999</v>
      </c>
      <c r="B46" s="68">
        <v>0.37576999999999999</v>
      </c>
      <c r="C46" s="68">
        <v>17.8277</v>
      </c>
      <c r="D46" s="68">
        <v>1</v>
      </c>
      <c r="E46" s="68" t="s">
        <v>399</v>
      </c>
    </row>
    <row r="47" spans="1:5">
      <c r="A47" s="68">
        <v>0.25808900000000001</v>
      </c>
      <c r="B47" s="68">
        <v>0.38085999999999998</v>
      </c>
      <c r="C47" s="68">
        <v>18.232299999999999</v>
      </c>
      <c r="D47" s="68">
        <v>1</v>
      </c>
      <c r="E47" s="68" t="s">
        <v>400</v>
      </c>
    </row>
    <row r="48" spans="1:5">
      <c r="A48" s="68">
        <v>0.26036599999999999</v>
      </c>
      <c r="B48" s="68">
        <v>0.38562000000000002</v>
      </c>
      <c r="C48" s="68">
        <v>18.638100000000001</v>
      </c>
      <c r="D48" s="68">
        <v>1</v>
      </c>
      <c r="E48" s="68" t="s">
        <v>401</v>
      </c>
    </row>
    <row r="49" spans="1:5">
      <c r="A49" s="68">
        <v>0.262652</v>
      </c>
      <c r="B49" s="68">
        <v>0.390986</v>
      </c>
      <c r="C49" s="68">
        <v>19.043099999999999</v>
      </c>
      <c r="D49" s="68">
        <v>1</v>
      </c>
      <c r="E49" s="68" t="s">
        <v>402</v>
      </c>
    </row>
    <row r="50" spans="1:5">
      <c r="A50" s="68">
        <v>0.26503399999999999</v>
      </c>
      <c r="B50" s="68">
        <v>0.39611800000000003</v>
      </c>
      <c r="C50" s="68">
        <v>19.450299999999999</v>
      </c>
      <c r="D50" s="68">
        <v>1</v>
      </c>
      <c r="E50" s="68" t="s">
        <v>403</v>
      </c>
    </row>
    <row r="51" spans="1:5">
      <c r="A51" s="68">
        <v>0.26777099999999998</v>
      </c>
      <c r="B51" s="68">
        <v>0.40082800000000002</v>
      </c>
      <c r="C51" s="68">
        <v>19.8568</v>
      </c>
      <c r="D51" s="68">
        <v>1</v>
      </c>
      <c r="E51" s="68" t="s">
        <v>404</v>
      </c>
    </row>
    <row r="52" spans="1:5">
      <c r="A52" s="68">
        <v>0.26980300000000002</v>
      </c>
      <c r="B52" s="68">
        <v>0.40513399999999999</v>
      </c>
      <c r="C52" s="68">
        <v>20.265599999999999</v>
      </c>
      <c r="D52" s="68">
        <v>1</v>
      </c>
      <c r="E52" s="68" t="s">
        <v>405</v>
      </c>
    </row>
    <row r="53" spans="1:5">
      <c r="A53" s="68">
        <v>0.27312999999999998</v>
      </c>
      <c r="B53" s="68">
        <v>0.40940700000000002</v>
      </c>
      <c r="C53" s="68">
        <v>20.673100000000002</v>
      </c>
      <c r="D53" s="68">
        <v>1</v>
      </c>
      <c r="E53" s="68" t="s">
        <v>406</v>
      </c>
    </row>
    <row r="54" spans="1:5">
      <c r="A54" s="68">
        <v>0.27651999999999999</v>
      </c>
      <c r="B54" s="68">
        <v>0.41287299999999999</v>
      </c>
      <c r="C54" s="68">
        <v>21.079000000000001</v>
      </c>
      <c r="D54" s="68">
        <v>1</v>
      </c>
      <c r="E54" s="68" t="s">
        <v>407</v>
      </c>
    </row>
    <row r="55" spans="1:5">
      <c r="A55" s="68">
        <v>0.27971800000000002</v>
      </c>
      <c r="B55" s="68">
        <v>0.41688900000000001</v>
      </c>
      <c r="C55" s="68">
        <v>21.4817</v>
      </c>
      <c r="D55" s="68">
        <v>1</v>
      </c>
      <c r="E55" s="68" t="s">
        <v>408</v>
      </c>
    </row>
    <row r="56" spans="1:5">
      <c r="A56" s="68">
        <v>0.28266799999999997</v>
      </c>
      <c r="B56" s="68">
        <v>0.42068800000000001</v>
      </c>
      <c r="C56" s="68">
        <v>21.8889</v>
      </c>
      <c r="D56" s="68">
        <v>1</v>
      </c>
      <c r="E56" s="68" t="s">
        <v>409</v>
      </c>
    </row>
    <row r="57" spans="1:5">
      <c r="A57" s="68">
        <v>0.28521000000000002</v>
      </c>
      <c r="B57" s="68">
        <v>0.42442200000000002</v>
      </c>
      <c r="C57" s="68">
        <v>22.296800000000001</v>
      </c>
      <c r="D57" s="68">
        <v>1</v>
      </c>
      <c r="E57" s="68" t="s">
        <v>410</v>
      </c>
    </row>
    <row r="58" spans="1:5">
      <c r="A58" s="68">
        <v>0.28736299999999998</v>
      </c>
      <c r="B58" s="68">
        <v>0.427095</v>
      </c>
      <c r="C58" s="68">
        <v>22.701699999999999</v>
      </c>
      <c r="D58" s="68">
        <v>1</v>
      </c>
      <c r="E58" s="68" t="s">
        <v>411</v>
      </c>
    </row>
    <row r="59" spans="1:5">
      <c r="A59" s="68">
        <v>0.28954299999999999</v>
      </c>
      <c r="B59" s="68">
        <v>0.42885800000000002</v>
      </c>
      <c r="C59" s="68">
        <v>23.110099999999999</v>
      </c>
      <c r="D59" s="68">
        <v>1</v>
      </c>
      <c r="E59" s="68" t="s">
        <v>412</v>
      </c>
    </row>
    <row r="60" spans="1:5">
      <c r="A60" s="68">
        <v>0.29187099999999999</v>
      </c>
      <c r="B60" s="68">
        <v>0.43015900000000001</v>
      </c>
      <c r="C60" s="68">
        <v>23.512499999999999</v>
      </c>
      <c r="D60" s="68">
        <v>1</v>
      </c>
      <c r="E60" s="68" t="s">
        <v>413</v>
      </c>
    </row>
    <row r="61" spans="1:5">
      <c r="A61" s="68">
        <v>0.29425699999999999</v>
      </c>
      <c r="B61" s="68">
        <v>0.43048500000000001</v>
      </c>
      <c r="C61" s="68">
        <v>23.918800000000001</v>
      </c>
      <c r="D61" s="68">
        <v>1</v>
      </c>
      <c r="E61" s="68" t="s">
        <v>414</v>
      </c>
    </row>
    <row r="62" spans="1:5">
      <c r="A62" s="68">
        <v>0.29667100000000002</v>
      </c>
      <c r="B62" s="68">
        <v>0.43058000000000002</v>
      </c>
      <c r="C62" s="68">
        <v>24.326799999999999</v>
      </c>
      <c r="D62" s="68">
        <v>1</v>
      </c>
      <c r="E62" s="68" t="s">
        <v>415</v>
      </c>
    </row>
    <row r="63" spans="1:5">
      <c r="A63" s="68">
        <v>0.299068</v>
      </c>
      <c r="B63" s="68">
        <v>0.43073499999999998</v>
      </c>
      <c r="C63" s="68">
        <v>24.735099999999999</v>
      </c>
      <c r="D63" s="68">
        <v>1</v>
      </c>
      <c r="E63" s="68" t="s">
        <v>416</v>
      </c>
    </row>
    <row r="64" spans="1:5">
      <c r="A64" s="68">
        <v>0.30166399999999999</v>
      </c>
      <c r="B64" s="68">
        <v>0.43073699999999998</v>
      </c>
      <c r="C64" s="68">
        <v>25.143999999999998</v>
      </c>
      <c r="D64" s="68">
        <v>1</v>
      </c>
      <c r="E64" s="68" t="s">
        <v>417</v>
      </c>
    </row>
    <row r="65" spans="1:5">
      <c r="A65" s="68">
        <v>0.30424899999999999</v>
      </c>
      <c r="B65" s="68">
        <v>0.43030000000000002</v>
      </c>
      <c r="C65" s="68">
        <v>25.5458</v>
      </c>
      <c r="D65" s="68">
        <v>1</v>
      </c>
      <c r="E65" s="68" t="s">
        <v>418</v>
      </c>
    </row>
    <row r="66" spans="1:5">
      <c r="A66" s="68">
        <v>0.30684800000000001</v>
      </c>
      <c r="B66" s="68">
        <v>0.42963699999999999</v>
      </c>
      <c r="C66" s="68">
        <v>25.9512</v>
      </c>
      <c r="D66" s="68">
        <v>1</v>
      </c>
      <c r="E66" s="68" t="s">
        <v>419</v>
      </c>
    </row>
    <row r="67" spans="1:5">
      <c r="A67" s="68">
        <v>0.30958000000000002</v>
      </c>
      <c r="B67" s="68">
        <v>0.42850899999999997</v>
      </c>
      <c r="C67" s="68">
        <v>26.356300000000001</v>
      </c>
      <c r="D67" s="68">
        <v>1</v>
      </c>
      <c r="E67" s="68" t="s">
        <v>420</v>
      </c>
    </row>
    <row r="68" spans="1:5">
      <c r="A68" s="68">
        <v>0.312417</v>
      </c>
      <c r="B68" s="68">
        <v>0.427651</v>
      </c>
      <c r="C68" s="68">
        <v>26.765899999999998</v>
      </c>
      <c r="D68" s="68">
        <v>1</v>
      </c>
      <c r="E68" s="68" t="s">
        <v>421</v>
      </c>
    </row>
    <row r="69" spans="1:5">
      <c r="A69" s="68">
        <v>0.31528200000000001</v>
      </c>
      <c r="B69" s="68">
        <v>0.42651800000000001</v>
      </c>
      <c r="C69" s="68">
        <v>27.174399999999999</v>
      </c>
      <c r="D69" s="68">
        <v>1</v>
      </c>
      <c r="E69" s="68" t="s">
        <v>422</v>
      </c>
    </row>
    <row r="70" spans="1:5">
      <c r="A70" s="68">
        <v>0.318193</v>
      </c>
      <c r="B70" s="68">
        <v>0.42480000000000001</v>
      </c>
      <c r="C70" s="68">
        <v>27.5762</v>
      </c>
      <c r="D70" s="68">
        <v>1</v>
      </c>
      <c r="E70" s="68" t="s">
        <v>423</v>
      </c>
    </row>
    <row r="71" spans="1:5">
      <c r="A71" s="68">
        <v>0.32081900000000002</v>
      </c>
      <c r="B71" s="68">
        <v>0.42331099999999999</v>
      </c>
      <c r="C71" s="68">
        <v>27.986899999999999</v>
      </c>
      <c r="D71" s="68">
        <v>1</v>
      </c>
      <c r="E71" s="68" t="s">
        <v>424</v>
      </c>
    </row>
    <row r="72" spans="1:5">
      <c r="A72" s="68">
        <v>0.32317499999999999</v>
      </c>
      <c r="B72" s="68">
        <v>0.42131099999999999</v>
      </c>
      <c r="C72" s="68">
        <v>28.390699999999999</v>
      </c>
      <c r="D72" s="68">
        <v>1</v>
      </c>
      <c r="E72" s="68" t="s">
        <v>425</v>
      </c>
    </row>
    <row r="73" spans="1:5">
      <c r="A73" s="68">
        <v>0.32546700000000001</v>
      </c>
      <c r="B73" s="68">
        <v>0.41836499999999999</v>
      </c>
      <c r="C73" s="68">
        <v>28.7958</v>
      </c>
      <c r="D73" s="68">
        <v>1</v>
      </c>
      <c r="E73" s="68" t="s">
        <v>426</v>
      </c>
    </row>
    <row r="74" spans="1:5">
      <c r="A74" s="68">
        <v>0.32789699999999999</v>
      </c>
      <c r="B74" s="68">
        <v>0.41511300000000001</v>
      </c>
      <c r="C74" s="68">
        <v>29.2013</v>
      </c>
      <c r="D74" s="68">
        <v>1</v>
      </c>
      <c r="E74" s="68" t="s">
        <v>427</v>
      </c>
    </row>
    <row r="75" spans="1:5">
      <c r="A75" s="68">
        <v>0.33048300000000003</v>
      </c>
      <c r="B75" s="68">
        <v>0.41123100000000001</v>
      </c>
      <c r="C75" s="68">
        <v>29.606999999999999</v>
      </c>
      <c r="D75" s="68">
        <v>1</v>
      </c>
      <c r="E75" s="68" t="s">
        <v>428</v>
      </c>
    </row>
    <row r="76" spans="1:5">
      <c r="A76" s="68">
        <v>0.33301500000000001</v>
      </c>
      <c r="B76" s="68">
        <v>0.40745799999999999</v>
      </c>
      <c r="C76" s="68">
        <v>30.012599999999999</v>
      </c>
      <c r="D76" s="68">
        <v>2</v>
      </c>
      <c r="E76" s="68" t="s">
        <v>429</v>
      </c>
    </row>
    <row r="77" spans="1:5">
      <c r="A77" s="68">
        <v>0.33590700000000001</v>
      </c>
      <c r="B77" s="68">
        <v>0.40215400000000001</v>
      </c>
      <c r="C77" s="68">
        <v>30.608599999999999</v>
      </c>
      <c r="D77" s="68">
        <v>2</v>
      </c>
      <c r="E77" s="68" t="s">
        <v>430</v>
      </c>
    </row>
    <row r="78" spans="1:5">
      <c r="A78" s="68">
        <v>0.33773999999999998</v>
      </c>
      <c r="B78" s="68">
        <v>0.39775500000000003</v>
      </c>
      <c r="C78" s="68">
        <v>30.980499999999999</v>
      </c>
      <c r="D78" s="68">
        <v>2</v>
      </c>
      <c r="E78" s="68" t="s">
        <v>431</v>
      </c>
    </row>
    <row r="79" spans="1:5">
      <c r="A79" s="68">
        <v>0.33933799999999997</v>
      </c>
      <c r="B79" s="68">
        <v>0.394229</v>
      </c>
      <c r="C79" s="68">
        <v>31.356400000000001</v>
      </c>
      <c r="D79" s="68">
        <v>2</v>
      </c>
      <c r="E79" s="68" t="s">
        <v>432</v>
      </c>
    </row>
    <row r="80" spans="1:5">
      <c r="A80" s="68">
        <v>0.34112199999999998</v>
      </c>
      <c r="B80" s="68">
        <v>0.39044000000000001</v>
      </c>
      <c r="C80" s="68">
        <v>31.7316</v>
      </c>
      <c r="D80" s="68">
        <v>2</v>
      </c>
      <c r="E80" s="68" t="s">
        <v>433</v>
      </c>
    </row>
    <row r="81" spans="1:5">
      <c r="A81" s="68">
        <v>0.34308699999999998</v>
      </c>
      <c r="B81" s="68">
        <v>0.38624399999999998</v>
      </c>
      <c r="C81" s="68">
        <v>32.1068</v>
      </c>
      <c r="D81" s="68">
        <v>2</v>
      </c>
      <c r="E81" s="68" t="s">
        <v>434</v>
      </c>
    </row>
    <row r="82" spans="1:5">
      <c r="A82" s="68">
        <v>0.34498200000000001</v>
      </c>
      <c r="B82" s="68">
        <v>0.38251200000000002</v>
      </c>
      <c r="C82" s="68">
        <v>32.513599999999997</v>
      </c>
      <c r="D82" s="68">
        <v>2</v>
      </c>
      <c r="E82" s="68" t="s">
        <v>435</v>
      </c>
    </row>
    <row r="83" spans="1:5">
      <c r="A83" s="68">
        <v>0.34670899999999999</v>
      </c>
      <c r="B83" s="68">
        <v>0.37906800000000002</v>
      </c>
      <c r="C83" s="68">
        <v>32.9208</v>
      </c>
      <c r="D83" s="68">
        <v>2</v>
      </c>
      <c r="E83" s="68" t="s">
        <v>436</v>
      </c>
    </row>
    <row r="84" spans="1:5">
      <c r="A84" s="68">
        <v>0.348414</v>
      </c>
      <c r="B84" s="68">
        <v>0.37502999999999997</v>
      </c>
      <c r="C84" s="68">
        <v>33.329700000000003</v>
      </c>
      <c r="D84" s="68">
        <v>2</v>
      </c>
      <c r="E84" s="68" t="s">
        <v>437</v>
      </c>
    </row>
    <row r="85" spans="1:5">
      <c r="A85" s="68">
        <v>0.34993000000000002</v>
      </c>
      <c r="B85" s="68">
        <v>0.37103799999999998</v>
      </c>
      <c r="C85" s="68">
        <v>33.731900000000003</v>
      </c>
      <c r="D85" s="68">
        <v>2</v>
      </c>
      <c r="E85" s="68" t="s">
        <v>438</v>
      </c>
    </row>
    <row r="86" spans="1:5">
      <c r="A86" s="68">
        <v>0.35127799999999998</v>
      </c>
      <c r="B86" s="68">
        <v>0.36759599999999998</v>
      </c>
      <c r="C86" s="68">
        <v>34.141199999999998</v>
      </c>
      <c r="D86" s="68">
        <v>2</v>
      </c>
      <c r="E86" s="68" t="s">
        <v>439</v>
      </c>
    </row>
    <row r="87" spans="1:5">
      <c r="A87" s="68">
        <v>0.35256700000000002</v>
      </c>
      <c r="B87" s="68">
        <v>0.364257</v>
      </c>
      <c r="C87" s="68">
        <v>34.544899999999998</v>
      </c>
      <c r="D87" s="68">
        <v>2</v>
      </c>
      <c r="E87" s="68" t="s">
        <v>440</v>
      </c>
    </row>
    <row r="88" spans="1:5">
      <c r="A88" s="68">
        <v>0.35397699999999999</v>
      </c>
      <c r="B88" s="68">
        <v>0.35986000000000001</v>
      </c>
      <c r="C88" s="68">
        <v>34.952599999999997</v>
      </c>
      <c r="D88" s="68">
        <v>2</v>
      </c>
      <c r="E88" s="68" t="s">
        <v>441</v>
      </c>
    </row>
    <row r="89" spans="1:5">
      <c r="A89" s="68">
        <v>0.35552600000000001</v>
      </c>
      <c r="B89" s="68">
        <v>0.35496299999999997</v>
      </c>
      <c r="C89" s="68">
        <v>35.361400000000003</v>
      </c>
      <c r="D89" s="68">
        <v>2</v>
      </c>
      <c r="E89" s="68" t="s">
        <v>442</v>
      </c>
    </row>
    <row r="90" spans="1:5">
      <c r="A90" s="68">
        <v>0.35722999999999999</v>
      </c>
      <c r="B90" s="68">
        <v>0.34954099999999999</v>
      </c>
      <c r="C90" s="68">
        <v>35.7637</v>
      </c>
      <c r="D90" s="68">
        <v>2</v>
      </c>
      <c r="E90" s="68" t="s">
        <v>443</v>
      </c>
    </row>
    <row r="91" spans="1:5">
      <c r="A91" s="68">
        <v>0.35905700000000002</v>
      </c>
      <c r="B91" s="68">
        <v>0.34333599999999997</v>
      </c>
      <c r="C91" s="68">
        <v>36.170400000000001</v>
      </c>
      <c r="D91" s="68">
        <v>2</v>
      </c>
      <c r="E91" s="68" t="s">
        <v>444</v>
      </c>
    </row>
    <row r="92" spans="1:5">
      <c r="A92" s="68">
        <v>0.36092200000000002</v>
      </c>
      <c r="B92" s="68">
        <v>0.33669199999999999</v>
      </c>
      <c r="C92" s="68">
        <v>36.578099999999999</v>
      </c>
      <c r="D92" s="68">
        <v>2</v>
      </c>
      <c r="E92" s="68" t="s">
        <v>445</v>
      </c>
    </row>
    <row r="93" spans="1:5">
      <c r="A93" s="68">
        <v>0.36275000000000002</v>
      </c>
      <c r="B93" s="68">
        <v>0.329924</v>
      </c>
      <c r="C93" s="68">
        <v>36.981299999999997</v>
      </c>
      <c r="D93" s="68">
        <v>2</v>
      </c>
      <c r="E93" s="68" t="s">
        <v>446</v>
      </c>
    </row>
    <row r="94" spans="1:5">
      <c r="A94" s="68">
        <v>0.36453600000000003</v>
      </c>
      <c r="B94" s="68">
        <v>0.32311200000000001</v>
      </c>
      <c r="C94" s="68">
        <v>37.390500000000003</v>
      </c>
      <c r="D94" s="68">
        <v>2</v>
      </c>
      <c r="E94" s="68" t="s">
        <v>447</v>
      </c>
    </row>
    <row r="95" spans="1:5">
      <c r="A95" s="68">
        <v>0.36649900000000002</v>
      </c>
      <c r="B95" s="68">
        <v>0.316801</v>
      </c>
      <c r="C95" s="68">
        <v>37.7986</v>
      </c>
      <c r="D95" s="68">
        <v>2</v>
      </c>
      <c r="E95" s="68" t="s">
        <v>448</v>
      </c>
    </row>
    <row r="96" spans="1:5">
      <c r="A96" s="68">
        <v>0.36932900000000002</v>
      </c>
      <c r="B96" s="68">
        <v>0.31085299999999999</v>
      </c>
      <c r="C96" s="68">
        <v>38.203800000000001</v>
      </c>
      <c r="D96" s="68">
        <v>2</v>
      </c>
      <c r="E96" s="68" t="s">
        <v>449</v>
      </c>
    </row>
    <row r="97" spans="1:5">
      <c r="A97" s="68">
        <v>0.37246200000000002</v>
      </c>
      <c r="B97" s="68">
        <v>0.30560599999999999</v>
      </c>
      <c r="C97" s="68">
        <v>38.612499999999997</v>
      </c>
      <c r="D97" s="68">
        <v>2</v>
      </c>
      <c r="E97" s="68" t="s">
        <v>450</v>
      </c>
    </row>
    <row r="98" spans="1:5">
      <c r="A98" s="68">
        <v>0.375832</v>
      </c>
      <c r="B98" s="68">
        <v>0.301867</v>
      </c>
      <c r="C98" s="68">
        <v>39.012799999999999</v>
      </c>
      <c r="D98" s="68">
        <v>2</v>
      </c>
      <c r="E98" s="68" t="s">
        <v>451</v>
      </c>
    </row>
    <row r="99" spans="1:5">
      <c r="A99" s="68">
        <v>0.37883600000000001</v>
      </c>
      <c r="B99" s="68">
        <v>0.29820099999999999</v>
      </c>
      <c r="C99" s="68">
        <v>39.418599999999998</v>
      </c>
      <c r="D99" s="68">
        <v>2</v>
      </c>
      <c r="E99" s="68" t="s">
        <v>452</v>
      </c>
    </row>
    <row r="100" spans="1:5">
      <c r="A100" s="68">
        <v>0.38141799999999998</v>
      </c>
      <c r="B100" s="68">
        <v>0.29518499999999998</v>
      </c>
      <c r="C100" s="68">
        <v>39.825099999999999</v>
      </c>
      <c r="D100" s="68">
        <v>2</v>
      </c>
      <c r="E100" s="68" t="s">
        <v>453</v>
      </c>
    </row>
    <row r="101" spans="1:5">
      <c r="A101" s="68">
        <v>0.38320799999999999</v>
      </c>
      <c r="B101" s="68">
        <v>0.29247400000000001</v>
      </c>
      <c r="C101" s="68">
        <v>40.233400000000003</v>
      </c>
      <c r="D101" s="68">
        <v>2</v>
      </c>
      <c r="E101" s="68" t="s">
        <v>454</v>
      </c>
    </row>
    <row r="102" spans="1:5">
      <c r="A102" s="68">
        <v>0.38489400000000001</v>
      </c>
      <c r="B102" s="68">
        <v>0.29018699999999997</v>
      </c>
      <c r="C102" s="68">
        <v>40.639499999999998</v>
      </c>
      <c r="D102" s="68">
        <v>2</v>
      </c>
      <c r="E102" s="68" t="s">
        <v>455</v>
      </c>
    </row>
    <row r="103" spans="1:5">
      <c r="A103" s="68">
        <v>0.38627099999999998</v>
      </c>
      <c r="B103" s="68">
        <v>0.28892400000000001</v>
      </c>
      <c r="C103" s="68">
        <v>41.045999999999999</v>
      </c>
      <c r="D103" s="68">
        <v>2</v>
      </c>
      <c r="E103" s="68" t="s">
        <v>456</v>
      </c>
    </row>
    <row r="104" spans="1:5">
      <c r="A104" s="68">
        <v>0.38807700000000001</v>
      </c>
      <c r="B104" s="68">
        <v>0.28819699999999998</v>
      </c>
      <c r="C104" s="68">
        <v>41.452100000000002</v>
      </c>
      <c r="D104" s="68">
        <v>2</v>
      </c>
      <c r="E104" s="68" t="s">
        <v>457</v>
      </c>
    </row>
    <row r="105" spans="1:5">
      <c r="A105" s="68">
        <v>0.39015300000000003</v>
      </c>
      <c r="B105" s="68">
        <v>0.28731499999999999</v>
      </c>
      <c r="C105" s="68">
        <v>41.857399999999998</v>
      </c>
      <c r="D105" s="68">
        <v>2</v>
      </c>
      <c r="E105" s="68" t="s">
        <v>458</v>
      </c>
    </row>
    <row r="106" spans="1:5">
      <c r="A106" s="68">
        <v>0.39266000000000001</v>
      </c>
      <c r="B106" s="68">
        <v>0.285694</v>
      </c>
      <c r="C106" s="68">
        <v>42.265599999999999</v>
      </c>
      <c r="D106" s="68">
        <v>2</v>
      </c>
      <c r="E106" s="68" t="s">
        <v>459</v>
      </c>
    </row>
    <row r="107" spans="1:5">
      <c r="A107" s="68">
        <v>0.39554600000000001</v>
      </c>
      <c r="B107" s="68">
        <v>0.28376600000000002</v>
      </c>
      <c r="C107" s="68">
        <v>42.672499999999999</v>
      </c>
      <c r="D107" s="68">
        <v>2</v>
      </c>
      <c r="E107" s="68" t="s">
        <v>460</v>
      </c>
    </row>
    <row r="108" spans="1:5">
      <c r="A108" s="68">
        <v>0.39802599999999999</v>
      </c>
      <c r="B108" s="68">
        <v>0.28268100000000002</v>
      </c>
      <c r="C108" s="68">
        <v>43.0792</v>
      </c>
      <c r="D108" s="68">
        <v>2</v>
      </c>
      <c r="E108" s="68" t="s">
        <v>461</v>
      </c>
    </row>
    <row r="109" spans="1:5">
      <c r="A109" s="68">
        <v>0.40017399999999997</v>
      </c>
      <c r="B109" s="68">
        <v>0.28153</v>
      </c>
      <c r="C109" s="68">
        <v>43.4833</v>
      </c>
      <c r="D109" s="68">
        <v>2</v>
      </c>
      <c r="E109" s="68" t="s">
        <v>462</v>
      </c>
    </row>
    <row r="110" spans="1:5">
      <c r="A110" s="68">
        <v>0.40224399999999999</v>
      </c>
      <c r="B110" s="68">
        <v>0.28053600000000001</v>
      </c>
      <c r="C110" s="68">
        <v>43.8887</v>
      </c>
      <c r="D110" s="68">
        <v>2</v>
      </c>
      <c r="E110" s="68" t="s">
        <v>463</v>
      </c>
    </row>
    <row r="111" spans="1:5">
      <c r="A111" s="68">
        <v>0.40437600000000001</v>
      </c>
      <c r="B111" s="68">
        <v>0.27946100000000001</v>
      </c>
      <c r="C111" s="68">
        <v>44.296300000000002</v>
      </c>
      <c r="D111" s="68">
        <v>2</v>
      </c>
      <c r="E111" s="68" t="s">
        <v>464</v>
      </c>
    </row>
    <row r="112" spans="1:5">
      <c r="A112" s="68">
        <v>0.40665200000000001</v>
      </c>
      <c r="B112" s="68">
        <v>0.27811799999999998</v>
      </c>
      <c r="C112" s="68">
        <v>44.706299999999999</v>
      </c>
      <c r="D112" s="68">
        <v>2</v>
      </c>
      <c r="E112" s="68" t="s">
        <v>465</v>
      </c>
    </row>
    <row r="113" spans="1:5">
      <c r="A113" s="68">
        <v>0.40852500000000003</v>
      </c>
      <c r="B113" s="68">
        <v>0.277422</v>
      </c>
      <c r="C113" s="68">
        <v>45.108699999999999</v>
      </c>
      <c r="D113" s="68">
        <v>2</v>
      </c>
      <c r="E113" s="68" t="s">
        <v>466</v>
      </c>
    </row>
    <row r="114" spans="1:5">
      <c r="A114" s="68">
        <v>0.41041800000000001</v>
      </c>
      <c r="B114" s="68">
        <v>0.27659699999999998</v>
      </c>
      <c r="C114" s="68">
        <v>45.5152</v>
      </c>
      <c r="D114" s="68">
        <v>2</v>
      </c>
      <c r="E114" s="68" t="s">
        <v>467</v>
      </c>
    </row>
    <row r="115" spans="1:5">
      <c r="A115" s="68">
        <v>0.41217599999999999</v>
      </c>
      <c r="B115" s="68">
        <v>0.27557799999999999</v>
      </c>
      <c r="C115" s="68">
        <v>45.918599999999998</v>
      </c>
      <c r="D115" s="68">
        <v>2</v>
      </c>
      <c r="E115" s="68" t="s">
        <v>468</v>
      </c>
    </row>
    <row r="116" spans="1:5">
      <c r="A116" s="68">
        <v>0.41320099999999998</v>
      </c>
      <c r="B116" s="68">
        <v>0.27548800000000001</v>
      </c>
      <c r="C116" s="68">
        <v>46.3277</v>
      </c>
      <c r="D116" s="68">
        <v>2</v>
      </c>
      <c r="E116" s="68" t="s">
        <v>469</v>
      </c>
    </row>
    <row r="117" spans="1:5">
      <c r="A117" s="68">
        <v>0.41400900000000002</v>
      </c>
      <c r="B117" s="68">
        <v>0.27524300000000002</v>
      </c>
      <c r="C117" s="68">
        <v>46.731000000000002</v>
      </c>
      <c r="D117" s="68">
        <v>2</v>
      </c>
      <c r="E117" s="68" t="s">
        <v>470</v>
      </c>
    </row>
    <row r="118" spans="1:5">
      <c r="A118" s="68">
        <v>0.414856</v>
      </c>
      <c r="B118" s="68">
        <v>0.27490900000000001</v>
      </c>
      <c r="C118" s="68">
        <v>47.139600000000002</v>
      </c>
      <c r="D118" s="68">
        <v>2</v>
      </c>
      <c r="E118" s="68" t="s">
        <v>471</v>
      </c>
    </row>
    <row r="119" spans="1:5">
      <c r="A119" s="68">
        <v>0.415547</v>
      </c>
      <c r="B119" s="68">
        <v>0.27494499999999999</v>
      </c>
      <c r="C119" s="68">
        <v>47.5458</v>
      </c>
      <c r="D119" s="68">
        <v>2</v>
      </c>
      <c r="E119" s="68" t="s">
        <v>472</v>
      </c>
    </row>
    <row r="120" spans="1:5">
      <c r="A120" s="68">
        <v>0.41626999999999997</v>
      </c>
      <c r="B120" s="68">
        <v>0.27477699999999999</v>
      </c>
      <c r="C120" s="68">
        <v>47.9529</v>
      </c>
      <c r="D120" s="68">
        <v>2</v>
      </c>
      <c r="E120" s="68" t="s">
        <v>473</v>
      </c>
    </row>
    <row r="121" spans="1:5">
      <c r="A121" s="68">
        <v>0.41687299999999999</v>
      </c>
      <c r="B121" s="68">
        <v>0.27414899999999998</v>
      </c>
      <c r="C121" s="68">
        <v>48.356900000000003</v>
      </c>
      <c r="D121" s="68">
        <v>2</v>
      </c>
      <c r="E121" s="68" t="s">
        <v>474</v>
      </c>
    </row>
    <row r="122" spans="1:5">
      <c r="A122" s="68">
        <v>0.41739799999999999</v>
      </c>
      <c r="B122" s="68">
        <v>0.27349000000000001</v>
      </c>
      <c r="C122" s="68">
        <v>48.765799999999999</v>
      </c>
      <c r="D122" s="68">
        <v>2</v>
      </c>
      <c r="E122" s="68" t="s">
        <v>475</v>
      </c>
    </row>
    <row r="123" spans="1:5">
      <c r="A123" s="68">
        <v>0.41781099999999999</v>
      </c>
      <c r="B123" s="68">
        <v>0.27211999999999997</v>
      </c>
      <c r="C123" s="68">
        <v>49.169899999999998</v>
      </c>
      <c r="D123" s="68">
        <v>2</v>
      </c>
      <c r="E123" s="68" t="s">
        <v>476</v>
      </c>
    </row>
    <row r="124" spans="1:5">
      <c r="A124" s="68">
        <v>0.41781499999999999</v>
      </c>
      <c r="B124" s="68">
        <v>0.27077400000000001</v>
      </c>
      <c r="C124" s="68">
        <v>49.573700000000002</v>
      </c>
      <c r="D124" s="68">
        <v>2</v>
      </c>
      <c r="E124" s="68" t="s">
        <v>477</v>
      </c>
    </row>
    <row r="125" spans="1:5">
      <c r="A125" s="68">
        <v>0.417493</v>
      </c>
      <c r="B125" s="68">
        <v>0.26919100000000001</v>
      </c>
      <c r="C125" s="68">
        <v>49.982700000000001</v>
      </c>
      <c r="D125" s="68">
        <v>2</v>
      </c>
      <c r="E125" s="68" t="s">
        <v>478</v>
      </c>
    </row>
    <row r="126" spans="1:5">
      <c r="A126" s="68">
        <v>0.41808499999999998</v>
      </c>
      <c r="B126" s="68">
        <v>0.268401</v>
      </c>
      <c r="C126" s="68">
        <v>50.387799999999999</v>
      </c>
      <c r="D126" s="68">
        <v>2</v>
      </c>
      <c r="E126" s="68" t="s">
        <v>479</v>
      </c>
    </row>
    <row r="127" spans="1:5">
      <c r="A127" s="68">
        <v>0.41888300000000001</v>
      </c>
      <c r="B127" s="68">
        <v>0.26756000000000002</v>
      </c>
      <c r="C127" s="68">
        <v>50.795699999999997</v>
      </c>
      <c r="D127" s="68">
        <v>2</v>
      </c>
      <c r="E127" s="68" t="s">
        <v>480</v>
      </c>
    </row>
    <row r="128" spans="1:5">
      <c r="A128" s="68">
        <v>0.41994199999999998</v>
      </c>
      <c r="B128" s="68">
        <v>0.26669999999999999</v>
      </c>
      <c r="C128" s="68">
        <v>51.203899999999997</v>
      </c>
      <c r="D128" s="68">
        <v>2</v>
      </c>
      <c r="E128" s="68" t="s">
        <v>481</v>
      </c>
    </row>
    <row r="129" spans="1:5">
      <c r="A129" s="68">
        <v>0.42085699999999998</v>
      </c>
      <c r="B129" s="68">
        <v>0.265235</v>
      </c>
      <c r="C129" s="68">
        <v>51.6068</v>
      </c>
      <c r="D129" s="68">
        <v>2</v>
      </c>
      <c r="E129" s="68" t="s">
        <v>482</v>
      </c>
    </row>
    <row r="130" spans="1:5">
      <c r="A130" s="68">
        <v>0.42150799999999999</v>
      </c>
      <c r="B130" s="68">
        <v>0.26367600000000002</v>
      </c>
      <c r="C130" s="68">
        <v>52.016800000000003</v>
      </c>
      <c r="D130" s="68">
        <v>2</v>
      </c>
      <c r="E130" s="68" t="s">
        <v>483</v>
      </c>
    </row>
    <row r="131" spans="1:5">
      <c r="A131" s="68">
        <v>0.42170400000000002</v>
      </c>
      <c r="B131" s="68">
        <v>0.262486</v>
      </c>
      <c r="C131" s="68">
        <v>52.422800000000002</v>
      </c>
      <c r="D131" s="68">
        <v>2</v>
      </c>
      <c r="E131" s="68" t="s">
        <v>484</v>
      </c>
    </row>
    <row r="132" spans="1:5">
      <c r="A132" s="68">
        <v>0.42145899999999997</v>
      </c>
      <c r="B132" s="68">
        <v>0.26132100000000003</v>
      </c>
      <c r="C132" s="68">
        <v>52.828800000000001</v>
      </c>
      <c r="D132" s="68">
        <v>2</v>
      </c>
      <c r="E132" s="68" t="s">
        <v>485</v>
      </c>
    </row>
    <row r="133" spans="1:5">
      <c r="A133" s="68">
        <v>0.42140899999999998</v>
      </c>
      <c r="B133" s="68">
        <v>0.25987700000000002</v>
      </c>
      <c r="C133" s="68">
        <v>53.232500000000002</v>
      </c>
      <c r="D133" s="68">
        <v>2</v>
      </c>
      <c r="E133" s="68" t="s">
        <v>486</v>
      </c>
    </row>
    <row r="134" spans="1:5">
      <c r="A134" s="68">
        <v>0.42148000000000002</v>
      </c>
      <c r="B134" s="68">
        <v>0.25905899999999998</v>
      </c>
      <c r="C134" s="68">
        <v>53.638199999999998</v>
      </c>
      <c r="D134" s="68">
        <v>2</v>
      </c>
      <c r="E134" s="68" t="s">
        <v>487</v>
      </c>
    </row>
    <row r="135" spans="1:5">
      <c r="A135" s="68">
        <v>0.421491</v>
      </c>
      <c r="B135" s="68">
        <v>0.25825599999999999</v>
      </c>
      <c r="C135" s="68">
        <v>54.049199999999999</v>
      </c>
      <c r="D135" s="68">
        <v>2</v>
      </c>
      <c r="E135" s="68" t="s">
        <v>488</v>
      </c>
    </row>
    <row r="136" spans="1:5">
      <c r="A136" s="68">
        <v>0.42131000000000002</v>
      </c>
      <c r="B136" s="68">
        <v>0.25745000000000001</v>
      </c>
      <c r="C136" s="68">
        <v>54.451599999999999</v>
      </c>
      <c r="D136" s="68">
        <v>2</v>
      </c>
      <c r="E136" s="68" t="s">
        <v>489</v>
      </c>
    </row>
    <row r="137" spans="1:5">
      <c r="A137" s="68">
        <v>0.42077100000000001</v>
      </c>
      <c r="B137" s="68">
        <v>0.25706200000000001</v>
      </c>
      <c r="C137" s="68">
        <v>54.855600000000003</v>
      </c>
      <c r="D137" s="68">
        <v>2</v>
      </c>
      <c r="E137" s="68" t="s">
        <v>490</v>
      </c>
    </row>
    <row r="138" spans="1:5">
      <c r="A138" s="68">
        <v>0.420373</v>
      </c>
      <c r="B138" s="68">
        <v>0.25623499999999999</v>
      </c>
      <c r="C138" s="68">
        <v>55.266199999999998</v>
      </c>
      <c r="D138" s="68">
        <v>2</v>
      </c>
      <c r="E138" s="68" t="s">
        <v>491</v>
      </c>
    </row>
    <row r="139" spans="1:5">
      <c r="A139" s="68">
        <v>0.419381</v>
      </c>
      <c r="B139" s="68">
        <v>0.255774</v>
      </c>
      <c r="C139" s="68">
        <v>55.671799999999998</v>
      </c>
      <c r="D139" s="68">
        <v>2</v>
      </c>
      <c r="E139" s="68" t="s">
        <v>492</v>
      </c>
    </row>
    <row r="140" spans="1:5">
      <c r="A140" s="68">
        <v>0.41804400000000003</v>
      </c>
      <c r="B140" s="68">
        <v>0.25645699999999999</v>
      </c>
      <c r="C140" s="68">
        <v>56.076900000000002</v>
      </c>
      <c r="D140" s="68">
        <v>2</v>
      </c>
      <c r="E140" s="68" t="s">
        <v>493</v>
      </c>
    </row>
    <row r="141" spans="1:5">
      <c r="A141" s="68">
        <v>0.41757699999999998</v>
      </c>
      <c r="B141" s="68">
        <v>0.25614399999999998</v>
      </c>
      <c r="C141" s="68">
        <v>56.482199999999999</v>
      </c>
      <c r="D141" s="68">
        <v>2</v>
      </c>
      <c r="E141" s="68" t="s">
        <v>494</v>
      </c>
    </row>
    <row r="142" spans="1:5">
      <c r="A142" s="68">
        <v>0.41748400000000002</v>
      </c>
      <c r="B142" s="68">
        <v>0.25634699999999999</v>
      </c>
      <c r="C142" s="68">
        <v>56.89</v>
      </c>
      <c r="D142" s="68">
        <v>2</v>
      </c>
      <c r="E142" s="68" t="s">
        <v>495</v>
      </c>
    </row>
    <row r="143" spans="1:5">
      <c r="A143" s="68">
        <v>0.41706700000000002</v>
      </c>
      <c r="B143" s="68">
        <v>0.25726399999999999</v>
      </c>
      <c r="C143" s="68">
        <v>57.294800000000002</v>
      </c>
      <c r="D143" s="68">
        <v>2</v>
      </c>
      <c r="E143" s="68" t="s">
        <v>496</v>
      </c>
    </row>
    <row r="144" spans="1:5">
      <c r="A144" s="68">
        <v>0.41658600000000001</v>
      </c>
      <c r="B144" s="68">
        <v>0.25780599999999998</v>
      </c>
      <c r="C144" s="68">
        <v>57.706600000000002</v>
      </c>
      <c r="D144" s="68">
        <v>2</v>
      </c>
      <c r="E144" s="68" t="s">
        <v>497</v>
      </c>
    </row>
    <row r="145" spans="1:5">
      <c r="A145" s="68">
        <v>0.41546</v>
      </c>
      <c r="B145" s="68">
        <v>0.25880199999999998</v>
      </c>
      <c r="C145" s="68">
        <v>58.108499999999999</v>
      </c>
      <c r="D145" s="68">
        <v>2</v>
      </c>
      <c r="E145" s="68" t="s">
        <v>498</v>
      </c>
    </row>
    <row r="146" spans="1:5">
      <c r="A146" s="68">
        <v>0.413551</v>
      </c>
      <c r="B146" s="68">
        <v>0.259438</v>
      </c>
      <c r="C146" s="68">
        <v>58.517499999999998</v>
      </c>
      <c r="D146" s="68">
        <v>2</v>
      </c>
      <c r="E146" s="68" t="s">
        <v>499</v>
      </c>
    </row>
    <row r="147" spans="1:5">
      <c r="A147" s="68">
        <v>0.40998099999999998</v>
      </c>
      <c r="B147" s="68">
        <v>0.258826</v>
      </c>
      <c r="C147" s="68">
        <v>58.9208</v>
      </c>
      <c r="D147" s="68">
        <v>2</v>
      </c>
      <c r="E147" s="68" t="s">
        <v>500</v>
      </c>
    </row>
    <row r="148" spans="1:5">
      <c r="A148" s="68">
        <v>0.40539500000000001</v>
      </c>
      <c r="B148" s="68">
        <v>0.25795600000000002</v>
      </c>
      <c r="C148" s="68">
        <v>59.327500000000001</v>
      </c>
      <c r="D148" s="68">
        <v>2</v>
      </c>
      <c r="E148" s="68" t="s">
        <v>501</v>
      </c>
    </row>
    <row r="149" spans="1:5">
      <c r="A149" s="68">
        <v>0.40076699999999998</v>
      </c>
      <c r="B149" s="68">
        <v>0.25687399999999999</v>
      </c>
      <c r="C149" s="68">
        <v>59.738300000000002</v>
      </c>
      <c r="D149" s="68">
        <v>2</v>
      </c>
      <c r="E149" s="68" t="s">
        <v>502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293</v>
      </c>
      <c r="G1" s="66" t="s">
        <v>294</v>
      </c>
      <c r="H1" s="66" t="s">
        <v>508</v>
      </c>
      <c r="I1" s="66" t="s">
        <v>509</v>
      </c>
      <c r="J1" s="66" t="s">
        <v>510</v>
      </c>
      <c r="K1" s="66" t="s">
        <v>511</v>
      </c>
      <c r="L1" s="66" t="s">
        <v>512</v>
      </c>
      <c r="M1" s="66" t="s">
        <v>513</v>
      </c>
      <c r="N1" s="66"/>
    </row>
    <row r="2" spans="1:14">
      <c r="A2" s="75">
        <v>43612.658136574071</v>
      </c>
      <c r="B2" s="66" t="s">
        <v>504</v>
      </c>
      <c r="C2" s="66"/>
      <c r="D2" s="66"/>
      <c r="E2" s="66">
        <v>4.9234099999999996</v>
      </c>
      <c r="F2" s="66">
        <v>1.89994</v>
      </c>
      <c r="G2" s="66">
        <v>0.70144099999999998</v>
      </c>
      <c r="H2" s="66">
        <v>0</v>
      </c>
      <c r="I2" s="66">
        <v>90581</v>
      </c>
      <c r="J2" s="66">
        <v>91</v>
      </c>
      <c r="K2" s="66">
        <v>91</v>
      </c>
      <c r="L2" s="66">
        <v>0</v>
      </c>
      <c r="M2" s="66" t="s">
        <v>514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2019-05-27T07:48:26Z</cp:lastPrinted>
  <dcterms:created xsi:type="dcterms:W3CDTF">2010-10-29T12:53:05Z</dcterms:created>
  <dcterms:modified xsi:type="dcterms:W3CDTF">2019-05-27T07:49:21Z</dcterms:modified>
</cp:coreProperties>
</file>