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<sst xmlns="http://schemas.openxmlformats.org/spreadsheetml/2006/main" count="701" uniqueCount="571">
  <si>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</si>
  <si>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</si>
  <si>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</si>
  <si>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</si>
  <si>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</si>
  <si>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</si>
  <si>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</si>
  <si>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</si>
  <si>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</si>
  <si>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</si>
  <si>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</si>
  <si>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</si>
  <si>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</si>
  <si>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</si>
  <si>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</si>
  <si>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</si>
  <si>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</si>
  <si>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</si>
  <si>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</si>
  <si>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</si>
  <si>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</si>
  <si>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</si>
  <si>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</si>
  <si>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</si>
  <si>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</si>
  <si>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</si>
  <si>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</si>
  <si>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</si>
  <si>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</si>
  <si>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</si>
  <si>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</si>
  <si>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</si>
  <si>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</si>
  <si>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</si>
  <si>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</si>
  <si>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</si>
  <si>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</si>
  <si>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</si>
  <si>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</si>
  <si>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</si>
  <si>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</si>
  <si>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</si>
  <si>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</si>
  <si>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</si>
  <si>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</si>
  <si>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</si>
  <si>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</si>
  <si>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</si>
  <si>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</si>
  <si>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</si>
  <si>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</si>
  <si>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</si>
  <si>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</si>
  <si>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</si>
  <si>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</si>
  <si>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</si>
  <si>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</si>
  <si>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</si>
  <si>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</si>
  <si>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</si>
  <si>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</si>
  <si>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</si>
  <si>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</si>
  <si>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</si>
  <si>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</si>
  <si>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</si>
  <si>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</si>
  <si>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</si>
  <si>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</si>
  <si>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</si>
  <si>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</si>
  <si>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</si>
  <si>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</si>
  <si>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</si>
  <si>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</si>
  <si>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</si>
  <si>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</si>
  <si>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</si>
  <si>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</si>
  <si>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</si>
  <si>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</si>
  <si>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</si>
  <si>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</si>
  <si>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</si>
  <si>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</si>
  <si>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</si>
  <si>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</si>
  <si>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</si>
  <si>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</si>
  <si>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</si>
  <si>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</si>
  <si>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</si>
  <si>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</si>
  <si>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</si>
  <si>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</si>
  <si>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</si>
  <si>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</si>
  <si>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</si>
  <si>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</si>
  <si>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</si>
  <si>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</si>
  <si>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</si>
  <si>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</si>
  <si>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</si>
  <si>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</si>
  <si>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</si>
  <si>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</si>
  <si>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</si>
  <si>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</si>
  <si>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</si>
  <si>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</si>
  <si>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</si>
  <si>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</si>
  <si>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</si>
  <si>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</si>
  <si>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</si>
  <si>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</si>
  <si>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</si>
  <si>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</si>
  <si>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</si>
  <si>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</si>
  <si>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</si>
  <si>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</si>
  <si>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</si>
  <si>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</si>
  <si>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</si>
  <si>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</si>
  <si>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</si>
  <si>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</si>
  <si>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</si>
  <si>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</si>
  <si>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</si>
  <si>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</si>
  <si>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</si>
  <si>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</si>
  <si>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</si>
  <si>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</si>
  <si>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</si>
  <si>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</si>
  <si>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</si>
  <si>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</si>
  <si>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</si>
  <si>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</si>
  <si>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</si>
  <si>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</si>
  <si>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</si>
  <si>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</si>
  <si>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</si>
  <si>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</si>
  <si>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</si>
  <si>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</si>
  <si>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</si>
  <si>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</si>
  <si>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</si>
  <si>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</si>
  <si>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</si>
  <si>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</si>
  <si>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</si>
  <si>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</si>
  <si>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</si>
  <si>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</si>
  <si>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</si>
  <si>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</si>
  <si>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</si>
  <si>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</si>
  <si>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</si>
  <si>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</si>
  <si>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</si>
  <si>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</si>
  <si>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</si>
  <si>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</si>
  <si>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</si>
  <si>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</si>
  <si>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</si>
  <si>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</si>
  <si>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</si>
  <si>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</si>
  <si>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</si>
  <si>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</si>
  <si>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</si>
  <si>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</si>
  <si>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</si>
  <si>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</si>
  <si>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</si>
  <si>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</si>
  <si>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</si>
  <si>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</si>
  <si>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</si>
  <si>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</si>
  <si>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</si>
  <si>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</si>
  <si>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</si>
  <si>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</si>
  <si>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</si>
  <si>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</si>
  <si>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</si>
  <si>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</si>
  <si>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</si>
  <si>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</si>
  <si>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</si>
  <si>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</si>
  <si>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</si>
  <si>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</si>
  <si>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</si>
  <si>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</si>
  <si>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</si>
  <si>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</si>
  <si>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</si>
  <si>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</si>
  <si>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</si>
  <si>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</si>
  <si>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</si>
  <si>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</si>
  <si>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</si>
  <si>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</si>
  <si>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</si>
  <si>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</si>
  <si>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</si>
  <si>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</si>
  <si>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</si>
  <si>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</si>
  <si>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</si>
  <si>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</si>
  <si>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</si>
  <si>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</si>
  <si>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</si>
  <si>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</si>
  <si>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</si>
  <si>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</si>
  <si>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</si>
  <si>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</si>
  <si>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</si>
  <si>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</si>
  <si>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</si>
  <si>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</si>
  <si>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</si>
  <si>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</si>
  <si>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</si>
  <si>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</si>
  <si>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</si>
  <si>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</si>
  <si>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</si>
  <si>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</si>
  <si>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</si>
  <si>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</si>
  <si>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</si>
  <si>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</si>
  <si>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</si>
  <si>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</si>
  <si>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</si>
  <si>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</si>
  <si>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</si>
  <si>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</si>
  <si>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</si>
  <si>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</si>
  <si>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</si>
  <si>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</si>
  <si>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</si>
  <si>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</si>
  <si>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</si>
  <si>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</si>
  <si>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</si>
  <si>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</si>
  <si>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</si>
  <si>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</si>
  <si>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</si>
  <si>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</si>
  <si>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</si>
  <si>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</si>
  <si>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</si>
  <si>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</si>
  <si>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</si>
  <si>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</si>
  <si>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</si>
  <si>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</si>
  <si>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</si>
  <si>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</si>
  <si>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</si>
  <si>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</si>
  <si>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</si>
  <si>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</si>
  <si>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</si>
  <si>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</si>
  <si>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</si>
  <si>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</si>
  <si>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</si>
  <si>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</si>
  <si>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</si>
  <si>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</si>
  <si>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</si>
  <si>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</si>
  <si>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</si>
  <si>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</si>
  <si>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</si>
  <si>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</si>
  <si>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</si>
  <si>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</si>
  <si>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</si>
  <si>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</si>
  <si>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</si>
  <si>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</si>
  <si>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</si>
  <si>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</si>
  <si>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</si>
  <si>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</si>
  <si>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</si>
  <si>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</si>
  <si>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</si>
  <si>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</si>
  <si>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</si>
  <si>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</si>
  <si>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</si>
  <si>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</si>
  <si>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</si>
  <si>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</si>
  <si>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</si>
  <si>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</si>
  <si>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</si>
  <si>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</si>
  <si>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</si>
  <si>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</si>
  <si>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</si>
  <si>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</si>
  <si>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</si>
  <si>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</si>
  <si>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</si>
  <si>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</si>
  <si>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</si>
  <si>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</si>
  <si>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</si>
  <si>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</si>
  <si>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</si>
  <si>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</si>
  <si>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</si>
  <si>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</si>
  <si>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</si>
  <si>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</si>
  <si>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</si>
  <si>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</si>
  <si>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</si>
  <si>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</si>
  <si>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</si>
  <si>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</si>
  <si>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</si>
  <si>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</si>
  <si>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</si>
  <si>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</si>
  <si>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</si>
  <si>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</si>
  <si>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</si>
  <si>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</si>
  <si>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</si>
  <si>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</si>
  <si>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</si>
  <si>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</si>
  <si>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</si>
  <si>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</si>
  <si>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</si>
  <si>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</si>
  <si>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</si>
  <si>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</si>
  <si>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</si>
  <si>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</si>
  <si>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</si>
  <si>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</si>
  <si>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</si>
  <si>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</si>
  <si>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</si>
  <si>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</si>
  <si>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</si>
  <si>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</si>
  <si>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</si>
  <si>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</si>
  <si>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</si>
  <si>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</si>
  <si>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</si>
  <si>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</si>
  <si>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</si>
  <si>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</si>
  <si>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</si>
  <si>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</si>
  <si>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</si>
  <si>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</si>
  <si>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</si>
  <si>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</si>
  <si>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</si>
  <si>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</si>
  <si>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</si>
  <si>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</si>
  <si>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</si>
  <si>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</si>
  <si>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</si>
  <si>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</si>
  <si>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</si>
  <si>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</si>
  <si>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</si>
  <si>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</si>
  <si>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</si>
  <si>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</si>
  <si>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</si>
  <si>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</si>
  <si>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</si>
  <si>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</si>
  <si>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</si>
  <si>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</si>
  <si>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</si>
  <si>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</si>
  <si>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</si>
  <si>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</si>
  <si>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[0.401113]</t>
  </si>
  <si>
    <t>1 [0.806964]</t>
  </si>
  <si>
    <t>1 [1.214057]</t>
  </si>
  <si>
    <t>1 [1.617112]</t>
  </si>
  <si>
    <t>1 [2.024431]</t>
  </si>
  <si>
    <t>1 [2.431241]</t>
  </si>
  <si>
    <t>1 [2.837957]</t>
  </si>
  <si>
    <t>1 [3.243507]</t>
  </si>
  <si>
    <t>1 [3.652346]</t>
  </si>
  <si>
    <t>1 [4.054244]</t>
  </si>
  <si>
    <t>1 [4.464053]</t>
  </si>
  <si>
    <t>1 [4.869373]</t>
  </si>
  <si>
    <t>1 [5.277685]</t>
  </si>
  <si>
    <t>1 [5.679540]</t>
  </si>
  <si>
    <t>1 [6.089276]</t>
  </si>
  <si>
    <t>1 [6.495368]</t>
  </si>
  <si>
    <t>1 [6.898667]</t>
  </si>
  <si>
    <t>1 [7.307150]</t>
  </si>
  <si>
    <t>1 [7.709912]</t>
  </si>
  <si>
    <t>1 [8.118195]</t>
  </si>
  <si>
    <t>1 [8.526854]</t>
  </si>
  <si>
    <t>1 [8.931555]</t>
  </si>
  <si>
    <t>1 [9.338843]</t>
  </si>
  <si>
    <t>1 [9.742585]</t>
  </si>
  <si>
    <t>1 [10.146855]</t>
  </si>
  <si>
    <t>1 [10.557595]</t>
  </si>
  <si>
    <t>1 [10.962177]</t>
  </si>
  <si>
    <t>1 [11.367085]</t>
  </si>
  <si>
    <t>1 [11.774599]</t>
  </si>
  <si>
    <t>1 [12.180974]</t>
  </si>
  <si>
    <t>1 [12.587337]</t>
  </si>
  <si>
    <t>1 [12.994955]</t>
  </si>
  <si>
    <t>1 [13.397829]</t>
  </si>
  <si>
    <t>1 [13.805041]</t>
  </si>
  <si>
    <t>1 [14.213533]</t>
  </si>
  <si>
    <t>1 [14.617511]</t>
  </si>
  <si>
    <t>1 [15.023725]</t>
  </si>
  <si>
    <t>1 [15.432022]</t>
  </si>
  <si>
    <t>1 [15.836144]</t>
  </si>
  <si>
    <t>1 [16.244453]</t>
  </si>
  <si>
    <t>1 [16.651073]</t>
  </si>
  <si>
    <t>1 [17.052889]</t>
  </si>
  <si>
    <t>1 [17.462218]</t>
  </si>
  <si>
    <t>1 [17.870159]</t>
  </si>
  <si>
    <t>1 [18.274938]</t>
  </si>
  <si>
    <t>1 [18.682188]</t>
  </si>
  <si>
    <t>1 [19.086752]</t>
  </si>
  <si>
    <t>1 [19.491428]</t>
  </si>
  <si>
    <t>1 [19.899543]</t>
  </si>
  <si>
    <t>1 [20.307264]</t>
  </si>
  <si>
    <t>1 [20.712129]</t>
  </si>
  <si>
    <t>1 [21.114915]</t>
  </si>
  <si>
    <t>1 [21.522892]</t>
  </si>
  <si>
    <t>1 [21.932325]</t>
  </si>
  <si>
    <t>1 [22.339822]</t>
  </si>
  <si>
    <t>1 [22.746580]</t>
  </si>
  <si>
    <t>1 [23.151031]</t>
  </si>
  <si>
    <t>1 [23.553275]</t>
  </si>
  <si>
    <t>1 [23.962137]</t>
  </si>
  <si>
    <t>1 [24.370528]</t>
  </si>
  <si>
    <t>1 [24.776323]</t>
  </si>
  <si>
    <t>1 [25.178809]</t>
  </si>
  <si>
    <t>1 [25.585330]</t>
  </si>
  <si>
    <t>1 [25.994096]</t>
  </si>
  <si>
    <t>1 [26.400745]</t>
  </si>
  <si>
    <t>1 [26.808430]</t>
  </si>
  <si>
    <t>1 [27.211369]</t>
  </si>
  <si>
    <t>1 [27.617366]</t>
  </si>
  <si>
    <t>1 [28.023269]</t>
  </si>
  <si>
    <t>1 [28.434806]</t>
  </si>
  <si>
    <t>1 [28.836741]</t>
  </si>
  <si>
    <t>1 [29.242920]</t>
  </si>
  <si>
    <t>1 [29.647706]</t>
  </si>
  <si>
    <t>2 [30.057893]</t>
  </si>
  <si>
    <t>2 [30.528552]</t>
  </si>
  <si>
    <t>2 [30.915069]</t>
  </si>
  <si>
    <t>2 [31.321778]</t>
  </si>
  <si>
    <t>2 [31.731538]</t>
  </si>
  <si>
    <t>2 [32.135799]</t>
  </si>
  <si>
    <t>2 [32.539479]</t>
  </si>
  <si>
    <t>2 [32.946228]</t>
  </si>
  <si>
    <t>2 [33.352565]</t>
  </si>
  <si>
    <t>2 [33.758635]</t>
  </si>
  <si>
    <t>2 [34.162937]</t>
  </si>
  <si>
    <t>2 [34.571389]</t>
  </si>
  <si>
    <t>2 [34.977019]</t>
  </si>
  <si>
    <t>2 [35.386707]</t>
  </si>
  <si>
    <t>2 [35.788702]</t>
  </si>
  <si>
    <t>2 [36.197353]</t>
  </si>
  <si>
    <t>2 [36.604984]</t>
  </si>
  <si>
    <t>2 [37.011082]</t>
  </si>
  <si>
    <t>2 [37.418918]</t>
  </si>
  <si>
    <t>2 [37.822001]</t>
  </si>
  <si>
    <t>2 [38.227398]</t>
  </si>
  <si>
    <t>2 [38.637010]</t>
  </si>
  <si>
    <t>2 [39.041371]</t>
  </si>
  <si>
    <t>2 [39.445731]</t>
  </si>
  <si>
    <t>2 [39.852119]</t>
  </si>
  <si>
    <t>2 [40.258804]</t>
  </si>
  <si>
    <t>2 [40.664432]</t>
  </si>
  <si>
    <t>2 [41.074674]</t>
  </si>
  <si>
    <t>2 [41.480903]</t>
  </si>
  <si>
    <t>2 [41.885049]</t>
  </si>
  <si>
    <t>2 [42.288825]</t>
  </si>
  <si>
    <t>2 [42.694610]</t>
  </si>
  <si>
    <t>2 [43.103886]</t>
  </si>
  <si>
    <t>2 [43.511738]</t>
  </si>
  <si>
    <t>2 [43.916007]</t>
  </si>
  <si>
    <t>2 [44.320986]</t>
  </si>
  <si>
    <t>2 [44.728304]</t>
  </si>
  <si>
    <t>2 [45.138649]</t>
  </si>
  <si>
    <t>2 [45.541408]</t>
  </si>
  <si>
    <t>2 [45.948080]</t>
  </si>
  <si>
    <t>2 [46.355233]</t>
  </si>
  <si>
    <t>2 [46.758234]</t>
  </si>
  <si>
    <t>2 [47.164058]</t>
  </si>
  <si>
    <t>2 [47.572264]</t>
  </si>
  <si>
    <t>2 [47.979312]</t>
  </si>
  <si>
    <t>2 [48.382960]</t>
  </si>
  <si>
    <t>2 [48.787673]</t>
  </si>
  <si>
    <t>2 [49.196535]</t>
  </si>
  <si>
    <t>2 [49.604559]</t>
  </si>
  <si>
    <t>2 [50.010994]</t>
  </si>
  <si>
    <t>2 [50.414683]</t>
  </si>
  <si>
    <t>2 [50.819476]</t>
  </si>
  <si>
    <t>2 [51.227597]</t>
  </si>
  <si>
    <t>2 [51.631026]</t>
  </si>
  <si>
    <t>2 [52.041382]</t>
  </si>
  <si>
    <t>2 [52.444713]</t>
  </si>
  <si>
    <t>2 [52.851452]</t>
  </si>
  <si>
    <t>2 [53.261158]</t>
  </si>
  <si>
    <t>2 [53.668412]</t>
  </si>
  <si>
    <t>2 [54.072420]</t>
  </si>
  <si>
    <t>2 [54.476358]</t>
  </si>
  <si>
    <t>2 [54.882457]</t>
  </si>
  <si>
    <t>2 [55.291276]</t>
  </si>
  <si>
    <t>2 [55.698167]</t>
  </si>
  <si>
    <t>2 [56.104029]</t>
  </si>
  <si>
    <t>2 [56.506750]</t>
  </si>
  <si>
    <t>2 [56.915099]</t>
  </si>
  <si>
    <t>2 [57.324691]</t>
  </si>
  <si>
    <t>2 [57.730833]</t>
  </si>
  <si>
    <t>2 [58.135964]</t>
  </si>
  <si>
    <t>2 [58.538065]</t>
  </si>
  <si>
    <t>2 [58.945418]</t>
  </si>
  <si>
    <t>2 [59.350644]</t>
  </si>
  <si>
    <t>2 [59.757481]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</si>
  <si>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</si>
  <si>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</si>
  <si>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</si>
  <si>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</si>
  <si>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</si>
  <si>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</si>
  <si>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</si>
  <si>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</si>
  <si>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</si>
  <si>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</si>
  <si>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</si>
  <si>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</si>
  <si>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</si>
  <si>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</si>
  <si>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徐倩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</si>
</sst>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11" fontId="0" fillId="0" borderId="0" xfId="0" quotePrefix="1" applyNumberForma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34.4542</c:v>
                </c:pt>
                <c:pt idx="1">
                  <c:v>30.1523</c:v>
                </c:pt>
                <c:pt idx="2">
                  <c:v>29.710100000000001</c:v>
                </c:pt>
                <c:pt idx="3">
                  <c:v>31.3811</c:v>
                </c:pt>
                <c:pt idx="4">
                  <c:v>74.629599999999996</c:v>
                </c:pt>
                <c:pt idx="5">
                  <c:v>76.024299999999997</c:v>
                </c:pt>
                <c:pt idx="6">
                  <c:v>15.3834</c:v>
                </c:pt>
                <c:pt idx="7">
                  <c:v>75.908600000000007</c:v>
                </c:pt>
                <c:pt idx="8">
                  <c:v>14.4978</c:v>
                </c:pt>
                <c:pt idx="9">
                  <c:v>31.57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0.52622193435457709</c:v>
                </c:pt>
                <c:pt idx="1">
                  <c:v>0.27338709537099548</c:v>
                </c:pt>
                <c:pt idx="2">
                  <c:v>0.20039097027442737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7802</c:v>
                </c:pt>
                <c:pt idx="7">
                  <c:v>0</c:v>
                </c:pt>
                <c:pt idx="8">
                  <c:v>13722</c:v>
                </c:pt>
                <c:pt idx="9">
                  <c:v>0</c:v>
                </c:pt>
                <c:pt idx="10">
                  <c:v>0</c:v>
                </c:pt>
                <c:pt idx="11">
                  <c:v>20241</c:v>
                </c:pt>
                <c:pt idx="12">
                  <c:v>0</c:v>
                </c:pt>
                <c:pt idx="13">
                  <c:v>28213</c:v>
                </c:pt>
                <c:pt idx="14">
                  <c:v>0</c:v>
                </c:pt>
                <c:pt idx="15">
                  <c:v>0</c:v>
                </c:pt>
                <c:pt idx="16">
                  <c:v>42802</c:v>
                </c:pt>
                <c:pt idx="17">
                  <c:v>0</c:v>
                </c:pt>
                <c:pt idx="18">
                  <c:v>0</c:v>
                </c:pt>
                <c:pt idx="19">
                  <c:v>51757</c:v>
                </c:pt>
                <c:pt idx="20">
                  <c:v>0</c:v>
                </c:pt>
                <c:pt idx="21">
                  <c:v>59624</c:v>
                </c:pt>
                <c:pt idx="22">
                  <c:v>0</c:v>
                </c:pt>
                <c:pt idx="23">
                  <c:v>0</c:v>
                </c:pt>
                <c:pt idx="24">
                  <c:v>64951</c:v>
                </c:pt>
                <c:pt idx="25">
                  <c:v>0</c:v>
                </c:pt>
                <c:pt idx="26">
                  <c:v>78611</c:v>
                </c:pt>
                <c:pt idx="27">
                  <c:v>0</c:v>
                </c:pt>
                <c:pt idx="28">
                  <c:v>0</c:v>
                </c:pt>
                <c:pt idx="29">
                  <c:v>88571</c:v>
                </c:pt>
                <c:pt idx="30">
                  <c:v>0</c:v>
                </c:pt>
                <c:pt idx="31">
                  <c:v>90740</c:v>
                </c:pt>
                <c:pt idx="32">
                  <c:v>0</c:v>
                </c:pt>
                <c:pt idx="33">
                  <c:v>0</c:v>
                </c:pt>
                <c:pt idx="34">
                  <c:v>91301</c:v>
                </c:pt>
                <c:pt idx="35">
                  <c:v>0</c:v>
                </c:pt>
                <c:pt idx="36">
                  <c:v>0</c:v>
                </c:pt>
                <c:pt idx="37">
                  <c:v>90736</c:v>
                </c:pt>
                <c:pt idx="38">
                  <c:v>0</c:v>
                </c:pt>
                <c:pt idx="39">
                  <c:v>90937</c:v>
                </c:pt>
                <c:pt idx="40">
                  <c:v>0</c:v>
                </c:pt>
                <c:pt idx="41">
                  <c:v>0</c:v>
                </c:pt>
                <c:pt idx="42">
                  <c:v>91086</c:v>
                </c:pt>
                <c:pt idx="43">
                  <c:v>0</c:v>
                </c:pt>
                <c:pt idx="44">
                  <c:v>94664</c:v>
                </c:pt>
                <c:pt idx="45">
                  <c:v>0</c:v>
                </c:pt>
                <c:pt idx="46">
                  <c:v>0</c:v>
                </c:pt>
                <c:pt idx="47">
                  <c:v>95252</c:v>
                </c:pt>
                <c:pt idx="48">
                  <c:v>0</c:v>
                </c:pt>
                <c:pt idx="49">
                  <c:v>98460</c:v>
                </c:pt>
                <c:pt idx="50">
                  <c:v>0</c:v>
                </c:pt>
                <c:pt idx="51">
                  <c:v>0</c:v>
                </c:pt>
                <c:pt idx="52">
                  <c:v>100350</c:v>
                </c:pt>
                <c:pt idx="53">
                  <c:v>0</c:v>
                </c:pt>
                <c:pt idx="54">
                  <c:v>0</c:v>
                </c:pt>
                <c:pt idx="55">
                  <c:v>102322</c:v>
                </c:pt>
                <c:pt idx="56">
                  <c:v>0</c:v>
                </c:pt>
                <c:pt idx="57">
                  <c:v>109726</c:v>
                </c:pt>
                <c:pt idx="58">
                  <c:v>0</c:v>
                </c:pt>
                <c:pt idx="59">
                  <c:v>0</c:v>
                </c:pt>
                <c:pt idx="60">
                  <c:v>111034</c:v>
                </c:pt>
                <c:pt idx="61">
                  <c:v>0</c:v>
                </c:pt>
                <c:pt idx="62">
                  <c:v>113525</c:v>
                </c:pt>
                <c:pt idx="63">
                  <c:v>0</c:v>
                </c:pt>
                <c:pt idx="64">
                  <c:v>0</c:v>
                </c:pt>
                <c:pt idx="65">
                  <c:v>118462</c:v>
                </c:pt>
                <c:pt idx="66">
                  <c:v>0</c:v>
                </c:pt>
                <c:pt idx="67">
                  <c:v>116045</c:v>
                </c:pt>
                <c:pt idx="68">
                  <c:v>0</c:v>
                </c:pt>
                <c:pt idx="69">
                  <c:v>0</c:v>
                </c:pt>
                <c:pt idx="70">
                  <c:v>115323</c:v>
                </c:pt>
                <c:pt idx="71">
                  <c:v>0</c:v>
                </c:pt>
                <c:pt idx="72">
                  <c:v>0</c:v>
                </c:pt>
                <c:pt idx="73">
                  <c:v>106662</c:v>
                </c:pt>
                <c:pt idx="74">
                  <c:v>0</c:v>
                </c:pt>
                <c:pt idx="75">
                  <c:v>106152</c:v>
                </c:pt>
                <c:pt idx="76">
                  <c:v>0</c:v>
                </c:pt>
                <c:pt idx="77">
                  <c:v>0</c:v>
                </c:pt>
                <c:pt idx="78">
                  <c:v>105258</c:v>
                </c:pt>
                <c:pt idx="79">
                  <c:v>0</c:v>
                </c:pt>
                <c:pt idx="80">
                  <c:v>101988</c:v>
                </c:pt>
                <c:pt idx="81">
                  <c:v>0</c:v>
                </c:pt>
                <c:pt idx="82">
                  <c:v>0</c:v>
                </c:pt>
                <c:pt idx="83">
                  <c:v>98170</c:v>
                </c:pt>
                <c:pt idx="84">
                  <c:v>0</c:v>
                </c:pt>
                <c:pt idx="85">
                  <c:v>0</c:v>
                </c:pt>
                <c:pt idx="86">
                  <c:v>87860</c:v>
                </c:pt>
                <c:pt idx="87">
                  <c:v>0</c:v>
                </c:pt>
                <c:pt idx="88">
                  <c:v>87742</c:v>
                </c:pt>
                <c:pt idx="89">
                  <c:v>0</c:v>
                </c:pt>
                <c:pt idx="90">
                  <c:v>0</c:v>
                </c:pt>
                <c:pt idx="91">
                  <c:v>88772</c:v>
                </c:pt>
                <c:pt idx="92">
                  <c:v>0</c:v>
                </c:pt>
                <c:pt idx="93">
                  <c:v>78841</c:v>
                </c:pt>
                <c:pt idx="94">
                  <c:v>0</c:v>
                </c:pt>
                <c:pt idx="95">
                  <c:v>0</c:v>
                </c:pt>
                <c:pt idx="96">
                  <c:v>73604</c:v>
                </c:pt>
                <c:pt idx="97">
                  <c:v>0</c:v>
                </c:pt>
                <c:pt idx="98">
                  <c:v>65935</c:v>
                </c:pt>
                <c:pt idx="99">
                  <c:v>0</c:v>
                </c:pt>
                <c:pt idx="100">
                  <c:v>0</c:v>
                </c:pt>
                <c:pt idx="101">
                  <c:v>65008</c:v>
                </c:pt>
                <c:pt idx="102">
                  <c:v>0</c:v>
                </c:pt>
                <c:pt idx="103">
                  <c:v>0</c:v>
                </c:pt>
                <c:pt idx="104">
                  <c:v>66048</c:v>
                </c:pt>
                <c:pt idx="105">
                  <c:v>0</c:v>
                </c:pt>
                <c:pt idx="106">
                  <c:v>61034</c:v>
                </c:pt>
                <c:pt idx="107">
                  <c:v>0</c:v>
                </c:pt>
                <c:pt idx="108">
                  <c:v>0</c:v>
                </c:pt>
                <c:pt idx="109">
                  <c:v>55565</c:v>
                </c:pt>
                <c:pt idx="110">
                  <c:v>0</c:v>
                </c:pt>
                <c:pt idx="111">
                  <c:v>51697</c:v>
                </c:pt>
                <c:pt idx="112">
                  <c:v>0</c:v>
                </c:pt>
                <c:pt idx="113">
                  <c:v>0</c:v>
                </c:pt>
                <c:pt idx="114">
                  <c:v>46630</c:v>
                </c:pt>
                <c:pt idx="115">
                  <c:v>0</c:v>
                </c:pt>
                <c:pt idx="116">
                  <c:v>45454</c:v>
                </c:pt>
                <c:pt idx="117">
                  <c:v>0</c:v>
                </c:pt>
                <c:pt idx="118">
                  <c:v>0</c:v>
                </c:pt>
                <c:pt idx="119">
                  <c:v>38669</c:v>
                </c:pt>
                <c:pt idx="120">
                  <c:v>0</c:v>
                </c:pt>
                <c:pt idx="121">
                  <c:v>0</c:v>
                </c:pt>
                <c:pt idx="122">
                  <c:v>33400</c:v>
                </c:pt>
                <c:pt idx="123">
                  <c:v>0</c:v>
                </c:pt>
                <c:pt idx="124">
                  <c:v>30067</c:v>
                </c:pt>
                <c:pt idx="125">
                  <c:v>0</c:v>
                </c:pt>
                <c:pt idx="126">
                  <c:v>0</c:v>
                </c:pt>
                <c:pt idx="127">
                  <c:v>26603</c:v>
                </c:pt>
                <c:pt idx="128">
                  <c:v>0</c:v>
                </c:pt>
                <c:pt idx="129">
                  <c:v>23223</c:v>
                </c:pt>
                <c:pt idx="130">
                  <c:v>0</c:v>
                </c:pt>
                <c:pt idx="131">
                  <c:v>0</c:v>
                </c:pt>
                <c:pt idx="132">
                  <c:v>19672</c:v>
                </c:pt>
                <c:pt idx="133">
                  <c:v>0</c:v>
                </c:pt>
                <c:pt idx="134">
                  <c:v>15921</c:v>
                </c:pt>
                <c:pt idx="135">
                  <c:v>0</c:v>
                </c:pt>
                <c:pt idx="136">
                  <c:v>0</c:v>
                </c:pt>
                <c:pt idx="137">
                  <c:v>13518</c:v>
                </c:pt>
                <c:pt idx="138">
                  <c:v>0</c:v>
                </c:pt>
                <c:pt idx="139">
                  <c:v>0</c:v>
                </c:pt>
                <c:pt idx="140">
                  <c:v>13006</c:v>
                </c:pt>
                <c:pt idx="141">
                  <c:v>0</c:v>
                </c:pt>
                <c:pt idx="142">
                  <c:v>9804</c:v>
                </c:pt>
                <c:pt idx="143">
                  <c:v>0</c:v>
                </c:pt>
                <c:pt idx="144">
                  <c:v>0</c:v>
                </c:pt>
                <c:pt idx="145">
                  <c:v>7496</c:v>
                </c:pt>
                <c:pt idx="146">
                  <c:v>0</c:v>
                </c:pt>
                <c:pt idx="147">
                  <c:v>7199</c:v>
                </c:pt>
                <c:pt idx="148">
                  <c:v>0</c:v>
                </c:pt>
                <c:pt idx="149">
                  <c:v>0</c:v>
                </c:pt>
                <c:pt idx="150">
                  <c:v>5210</c:v>
                </c:pt>
                <c:pt idx="151">
                  <c:v>0</c:v>
                </c:pt>
                <c:pt idx="152">
                  <c:v>5269</c:v>
                </c:pt>
                <c:pt idx="153">
                  <c:v>0</c:v>
                </c:pt>
                <c:pt idx="154">
                  <c:v>0</c:v>
                </c:pt>
                <c:pt idx="155">
                  <c:v>4116</c:v>
                </c:pt>
                <c:pt idx="156">
                  <c:v>0</c:v>
                </c:pt>
                <c:pt idx="157">
                  <c:v>0</c:v>
                </c:pt>
                <c:pt idx="158">
                  <c:v>3664</c:v>
                </c:pt>
                <c:pt idx="159">
                  <c:v>0</c:v>
                </c:pt>
                <c:pt idx="160">
                  <c:v>3596</c:v>
                </c:pt>
                <c:pt idx="161">
                  <c:v>0</c:v>
                </c:pt>
                <c:pt idx="162">
                  <c:v>0</c:v>
                </c:pt>
                <c:pt idx="163">
                  <c:v>2000</c:v>
                </c:pt>
                <c:pt idx="164">
                  <c:v>0</c:v>
                </c:pt>
                <c:pt idx="165">
                  <c:v>1384</c:v>
                </c:pt>
                <c:pt idx="166">
                  <c:v>0</c:v>
                </c:pt>
                <c:pt idx="167">
                  <c:v>0</c:v>
                </c:pt>
                <c:pt idx="168">
                  <c:v>1013</c:v>
                </c:pt>
                <c:pt idx="169">
                  <c:v>0</c:v>
                </c:pt>
                <c:pt idx="170">
                  <c:v>0</c:v>
                </c:pt>
                <c:pt idx="171">
                  <c:v>836</c:v>
                </c:pt>
                <c:pt idx="172">
                  <c:v>0</c:v>
                </c:pt>
                <c:pt idx="173">
                  <c:v>643</c:v>
                </c:pt>
                <c:pt idx="174">
                  <c:v>0</c:v>
                </c:pt>
                <c:pt idx="175">
                  <c:v>0</c:v>
                </c:pt>
                <c:pt idx="176">
                  <c:v>832</c:v>
                </c:pt>
                <c:pt idx="177">
                  <c:v>0</c:v>
                </c:pt>
                <c:pt idx="178">
                  <c:v>718</c:v>
                </c:pt>
                <c:pt idx="179">
                  <c:v>0</c:v>
                </c:pt>
                <c:pt idx="180">
                  <c:v>0</c:v>
                </c:pt>
                <c:pt idx="181">
                  <c:v>316</c:v>
                </c:pt>
                <c:pt idx="182">
                  <c:v>0</c:v>
                </c:pt>
                <c:pt idx="183">
                  <c:v>242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1.38703</c:v>
                </c:pt>
                <c:pt idx="1">
                  <c:v>1.4351099999999999</c:v>
                </c:pt>
                <c:pt idx="2">
                  <c:v>1.4821200000000001</c:v>
                </c:pt>
                <c:pt idx="3">
                  <c:v>1.52847</c:v>
                </c:pt>
                <c:pt idx="4">
                  <c:v>1.5757399999999999</c:v>
                </c:pt>
                <c:pt idx="5">
                  <c:v>1.62277</c:v>
                </c:pt>
                <c:pt idx="6">
                  <c:v>1.6719400000000002</c:v>
                </c:pt>
                <c:pt idx="7">
                  <c:v>1.7261299999999999</c:v>
                </c:pt>
                <c:pt idx="8">
                  <c:v>1.7854700000000001</c:v>
                </c:pt>
                <c:pt idx="9">
                  <c:v>1.8476300000000001</c:v>
                </c:pt>
                <c:pt idx="10">
                  <c:v>1.90977</c:v>
                </c:pt>
                <c:pt idx="11">
                  <c:v>1.9696099999999999</c:v>
                </c:pt>
                <c:pt idx="12">
                  <c:v>2.0249600000000001</c:v>
                </c:pt>
                <c:pt idx="13">
                  <c:v>2.0784600000000002</c:v>
                </c:pt>
                <c:pt idx="14">
                  <c:v>2.13632</c:v>
                </c:pt>
                <c:pt idx="15">
                  <c:v>2.1969099999999999</c:v>
                </c:pt>
                <c:pt idx="16">
                  <c:v>2.2599200000000002</c:v>
                </c:pt>
                <c:pt idx="17">
                  <c:v>2.3208799999999998</c:v>
                </c:pt>
                <c:pt idx="18">
                  <c:v>2.3790100000000001</c:v>
                </c:pt>
                <c:pt idx="19">
                  <c:v>2.4352900000000002</c:v>
                </c:pt>
                <c:pt idx="20">
                  <c:v>2.4905400000000002</c:v>
                </c:pt>
                <c:pt idx="21">
                  <c:v>2.5450900000000001</c:v>
                </c:pt>
                <c:pt idx="22">
                  <c:v>2.5975100000000002</c:v>
                </c:pt>
                <c:pt idx="23">
                  <c:v>2.6498500000000003</c:v>
                </c:pt>
                <c:pt idx="24">
                  <c:v>2.7052500000000004</c:v>
                </c:pt>
                <c:pt idx="25">
                  <c:v>2.7618999999999998</c:v>
                </c:pt>
                <c:pt idx="26">
                  <c:v>2.8186800000000001</c:v>
                </c:pt>
                <c:pt idx="27">
                  <c:v>2.8758699999999999</c:v>
                </c:pt>
                <c:pt idx="28">
                  <c:v>2.93283</c:v>
                </c:pt>
                <c:pt idx="29">
                  <c:v>2.9914800000000001</c:v>
                </c:pt>
                <c:pt idx="30">
                  <c:v>3.0486499999999999</c:v>
                </c:pt>
                <c:pt idx="31">
                  <c:v>3.10128</c:v>
                </c:pt>
                <c:pt idx="32">
                  <c:v>3.14541</c:v>
                </c:pt>
                <c:pt idx="33">
                  <c:v>3.1803699999999999</c:v>
                </c:pt>
                <c:pt idx="34">
                  <c:v>3.2099199999999999</c:v>
                </c:pt>
                <c:pt idx="35">
                  <c:v>3.23841</c:v>
                </c:pt>
                <c:pt idx="36">
                  <c:v>3.2708700000000004</c:v>
                </c:pt>
                <c:pt idx="37">
                  <c:v>3.3040399999999996</c:v>
                </c:pt>
                <c:pt idx="38">
                  <c:v>3.33751</c:v>
                </c:pt>
                <c:pt idx="39">
                  <c:v>3.36815</c:v>
                </c:pt>
                <c:pt idx="40">
                  <c:v>3.39595</c:v>
                </c:pt>
                <c:pt idx="41">
                  <c:v>3.4214000000000002</c:v>
                </c:pt>
                <c:pt idx="42">
                  <c:v>3.4451100000000001</c:v>
                </c:pt>
                <c:pt idx="43">
                  <c:v>3.4654499999999997</c:v>
                </c:pt>
                <c:pt idx="44">
                  <c:v>3.4808299999999996</c:v>
                </c:pt>
                <c:pt idx="45">
                  <c:v>3.4915699999999998</c:v>
                </c:pt>
                <c:pt idx="46">
                  <c:v>3.4954400000000003</c:v>
                </c:pt>
                <c:pt idx="47">
                  <c:v>3.49634</c:v>
                </c:pt>
                <c:pt idx="48">
                  <c:v>3.4941599999999999</c:v>
                </c:pt>
                <c:pt idx="49">
                  <c:v>3.484</c:v>
                </c:pt>
                <c:pt idx="50">
                  <c:v>3.4775200000000002</c:v>
                </c:pt>
                <c:pt idx="51">
                  <c:v>3.4450799999999999</c:v>
                </c:pt>
                <c:pt idx="52">
                  <c:v>3.4309699999999999</c:v>
                </c:pt>
                <c:pt idx="53">
                  <c:v>3.4048400000000001</c:v>
                </c:pt>
                <c:pt idx="54">
                  <c:v>3.3634900000000001</c:v>
                </c:pt>
                <c:pt idx="55">
                  <c:v>3.32918</c:v>
                </c:pt>
                <c:pt idx="56">
                  <c:v>3.2942300000000002</c:v>
                </c:pt>
                <c:pt idx="57">
                  <c:v>3.2592400000000001</c:v>
                </c:pt>
                <c:pt idx="58">
                  <c:v>3.23807</c:v>
                </c:pt>
                <c:pt idx="59">
                  <c:v>3.1900899999999996</c:v>
                </c:pt>
                <c:pt idx="60">
                  <c:v>3.1662699999999999</c:v>
                </c:pt>
                <c:pt idx="61">
                  <c:v>3.12439</c:v>
                </c:pt>
                <c:pt idx="62">
                  <c:v>3.0828199999999999</c:v>
                </c:pt>
                <c:pt idx="63">
                  <c:v>3.0406300000000002</c:v>
                </c:pt>
                <c:pt idx="64">
                  <c:v>2.98874</c:v>
                </c:pt>
                <c:pt idx="65">
                  <c:v>2.9492400000000001</c:v>
                </c:pt>
                <c:pt idx="66">
                  <c:v>2.9101599999999999</c:v>
                </c:pt>
                <c:pt idx="67">
                  <c:v>2.8759200000000003</c:v>
                </c:pt>
                <c:pt idx="68">
                  <c:v>2.8360999999999996</c:v>
                </c:pt>
                <c:pt idx="69">
                  <c:v>2.8071200000000003</c:v>
                </c:pt>
                <c:pt idx="70">
                  <c:v>2.7760400000000001</c:v>
                </c:pt>
                <c:pt idx="71">
                  <c:v>2.7492200000000002</c:v>
                </c:pt>
                <c:pt idx="72">
                  <c:v>2.7216200000000002</c:v>
                </c:pt>
                <c:pt idx="73">
                  <c:v>2.69442</c:v>
                </c:pt>
                <c:pt idx="74">
                  <c:v>2.6672200000000004</c:v>
                </c:pt>
                <c:pt idx="75">
                  <c:v>2.6444000000000001</c:v>
                </c:pt>
                <c:pt idx="76">
                  <c:v>2.6254200000000001</c:v>
                </c:pt>
                <c:pt idx="77">
                  <c:v>2.6050599999999999</c:v>
                </c:pt>
                <c:pt idx="78">
                  <c:v>2.58514</c:v>
                </c:pt>
                <c:pt idx="79">
                  <c:v>2.5646300000000002</c:v>
                </c:pt>
                <c:pt idx="80">
                  <c:v>2.54616</c:v>
                </c:pt>
                <c:pt idx="81">
                  <c:v>2.5289600000000001</c:v>
                </c:pt>
                <c:pt idx="82">
                  <c:v>2.5164599999999999</c:v>
                </c:pt>
                <c:pt idx="83">
                  <c:v>2.5072999999999999</c:v>
                </c:pt>
                <c:pt idx="84">
                  <c:v>2.5019900000000002</c:v>
                </c:pt>
                <c:pt idx="85">
                  <c:v>2.4968599999999999</c:v>
                </c:pt>
                <c:pt idx="86">
                  <c:v>2.4917600000000002</c:v>
                </c:pt>
                <c:pt idx="87">
                  <c:v>2.48394</c:v>
                </c:pt>
                <c:pt idx="88">
                  <c:v>2.4788999999999999</c:v>
                </c:pt>
                <c:pt idx="89">
                  <c:v>2.47411</c:v>
                </c:pt>
                <c:pt idx="90">
                  <c:v>2.4720500000000003</c:v>
                </c:pt>
                <c:pt idx="91">
                  <c:v>2.4704999999999999</c:v>
                </c:pt>
                <c:pt idx="92">
                  <c:v>2.4679200000000003</c:v>
                </c:pt>
                <c:pt idx="93">
                  <c:v>2.4614500000000001</c:v>
                </c:pt>
                <c:pt idx="94">
                  <c:v>2.4561299999999999</c:v>
                </c:pt>
                <c:pt idx="95">
                  <c:v>2.4500299999999999</c:v>
                </c:pt>
                <c:pt idx="96">
                  <c:v>2.44434</c:v>
                </c:pt>
                <c:pt idx="97">
                  <c:v>2.4389099999999999</c:v>
                </c:pt>
                <c:pt idx="98">
                  <c:v>2.43547</c:v>
                </c:pt>
                <c:pt idx="99">
                  <c:v>2.4354999999999998</c:v>
                </c:pt>
                <c:pt idx="100">
                  <c:v>2.4368500000000002</c:v>
                </c:pt>
                <c:pt idx="101">
                  <c:v>2.4403899999999998</c:v>
                </c:pt>
                <c:pt idx="102">
                  <c:v>2.4453800000000001</c:v>
                </c:pt>
                <c:pt idx="103">
                  <c:v>2.45417</c:v>
                </c:pt>
                <c:pt idx="104">
                  <c:v>2.4636800000000001</c:v>
                </c:pt>
                <c:pt idx="105">
                  <c:v>2.4740599999999997</c:v>
                </c:pt>
                <c:pt idx="106">
                  <c:v>2.4850400000000001</c:v>
                </c:pt>
                <c:pt idx="107">
                  <c:v>2.4998999999999998</c:v>
                </c:pt>
                <c:pt idx="108">
                  <c:v>2.5155599999999998</c:v>
                </c:pt>
                <c:pt idx="109">
                  <c:v>2.53199</c:v>
                </c:pt>
                <c:pt idx="110">
                  <c:v>2.5486900000000001</c:v>
                </c:pt>
                <c:pt idx="111">
                  <c:v>2.5639799999999999</c:v>
                </c:pt>
                <c:pt idx="112">
                  <c:v>2.5808300000000002</c:v>
                </c:pt>
                <c:pt idx="113">
                  <c:v>2.5976599999999999</c:v>
                </c:pt>
                <c:pt idx="114">
                  <c:v>2.6123099999999999</c:v>
                </c:pt>
                <c:pt idx="115">
                  <c:v>2.6242799999999997</c:v>
                </c:pt>
                <c:pt idx="116">
                  <c:v>2.63449</c:v>
                </c:pt>
                <c:pt idx="117">
                  <c:v>2.6459799999999998</c:v>
                </c:pt>
                <c:pt idx="118">
                  <c:v>2.6577899999999999</c:v>
                </c:pt>
                <c:pt idx="119">
                  <c:v>2.6700400000000002</c:v>
                </c:pt>
                <c:pt idx="120">
                  <c:v>2.6843499999999998</c:v>
                </c:pt>
                <c:pt idx="121">
                  <c:v>2.7021099999999998</c:v>
                </c:pt>
                <c:pt idx="122">
                  <c:v>2.7193299999999998</c:v>
                </c:pt>
                <c:pt idx="123">
                  <c:v>2.7341199999999999</c:v>
                </c:pt>
                <c:pt idx="124">
                  <c:v>2.7420099999999996</c:v>
                </c:pt>
                <c:pt idx="125">
                  <c:v>2.74959</c:v>
                </c:pt>
                <c:pt idx="126">
                  <c:v>2.7566200000000003</c:v>
                </c:pt>
                <c:pt idx="127">
                  <c:v>2.7619899999999999</c:v>
                </c:pt>
                <c:pt idx="128">
                  <c:v>2.7653499999999998</c:v>
                </c:pt>
                <c:pt idx="129">
                  <c:v>2.7692299999999999</c:v>
                </c:pt>
                <c:pt idx="130">
                  <c:v>2.7741400000000001</c:v>
                </c:pt>
                <c:pt idx="131">
                  <c:v>2.7799499999999999</c:v>
                </c:pt>
                <c:pt idx="132">
                  <c:v>2.7821600000000002</c:v>
                </c:pt>
                <c:pt idx="133">
                  <c:v>2.7842000000000002</c:v>
                </c:pt>
                <c:pt idx="134">
                  <c:v>2.7857500000000002</c:v>
                </c:pt>
                <c:pt idx="135">
                  <c:v>2.7870200000000001</c:v>
                </c:pt>
                <c:pt idx="136">
                  <c:v>2.7902300000000002</c:v>
                </c:pt>
                <c:pt idx="137">
                  <c:v>2.7906599999999999</c:v>
                </c:pt>
                <c:pt idx="138">
                  <c:v>2.78878</c:v>
                </c:pt>
                <c:pt idx="139">
                  <c:v>2.7900100000000001</c:v>
                </c:pt>
                <c:pt idx="140">
                  <c:v>2.7960800000000003</c:v>
                </c:pt>
                <c:pt idx="141">
                  <c:v>2.8075099999999997</c:v>
                </c:pt>
                <c:pt idx="142">
                  <c:v>2.81555</c:v>
                </c:pt>
                <c:pt idx="143">
                  <c:v>2.8323499999999999</c:v>
                </c:pt>
                <c:pt idx="144">
                  <c:v>2.8485300000000002</c:v>
                </c:pt>
                <c:pt idx="145">
                  <c:v>2.8639100000000002</c:v>
                </c:pt>
                <c:pt idx="146">
                  <c:v>2.8598600000000003</c:v>
                </c:pt>
                <c:pt idx="147">
                  <c:v>2.8458000000000001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68.847100000000012</c:v>
                </c:pt>
                <c:pt idx="1">
                  <c:v>67.450600000000009</c:v>
                </c:pt>
                <c:pt idx="2">
                  <c:v>66.161699999999996</c:v>
                </c:pt>
                <c:pt idx="3">
                  <c:v>64.9983</c:v>
                </c:pt>
                <c:pt idx="4">
                  <c:v>63.834999999999994</c:v>
                </c:pt>
                <c:pt idx="5">
                  <c:v>62.735399999999998</c:v>
                </c:pt>
                <c:pt idx="6">
                  <c:v>61.595100000000002</c:v>
                </c:pt>
                <c:pt idx="7">
                  <c:v>60.316400000000002</c:v>
                </c:pt>
                <c:pt idx="8">
                  <c:v>58.855599999999995</c:v>
                </c:pt>
                <c:pt idx="9">
                  <c:v>57.222799999999992</c:v>
                </c:pt>
                <c:pt idx="10">
                  <c:v>55.771599999999999</c:v>
                </c:pt>
                <c:pt idx="11">
                  <c:v>54.582500000000003</c:v>
                </c:pt>
                <c:pt idx="12">
                  <c:v>53.7104</c:v>
                </c:pt>
                <c:pt idx="13">
                  <c:v>53.004899999999999</c:v>
                </c:pt>
                <c:pt idx="14">
                  <c:v>52.255200000000002</c:v>
                </c:pt>
                <c:pt idx="15">
                  <c:v>51.448300000000003</c:v>
                </c:pt>
                <c:pt idx="16">
                  <c:v>50.595800000000004</c:v>
                </c:pt>
                <c:pt idx="17">
                  <c:v>49.902700000000003</c:v>
                </c:pt>
                <c:pt idx="18">
                  <c:v>49.403300000000002</c:v>
                </c:pt>
                <c:pt idx="19">
                  <c:v>48.954700000000003</c:v>
                </c:pt>
                <c:pt idx="20">
                  <c:v>48.454700000000003</c:v>
                </c:pt>
                <c:pt idx="21">
                  <c:v>47.913499999999999</c:v>
                </c:pt>
                <c:pt idx="22">
                  <c:v>47.3521</c:v>
                </c:pt>
                <c:pt idx="23">
                  <c:v>46.679700000000004</c:v>
                </c:pt>
                <c:pt idx="24">
                  <c:v>45.829799999999999</c:v>
                </c:pt>
                <c:pt idx="25">
                  <c:v>44.787300000000002</c:v>
                </c:pt>
                <c:pt idx="26">
                  <c:v>43.679099999999998</c:v>
                </c:pt>
                <c:pt idx="27">
                  <c:v>42.594000000000001</c:v>
                </c:pt>
                <c:pt idx="28">
                  <c:v>41.579500000000003</c:v>
                </c:pt>
                <c:pt idx="29">
                  <c:v>40.5627</c:v>
                </c:pt>
                <c:pt idx="30">
                  <c:v>39.704699999999995</c:v>
                </c:pt>
                <c:pt idx="31">
                  <c:v>39.022300000000001</c:v>
                </c:pt>
                <c:pt idx="32">
                  <c:v>38.523000000000003</c:v>
                </c:pt>
                <c:pt idx="33">
                  <c:v>38.175199999999997</c:v>
                </c:pt>
                <c:pt idx="34">
                  <c:v>37.8367</c:v>
                </c:pt>
                <c:pt idx="35">
                  <c:v>37.485700000000001</c:v>
                </c:pt>
                <c:pt idx="36">
                  <c:v>37.073699999999995</c:v>
                </c:pt>
                <c:pt idx="37">
                  <c:v>36.6997</c:v>
                </c:pt>
                <c:pt idx="38">
                  <c:v>36.398899999999998</c:v>
                </c:pt>
                <c:pt idx="39">
                  <c:v>36.0548</c:v>
                </c:pt>
                <c:pt idx="40">
                  <c:v>35.7029</c:v>
                </c:pt>
                <c:pt idx="41">
                  <c:v>35.349899999999998</c:v>
                </c:pt>
                <c:pt idx="42">
                  <c:v>35.056399999999996</c:v>
                </c:pt>
                <c:pt idx="43">
                  <c:v>34.820900000000002</c:v>
                </c:pt>
                <c:pt idx="44">
                  <c:v>34.6721</c:v>
                </c:pt>
                <c:pt idx="45">
                  <c:v>34.549500000000002</c:v>
                </c:pt>
                <c:pt idx="46">
                  <c:v>34.4709</c:v>
                </c:pt>
                <c:pt idx="47">
                  <c:v>34.392499999999998</c:v>
                </c:pt>
                <c:pt idx="48">
                  <c:v>34.350099999999998</c:v>
                </c:pt>
                <c:pt idx="49">
                  <c:v>34.322900000000004</c:v>
                </c:pt>
                <c:pt idx="50">
                  <c:v>34.296599999999998</c:v>
                </c:pt>
                <c:pt idx="51">
                  <c:v>34.364699999999999</c:v>
                </c:pt>
                <c:pt idx="52">
                  <c:v>34.434799999999996</c:v>
                </c:pt>
                <c:pt idx="53">
                  <c:v>34.609899999999996</c:v>
                </c:pt>
                <c:pt idx="54">
                  <c:v>34.9467</c:v>
                </c:pt>
                <c:pt idx="55">
                  <c:v>35.246899999999997</c:v>
                </c:pt>
                <c:pt idx="56">
                  <c:v>35.529600000000002</c:v>
                </c:pt>
                <c:pt idx="57">
                  <c:v>35.672699999999999</c:v>
                </c:pt>
                <c:pt idx="58">
                  <c:v>35.703800000000001</c:v>
                </c:pt>
                <c:pt idx="59">
                  <c:v>35.783200000000001</c:v>
                </c:pt>
                <c:pt idx="60">
                  <c:v>35.884599999999999</c:v>
                </c:pt>
                <c:pt idx="61">
                  <c:v>36.174499999999995</c:v>
                </c:pt>
                <c:pt idx="62">
                  <c:v>36.5946</c:v>
                </c:pt>
                <c:pt idx="63">
                  <c:v>37.064</c:v>
                </c:pt>
                <c:pt idx="64">
                  <c:v>37.680599999999998</c:v>
                </c:pt>
                <c:pt idx="65">
                  <c:v>38.2819</c:v>
                </c:pt>
                <c:pt idx="66">
                  <c:v>39.029299999999999</c:v>
                </c:pt>
                <c:pt idx="67">
                  <c:v>39.806100000000001</c:v>
                </c:pt>
                <c:pt idx="68">
                  <c:v>40.7059</c:v>
                </c:pt>
                <c:pt idx="69">
                  <c:v>41.366300000000003</c:v>
                </c:pt>
                <c:pt idx="70">
                  <c:v>42.0655</c:v>
                </c:pt>
                <c:pt idx="71">
                  <c:v>42.617399999999996</c:v>
                </c:pt>
                <c:pt idx="72">
                  <c:v>43.203499999999998</c:v>
                </c:pt>
                <c:pt idx="73">
                  <c:v>43.780299999999997</c:v>
                </c:pt>
                <c:pt idx="74">
                  <c:v>44.418900000000001</c:v>
                </c:pt>
                <c:pt idx="75">
                  <c:v>44.998699999999999</c:v>
                </c:pt>
                <c:pt idx="76">
                  <c:v>45.509899999999995</c:v>
                </c:pt>
                <c:pt idx="77">
                  <c:v>46.120899999999999</c:v>
                </c:pt>
                <c:pt idx="78">
                  <c:v>46.687200000000004</c:v>
                </c:pt>
                <c:pt idx="79">
                  <c:v>47.2607</c:v>
                </c:pt>
                <c:pt idx="80">
                  <c:v>47.762500000000003</c:v>
                </c:pt>
                <c:pt idx="81">
                  <c:v>48.241399999999999</c:v>
                </c:pt>
                <c:pt idx="82">
                  <c:v>48.671700000000001</c:v>
                </c:pt>
                <c:pt idx="83">
                  <c:v>49.037399999999998</c:v>
                </c:pt>
                <c:pt idx="84">
                  <c:v>49.368699999999997</c:v>
                </c:pt>
                <c:pt idx="85">
                  <c:v>49.701299999999996</c:v>
                </c:pt>
                <c:pt idx="86">
                  <c:v>50.021999999999998</c:v>
                </c:pt>
                <c:pt idx="87">
                  <c:v>50.393500000000003</c:v>
                </c:pt>
                <c:pt idx="88">
                  <c:v>50.731899999999996</c:v>
                </c:pt>
                <c:pt idx="89">
                  <c:v>51.080400000000004</c:v>
                </c:pt>
                <c:pt idx="90">
                  <c:v>51.359299999999998</c:v>
                </c:pt>
                <c:pt idx="91">
                  <c:v>51.570499999999996</c:v>
                </c:pt>
                <c:pt idx="92">
                  <c:v>51.738900000000001</c:v>
                </c:pt>
                <c:pt idx="93">
                  <c:v>51.951999999999998</c:v>
                </c:pt>
                <c:pt idx="94">
                  <c:v>52.137699999999995</c:v>
                </c:pt>
                <c:pt idx="95">
                  <c:v>52.310400000000001</c:v>
                </c:pt>
                <c:pt idx="96">
                  <c:v>52.478199999999994</c:v>
                </c:pt>
                <c:pt idx="97">
                  <c:v>52.636000000000003</c:v>
                </c:pt>
                <c:pt idx="98">
                  <c:v>52.713500000000003</c:v>
                </c:pt>
                <c:pt idx="99">
                  <c:v>52.658700000000003</c:v>
                </c:pt>
                <c:pt idx="100">
                  <c:v>52.522899999999993</c:v>
                </c:pt>
                <c:pt idx="101">
                  <c:v>52.309899999999999</c:v>
                </c:pt>
                <c:pt idx="102">
                  <c:v>51.982099999999996</c:v>
                </c:pt>
                <c:pt idx="103">
                  <c:v>51.518600000000006</c:v>
                </c:pt>
                <c:pt idx="104">
                  <c:v>51.047299999999993</c:v>
                </c:pt>
                <c:pt idx="105">
                  <c:v>50.579900000000002</c:v>
                </c:pt>
                <c:pt idx="106">
                  <c:v>50.120600000000003</c:v>
                </c:pt>
                <c:pt idx="107">
                  <c:v>49.576999999999998</c:v>
                </c:pt>
                <c:pt idx="108">
                  <c:v>49.0261</c:v>
                </c:pt>
                <c:pt idx="109">
                  <c:v>48.476799999999997</c:v>
                </c:pt>
                <c:pt idx="110">
                  <c:v>47.948900000000002</c:v>
                </c:pt>
                <c:pt idx="111">
                  <c:v>47.450699999999998</c:v>
                </c:pt>
                <c:pt idx="112">
                  <c:v>46.903599999999997</c:v>
                </c:pt>
                <c:pt idx="113">
                  <c:v>46.315300000000001</c:v>
                </c:pt>
                <c:pt idx="114">
                  <c:v>45.801600000000001</c:v>
                </c:pt>
                <c:pt idx="115">
                  <c:v>45.321199999999997</c:v>
                </c:pt>
                <c:pt idx="116">
                  <c:v>44.890299999999996</c:v>
                </c:pt>
                <c:pt idx="117">
                  <c:v>44.501600000000003</c:v>
                </c:pt>
                <c:pt idx="118">
                  <c:v>44.148499999999999</c:v>
                </c:pt>
                <c:pt idx="119">
                  <c:v>43.768700000000003</c:v>
                </c:pt>
                <c:pt idx="120">
                  <c:v>43.399500000000003</c:v>
                </c:pt>
                <c:pt idx="121">
                  <c:v>42.963200000000001</c:v>
                </c:pt>
                <c:pt idx="122">
                  <c:v>42.596400000000003</c:v>
                </c:pt>
                <c:pt idx="123">
                  <c:v>42.311700000000002</c:v>
                </c:pt>
                <c:pt idx="124">
                  <c:v>42.116100000000003</c:v>
                </c:pt>
                <c:pt idx="125">
                  <c:v>41.927300000000002</c:v>
                </c:pt>
                <c:pt idx="126">
                  <c:v>41.737000000000002</c:v>
                </c:pt>
                <c:pt idx="127">
                  <c:v>41.578700000000005</c:v>
                </c:pt>
                <c:pt idx="128">
                  <c:v>41.456400000000002</c:v>
                </c:pt>
                <c:pt idx="129">
                  <c:v>41.323999999999998</c:v>
                </c:pt>
                <c:pt idx="130">
                  <c:v>41.163600000000002</c:v>
                </c:pt>
                <c:pt idx="131">
                  <c:v>40.981200000000001</c:v>
                </c:pt>
                <c:pt idx="132">
                  <c:v>40.828399999999995</c:v>
                </c:pt>
                <c:pt idx="133">
                  <c:v>40.685400000000001</c:v>
                </c:pt>
                <c:pt idx="134">
                  <c:v>40.532899999999998</c:v>
                </c:pt>
                <c:pt idx="135">
                  <c:v>40.366399999999999</c:v>
                </c:pt>
                <c:pt idx="136">
                  <c:v>40.226900000000001</c:v>
                </c:pt>
                <c:pt idx="137">
                  <c:v>40.178599999999996</c:v>
                </c:pt>
                <c:pt idx="138">
                  <c:v>40.2575</c:v>
                </c:pt>
                <c:pt idx="139">
                  <c:v>40.3093</c:v>
                </c:pt>
                <c:pt idx="140">
                  <c:v>40.402700000000003</c:v>
                </c:pt>
                <c:pt idx="141">
                  <c:v>40.427700000000002</c:v>
                </c:pt>
                <c:pt idx="142">
                  <c:v>40.398000000000003</c:v>
                </c:pt>
                <c:pt idx="143">
                  <c:v>40.261200000000002</c:v>
                </c:pt>
                <c:pt idx="144">
                  <c:v>40.176600000000001</c:v>
                </c:pt>
                <c:pt idx="145">
                  <c:v>40.1248</c:v>
                </c:pt>
                <c:pt idx="146">
                  <c:v>40.558100000000003</c:v>
                </c:pt>
                <c:pt idx="147">
                  <c:v>41.033799999999999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1.38703</c:v>
                </c:pt>
                <c:pt idx="1">
                  <c:v>1.4351099999999999</c:v>
                </c:pt>
                <c:pt idx="2">
                  <c:v>1.4821200000000001</c:v>
                </c:pt>
                <c:pt idx="3">
                  <c:v>1.52847</c:v>
                </c:pt>
                <c:pt idx="4">
                  <c:v>1.5757399999999999</c:v>
                </c:pt>
                <c:pt idx="5">
                  <c:v>1.62277</c:v>
                </c:pt>
                <c:pt idx="6">
                  <c:v>1.6719400000000002</c:v>
                </c:pt>
                <c:pt idx="7">
                  <c:v>1.7261299999999999</c:v>
                </c:pt>
                <c:pt idx="8">
                  <c:v>1.7854700000000001</c:v>
                </c:pt>
                <c:pt idx="9">
                  <c:v>1.8476300000000001</c:v>
                </c:pt>
                <c:pt idx="10">
                  <c:v>1.90977</c:v>
                </c:pt>
                <c:pt idx="11">
                  <c:v>1.9696099999999999</c:v>
                </c:pt>
                <c:pt idx="12">
                  <c:v>2.0249600000000001</c:v>
                </c:pt>
                <c:pt idx="13">
                  <c:v>2.0784600000000002</c:v>
                </c:pt>
                <c:pt idx="14">
                  <c:v>2.13632</c:v>
                </c:pt>
                <c:pt idx="15">
                  <c:v>2.1969099999999999</c:v>
                </c:pt>
                <c:pt idx="16">
                  <c:v>2.2599200000000002</c:v>
                </c:pt>
                <c:pt idx="17">
                  <c:v>2.3208799999999998</c:v>
                </c:pt>
                <c:pt idx="18">
                  <c:v>2.3790100000000001</c:v>
                </c:pt>
                <c:pt idx="19">
                  <c:v>2.4352900000000002</c:v>
                </c:pt>
                <c:pt idx="20">
                  <c:v>2.4905400000000002</c:v>
                </c:pt>
                <c:pt idx="21">
                  <c:v>2.5450900000000001</c:v>
                </c:pt>
                <c:pt idx="22">
                  <c:v>2.5975100000000002</c:v>
                </c:pt>
                <c:pt idx="23">
                  <c:v>2.6498500000000003</c:v>
                </c:pt>
                <c:pt idx="24">
                  <c:v>2.7052500000000004</c:v>
                </c:pt>
                <c:pt idx="25">
                  <c:v>2.7618999999999998</c:v>
                </c:pt>
                <c:pt idx="26">
                  <c:v>2.8186800000000001</c:v>
                </c:pt>
                <c:pt idx="27">
                  <c:v>2.8758699999999999</c:v>
                </c:pt>
                <c:pt idx="28">
                  <c:v>2.93283</c:v>
                </c:pt>
                <c:pt idx="29">
                  <c:v>2.9914800000000001</c:v>
                </c:pt>
                <c:pt idx="30">
                  <c:v>3.0486499999999999</c:v>
                </c:pt>
                <c:pt idx="31">
                  <c:v>3.10128</c:v>
                </c:pt>
                <c:pt idx="32">
                  <c:v>3.14541</c:v>
                </c:pt>
                <c:pt idx="33">
                  <c:v>3.1803699999999999</c:v>
                </c:pt>
                <c:pt idx="34">
                  <c:v>3.2099199999999999</c:v>
                </c:pt>
                <c:pt idx="35">
                  <c:v>3.23841</c:v>
                </c:pt>
                <c:pt idx="36">
                  <c:v>3.2708700000000004</c:v>
                </c:pt>
                <c:pt idx="37">
                  <c:v>3.3040399999999996</c:v>
                </c:pt>
                <c:pt idx="38">
                  <c:v>3.33751</c:v>
                </c:pt>
                <c:pt idx="39">
                  <c:v>3.36815</c:v>
                </c:pt>
                <c:pt idx="40">
                  <c:v>3.39595</c:v>
                </c:pt>
                <c:pt idx="41">
                  <c:v>3.4214000000000002</c:v>
                </c:pt>
                <c:pt idx="42">
                  <c:v>3.4451100000000001</c:v>
                </c:pt>
                <c:pt idx="43">
                  <c:v>3.4654499999999997</c:v>
                </c:pt>
                <c:pt idx="44">
                  <c:v>3.4808299999999996</c:v>
                </c:pt>
                <c:pt idx="45">
                  <c:v>3.4915699999999998</c:v>
                </c:pt>
                <c:pt idx="46">
                  <c:v>3.4954400000000003</c:v>
                </c:pt>
                <c:pt idx="47">
                  <c:v>3.49634</c:v>
                </c:pt>
                <c:pt idx="48">
                  <c:v>3.4941599999999999</c:v>
                </c:pt>
                <c:pt idx="49">
                  <c:v>3.484</c:v>
                </c:pt>
                <c:pt idx="50">
                  <c:v>3.4775200000000002</c:v>
                </c:pt>
                <c:pt idx="51">
                  <c:v>3.4450799999999999</c:v>
                </c:pt>
                <c:pt idx="52">
                  <c:v>3.4309699999999999</c:v>
                </c:pt>
                <c:pt idx="53">
                  <c:v>3.4048400000000001</c:v>
                </c:pt>
                <c:pt idx="54">
                  <c:v>3.3634900000000001</c:v>
                </c:pt>
                <c:pt idx="55">
                  <c:v>3.32918</c:v>
                </c:pt>
                <c:pt idx="56">
                  <c:v>3.2942300000000002</c:v>
                </c:pt>
                <c:pt idx="57">
                  <c:v>3.2592400000000001</c:v>
                </c:pt>
                <c:pt idx="58">
                  <c:v>3.23807</c:v>
                </c:pt>
                <c:pt idx="59">
                  <c:v>3.1900899999999996</c:v>
                </c:pt>
                <c:pt idx="60">
                  <c:v>3.1662699999999999</c:v>
                </c:pt>
                <c:pt idx="61">
                  <c:v>3.12439</c:v>
                </c:pt>
                <c:pt idx="62">
                  <c:v>3.0828199999999999</c:v>
                </c:pt>
                <c:pt idx="63">
                  <c:v>3.0406300000000002</c:v>
                </c:pt>
                <c:pt idx="64">
                  <c:v>2.98874</c:v>
                </c:pt>
                <c:pt idx="65">
                  <c:v>2.9492400000000001</c:v>
                </c:pt>
                <c:pt idx="66">
                  <c:v>2.9101599999999999</c:v>
                </c:pt>
                <c:pt idx="67">
                  <c:v>2.8759200000000003</c:v>
                </c:pt>
                <c:pt idx="68">
                  <c:v>2.8360999999999996</c:v>
                </c:pt>
                <c:pt idx="69">
                  <c:v>2.8071200000000003</c:v>
                </c:pt>
                <c:pt idx="70">
                  <c:v>2.7760400000000001</c:v>
                </c:pt>
                <c:pt idx="71">
                  <c:v>2.7492200000000002</c:v>
                </c:pt>
                <c:pt idx="72">
                  <c:v>2.7216200000000002</c:v>
                </c:pt>
                <c:pt idx="73">
                  <c:v>2.69442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68.847100000000012</c:v>
                </c:pt>
                <c:pt idx="1">
                  <c:v>67.450600000000009</c:v>
                </c:pt>
                <c:pt idx="2">
                  <c:v>66.161699999999996</c:v>
                </c:pt>
                <c:pt idx="3">
                  <c:v>64.9983</c:v>
                </c:pt>
                <c:pt idx="4">
                  <c:v>63.834999999999994</c:v>
                </c:pt>
                <c:pt idx="5">
                  <c:v>62.735399999999998</c:v>
                </c:pt>
                <c:pt idx="6">
                  <c:v>61.595100000000002</c:v>
                </c:pt>
                <c:pt idx="7">
                  <c:v>60.316400000000002</c:v>
                </c:pt>
                <c:pt idx="8">
                  <c:v>58.855599999999995</c:v>
                </c:pt>
                <c:pt idx="9">
                  <c:v>57.222799999999992</c:v>
                </c:pt>
                <c:pt idx="10">
                  <c:v>55.771599999999999</c:v>
                </c:pt>
                <c:pt idx="11">
                  <c:v>54.582500000000003</c:v>
                </c:pt>
                <c:pt idx="12">
                  <c:v>53.7104</c:v>
                </c:pt>
                <c:pt idx="13">
                  <c:v>53.004899999999999</c:v>
                </c:pt>
                <c:pt idx="14">
                  <c:v>52.255200000000002</c:v>
                </c:pt>
                <c:pt idx="15">
                  <c:v>51.448300000000003</c:v>
                </c:pt>
                <c:pt idx="16">
                  <c:v>50.595800000000004</c:v>
                </c:pt>
                <c:pt idx="17">
                  <c:v>49.902700000000003</c:v>
                </c:pt>
                <c:pt idx="18">
                  <c:v>49.403300000000002</c:v>
                </c:pt>
                <c:pt idx="19">
                  <c:v>48.954700000000003</c:v>
                </c:pt>
                <c:pt idx="20">
                  <c:v>48.454700000000003</c:v>
                </c:pt>
                <c:pt idx="21">
                  <c:v>47.913499999999999</c:v>
                </c:pt>
                <c:pt idx="22">
                  <c:v>47.3521</c:v>
                </c:pt>
                <c:pt idx="23">
                  <c:v>46.679700000000004</c:v>
                </c:pt>
                <c:pt idx="24">
                  <c:v>45.829799999999999</c:v>
                </c:pt>
                <c:pt idx="25">
                  <c:v>44.787300000000002</c:v>
                </c:pt>
                <c:pt idx="26">
                  <c:v>43.679099999999998</c:v>
                </c:pt>
                <c:pt idx="27">
                  <c:v>42.594000000000001</c:v>
                </c:pt>
                <c:pt idx="28">
                  <c:v>41.579500000000003</c:v>
                </c:pt>
                <c:pt idx="29">
                  <c:v>40.5627</c:v>
                </c:pt>
                <c:pt idx="30">
                  <c:v>39.704699999999995</c:v>
                </c:pt>
                <c:pt idx="31">
                  <c:v>39.022300000000001</c:v>
                </c:pt>
                <c:pt idx="32">
                  <c:v>38.523000000000003</c:v>
                </c:pt>
                <c:pt idx="33">
                  <c:v>38.175199999999997</c:v>
                </c:pt>
                <c:pt idx="34">
                  <c:v>37.8367</c:v>
                </c:pt>
                <c:pt idx="35">
                  <c:v>37.485700000000001</c:v>
                </c:pt>
                <c:pt idx="36">
                  <c:v>37.073699999999995</c:v>
                </c:pt>
                <c:pt idx="37">
                  <c:v>36.6997</c:v>
                </c:pt>
                <c:pt idx="38">
                  <c:v>36.398899999999998</c:v>
                </c:pt>
                <c:pt idx="39">
                  <c:v>36.0548</c:v>
                </c:pt>
                <c:pt idx="40">
                  <c:v>35.7029</c:v>
                </c:pt>
                <c:pt idx="41">
                  <c:v>35.349899999999998</c:v>
                </c:pt>
                <c:pt idx="42">
                  <c:v>35.056399999999996</c:v>
                </c:pt>
                <c:pt idx="43">
                  <c:v>34.820900000000002</c:v>
                </c:pt>
                <c:pt idx="44">
                  <c:v>34.6721</c:v>
                </c:pt>
                <c:pt idx="45">
                  <c:v>34.549500000000002</c:v>
                </c:pt>
                <c:pt idx="46">
                  <c:v>34.4709</c:v>
                </c:pt>
                <c:pt idx="47">
                  <c:v>34.392499999999998</c:v>
                </c:pt>
                <c:pt idx="48">
                  <c:v>34.350099999999998</c:v>
                </c:pt>
                <c:pt idx="49">
                  <c:v>34.322900000000004</c:v>
                </c:pt>
                <c:pt idx="50">
                  <c:v>34.296599999999998</c:v>
                </c:pt>
                <c:pt idx="51">
                  <c:v>34.364699999999999</c:v>
                </c:pt>
                <c:pt idx="52">
                  <c:v>34.434799999999996</c:v>
                </c:pt>
                <c:pt idx="53">
                  <c:v>34.609899999999996</c:v>
                </c:pt>
                <c:pt idx="54">
                  <c:v>34.9467</c:v>
                </c:pt>
                <c:pt idx="55">
                  <c:v>35.246899999999997</c:v>
                </c:pt>
                <c:pt idx="56">
                  <c:v>35.529600000000002</c:v>
                </c:pt>
                <c:pt idx="57">
                  <c:v>35.672699999999999</c:v>
                </c:pt>
                <c:pt idx="58">
                  <c:v>35.703800000000001</c:v>
                </c:pt>
                <c:pt idx="59">
                  <c:v>35.783200000000001</c:v>
                </c:pt>
                <c:pt idx="60">
                  <c:v>35.884599999999999</c:v>
                </c:pt>
                <c:pt idx="61">
                  <c:v>36.174499999999995</c:v>
                </c:pt>
                <c:pt idx="62">
                  <c:v>36.5946</c:v>
                </c:pt>
                <c:pt idx="63">
                  <c:v>37.064</c:v>
                </c:pt>
                <c:pt idx="64">
                  <c:v>37.680599999999998</c:v>
                </c:pt>
                <c:pt idx="65">
                  <c:v>38.2819</c:v>
                </c:pt>
                <c:pt idx="66">
                  <c:v>39.029299999999999</c:v>
                </c:pt>
                <c:pt idx="67">
                  <c:v>39.806100000000001</c:v>
                </c:pt>
                <c:pt idx="68">
                  <c:v>40.7059</c:v>
                </c:pt>
                <c:pt idx="69">
                  <c:v>41.366300000000003</c:v>
                </c:pt>
                <c:pt idx="70">
                  <c:v>42.0655</c:v>
                </c:pt>
                <c:pt idx="71">
                  <c:v>42.617399999999996</c:v>
                </c:pt>
                <c:pt idx="72">
                  <c:v>43.203499999999998</c:v>
                </c:pt>
                <c:pt idx="73">
                  <c:v>43.780299999999997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2.69442</c:v>
                </c:pt>
                <c:pt idx="1">
                  <c:v>2.6672200000000004</c:v>
                </c:pt>
                <c:pt idx="2">
                  <c:v>2.6444000000000001</c:v>
                </c:pt>
                <c:pt idx="3">
                  <c:v>2.6254200000000001</c:v>
                </c:pt>
                <c:pt idx="4">
                  <c:v>2.6050599999999999</c:v>
                </c:pt>
                <c:pt idx="5">
                  <c:v>2.58514</c:v>
                </c:pt>
                <c:pt idx="6">
                  <c:v>2.5646300000000002</c:v>
                </c:pt>
                <c:pt idx="7">
                  <c:v>2.54616</c:v>
                </c:pt>
                <c:pt idx="8">
                  <c:v>2.5289600000000001</c:v>
                </c:pt>
                <c:pt idx="9">
                  <c:v>2.5164599999999999</c:v>
                </c:pt>
                <c:pt idx="10">
                  <c:v>2.5072999999999999</c:v>
                </c:pt>
                <c:pt idx="11">
                  <c:v>2.5019900000000002</c:v>
                </c:pt>
                <c:pt idx="12">
                  <c:v>2.4968599999999999</c:v>
                </c:pt>
                <c:pt idx="13">
                  <c:v>2.4917600000000002</c:v>
                </c:pt>
                <c:pt idx="14">
                  <c:v>2.48394</c:v>
                </c:pt>
                <c:pt idx="15">
                  <c:v>2.4788999999999999</c:v>
                </c:pt>
                <c:pt idx="16">
                  <c:v>2.47411</c:v>
                </c:pt>
                <c:pt idx="17">
                  <c:v>2.4720500000000003</c:v>
                </c:pt>
                <c:pt idx="18">
                  <c:v>2.4704999999999999</c:v>
                </c:pt>
                <c:pt idx="19">
                  <c:v>2.4679200000000003</c:v>
                </c:pt>
                <c:pt idx="20">
                  <c:v>2.4614500000000001</c:v>
                </c:pt>
                <c:pt idx="21">
                  <c:v>2.4561299999999999</c:v>
                </c:pt>
                <c:pt idx="22">
                  <c:v>2.4500299999999999</c:v>
                </c:pt>
                <c:pt idx="23">
                  <c:v>2.44434</c:v>
                </c:pt>
                <c:pt idx="24">
                  <c:v>2.4389099999999999</c:v>
                </c:pt>
                <c:pt idx="25">
                  <c:v>2.43547</c:v>
                </c:pt>
                <c:pt idx="26">
                  <c:v>2.4354999999999998</c:v>
                </c:pt>
                <c:pt idx="27">
                  <c:v>2.4368500000000002</c:v>
                </c:pt>
                <c:pt idx="28">
                  <c:v>2.4403899999999998</c:v>
                </c:pt>
                <c:pt idx="29">
                  <c:v>2.4453800000000001</c:v>
                </c:pt>
                <c:pt idx="30">
                  <c:v>2.45417</c:v>
                </c:pt>
                <c:pt idx="31">
                  <c:v>2.4636800000000001</c:v>
                </c:pt>
                <c:pt idx="32">
                  <c:v>2.4740599999999997</c:v>
                </c:pt>
                <c:pt idx="33">
                  <c:v>2.4850400000000001</c:v>
                </c:pt>
                <c:pt idx="34">
                  <c:v>2.4998999999999998</c:v>
                </c:pt>
                <c:pt idx="35">
                  <c:v>2.5155599999999998</c:v>
                </c:pt>
                <c:pt idx="36">
                  <c:v>2.53199</c:v>
                </c:pt>
                <c:pt idx="37">
                  <c:v>2.5486900000000001</c:v>
                </c:pt>
                <c:pt idx="38">
                  <c:v>2.5639799999999999</c:v>
                </c:pt>
                <c:pt idx="39">
                  <c:v>2.5808300000000002</c:v>
                </c:pt>
                <c:pt idx="40">
                  <c:v>2.5976599999999999</c:v>
                </c:pt>
                <c:pt idx="41">
                  <c:v>2.6123099999999999</c:v>
                </c:pt>
                <c:pt idx="42">
                  <c:v>2.6242799999999997</c:v>
                </c:pt>
                <c:pt idx="43">
                  <c:v>2.63449</c:v>
                </c:pt>
                <c:pt idx="44">
                  <c:v>2.6459799999999998</c:v>
                </c:pt>
                <c:pt idx="45">
                  <c:v>2.6577899999999999</c:v>
                </c:pt>
                <c:pt idx="46">
                  <c:v>2.6700400000000002</c:v>
                </c:pt>
                <c:pt idx="47">
                  <c:v>2.6843499999999998</c:v>
                </c:pt>
                <c:pt idx="48">
                  <c:v>2.7021099999999998</c:v>
                </c:pt>
                <c:pt idx="49">
                  <c:v>2.7193299999999998</c:v>
                </c:pt>
                <c:pt idx="50">
                  <c:v>2.7341199999999999</c:v>
                </c:pt>
                <c:pt idx="51">
                  <c:v>2.7420099999999996</c:v>
                </c:pt>
                <c:pt idx="52">
                  <c:v>2.74959</c:v>
                </c:pt>
                <c:pt idx="53">
                  <c:v>2.7566200000000003</c:v>
                </c:pt>
                <c:pt idx="54">
                  <c:v>2.7619899999999999</c:v>
                </c:pt>
                <c:pt idx="55">
                  <c:v>2.7653499999999998</c:v>
                </c:pt>
                <c:pt idx="56">
                  <c:v>2.7692299999999999</c:v>
                </c:pt>
                <c:pt idx="57">
                  <c:v>2.7741400000000001</c:v>
                </c:pt>
                <c:pt idx="58">
                  <c:v>2.7799499999999999</c:v>
                </c:pt>
                <c:pt idx="59">
                  <c:v>2.7821600000000002</c:v>
                </c:pt>
                <c:pt idx="60">
                  <c:v>2.7842000000000002</c:v>
                </c:pt>
                <c:pt idx="61">
                  <c:v>2.7857500000000002</c:v>
                </c:pt>
                <c:pt idx="62">
                  <c:v>2.7870200000000001</c:v>
                </c:pt>
                <c:pt idx="63">
                  <c:v>2.7902300000000002</c:v>
                </c:pt>
                <c:pt idx="64">
                  <c:v>2.7906599999999999</c:v>
                </c:pt>
                <c:pt idx="65">
                  <c:v>2.78878</c:v>
                </c:pt>
                <c:pt idx="66">
                  <c:v>2.7900100000000001</c:v>
                </c:pt>
                <c:pt idx="67">
                  <c:v>2.7960800000000003</c:v>
                </c:pt>
                <c:pt idx="68">
                  <c:v>2.8075099999999997</c:v>
                </c:pt>
                <c:pt idx="69">
                  <c:v>2.81555</c:v>
                </c:pt>
                <c:pt idx="70">
                  <c:v>2.8323499999999999</c:v>
                </c:pt>
                <c:pt idx="71">
                  <c:v>2.8485300000000002</c:v>
                </c:pt>
                <c:pt idx="72">
                  <c:v>2.8639100000000002</c:v>
                </c:pt>
                <c:pt idx="73">
                  <c:v>2.8598600000000003</c:v>
                </c:pt>
                <c:pt idx="74">
                  <c:v>2.8458000000000001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43.780299999999997</c:v>
                </c:pt>
                <c:pt idx="1">
                  <c:v>44.418900000000001</c:v>
                </c:pt>
                <c:pt idx="2">
                  <c:v>44.998699999999999</c:v>
                </c:pt>
                <c:pt idx="3">
                  <c:v>45.509899999999995</c:v>
                </c:pt>
                <c:pt idx="4">
                  <c:v>46.120899999999999</c:v>
                </c:pt>
                <c:pt idx="5">
                  <c:v>46.687200000000004</c:v>
                </c:pt>
                <c:pt idx="6">
                  <c:v>47.2607</c:v>
                </c:pt>
                <c:pt idx="7">
                  <c:v>47.762500000000003</c:v>
                </c:pt>
                <c:pt idx="8">
                  <c:v>48.241399999999999</c:v>
                </c:pt>
                <c:pt idx="9">
                  <c:v>48.671700000000001</c:v>
                </c:pt>
                <c:pt idx="10">
                  <c:v>49.037399999999998</c:v>
                </c:pt>
                <c:pt idx="11">
                  <c:v>49.368699999999997</c:v>
                </c:pt>
                <c:pt idx="12">
                  <c:v>49.701299999999996</c:v>
                </c:pt>
                <c:pt idx="13">
                  <c:v>50.021999999999998</c:v>
                </c:pt>
                <c:pt idx="14">
                  <c:v>50.393500000000003</c:v>
                </c:pt>
                <c:pt idx="15">
                  <c:v>50.731899999999996</c:v>
                </c:pt>
                <c:pt idx="16">
                  <c:v>51.080400000000004</c:v>
                </c:pt>
                <c:pt idx="17">
                  <c:v>51.359299999999998</c:v>
                </c:pt>
                <c:pt idx="18">
                  <c:v>51.570499999999996</c:v>
                </c:pt>
                <c:pt idx="19">
                  <c:v>51.738900000000001</c:v>
                </c:pt>
                <c:pt idx="20">
                  <c:v>51.951999999999998</c:v>
                </c:pt>
                <c:pt idx="21">
                  <c:v>52.137699999999995</c:v>
                </c:pt>
                <c:pt idx="22">
                  <c:v>52.310400000000001</c:v>
                </c:pt>
                <c:pt idx="23">
                  <c:v>52.478199999999994</c:v>
                </c:pt>
                <c:pt idx="24">
                  <c:v>52.636000000000003</c:v>
                </c:pt>
                <c:pt idx="25">
                  <c:v>52.713500000000003</c:v>
                </c:pt>
                <c:pt idx="26">
                  <c:v>52.658700000000003</c:v>
                </c:pt>
                <c:pt idx="27">
                  <c:v>52.522899999999993</c:v>
                </c:pt>
                <c:pt idx="28">
                  <c:v>52.309899999999999</c:v>
                </c:pt>
                <c:pt idx="29">
                  <c:v>51.982099999999996</c:v>
                </c:pt>
                <c:pt idx="30">
                  <c:v>51.518600000000006</c:v>
                </c:pt>
                <c:pt idx="31">
                  <c:v>51.047299999999993</c:v>
                </c:pt>
                <c:pt idx="32">
                  <c:v>50.579900000000002</c:v>
                </c:pt>
                <c:pt idx="33">
                  <c:v>50.120600000000003</c:v>
                </c:pt>
                <c:pt idx="34">
                  <c:v>49.576999999999998</c:v>
                </c:pt>
                <c:pt idx="35">
                  <c:v>49.0261</c:v>
                </c:pt>
                <c:pt idx="36">
                  <c:v>48.476799999999997</c:v>
                </c:pt>
                <c:pt idx="37">
                  <c:v>47.948900000000002</c:v>
                </c:pt>
                <c:pt idx="38">
                  <c:v>47.450699999999998</c:v>
                </c:pt>
                <c:pt idx="39">
                  <c:v>46.903599999999997</c:v>
                </c:pt>
                <c:pt idx="40">
                  <c:v>46.315300000000001</c:v>
                </c:pt>
                <c:pt idx="41">
                  <c:v>45.801600000000001</c:v>
                </c:pt>
                <c:pt idx="42">
                  <c:v>45.321199999999997</c:v>
                </c:pt>
                <c:pt idx="43">
                  <c:v>44.890299999999996</c:v>
                </c:pt>
                <c:pt idx="44">
                  <c:v>44.501600000000003</c:v>
                </c:pt>
                <c:pt idx="45">
                  <c:v>44.148499999999999</c:v>
                </c:pt>
                <c:pt idx="46">
                  <c:v>43.768700000000003</c:v>
                </c:pt>
                <c:pt idx="47">
                  <c:v>43.399500000000003</c:v>
                </c:pt>
                <c:pt idx="48">
                  <c:v>42.963200000000001</c:v>
                </c:pt>
                <c:pt idx="49">
                  <c:v>42.596400000000003</c:v>
                </c:pt>
                <c:pt idx="50">
                  <c:v>42.311700000000002</c:v>
                </c:pt>
                <c:pt idx="51">
                  <c:v>42.116100000000003</c:v>
                </c:pt>
                <c:pt idx="52">
                  <c:v>41.927300000000002</c:v>
                </c:pt>
                <c:pt idx="53">
                  <c:v>41.737000000000002</c:v>
                </c:pt>
                <c:pt idx="54">
                  <c:v>41.578700000000005</c:v>
                </c:pt>
                <c:pt idx="55">
                  <c:v>41.456400000000002</c:v>
                </c:pt>
                <c:pt idx="56">
                  <c:v>41.323999999999998</c:v>
                </c:pt>
                <c:pt idx="57">
                  <c:v>41.163600000000002</c:v>
                </c:pt>
                <c:pt idx="58">
                  <c:v>40.981200000000001</c:v>
                </c:pt>
                <c:pt idx="59">
                  <c:v>40.828399999999995</c:v>
                </c:pt>
                <c:pt idx="60">
                  <c:v>40.685400000000001</c:v>
                </c:pt>
                <c:pt idx="61">
                  <c:v>40.532899999999998</c:v>
                </c:pt>
                <c:pt idx="62">
                  <c:v>40.366399999999999</c:v>
                </c:pt>
                <c:pt idx="63">
                  <c:v>40.226900000000001</c:v>
                </c:pt>
                <c:pt idx="64">
                  <c:v>40.178599999999996</c:v>
                </c:pt>
                <c:pt idx="65">
                  <c:v>40.2575</c:v>
                </c:pt>
                <c:pt idx="66">
                  <c:v>40.3093</c:v>
                </c:pt>
                <c:pt idx="67">
                  <c:v>40.402700000000003</c:v>
                </c:pt>
                <c:pt idx="68">
                  <c:v>40.427700000000002</c:v>
                </c:pt>
                <c:pt idx="69">
                  <c:v>40.398000000000003</c:v>
                </c:pt>
                <c:pt idx="70">
                  <c:v>40.261200000000002</c:v>
                </c:pt>
                <c:pt idx="71">
                  <c:v>40.176600000000001</c:v>
                </c:pt>
                <c:pt idx="72">
                  <c:v>40.1248</c:v>
                </c:pt>
                <c:pt idx="73">
                  <c:v>40.558100000000003</c:v>
                </c:pt>
                <c:pt idx="74">
                  <c:v>41.033799999999999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1.38703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2.7861189189189202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43.656567567567549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2.6221739189189193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46.028341891891891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2.6221739189189193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46.028341891891891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0.18948544704636916</c:v>
                </c:pt>
                <c:pt idx="1">
                  <c:v>0.3448527925334835</c:v>
                </c:pt>
                <c:pt idx="2">
                  <c:v>0.46566176042014729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0.401113</c:v>
                </c:pt>
                <c:pt idx="2">
                  <c:v>0.80696400000000001</c:v>
                </c:pt>
                <c:pt idx="3">
                  <c:v>1.2140599999999999</c:v>
                </c:pt>
                <c:pt idx="4">
                  <c:v>1.61711</c:v>
                </c:pt>
                <c:pt idx="5">
                  <c:v>2.0244300000000002</c:v>
                </c:pt>
                <c:pt idx="6">
                  <c:v>2.4312399999999998</c:v>
                </c:pt>
                <c:pt idx="7">
                  <c:v>2.8379599999999998</c:v>
                </c:pt>
                <c:pt idx="8">
                  <c:v>3.2435100000000001</c:v>
                </c:pt>
                <c:pt idx="9">
                  <c:v>3.6523500000000002</c:v>
                </c:pt>
                <c:pt idx="10">
                  <c:v>4.0542400000000001</c:v>
                </c:pt>
                <c:pt idx="11">
                  <c:v>4.4640500000000003</c:v>
                </c:pt>
                <c:pt idx="12">
                  <c:v>4.86937</c:v>
                </c:pt>
                <c:pt idx="13">
                  <c:v>5.2776899999999998</c:v>
                </c:pt>
                <c:pt idx="14">
                  <c:v>5.6795400000000003</c:v>
                </c:pt>
                <c:pt idx="15">
                  <c:v>6.0892799999999996</c:v>
                </c:pt>
                <c:pt idx="16">
                  <c:v>6.4953700000000003</c:v>
                </c:pt>
                <c:pt idx="17">
                  <c:v>6.8986700000000001</c:v>
                </c:pt>
                <c:pt idx="18">
                  <c:v>7.30715</c:v>
                </c:pt>
                <c:pt idx="19">
                  <c:v>7.7099099999999998</c:v>
                </c:pt>
                <c:pt idx="20">
                  <c:v>8.1181900000000002</c:v>
                </c:pt>
                <c:pt idx="21">
                  <c:v>8.5268499999999996</c:v>
                </c:pt>
                <c:pt idx="22">
                  <c:v>8.9315499999999997</c:v>
                </c:pt>
                <c:pt idx="23">
                  <c:v>9.3388399999999994</c:v>
                </c:pt>
                <c:pt idx="24">
                  <c:v>9.7425800000000002</c:v>
                </c:pt>
                <c:pt idx="25">
                  <c:v>10.1469</c:v>
                </c:pt>
                <c:pt idx="26">
                  <c:v>10.557600000000001</c:v>
                </c:pt>
                <c:pt idx="27">
                  <c:v>10.962199999999999</c:v>
                </c:pt>
                <c:pt idx="28">
                  <c:v>11.367100000000001</c:v>
                </c:pt>
                <c:pt idx="29">
                  <c:v>11.7746</c:v>
                </c:pt>
                <c:pt idx="30">
                  <c:v>12.180999999999999</c:v>
                </c:pt>
                <c:pt idx="31">
                  <c:v>12.587300000000001</c:v>
                </c:pt>
                <c:pt idx="32">
                  <c:v>12.994999999999999</c:v>
                </c:pt>
                <c:pt idx="33">
                  <c:v>13.3978</c:v>
                </c:pt>
                <c:pt idx="34">
                  <c:v>13.805</c:v>
                </c:pt>
                <c:pt idx="35">
                  <c:v>14.2135</c:v>
                </c:pt>
                <c:pt idx="36">
                  <c:v>14.6175</c:v>
                </c:pt>
                <c:pt idx="37">
                  <c:v>15.0237</c:v>
                </c:pt>
                <c:pt idx="38">
                  <c:v>15.432</c:v>
                </c:pt>
                <c:pt idx="39">
                  <c:v>15.8361</c:v>
                </c:pt>
                <c:pt idx="40">
                  <c:v>16.244499999999999</c:v>
                </c:pt>
                <c:pt idx="41">
                  <c:v>16.6511</c:v>
                </c:pt>
                <c:pt idx="42">
                  <c:v>17.052900000000001</c:v>
                </c:pt>
                <c:pt idx="43">
                  <c:v>17.462199999999999</c:v>
                </c:pt>
                <c:pt idx="44">
                  <c:v>17.870200000000001</c:v>
                </c:pt>
                <c:pt idx="45">
                  <c:v>18.274899999999999</c:v>
                </c:pt>
                <c:pt idx="46">
                  <c:v>18.682200000000002</c:v>
                </c:pt>
                <c:pt idx="47">
                  <c:v>19.0868</c:v>
                </c:pt>
                <c:pt idx="48">
                  <c:v>19.491399999999999</c:v>
                </c:pt>
                <c:pt idx="49">
                  <c:v>19.8995</c:v>
                </c:pt>
                <c:pt idx="50">
                  <c:v>20.307300000000001</c:v>
                </c:pt>
                <c:pt idx="51">
                  <c:v>20.7121</c:v>
                </c:pt>
                <c:pt idx="52">
                  <c:v>21.114899999999999</c:v>
                </c:pt>
                <c:pt idx="53">
                  <c:v>21.5229</c:v>
                </c:pt>
                <c:pt idx="54">
                  <c:v>21.932300000000001</c:v>
                </c:pt>
                <c:pt idx="55">
                  <c:v>22.3398</c:v>
                </c:pt>
                <c:pt idx="56">
                  <c:v>22.746600000000001</c:v>
                </c:pt>
                <c:pt idx="57">
                  <c:v>23.151</c:v>
                </c:pt>
                <c:pt idx="58">
                  <c:v>23.5533</c:v>
                </c:pt>
                <c:pt idx="59">
                  <c:v>23.9621</c:v>
                </c:pt>
                <c:pt idx="60">
                  <c:v>24.3705</c:v>
                </c:pt>
                <c:pt idx="61">
                  <c:v>24.776299999999999</c:v>
                </c:pt>
                <c:pt idx="62">
                  <c:v>25.178799999999999</c:v>
                </c:pt>
                <c:pt idx="63">
                  <c:v>25.5853</c:v>
                </c:pt>
                <c:pt idx="64">
                  <c:v>25.9941</c:v>
                </c:pt>
                <c:pt idx="65">
                  <c:v>26.400700000000001</c:v>
                </c:pt>
                <c:pt idx="66">
                  <c:v>26.808399999999999</c:v>
                </c:pt>
                <c:pt idx="67">
                  <c:v>27.211400000000001</c:v>
                </c:pt>
                <c:pt idx="68">
                  <c:v>27.6174</c:v>
                </c:pt>
                <c:pt idx="69">
                  <c:v>28.023299999999999</c:v>
                </c:pt>
                <c:pt idx="70">
                  <c:v>28.434799999999999</c:v>
                </c:pt>
                <c:pt idx="71">
                  <c:v>28.8367</c:v>
                </c:pt>
                <c:pt idx="72">
                  <c:v>29.242899999999999</c:v>
                </c:pt>
                <c:pt idx="73">
                  <c:v>29.6477</c:v>
                </c:pt>
                <c:pt idx="74">
                  <c:v>30.0579</c:v>
                </c:pt>
                <c:pt idx="75">
                  <c:v>30.528600000000001</c:v>
                </c:pt>
                <c:pt idx="76">
                  <c:v>30.915099999999999</c:v>
                </c:pt>
                <c:pt idx="77">
                  <c:v>31.3218</c:v>
                </c:pt>
                <c:pt idx="78">
                  <c:v>31.7315</c:v>
                </c:pt>
                <c:pt idx="79">
                  <c:v>32.135800000000003</c:v>
                </c:pt>
                <c:pt idx="80">
                  <c:v>32.539499999999997</c:v>
                </c:pt>
                <c:pt idx="81">
                  <c:v>32.946199999999997</c:v>
                </c:pt>
                <c:pt idx="82">
                  <c:v>33.352600000000002</c:v>
                </c:pt>
                <c:pt idx="83">
                  <c:v>33.758600000000001</c:v>
                </c:pt>
                <c:pt idx="84">
                  <c:v>34.1629</c:v>
                </c:pt>
                <c:pt idx="85">
                  <c:v>34.571399999999997</c:v>
                </c:pt>
                <c:pt idx="86">
                  <c:v>34.976999999999997</c:v>
                </c:pt>
                <c:pt idx="87">
                  <c:v>35.386699999999998</c:v>
                </c:pt>
                <c:pt idx="88">
                  <c:v>35.788699999999999</c:v>
                </c:pt>
                <c:pt idx="89">
                  <c:v>36.197400000000002</c:v>
                </c:pt>
                <c:pt idx="90">
                  <c:v>36.604999999999997</c:v>
                </c:pt>
                <c:pt idx="91">
                  <c:v>37.011099999999999</c:v>
                </c:pt>
                <c:pt idx="92">
                  <c:v>37.418900000000001</c:v>
                </c:pt>
                <c:pt idx="93">
                  <c:v>37.822000000000003</c:v>
                </c:pt>
                <c:pt idx="94">
                  <c:v>38.227400000000003</c:v>
                </c:pt>
                <c:pt idx="95">
                  <c:v>38.637</c:v>
                </c:pt>
                <c:pt idx="96">
                  <c:v>39.041400000000003</c:v>
                </c:pt>
                <c:pt idx="97">
                  <c:v>39.445700000000002</c:v>
                </c:pt>
                <c:pt idx="98">
                  <c:v>39.8521</c:v>
                </c:pt>
                <c:pt idx="99">
                  <c:v>40.258800000000001</c:v>
                </c:pt>
                <c:pt idx="100">
                  <c:v>40.664400000000001</c:v>
                </c:pt>
                <c:pt idx="101">
                  <c:v>41.0747</c:v>
                </c:pt>
                <c:pt idx="102">
                  <c:v>41.480899999999998</c:v>
                </c:pt>
                <c:pt idx="103">
                  <c:v>41.884999999999998</c:v>
                </c:pt>
                <c:pt idx="104">
                  <c:v>42.288800000000002</c:v>
                </c:pt>
                <c:pt idx="105">
                  <c:v>42.694600000000001</c:v>
                </c:pt>
                <c:pt idx="106">
                  <c:v>43.103900000000003</c:v>
                </c:pt>
                <c:pt idx="107">
                  <c:v>43.511699999999998</c:v>
                </c:pt>
                <c:pt idx="108">
                  <c:v>43.915999999999997</c:v>
                </c:pt>
                <c:pt idx="109">
                  <c:v>44.320999999999998</c:v>
                </c:pt>
                <c:pt idx="110">
                  <c:v>44.728299999999997</c:v>
                </c:pt>
                <c:pt idx="111">
                  <c:v>45.138599999999997</c:v>
                </c:pt>
                <c:pt idx="112">
                  <c:v>45.541400000000003</c:v>
                </c:pt>
                <c:pt idx="113">
                  <c:v>45.948099999999997</c:v>
                </c:pt>
                <c:pt idx="114">
                  <c:v>46.355200000000004</c:v>
                </c:pt>
                <c:pt idx="115">
                  <c:v>46.758200000000002</c:v>
                </c:pt>
                <c:pt idx="116">
                  <c:v>47.164099999999998</c:v>
                </c:pt>
                <c:pt idx="117">
                  <c:v>47.572299999999998</c:v>
                </c:pt>
                <c:pt idx="118">
                  <c:v>47.979300000000002</c:v>
                </c:pt>
                <c:pt idx="119">
                  <c:v>48.383000000000003</c:v>
                </c:pt>
                <c:pt idx="120">
                  <c:v>48.787700000000001</c:v>
                </c:pt>
                <c:pt idx="121">
                  <c:v>49.1965</c:v>
                </c:pt>
                <c:pt idx="122">
                  <c:v>49.604599999999998</c:v>
                </c:pt>
                <c:pt idx="123">
                  <c:v>50.011000000000003</c:v>
                </c:pt>
                <c:pt idx="124">
                  <c:v>50.414700000000003</c:v>
                </c:pt>
                <c:pt idx="125">
                  <c:v>50.819499999999998</c:v>
                </c:pt>
                <c:pt idx="126">
                  <c:v>51.227600000000002</c:v>
                </c:pt>
                <c:pt idx="127">
                  <c:v>51.631</c:v>
                </c:pt>
                <c:pt idx="128">
                  <c:v>52.041400000000003</c:v>
                </c:pt>
                <c:pt idx="129">
                  <c:v>52.444699999999997</c:v>
                </c:pt>
                <c:pt idx="130">
                  <c:v>52.851500000000001</c:v>
                </c:pt>
                <c:pt idx="131">
                  <c:v>53.261200000000002</c:v>
                </c:pt>
                <c:pt idx="132">
                  <c:v>53.668399999999998</c:v>
                </c:pt>
                <c:pt idx="133">
                  <c:v>54.072400000000002</c:v>
                </c:pt>
                <c:pt idx="134">
                  <c:v>54.476399999999998</c:v>
                </c:pt>
                <c:pt idx="135">
                  <c:v>54.8825</c:v>
                </c:pt>
                <c:pt idx="136">
                  <c:v>55.2913</c:v>
                </c:pt>
                <c:pt idx="137">
                  <c:v>55.6982</c:v>
                </c:pt>
                <c:pt idx="138">
                  <c:v>56.103999999999999</c:v>
                </c:pt>
                <c:pt idx="139">
                  <c:v>56.506700000000002</c:v>
                </c:pt>
                <c:pt idx="140">
                  <c:v>56.915100000000002</c:v>
                </c:pt>
                <c:pt idx="141">
                  <c:v>57.3247</c:v>
                </c:pt>
                <c:pt idx="142">
                  <c:v>57.730800000000002</c:v>
                </c:pt>
                <c:pt idx="143">
                  <c:v>58.136000000000003</c:v>
                </c:pt>
                <c:pt idx="144">
                  <c:v>58.5381</c:v>
                </c:pt>
                <c:pt idx="145">
                  <c:v>58.945399999999999</c:v>
                </c:pt>
                <c:pt idx="146">
                  <c:v>59.3506</c:v>
                </c:pt>
                <c:pt idx="147">
                  <c:v>59.7575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1.38703</c:v>
                </c:pt>
                <c:pt idx="1">
                  <c:v>1.4351099999999999</c:v>
                </c:pt>
                <c:pt idx="2">
                  <c:v>1.4821200000000001</c:v>
                </c:pt>
                <c:pt idx="3">
                  <c:v>1.52847</c:v>
                </c:pt>
                <c:pt idx="4">
                  <c:v>1.5757399999999999</c:v>
                </c:pt>
                <c:pt idx="5">
                  <c:v>1.62277</c:v>
                </c:pt>
                <c:pt idx="6">
                  <c:v>1.6719400000000002</c:v>
                </c:pt>
                <c:pt idx="7">
                  <c:v>1.7261299999999999</c:v>
                </c:pt>
                <c:pt idx="8">
                  <c:v>1.7854700000000001</c:v>
                </c:pt>
                <c:pt idx="9">
                  <c:v>1.8476300000000001</c:v>
                </c:pt>
                <c:pt idx="10">
                  <c:v>1.90977</c:v>
                </c:pt>
                <c:pt idx="11">
                  <c:v>1.9696099999999999</c:v>
                </c:pt>
                <c:pt idx="12">
                  <c:v>2.0249600000000001</c:v>
                </c:pt>
                <c:pt idx="13">
                  <c:v>2.0784600000000002</c:v>
                </c:pt>
                <c:pt idx="14">
                  <c:v>2.13632</c:v>
                </c:pt>
                <c:pt idx="15">
                  <c:v>2.1969099999999999</c:v>
                </c:pt>
                <c:pt idx="16">
                  <c:v>2.2599200000000002</c:v>
                </c:pt>
                <c:pt idx="17">
                  <c:v>2.3208799999999998</c:v>
                </c:pt>
                <c:pt idx="18">
                  <c:v>2.3790100000000001</c:v>
                </c:pt>
                <c:pt idx="19">
                  <c:v>2.4352900000000002</c:v>
                </c:pt>
                <c:pt idx="20">
                  <c:v>2.4905400000000002</c:v>
                </c:pt>
                <c:pt idx="21">
                  <c:v>2.5450900000000001</c:v>
                </c:pt>
                <c:pt idx="22">
                  <c:v>2.5975100000000002</c:v>
                </c:pt>
                <c:pt idx="23">
                  <c:v>2.6498500000000003</c:v>
                </c:pt>
                <c:pt idx="24">
                  <c:v>2.7052500000000004</c:v>
                </c:pt>
                <c:pt idx="25">
                  <c:v>2.7618999999999998</c:v>
                </c:pt>
                <c:pt idx="26">
                  <c:v>2.8186800000000001</c:v>
                </c:pt>
                <c:pt idx="27">
                  <c:v>2.8758699999999999</c:v>
                </c:pt>
                <c:pt idx="28">
                  <c:v>2.93283</c:v>
                </c:pt>
                <c:pt idx="29">
                  <c:v>2.9914800000000001</c:v>
                </c:pt>
                <c:pt idx="30">
                  <c:v>3.0486499999999999</c:v>
                </c:pt>
                <c:pt idx="31">
                  <c:v>3.10128</c:v>
                </c:pt>
                <c:pt idx="32">
                  <c:v>3.14541</c:v>
                </c:pt>
                <c:pt idx="33">
                  <c:v>3.1803699999999999</c:v>
                </c:pt>
                <c:pt idx="34">
                  <c:v>3.2099199999999999</c:v>
                </c:pt>
                <c:pt idx="35">
                  <c:v>3.23841</c:v>
                </c:pt>
                <c:pt idx="36">
                  <c:v>3.2708700000000004</c:v>
                </c:pt>
                <c:pt idx="37">
                  <c:v>3.3040399999999996</c:v>
                </c:pt>
                <c:pt idx="38">
                  <c:v>3.33751</c:v>
                </c:pt>
                <c:pt idx="39">
                  <c:v>3.36815</c:v>
                </c:pt>
                <c:pt idx="40">
                  <c:v>3.39595</c:v>
                </c:pt>
                <c:pt idx="41">
                  <c:v>3.4214000000000002</c:v>
                </c:pt>
                <c:pt idx="42">
                  <c:v>3.4451100000000001</c:v>
                </c:pt>
                <c:pt idx="43">
                  <c:v>3.4654499999999997</c:v>
                </c:pt>
                <c:pt idx="44">
                  <c:v>3.4808299999999996</c:v>
                </c:pt>
                <c:pt idx="45">
                  <c:v>3.4915699999999998</c:v>
                </c:pt>
                <c:pt idx="46">
                  <c:v>3.4954400000000003</c:v>
                </c:pt>
                <c:pt idx="47">
                  <c:v>3.49634</c:v>
                </c:pt>
                <c:pt idx="48">
                  <c:v>3.4941599999999999</c:v>
                </c:pt>
                <c:pt idx="49">
                  <c:v>3.484</c:v>
                </c:pt>
                <c:pt idx="50">
                  <c:v>3.4775200000000002</c:v>
                </c:pt>
                <c:pt idx="51">
                  <c:v>3.4450799999999999</c:v>
                </c:pt>
                <c:pt idx="52">
                  <c:v>3.4309699999999999</c:v>
                </c:pt>
                <c:pt idx="53">
                  <c:v>3.4048400000000001</c:v>
                </c:pt>
                <c:pt idx="54">
                  <c:v>3.3634900000000001</c:v>
                </c:pt>
                <c:pt idx="55">
                  <c:v>3.32918</c:v>
                </c:pt>
                <c:pt idx="56">
                  <c:v>3.2942300000000002</c:v>
                </c:pt>
                <c:pt idx="57">
                  <c:v>3.2592400000000001</c:v>
                </c:pt>
                <c:pt idx="58">
                  <c:v>3.23807</c:v>
                </c:pt>
                <c:pt idx="59">
                  <c:v>3.1900899999999996</c:v>
                </c:pt>
                <c:pt idx="60">
                  <c:v>3.1662699999999999</c:v>
                </c:pt>
                <c:pt idx="61">
                  <c:v>3.12439</c:v>
                </c:pt>
                <c:pt idx="62">
                  <c:v>3.0828199999999999</c:v>
                </c:pt>
                <c:pt idx="63">
                  <c:v>3.0406300000000002</c:v>
                </c:pt>
                <c:pt idx="64">
                  <c:v>2.98874</c:v>
                </c:pt>
                <c:pt idx="65">
                  <c:v>2.9492400000000001</c:v>
                </c:pt>
                <c:pt idx="66">
                  <c:v>2.9101599999999999</c:v>
                </c:pt>
                <c:pt idx="67">
                  <c:v>2.8759200000000003</c:v>
                </c:pt>
                <c:pt idx="68">
                  <c:v>2.8360999999999996</c:v>
                </c:pt>
                <c:pt idx="69">
                  <c:v>2.8071200000000003</c:v>
                </c:pt>
                <c:pt idx="70">
                  <c:v>2.7760400000000001</c:v>
                </c:pt>
                <c:pt idx="71">
                  <c:v>2.7492200000000002</c:v>
                </c:pt>
                <c:pt idx="72">
                  <c:v>2.7216200000000002</c:v>
                </c:pt>
                <c:pt idx="73">
                  <c:v>2.69442</c:v>
                </c:pt>
                <c:pt idx="74">
                  <c:v>2.6672200000000004</c:v>
                </c:pt>
                <c:pt idx="75">
                  <c:v>2.6444000000000001</c:v>
                </c:pt>
                <c:pt idx="76">
                  <c:v>2.6254200000000001</c:v>
                </c:pt>
                <c:pt idx="77">
                  <c:v>2.6050599999999999</c:v>
                </c:pt>
                <c:pt idx="78">
                  <c:v>2.58514</c:v>
                </c:pt>
                <c:pt idx="79">
                  <c:v>2.5646300000000002</c:v>
                </c:pt>
                <c:pt idx="80">
                  <c:v>2.54616</c:v>
                </c:pt>
                <c:pt idx="81">
                  <c:v>2.5289600000000001</c:v>
                </c:pt>
                <c:pt idx="82">
                  <c:v>2.5164599999999999</c:v>
                </c:pt>
                <c:pt idx="83">
                  <c:v>2.5072999999999999</c:v>
                </c:pt>
                <c:pt idx="84">
                  <c:v>2.5019900000000002</c:v>
                </c:pt>
                <c:pt idx="85">
                  <c:v>2.4968599999999999</c:v>
                </c:pt>
                <c:pt idx="86">
                  <c:v>2.4917600000000002</c:v>
                </c:pt>
                <c:pt idx="87">
                  <c:v>2.48394</c:v>
                </c:pt>
                <c:pt idx="88">
                  <c:v>2.4788999999999999</c:v>
                </c:pt>
                <c:pt idx="89">
                  <c:v>2.47411</c:v>
                </c:pt>
                <c:pt idx="90">
                  <c:v>2.4720500000000003</c:v>
                </c:pt>
                <c:pt idx="91">
                  <c:v>2.4704999999999999</c:v>
                </c:pt>
                <c:pt idx="92">
                  <c:v>2.4679200000000003</c:v>
                </c:pt>
                <c:pt idx="93">
                  <c:v>2.4614500000000001</c:v>
                </c:pt>
                <c:pt idx="94">
                  <c:v>2.4561299999999999</c:v>
                </c:pt>
                <c:pt idx="95">
                  <c:v>2.4500299999999999</c:v>
                </c:pt>
                <c:pt idx="96">
                  <c:v>2.44434</c:v>
                </c:pt>
                <c:pt idx="97">
                  <c:v>2.4389099999999999</c:v>
                </c:pt>
                <c:pt idx="98">
                  <c:v>2.43547</c:v>
                </c:pt>
                <c:pt idx="99">
                  <c:v>2.4354999999999998</c:v>
                </c:pt>
                <c:pt idx="100">
                  <c:v>2.4368500000000002</c:v>
                </c:pt>
                <c:pt idx="101">
                  <c:v>2.4403899999999998</c:v>
                </c:pt>
                <c:pt idx="102">
                  <c:v>2.4453800000000001</c:v>
                </c:pt>
                <c:pt idx="103">
                  <c:v>2.45417</c:v>
                </c:pt>
                <c:pt idx="104">
                  <c:v>2.4636800000000001</c:v>
                </c:pt>
                <c:pt idx="105">
                  <c:v>2.4740599999999997</c:v>
                </c:pt>
                <c:pt idx="106">
                  <c:v>2.4850400000000001</c:v>
                </c:pt>
                <c:pt idx="107">
                  <c:v>2.4998999999999998</c:v>
                </c:pt>
                <c:pt idx="108">
                  <c:v>2.5155599999999998</c:v>
                </c:pt>
                <c:pt idx="109">
                  <c:v>2.53199</c:v>
                </c:pt>
                <c:pt idx="110">
                  <c:v>2.5486900000000001</c:v>
                </c:pt>
                <c:pt idx="111">
                  <c:v>2.5639799999999999</c:v>
                </c:pt>
                <c:pt idx="112">
                  <c:v>2.5808300000000002</c:v>
                </c:pt>
                <c:pt idx="113">
                  <c:v>2.5976599999999999</c:v>
                </c:pt>
                <c:pt idx="114">
                  <c:v>2.6123099999999999</c:v>
                </c:pt>
                <c:pt idx="115">
                  <c:v>2.6242799999999997</c:v>
                </c:pt>
                <c:pt idx="116">
                  <c:v>2.63449</c:v>
                </c:pt>
                <c:pt idx="117">
                  <c:v>2.6459799999999998</c:v>
                </c:pt>
                <c:pt idx="118">
                  <c:v>2.6577899999999999</c:v>
                </c:pt>
                <c:pt idx="119">
                  <c:v>2.6700400000000002</c:v>
                </c:pt>
                <c:pt idx="120">
                  <c:v>2.6843499999999998</c:v>
                </c:pt>
                <c:pt idx="121">
                  <c:v>2.7021099999999998</c:v>
                </c:pt>
                <c:pt idx="122">
                  <c:v>2.7193299999999998</c:v>
                </c:pt>
                <c:pt idx="123">
                  <c:v>2.7341199999999999</c:v>
                </c:pt>
                <c:pt idx="124">
                  <c:v>2.7420099999999996</c:v>
                </c:pt>
                <c:pt idx="125">
                  <c:v>2.74959</c:v>
                </c:pt>
                <c:pt idx="126">
                  <c:v>2.7566200000000003</c:v>
                </c:pt>
                <c:pt idx="127">
                  <c:v>2.7619899999999999</c:v>
                </c:pt>
                <c:pt idx="128">
                  <c:v>2.7653499999999998</c:v>
                </c:pt>
                <c:pt idx="129">
                  <c:v>2.7692299999999999</c:v>
                </c:pt>
                <c:pt idx="130">
                  <c:v>2.7741400000000001</c:v>
                </c:pt>
                <c:pt idx="131">
                  <c:v>2.7799499999999999</c:v>
                </c:pt>
                <c:pt idx="132">
                  <c:v>2.7821600000000002</c:v>
                </c:pt>
                <c:pt idx="133">
                  <c:v>2.7842000000000002</c:v>
                </c:pt>
                <c:pt idx="134">
                  <c:v>2.7857500000000002</c:v>
                </c:pt>
                <c:pt idx="135">
                  <c:v>2.7870200000000001</c:v>
                </c:pt>
                <c:pt idx="136">
                  <c:v>2.7902300000000002</c:v>
                </c:pt>
                <c:pt idx="137">
                  <c:v>2.7906599999999999</c:v>
                </c:pt>
                <c:pt idx="138">
                  <c:v>2.78878</c:v>
                </c:pt>
                <c:pt idx="139">
                  <c:v>2.7900100000000001</c:v>
                </c:pt>
                <c:pt idx="140">
                  <c:v>2.7960800000000003</c:v>
                </c:pt>
                <c:pt idx="141">
                  <c:v>2.8075099999999997</c:v>
                </c:pt>
                <c:pt idx="142">
                  <c:v>2.81555</c:v>
                </c:pt>
                <c:pt idx="143">
                  <c:v>2.8323499999999999</c:v>
                </c:pt>
                <c:pt idx="144">
                  <c:v>2.8485300000000002</c:v>
                </c:pt>
                <c:pt idx="145">
                  <c:v>2.8639100000000002</c:v>
                </c:pt>
                <c:pt idx="146">
                  <c:v>2.8598600000000003</c:v>
                </c:pt>
                <c:pt idx="147">
                  <c:v>2.8458000000000001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0.401113</c:v>
                </c:pt>
                <c:pt idx="2">
                  <c:v>0.80696400000000001</c:v>
                </c:pt>
                <c:pt idx="3">
                  <c:v>1.2140599999999999</c:v>
                </c:pt>
                <c:pt idx="4">
                  <c:v>1.61711</c:v>
                </c:pt>
                <c:pt idx="5">
                  <c:v>2.0244300000000002</c:v>
                </c:pt>
                <c:pt idx="6">
                  <c:v>2.4312399999999998</c:v>
                </c:pt>
                <c:pt idx="7">
                  <c:v>2.8379599999999998</c:v>
                </c:pt>
                <c:pt idx="8">
                  <c:v>3.2435100000000001</c:v>
                </c:pt>
                <c:pt idx="9">
                  <c:v>3.6523500000000002</c:v>
                </c:pt>
                <c:pt idx="10">
                  <c:v>4.0542400000000001</c:v>
                </c:pt>
                <c:pt idx="11">
                  <c:v>4.4640500000000003</c:v>
                </c:pt>
                <c:pt idx="12">
                  <c:v>4.86937</c:v>
                </c:pt>
                <c:pt idx="13">
                  <c:v>5.2776899999999998</c:v>
                </c:pt>
                <c:pt idx="14">
                  <c:v>5.6795400000000003</c:v>
                </c:pt>
                <c:pt idx="15">
                  <c:v>6.0892799999999996</c:v>
                </c:pt>
                <c:pt idx="16">
                  <c:v>6.4953700000000003</c:v>
                </c:pt>
                <c:pt idx="17">
                  <c:v>6.8986700000000001</c:v>
                </c:pt>
                <c:pt idx="18">
                  <c:v>7.30715</c:v>
                </c:pt>
                <c:pt idx="19">
                  <c:v>7.7099099999999998</c:v>
                </c:pt>
                <c:pt idx="20">
                  <c:v>8.1181900000000002</c:v>
                </c:pt>
                <c:pt idx="21">
                  <c:v>8.5268499999999996</c:v>
                </c:pt>
                <c:pt idx="22">
                  <c:v>8.9315499999999997</c:v>
                </c:pt>
                <c:pt idx="23">
                  <c:v>9.3388399999999994</c:v>
                </c:pt>
                <c:pt idx="24">
                  <c:v>9.7425800000000002</c:v>
                </c:pt>
                <c:pt idx="25">
                  <c:v>10.1469</c:v>
                </c:pt>
                <c:pt idx="26">
                  <c:v>10.557600000000001</c:v>
                </c:pt>
                <c:pt idx="27">
                  <c:v>10.962199999999999</c:v>
                </c:pt>
                <c:pt idx="28">
                  <c:v>11.367100000000001</c:v>
                </c:pt>
                <c:pt idx="29">
                  <c:v>11.7746</c:v>
                </c:pt>
                <c:pt idx="30">
                  <c:v>12.180999999999999</c:v>
                </c:pt>
                <c:pt idx="31">
                  <c:v>12.587300000000001</c:v>
                </c:pt>
                <c:pt idx="32">
                  <c:v>12.994999999999999</c:v>
                </c:pt>
                <c:pt idx="33">
                  <c:v>13.3978</c:v>
                </c:pt>
                <c:pt idx="34">
                  <c:v>13.805</c:v>
                </c:pt>
                <c:pt idx="35">
                  <c:v>14.2135</c:v>
                </c:pt>
                <c:pt idx="36">
                  <c:v>14.6175</c:v>
                </c:pt>
                <c:pt idx="37">
                  <c:v>15.0237</c:v>
                </c:pt>
                <c:pt idx="38">
                  <c:v>15.432</c:v>
                </c:pt>
                <c:pt idx="39">
                  <c:v>15.8361</c:v>
                </c:pt>
                <c:pt idx="40">
                  <c:v>16.244499999999999</c:v>
                </c:pt>
                <c:pt idx="41">
                  <c:v>16.6511</c:v>
                </c:pt>
                <c:pt idx="42">
                  <c:v>17.052900000000001</c:v>
                </c:pt>
                <c:pt idx="43">
                  <c:v>17.462199999999999</c:v>
                </c:pt>
                <c:pt idx="44">
                  <c:v>17.870200000000001</c:v>
                </c:pt>
                <c:pt idx="45">
                  <c:v>18.274899999999999</c:v>
                </c:pt>
                <c:pt idx="46">
                  <c:v>18.682200000000002</c:v>
                </c:pt>
                <c:pt idx="47">
                  <c:v>19.0868</c:v>
                </c:pt>
                <c:pt idx="48">
                  <c:v>19.491399999999999</c:v>
                </c:pt>
                <c:pt idx="49">
                  <c:v>19.8995</c:v>
                </c:pt>
                <c:pt idx="50">
                  <c:v>20.307300000000001</c:v>
                </c:pt>
                <c:pt idx="51">
                  <c:v>20.7121</c:v>
                </c:pt>
                <c:pt idx="52">
                  <c:v>21.114899999999999</c:v>
                </c:pt>
                <c:pt idx="53">
                  <c:v>21.5229</c:v>
                </c:pt>
                <c:pt idx="54">
                  <c:v>21.932300000000001</c:v>
                </c:pt>
                <c:pt idx="55">
                  <c:v>22.3398</c:v>
                </c:pt>
                <c:pt idx="56">
                  <c:v>22.746600000000001</c:v>
                </c:pt>
                <c:pt idx="57">
                  <c:v>23.151</c:v>
                </c:pt>
                <c:pt idx="58">
                  <c:v>23.5533</c:v>
                </c:pt>
                <c:pt idx="59">
                  <c:v>23.9621</c:v>
                </c:pt>
                <c:pt idx="60">
                  <c:v>24.3705</c:v>
                </c:pt>
                <c:pt idx="61">
                  <c:v>24.776299999999999</c:v>
                </c:pt>
                <c:pt idx="62">
                  <c:v>25.178799999999999</c:v>
                </c:pt>
                <c:pt idx="63">
                  <c:v>25.5853</c:v>
                </c:pt>
                <c:pt idx="64">
                  <c:v>25.9941</c:v>
                </c:pt>
                <c:pt idx="65">
                  <c:v>26.400700000000001</c:v>
                </c:pt>
                <c:pt idx="66">
                  <c:v>26.808399999999999</c:v>
                </c:pt>
                <c:pt idx="67">
                  <c:v>27.211400000000001</c:v>
                </c:pt>
                <c:pt idx="68">
                  <c:v>27.6174</c:v>
                </c:pt>
                <c:pt idx="69">
                  <c:v>28.023299999999999</c:v>
                </c:pt>
                <c:pt idx="70">
                  <c:v>28.434799999999999</c:v>
                </c:pt>
                <c:pt idx="71">
                  <c:v>28.8367</c:v>
                </c:pt>
                <c:pt idx="72">
                  <c:v>29.242899999999999</c:v>
                </c:pt>
                <c:pt idx="73">
                  <c:v>29.6477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1.38703</c:v>
                </c:pt>
                <c:pt idx="1">
                  <c:v>1.4351099999999999</c:v>
                </c:pt>
                <c:pt idx="2">
                  <c:v>1.4821200000000001</c:v>
                </c:pt>
                <c:pt idx="3">
                  <c:v>1.52847</c:v>
                </c:pt>
                <c:pt idx="4">
                  <c:v>1.5757399999999999</c:v>
                </c:pt>
                <c:pt idx="5">
                  <c:v>1.62277</c:v>
                </c:pt>
                <c:pt idx="6">
                  <c:v>1.6719400000000002</c:v>
                </c:pt>
                <c:pt idx="7">
                  <c:v>1.7261299999999999</c:v>
                </c:pt>
                <c:pt idx="8">
                  <c:v>1.7854700000000001</c:v>
                </c:pt>
                <c:pt idx="9">
                  <c:v>1.8476300000000001</c:v>
                </c:pt>
                <c:pt idx="10">
                  <c:v>1.90977</c:v>
                </c:pt>
                <c:pt idx="11">
                  <c:v>1.9696099999999999</c:v>
                </c:pt>
                <c:pt idx="12">
                  <c:v>2.0249600000000001</c:v>
                </c:pt>
                <c:pt idx="13">
                  <c:v>2.0784600000000002</c:v>
                </c:pt>
                <c:pt idx="14">
                  <c:v>2.13632</c:v>
                </c:pt>
                <c:pt idx="15">
                  <c:v>2.1969099999999999</c:v>
                </c:pt>
                <c:pt idx="16">
                  <c:v>2.2599200000000002</c:v>
                </c:pt>
                <c:pt idx="17">
                  <c:v>2.3208799999999998</c:v>
                </c:pt>
                <c:pt idx="18">
                  <c:v>2.3790100000000001</c:v>
                </c:pt>
                <c:pt idx="19">
                  <c:v>2.4352900000000002</c:v>
                </c:pt>
                <c:pt idx="20">
                  <c:v>2.4905400000000002</c:v>
                </c:pt>
                <c:pt idx="21">
                  <c:v>2.5450900000000001</c:v>
                </c:pt>
                <c:pt idx="22">
                  <c:v>2.5975100000000002</c:v>
                </c:pt>
                <c:pt idx="23">
                  <c:v>2.6498500000000003</c:v>
                </c:pt>
                <c:pt idx="24">
                  <c:v>2.7052500000000004</c:v>
                </c:pt>
                <c:pt idx="25">
                  <c:v>2.7618999999999998</c:v>
                </c:pt>
                <c:pt idx="26">
                  <c:v>2.8186800000000001</c:v>
                </c:pt>
                <c:pt idx="27">
                  <c:v>2.8758699999999999</c:v>
                </c:pt>
                <c:pt idx="28">
                  <c:v>2.93283</c:v>
                </c:pt>
                <c:pt idx="29">
                  <c:v>2.9914800000000001</c:v>
                </c:pt>
                <c:pt idx="30">
                  <c:v>3.0486499999999999</c:v>
                </c:pt>
                <c:pt idx="31">
                  <c:v>3.10128</c:v>
                </c:pt>
                <c:pt idx="32">
                  <c:v>3.14541</c:v>
                </c:pt>
                <c:pt idx="33">
                  <c:v>3.1803699999999999</c:v>
                </c:pt>
                <c:pt idx="34">
                  <c:v>3.2099199999999999</c:v>
                </c:pt>
                <c:pt idx="35">
                  <c:v>3.23841</c:v>
                </c:pt>
                <c:pt idx="36">
                  <c:v>3.2708700000000004</c:v>
                </c:pt>
                <c:pt idx="37">
                  <c:v>3.3040399999999996</c:v>
                </c:pt>
                <c:pt idx="38">
                  <c:v>3.33751</c:v>
                </c:pt>
                <c:pt idx="39">
                  <c:v>3.36815</c:v>
                </c:pt>
                <c:pt idx="40">
                  <c:v>3.39595</c:v>
                </c:pt>
                <c:pt idx="41">
                  <c:v>3.4214000000000002</c:v>
                </c:pt>
                <c:pt idx="42">
                  <c:v>3.4451100000000001</c:v>
                </c:pt>
                <c:pt idx="43">
                  <c:v>3.4654499999999997</c:v>
                </c:pt>
                <c:pt idx="44">
                  <c:v>3.4808299999999996</c:v>
                </c:pt>
                <c:pt idx="45">
                  <c:v>3.4915699999999998</c:v>
                </c:pt>
                <c:pt idx="46">
                  <c:v>3.4954400000000003</c:v>
                </c:pt>
                <c:pt idx="47">
                  <c:v>3.49634</c:v>
                </c:pt>
                <c:pt idx="48">
                  <c:v>3.4941599999999999</c:v>
                </c:pt>
                <c:pt idx="49">
                  <c:v>3.484</c:v>
                </c:pt>
                <c:pt idx="50">
                  <c:v>3.4775200000000002</c:v>
                </c:pt>
                <c:pt idx="51">
                  <c:v>3.4450799999999999</c:v>
                </c:pt>
                <c:pt idx="52">
                  <c:v>3.4309699999999999</c:v>
                </c:pt>
                <c:pt idx="53">
                  <c:v>3.4048400000000001</c:v>
                </c:pt>
                <c:pt idx="54">
                  <c:v>3.3634900000000001</c:v>
                </c:pt>
                <c:pt idx="55">
                  <c:v>3.32918</c:v>
                </c:pt>
                <c:pt idx="56">
                  <c:v>3.2942300000000002</c:v>
                </c:pt>
                <c:pt idx="57">
                  <c:v>3.2592400000000001</c:v>
                </c:pt>
                <c:pt idx="58">
                  <c:v>3.23807</c:v>
                </c:pt>
                <c:pt idx="59">
                  <c:v>3.1900899999999996</c:v>
                </c:pt>
                <c:pt idx="60">
                  <c:v>3.1662699999999999</c:v>
                </c:pt>
                <c:pt idx="61">
                  <c:v>3.12439</c:v>
                </c:pt>
                <c:pt idx="62">
                  <c:v>3.0828199999999999</c:v>
                </c:pt>
                <c:pt idx="63">
                  <c:v>3.0406300000000002</c:v>
                </c:pt>
                <c:pt idx="64">
                  <c:v>2.98874</c:v>
                </c:pt>
                <c:pt idx="65">
                  <c:v>2.9492400000000001</c:v>
                </c:pt>
                <c:pt idx="66">
                  <c:v>2.9101599999999999</c:v>
                </c:pt>
                <c:pt idx="67">
                  <c:v>2.8759200000000003</c:v>
                </c:pt>
                <c:pt idx="68">
                  <c:v>2.8360999999999996</c:v>
                </c:pt>
                <c:pt idx="69">
                  <c:v>2.8071200000000003</c:v>
                </c:pt>
                <c:pt idx="70">
                  <c:v>2.7760400000000001</c:v>
                </c:pt>
                <c:pt idx="71">
                  <c:v>2.7492200000000002</c:v>
                </c:pt>
                <c:pt idx="72">
                  <c:v>2.7216200000000002</c:v>
                </c:pt>
                <c:pt idx="73">
                  <c:v>2.69442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29.6477</c:v>
                </c:pt>
                <c:pt idx="1">
                  <c:v>30.0579</c:v>
                </c:pt>
                <c:pt idx="2">
                  <c:v>30.528600000000001</c:v>
                </c:pt>
                <c:pt idx="3">
                  <c:v>30.915099999999999</c:v>
                </c:pt>
                <c:pt idx="4">
                  <c:v>31.3218</c:v>
                </c:pt>
                <c:pt idx="5">
                  <c:v>31.7315</c:v>
                </c:pt>
                <c:pt idx="6">
                  <c:v>32.135800000000003</c:v>
                </c:pt>
                <c:pt idx="7">
                  <c:v>32.539499999999997</c:v>
                </c:pt>
                <c:pt idx="8">
                  <c:v>32.946199999999997</c:v>
                </c:pt>
                <c:pt idx="9">
                  <c:v>33.352600000000002</c:v>
                </c:pt>
                <c:pt idx="10">
                  <c:v>33.758600000000001</c:v>
                </c:pt>
                <c:pt idx="11">
                  <c:v>34.1629</c:v>
                </c:pt>
                <c:pt idx="12">
                  <c:v>34.571399999999997</c:v>
                </c:pt>
                <c:pt idx="13">
                  <c:v>34.976999999999997</c:v>
                </c:pt>
                <c:pt idx="14">
                  <c:v>35.386699999999998</c:v>
                </c:pt>
                <c:pt idx="15">
                  <c:v>35.788699999999999</c:v>
                </c:pt>
                <c:pt idx="16">
                  <c:v>36.197400000000002</c:v>
                </c:pt>
                <c:pt idx="17">
                  <c:v>36.604999999999997</c:v>
                </c:pt>
                <c:pt idx="18">
                  <c:v>37.011099999999999</c:v>
                </c:pt>
                <c:pt idx="19">
                  <c:v>37.418900000000001</c:v>
                </c:pt>
                <c:pt idx="20">
                  <c:v>37.822000000000003</c:v>
                </c:pt>
                <c:pt idx="21">
                  <c:v>38.227400000000003</c:v>
                </c:pt>
                <c:pt idx="22">
                  <c:v>38.637</c:v>
                </c:pt>
                <c:pt idx="23">
                  <c:v>39.041400000000003</c:v>
                </c:pt>
                <c:pt idx="24">
                  <c:v>39.445700000000002</c:v>
                </c:pt>
                <c:pt idx="25">
                  <c:v>39.8521</c:v>
                </c:pt>
                <c:pt idx="26">
                  <c:v>40.258800000000001</c:v>
                </c:pt>
                <c:pt idx="27">
                  <c:v>40.664400000000001</c:v>
                </c:pt>
                <c:pt idx="28">
                  <c:v>41.0747</c:v>
                </c:pt>
                <c:pt idx="29">
                  <c:v>41.480899999999998</c:v>
                </c:pt>
                <c:pt idx="30">
                  <c:v>41.884999999999998</c:v>
                </c:pt>
                <c:pt idx="31">
                  <c:v>42.288800000000002</c:v>
                </c:pt>
                <c:pt idx="32">
                  <c:v>42.694600000000001</c:v>
                </c:pt>
                <c:pt idx="33">
                  <c:v>43.103900000000003</c:v>
                </c:pt>
                <c:pt idx="34">
                  <c:v>43.511699999999998</c:v>
                </c:pt>
                <c:pt idx="35">
                  <c:v>43.915999999999997</c:v>
                </c:pt>
                <c:pt idx="36">
                  <c:v>44.320999999999998</c:v>
                </c:pt>
                <c:pt idx="37">
                  <c:v>44.728299999999997</c:v>
                </c:pt>
                <c:pt idx="38">
                  <c:v>45.138599999999997</c:v>
                </c:pt>
                <c:pt idx="39">
                  <c:v>45.541400000000003</c:v>
                </c:pt>
                <c:pt idx="40">
                  <c:v>45.948099999999997</c:v>
                </c:pt>
                <c:pt idx="41">
                  <c:v>46.355200000000004</c:v>
                </c:pt>
                <c:pt idx="42">
                  <c:v>46.758200000000002</c:v>
                </c:pt>
                <c:pt idx="43">
                  <c:v>47.164099999999998</c:v>
                </c:pt>
                <c:pt idx="44">
                  <c:v>47.572299999999998</c:v>
                </c:pt>
                <c:pt idx="45">
                  <c:v>47.979300000000002</c:v>
                </c:pt>
                <c:pt idx="46">
                  <c:v>48.383000000000003</c:v>
                </c:pt>
                <c:pt idx="47">
                  <c:v>48.787700000000001</c:v>
                </c:pt>
                <c:pt idx="48">
                  <c:v>49.1965</c:v>
                </c:pt>
                <c:pt idx="49">
                  <c:v>49.604599999999998</c:v>
                </c:pt>
                <c:pt idx="50">
                  <c:v>50.011000000000003</c:v>
                </c:pt>
                <c:pt idx="51">
                  <c:v>50.414700000000003</c:v>
                </c:pt>
                <c:pt idx="52">
                  <c:v>50.819499999999998</c:v>
                </c:pt>
                <c:pt idx="53">
                  <c:v>51.227600000000002</c:v>
                </c:pt>
                <c:pt idx="54">
                  <c:v>51.631</c:v>
                </c:pt>
                <c:pt idx="55">
                  <c:v>52.041400000000003</c:v>
                </c:pt>
                <c:pt idx="56">
                  <c:v>52.444699999999997</c:v>
                </c:pt>
                <c:pt idx="57">
                  <c:v>52.851500000000001</c:v>
                </c:pt>
                <c:pt idx="58">
                  <c:v>53.261200000000002</c:v>
                </c:pt>
                <c:pt idx="59">
                  <c:v>53.668399999999998</c:v>
                </c:pt>
                <c:pt idx="60">
                  <c:v>54.072400000000002</c:v>
                </c:pt>
                <c:pt idx="61">
                  <c:v>54.476399999999998</c:v>
                </c:pt>
                <c:pt idx="62">
                  <c:v>54.8825</c:v>
                </c:pt>
                <c:pt idx="63">
                  <c:v>55.2913</c:v>
                </c:pt>
                <c:pt idx="64">
                  <c:v>55.6982</c:v>
                </c:pt>
                <c:pt idx="65">
                  <c:v>56.103999999999999</c:v>
                </c:pt>
                <c:pt idx="66">
                  <c:v>56.506700000000002</c:v>
                </c:pt>
                <c:pt idx="67">
                  <c:v>56.915100000000002</c:v>
                </c:pt>
                <c:pt idx="68">
                  <c:v>57.3247</c:v>
                </c:pt>
                <c:pt idx="69">
                  <c:v>57.730800000000002</c:v>
                </c:pt>
                <c:pt idx="70">
                  <c:v>58.136000000000003</c:v>
                </c:pt>
                <c:pt idx="71">
                  <c:v>58.5381</c:v>
                </c:pt>
                <c:pt idx="72">
                  <c:v>58.945399999999999</c:v>
                </c:pt>
                <c:pt idx="73">
                  <c:v>59.3506</c:v>
                </c:pt>
                <c:pt idx="74">
                  <c:v>59.7575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2.69442</c:v>
                </c:pt>
                <c:pt idx="1">
                  <c:v>2.6672200000000004</c:v>
                </c:pt>
                <c:pt idx="2">
                  <c:v>2.6444000000000001</c:v>
                </c:pt>
                <c:pt idx="3">
                  <c:v>2.6254200000000001</c:v>
                </c:pt>
                <c:pt idx="4">
                  <c:v>2.6050599999999999</c:v>
                </c:pt>
                <c:pt idx="5">
                  <c:v>2.58514</c:v>
                </c:pt>
                <c:pt idx="6">
                  <c:v>2.5646300000000002</c:v>
                </c:pt>
                <c:pt idx="7">
                  <c:v>2.54616</c:v>
                </c:pt>
                <c:pt idx="8">
                  <c:v>2.5289600000000001</c:v>
                </c:pt>
                <c:pt idx="9">
                  <c:v>2.5164599999999999</c:v>
                </c:pt>
                <c:pt idx="10">
                  <c:v>2.5072999999999999</c:v>
                </c:pt>
                <c:pt idx="11">
                  <c:v>2.5019900000000002</c:v>
                </c:pt>
                <c:pt idx="12">
                  <c:v>2.4968599999999999</c:v>
                </c:pt>
                <c:pt idx="13">
                  <c:v>2.4917600000000002</c:v>
                </c:pt>
                <c:pt idx="14">
                  <c:v>2.48394</c:v>
                </c:pt>
                <c:pt idx="15">
                  <c:v>2.4788999999999999</c:v>
                </c:pt>
                <c:pt idx="16">
                  <c:v>2.47411</c:v>
                </c:pt>
                <c:pt idx="17">
                  <c:v>2.4720500000000003</c:v>
                </c:pt>
                <c:pt idx="18">
                  <c:v>2.4704999999999999</c:v>
                </c:pt>
                <c:pt idx="19">
                  <c:v>2.4679200000000003</c:v>
                </c:pt>
                <c:pt idx="20">
                  <c:v>2.4614500000000001</c:v>
                </c:pt>
                <c:pt idx="21">
                  <c:v>2.4561299999999999</c:v>
                </c:pt>
                <c:pt idx="22">
                  <c:v>2.4500299999999999</c:v>
                </c:pt>
                <c:pt idx="23">
                  <c:v>2.44434</c:v>
                </c:pt>
                <c:pt idx="24">
                  <c:v>2.4389099999999999</c:v>
                </c:pt>
                <c:pt idx="25">
                  <c:v>2.43547</c:v>
                </c:pt>
                <c:pt idx="26">
                  <c:v>2.4354999999999998</c:v>
                </c:pt>
                <c:pt idx="27">
                  <c:v>2.4368500000000002</c:v>
                </c:pt>
                <c:pt idx="28">
                  <c:v>2.4403899999999998</c:v>
                </c:pt>
                <c:pt idx="29">
                  <c:v>2.4453800000000001</c:v>
                </c:pt>
                <c:pt idx="30">
                  <c:v>2.45417</c:v>
                </c:pt>
                <c:pt idx="31">
                  <c:v>2.4636800000000001</c:v>
                </c:pt>
                <c:pt idx="32">
                  <c:v>2.4740599999999997</c:v>
                </c:pt>
                <c:pt idx="33">
                  <c:v>2.4850400000000001</c:v>
                </c:pt>
                <c:pt idx="34">
                  <c:v>2.4998999999999998</c:v>
                </c:pt>
                <c:pt idx="35">
                  <c:v>2.5155599999999998</c:v>
                </c:pt>
                <c:pt idx="36">
                  <c:v>2.53199</c:v>
                </c:pt>
                <c:pt idx="37">
                  <c:v>2.5486900000000001</c:v>
                </c:pt>
                <c:pt idx="38">
                  <c:v>2.5639799999999999</c:v>
                </c:pt>
                <c:pt idx="39">
                  <c:v>2.5808300000000002</c:v>
                </c:pt>
                <c:pt idx="40">
                  <c:v>2.5976599999999999</c:v>
                </c:pt>
                <c:pt idx="41">
                  <c:v>2.6123099999999999</c:v>
                </c:pt>
                <c:pt idx="42">
                  <c:v>2.6242799999999997</c:v>
                </c:pt>
                <c:pt idx="43">
                  <c:v>2.63449</c:v>
                </c:pt>
                <c:pt idx="44">
                  <c:v>2.6459799999999998</c:v>
                </c:pt>
                <c:pt idx="45">
                  <c:v>2.6577899999999999</c:v>
                </c:pt>
                <c:pt idx="46">
                  <c:v>2.6700400000000002</c:v>
                </c:pt>
                <c:pt idx="47">
                  <c:v>2.6843499999999998</c:v>
                </c:pt>
                <c:pt idx="48">
                  <c:v>2.7021099999999998</c:v>
                </c:pt>
                <c:pt idx="49">
                  <c:v>2.7193299999999998</c:v>
                </c:pt>
                <c:pt idx="50">
                  <c:v>2.7341199999999999</c:v>
                </c:pt>
                <c:pt idx="51">
                  <c:v>2.7420099999999996</c:v>
                </c:pt>
                <c:pt idx="52">
                  <c:v>2.74959</c:v>
                </c:pt>
                <c:pt idx="53">
                  <c:v>2.7566200000000003</c:v>
                </c:pt>
                <c:pt idx="54">
                  <c:v>2.7619899999999999</c:v>
                </c:pt>
                <c:pt idx="55">
                  <c:v>2.7653499999999998</c:v>
                </c:pt>
                <c:pt idx="56">
                  <c:v>2.7692299999999999</c:v>
                </c:pt>
                <c:pt idx="57">
                  <c:v>2.7741400000000001</c:v>
                </c:pt>
                <c:pt idx="58">
                  <c:v>2.7799499999999999</c:v>
                </c:pt>
                <c:pt idx="59">
                  <c:v>2.7821600000000002</c:v>
                </c:pt>
                <c:pt idx="60">
                  <c:v>2.7842000000000002</c:v>
                </c:pt>
                <c:pt idx="61">
                  <c:v>2.7857500000000002</c:v>
                </c:pt>
                <c:pt idx="62">
                  <c:v>2.7870200000000001</c:v>
                </c:pt>
                <c:pt idx="63">
                  <c:v>2.7902300000000002</c:v>
                </c:pt>
                <c:pt idx="64">
                  <c:v>2.7906599999999999</c:v>
                </c:pt>
                <c:pt idx="65">
                  <c:v>2.78878</c:v>
                </c:pt>
                <c:pt idx="66">
                  <c:v>2.7900100000000001</c:v>
                </c:pt>
                <c:pt idx="67">
                  <c:v>2.7960800000000003</c:v>
                </c:pt>
                <c:pt idx="68">
                  <c:v>2.8075099999999997</c:v>
                </c:pt>
                <c:pt idx="69">
                  <c:v>2.81555</c:v>
                </c:pt>
                <c:pt idx="70">
                  <c:v>2.8323499999999999</c:v>
                </c:pt>
                <c:pt idx="71">
                  <c:v>2.8485300000000002</c:v>
                </c:pt>
                <c:pt idx="72">
                  <c:v>2.8639100000000002</c:v>
                </c:pt>
                <c:pt idx="73">
                  <c:v>2.8598600000000003</c:v>
                </c:pt>
                <c:pt idx="74">
                  <c:v>2.8458000000000001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14.939375</c:v>
                </c:pt>
                <c:pt idx="1">
                  <c:v>44.818125000000002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2.7861189189189202</c:v>
                </c:pt>
                <c:pt idx="1">
                  <c:v>2.6221739189189193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0.401113</c:v>
                </c:pt>
                <c:pt idx="2">
                  <c:v>0.80696400000000001</c:v>
                </c:pt>
                <c:pt idx="3">
                  <c:v>1.2140599999999999</c:v>
                </c:pt>
                <c:pt idx="4">
                  <c:v>1.61711</c:v>
                </c:pt>
                <c:pt idx="5">
                  <c:v>2.0244300000000002</c:v>
                </c:pt>
                <c:pt idx="6">
                  <c:v>2.4312399999999998</c:v>
                </c:pt>
                <c:pt idx="7">
                  <c:v>2.8379599999999998</c:v>
                </c:pt>
                <c:pt idx="8">
                  <c:v>3.2435100000000001</c:v>
                </c:pt>
                <c:pt idx="9">
                  <c:v>3.6523500000000002</c:v>
                </c:pt>
                <c:pt idx="10">
                  <c:v>4.0542400000000001</c:v>
                </c:pt>
                <c:pt idx="11">
                  <c:v>4.4640500000000003</c:v>
                </c:pt>
                <c:pt idx="12">
                  <c:v>4.86937</c:v>
                </c:pt>
                <c:pt idx="13">
                  <c:v>5.2776899999999998</c:v>
                </c:pt>
                <c:pt idx="14">
                  <c:v>5.6795400000000003</c:v>
                </c:pt>
                <c:pt idx="15">
                  <c:v>6.0892799999999996</c:v>
                </c:pt>
                <c:pt idx="16">
                  <c:v>6.4953700000000003</c:v>
                </c:pt>
                <c:pt idx="17">
                  <c:v>6.8986700000000001</c:v>
                </c:pt>
                <c:pt idx="18">
                  <c:v>7.30715</c:v>
                </c:pt>
                <c:pt idx="19">
                  <c:v>7.7099099999999998</c:v>
                </c:pt>
                <c:pt idx="20">
                  <c:v>8.1181900000000002</c:v>
                </c:pt>
                <c:pt idx="21">
                  <c:v>8.5268499999999996</c:v>
                </c:pt>
                <c:pt idx="22">
                  <c:v>8.9315499999999997</c:v>
                </c:pt>
                <c:pt idx="23">
                  <c:v>9.3388399999999994</c:v>
                </c:pt>
                <c:pt idx="24">
                  <c:v>9.7425800000000002</c:v>
                </c:pt>
                <c:pt idx="25">
                  <c:v>10.1469</c:v>
                </c:pt>
                <c:pt idx="26">
                  <c:v>10.557600000000001</c:v>
                </c:pt>
                <c:pt idx="27">
                  <c:v>10.962199999999999</c:v>
                </c:pt>
                <c:pt idx="28">
                  <c:v>11.367100000000001</c:v>
                </c:pt>
                <c:pt idx="29">
                  <c:v>11.7746</c:v>
                </c:pt>
                <c:pt idx="30">
                  <c:v>12.180999999999999</c:v>
                </c:pt>
                <c:pt idx="31">
                  <c:v>12.587300000000001</c:v>
                </c:pt>
                <c:pt idx="32">
                  <c:v>12.994999999999999</c:v>
                </c:pt>
                <c:pt idx="33">
                  <c:v>13.3978</c:v>
                </c:pt>
                <c:pt idx="34">
                  <c:v>13.805</c:v>
                </c:pt>
                <c:pt idx="35">
                  <c:v>14.2135</c:v>
                </c:pt>
                <c:pt idx="36">
                  <c:v>14.6175</c:v>
                </c:pt>
                <c:pt idx="37">
                  <c:v>15.0237</c:v>
                </c:pt>
                <c:pt idx="38">
                  <c:v>15.432</c:v>
                </c:pt>
                <c:pt idx="39">
                  <c:v>15.8361</c:v>
                </c:pt>
                <c:pt idx="40">
                  <c:v>16.244499999999999</c:v>
                </c:pt>
                <c:pt idx="41">
                  <c:v>16.6511</c:v>
                </c:pt>
                <c:pt idx="42">
                  <c:v>17.052900000000001</c:v>
                </c:pt>
                <c:pt idx="43">
                  <c:v>17.462199999999999</c:v>
                </c:pt>
                <c:pt idx="44">
                  <c:v>17.870200000000001</c:v>
                </c:pt>
                <c:pt idx="45">
                  <c:v>18.274899999999999</c:v>
                </c:pt>
                <c:pt idx="46">
                  <c:v>18.682200000000002</c:v>
                </c:pt>
                <c:pt idx="47">
                  <c:v>19.0868</c:v>
                </c:pt>
                <c:pt idx="48">
                  <c:v>19.491399999999999</c:v>
                </c:pt>
                <c:pt idx="49">
                  <c:v>19.8995</c:v>
                </c:pt>
                <c:pt idx="50">
                  <c:v>20.307300000000001</c:v>
                </c:pt>
                <c:pt idx="51">
                  <c:v>20.7121</c:v>
                </c:pt>
                <c:pt idx="52">
                  <c:v>21.114899999999999</c:v>
                </c:pt>
                <c:pt idx="53">
                  <c:v>21.5229</c:v>
                </c:pt>
                <c:pt idx="54">
                  <c:v>21.932300000000001</c:v>
                </c:pt>
                <c:pt idx="55">
                  <c:v>22.3398</c:v>
                </c:pt>
                <c:pt idx="56">
                  <c:v>22.746600000000001</c:v>
                </c:pt>
                <c:pt idx="57">
                  <c:v>23.151</c:v>
                </c:pt>
                <c:pt idx="58">
                  <c:v>23.5533</c:v>
                </c:pt>
                <c:pt idx="59">
                  <c:v>23.9621</c:v>
                </c:pt>
                <c:pt idx="60">
                  <c:v>24.3705</c:v>
                </c:pt>
                <c:pt idx="61">
                  <c:v>24.776299999999999</c:v>
                </c:pt>
                <c:pt idx="62">
                  <c:v>25.178799999999999</c:v>
                </c:pt>
                <c:pt idx="63">
                  <c:v>25.5853</c:v>
                </c:pt>
                <c:pt idx="64">
                  <c:v>25.9941</c:v>
                </c:pt>
                <c:pt idx="65">
                  <c:v>26.400700000000001</c:v>
                </c:pt>
                <c:pt idx="66">
                  <c:v>26.808399999999999</c:v>
                </c:pt>
                <c:pt idx="67">
                  <c:v>27.211400000000001</c:v>
                </c:pt>
                <c:pt idx="68">
                  <c:v>27.6174</c:v>
                </c:pt>
                <c:pt idx="69">
                  <c:v>28.023299999999999</c:v>
                </c:pt>
                <c:pt idx="70">
                  <c:v>28.434799999999999</c:v>
                </c:pt>
                <c:pt idx="71">
                  <c:v>28.8367</c:v>
                </c:pt>
                <c:pt idx="72">
                  <c:v>29.242899999999999</c:v>
                </c:pt>
                <c:pt idx="73">
                  <c:v>29.6477</c:v>
                </c:pt>
                <c:pt idx="74">
                  <c:v>30.0579</c:v>
                </c:pt>
                <c:pt idx="75">
                  <c:v>30.528600000000001</c:v>
                </c:pt>
                <c:pt idx="76">
                  <c:v>30.915099999999999</c:v>
                </c:pt>
                <c:pt idx="77">
                  <c:v>31.3218</c:v>
                </c:pt>
                <c:pt idx="78">
                  <c:v>31.7315</c:v>
                </c:pt>
                <c:pt idx="79">
                  <c:v>32.135800000000003</c:v>
                </c:pt>
                <c:pt idx="80">
                  <c:v>32.539499999999997</c:v>
                </c:pt>
                <c:pt idx="81">
                  <c:v>32.946199999999997</c:v>
                </c:pt>
                <c:pt idx="82">
                  <c:v>33.352600000000002</c:v>
                </c:pt>
                <c:pt idx="83">
                  <c:v>33.758600000000001</c:v>
                </c:pt>
                <c:pt idx="84">
                  <c:v>34.1629</c:v>
                </c:pt>
                <c:pt idx="85">
                  <c:v>34.571399999999997</c:v>
                </c:pt>
                <c:pt idx="86">
                  <c:v>34.976999999999997</c:v>
                </c:pt>
                <c:pt idx="87">
                  <c:v>35.386699999999998</c:v>
                </c:pt>
                <c:pt idx="88">
                  <c:v>35.788699999999999</c:v>
                </c:pt>
                <c:pt idx="89">
                  <c:v>36.197400000000002</c:v>
                </c:pt>
                <c:pt idx="90">
                  <c:v>36.604999999999997</c:v>
                </c:pt>
                <c:pt idx="91">
                  <c:v>37.011099999999999</c:v>
                </c:pt>
                <c:pt idx="92">
                  <c:v>37.418900000000001</c:v>
                </c:pt>
                <c:pt idx="93">
                  <c:v>37.822000000000003</c:v>
                </c:pt>
                <c:pt idx="94">
                  <c:v>38.227400000000003</c:v>
                </c:pt>
                <c:pt idx="95">
                  <c:v>38.637</c:v>
                </c:pt>
                <c:pt idx="96">
                  <c:v>39.041400000000003</c:v>
                </c:pt>
                <c:pt idx="97">
                  <c:v>39.445700000000002</c:v>
                </c:pt>
                <c:pt idx="98">
                  <c:v>39.8521</c:v>
                </c:pt>
                <c:pt idx="99">
                  <c:v>40.258800000000001</c:v>
                </c:pt>
                <c:pt idx="100">
                  <c:v>40.664400000000001</c:v>
                </c:pt>
                <c:pt idx="101">
                  <c:v>41.0747</c:v>
                </c:pt>
                <c:pt idx="102">
                  <c:v>41.480899999999998</c:v>
                </c:pt>
                <c:pt idx="103">
                  <c:v>41.884999999999998</c:v>
                </c:pt>
                <c:pt idx="104">
                  <c:v>42.288800000000002</c:v>
                </c:pt>
                <c:pt idx="105">
                  <c:v>42.694600000000001</c:v>
                </c:pt>
                <c:pt idx="106">
                  <c:v>43.103900000000003</c:v>
                </c:pt>
                <c:pt idx="107">
                  <c:v>43.511699999999998</c:v>
                </c:pt>
                <c:pt idx="108">
                  <c:v>43.915999999999997</c:v>
                </c:pt>
                <c:pt idx="109">
                  <c:v>44.320999999999998</c:v>
                </c:pt>
                <c:pt idx="110">
                  <c:v>44.728299999999997</c:v>
                </c:pt>
                <c:pt idx="111">
                  <c:v>45.138599999999997</c:v>
                </c:pt>
                <c:pt idx="112">
                  <c:v>45.541400000000003</c:v>
                </c:pt>
                <c:pt idx="113">
                  <c:v>45.948099999999997</c:v>
                </c:pt>
                <c:pt idx="114">
                  <c:v>46.355200000000004</c:v>
                </c:pt>
                <c:pt idx="115">
                  <c:v>46.758200000000002</c:v>
                </c:pt>
                <c:pt idx="116">
                  <c:v>47.164099999999998</c:v>
                </c:pt>
                <c:pt idx="117">
                  <c:v>47.572299999999998</c:v>
                </c:pt>
                <c:pt idx="118">
                  <c:v>47.979300000000002</c:v>
                </c:pt>
                <c:pt idx="119">
                  <c:v>48.383000000000003</c:v>
                </c:pt>
                <c:pt idx="120">
                  <c:v>48.787700000000001</c:v>
                </c:pt>
                <c:pt idx="121">
                  <c:v>49.1965</c:v>
                </c:pt>
                <c:pt idx="122">
                  <c:v>49.604599999999998</c:v>
                </c:pt>
                <c:pt idx="123">
                  <c:v>50.011000000000003</c:v>
                </c:pt>
                <c:pt idx="124">
                  <c:v>50.414700000000003</c:v>
                </c:pt>
                <c:pt idx="125">
                  <c:v>50.819499999999998</c:v>
                </c:pt>
                <c:pt idx="126">
                  <c:v>51.227600000000002</c:v>
                </c:pt>
                <c:pt idx="127">
                  <c:v>51.631</c:v>
                </c:pt>
                <c:pt idx="128">
                  <c:v>52.041400000000003</c:v>
                </c:pt>
                <c:pt idx="129">
                  <c:v>52.444699999999997</c:v>
                </c:pt>
                <c:pt idx="130">
                  <c:v>52.851500000000001</c:v>
                </c:pt>
                <c:pt idx="131">
                  <c:v>53.261200000000002</c:v>
                </c:pt>
                <c:pt idx="132">
                  <c:v>53.668399999999998</c:v>
                </c:pt>
                <c:pt idx="133">
                  <c:v>54.072400000000002</c:v>
                </c:pt>
                <c:pt idx="134">
                  <c:v>54.476399999999998</c:v>
                </c:pt>
                <c:pt idx="135">
                  <c:v>54.8825</c:v>
                </c:pt>
                <c:pt idx="136">
                  <c:v>55.2913</c:v>
                </c:pt>
                <c:pt idx="137">
                  <c:v>55.6982</c:v>
                </c:pt>
                <c:pt idx="138">
                  <c:v>56.103999999999999</c:v>
                </c:pt>
                <c:pt idx="139">
                  <c:v>56.506700000000002</c:v>
                </c:pt>
                <c:pt idx="140">
                  <c:v>56.915100000000002</c:v>
                </c:pt>
                <c:pt idx="141">
                  <c:v>57.3247</c:v>
                </c:pt>
                <c:pt idx="142">
                  <c:v>57.730800000000002</c:v>
                </c:pt>
                <c:pt idx="143">
                  <c:v>58.136000000000003</c:v>
                </c:pt>
                <c:pt idx="144">
                  <c:v>58.5381</c:v>
                </c:pt>
                <c:pt idx="145">
                  <c:v>58.945399999999999</c:v>
                </c:pt>
                <c:pt idx="146">
                  <c:v>59.3506</c:v>
                </c:pt>
                <c:pt idx="147">
                  <c:v>59.7575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68.847100000000012</c:v>
                </c:pt>
                <c:pt idx="1">
                  <c:v>67.450600000000009</c:v>
                </c:pt>
                <c:pt idx="2">
                  <c:v>66.161699999999996</c:v>
                </c:pt>
                <c:pt idx="3">
                  <c:v>64.9983</c:v>
                </c:pt>
                <c:pt idx="4">
                  <c:v>63.834999999999994</c:v>
                </c:pt>
                <c:pt idx="5">
                  <c:v>62.735399999999998</c:v>
                </c:pt>
                <c:pt idx="6">
                  <c:v>61.595100000000002</c:v>
                </c:pt>
                <c:pt idx="7">
                  <c:v>60.316400000000002</c:v>
                </c:pt>
                <c:pt idx="8">
                  <c:v>58.855599999999995</c:v>
                </c:pt>
                <c:pt idx="9">
                  <c:v>57.222799999999992</c:v>
                </c:pt>
                <c:pt idx="10">
                  <c:v>55.771599999999999</c:v>
                </c:pt>
                <c:pt idx="11">
                  <c:v>54.582500000000003</c:v>
                </c:pt>
                <c:pt idx="12">
                  <c:v>53.7104</c:v>
                </c:pt>
                <c:pt idx="13">
                  <c:v>53.004899999999999</c:v>
                </c:pt>
                <c:pt idx="14">
                  <c:v>52.255200000000002</c:v>
                </c:pt>
                <c:pt idx="15">
                  <c:v>51.448300000000003</c:v>
                </c:pt>
                <c:pt idx="16">
                  <c:v>50.595800000000004</c:v>
                </c:pt>
                <c:pt idx="17">
                  <c:v>49.902700000000003</c:v>
                </c:pt>
                <c:pt idx="18">
                  <c:v>49.403300000000002</c:v>
                </c:pt>
                <c:pt idx="19">
                  <c:v>48.954700000000003</c:v>
                </c:pt>
                <c:pt idx="20">
                  <c:v>48.454700000000003</c:v>
                </c:pt>
                <c:pt idx="21">
                  <c:v>47.913499999999999</c:v>
                </c:pt>
                <c:pt idx="22">
                  <c:v>47.3521</c:v>
                </c:pt>
                <c:pt idx="23">
                  <c:v>46.679700000000004</c:v>
                </c:pt>
                <c:pt idx="24">
                  <c:v>45.829799999999999</c:v>
                </c:pt>
                <c:pt idx="25">
                  <c:v>44.787300000000002</c:v>
                </c:pt>
                <c:pt idx="26">
                  <c:v>43.679099999999998</c:v>
                </c:pt>
                <c:pt idx="27">
                  <c:v>42.594000000000001</c:v>
                </c:pt>
                <c:pt idx="28">
                  <c:v>41.579500000000003</c:v>
                </c:pt>
                <c:pt idx="29">
                  <c:v>40.5627</c:v>
                </c:pt>
                <c:pt idx="30">
                  <c:v>39.704699999999995</c:v>
                </c:pt>
                <c:pt idx="31">
                  <c:v>39.022300000000001</c:v>
                </c:pt>
                <c:pt idx="32">
                  <c:v>38.523000000000003</c:v>
                </c:pt>
                <c:pt idx="33">
                  <c:v>38.175199999999997</c:v>
                </c:pt>
                <c:pt idx="34">
                  <c:v>37.8367</c:v>
                </c:pt>
                <c:pt idx="35">
                  <c:v>37.485700000000001</c:v>
                </c:pt>
                <c:pt idx="36">
                  <c:v>37.073699999999995</c:v>
                </c:pt>
                <c:pt idx="37">
                  <c:v>36.6997</c:v>
                </c:pt>
                <c:pt idx="38">
                  <c:v>36.398899999999998</c:v>
                </c:pt>
                <c:pt idx="39">
                  <c:v>36.0548</c:v>
                </c:pt>
                <c:pt idx="40">
                  <c:v>35.7029</c:v>
                </c:pt>
                <c:pt idx="41">
                  <c:v>35.349899999999998</c:v>
                </c:pt>
                <c:pt idx="42">
                  <c:v>35.056399999999996</c:v>
                </c:pt>
                <c:pt idx="43">
                  <c:v>34.820900000000002</c:v>
                </c:pt>
                <c:pt idx="44">
                  <c:v>34.6721</c:v>
                </c:pt>
                <c:pt idx="45">
                  <c:v>34.549500000000002</c:v>
                </c:pt>
                <c:pt idx="46">
                  <c:v>34.4709</c:v>
                </c:pt>
                <c:pt idx="47">
                  <c:v>34.392499999999998</c:v>
                </c:pt>
                <c:pt idx="48">
                  <c:v>34.350099999999998</c:v>
                </c:pt>
                <c:pt idx="49">
                  <c:v>34.322900000000004</c:v>
                </c:pt>
                <c:pt idx="50">
                  <c:v>34.296599999999998</c:v>
                </c:pt>
                <c:pt idx="51">
                  <c:v>34.364699999999999</c:v>
                </c:pt>
                <c:pt idx="52">
                  <c:v>34.434799999999996</c:v>
                </c:pt>
                <c:pt idx="53">
                  <c:v>34.609899999999996</c:v>
                </c:pt>
                <c:pt idx="54">
                  <c:v>34.9467</c:v>
                </c:pt>
                <c:pt idx="55">
                  <c:v>35.246899999999997</c:v>
                </c:pt>
                <c:pt idx="56">
                  <c:v>35.529600000000002</c:v>
                </c:pt>
                <c:pt idx="57">
                  <c:v>35.672699999999999</c:v>
                </c:pt>
                <c:pt idx="58">
                  <c:v>35.703800000000001</c:v>
                </c:pt>
                <c:pt idx="59">
                  <c:v>35.783200000000001</c:v>
                </c:pt>
                <c:pt idx="60">
                  <c:v>35.884599999999999</c:v>
                </c:pt>
                <c:pt idx="61">
                  <c:v>36.174499999999995</c:v>
                </c:pt>
                <c:pt idx="62">
                  <c:v>36.5946</c:v>
                </c:pt>
                <c:pt idx="63">
                  <c:v>37.064</c:v>
                </c:pt>
                <c:pt idx="64">
                  <c:v>37.680599999999998</c:v>
                </c:pt>
                <c:pt idx="65">
                  <c:v>38.2819</c:v>
                </c:pt>
                <c:pt idx="66">
                  <c:v>39.029299999999999</c:v>
                </c:pt>
                <c:pt idx="67">
                  <c:v>39.806100000000001</c:v>
                </c:pt>
                <c:pt idx="68">
                  <c:v>40.7059</c:v>
                </c:pt>
                <c:pt idx="69">
                  <c:v>41.366300000000003</c:v>
                </c:pt>
                <c:pt idx="70">
                  <c:v>42.0655</c:v>
                </c:pt>
                <c:pt idx="71">
                  <c:v>42.617399999999996</c:v>
                </c:pt>
                <c:pt idx="72">
                  <c:v>43.203499999999998</c:v>
                </c:pt>
                <c:pt idx="73">
                  <c:v>43.780299999999997</c:v>
                </c:pt>
                <c:pt idx="74">
                  <c:v>44.418900000000001</c:v>
                </c:pt>
                <c:pt idx="75">
                  <c:v>44.998699999999999</c:v>
                </c:pt>
                <c:pt idx="76">
                  <c:v>45.509899999999995</c:v>
                </c:pt>
                <c:pt idx="77">
                  <c:v>46.120899999999999</c:v>
                </c:pt>
                <c:pt idx="78">
                  <c:v>46.687200000000004</c:v>
                </c:pt>
                <c:pt idx="79">
                  <c:v>47.2607</c:v>
                </c:pt>
                <c:pt idx="80">
                  <c:v>47.762500000000003</c:v>
                </c:pt>
                <c:pt idx="81">
                  <c:v>48.241399999999999</c:v>
                </c:pt>
                <c:pt idx="82">
                  <c:v>48.671700000000001</c:v>
                </c:pt>
                <c:pt idx="83">
                  <c:v>49.037399999999998</c:v>
                </c:pt>
                <c:pt idx="84">
                  <c:v>49.368699999999997</c:v>
                </c:pt>
                <c:pt idx="85">
                  <c:v>49.701299999999996</c:v>
                </c:pt>
                <c:pt idx="86">
                  <c:v>50.021999999999998</c:v>
                </c:pt>
                <c:pt idx="87">
                  <c:v>50.393500000000003</c:v>
                </c:pt>
                <c:pt idx="88">
                  <c:v>50.731899999999996</c:v>
                </c:pt>
                <c:pt idx="89">
                  <c:v>51.080400000000004</c:v>
                </c:pt>
                <c:pt idx="90">
                  <c:v>51.359299999999998</c:v>
                </c:pt>
                <c:pt idx="91">
                  <c:v>51.570499999999996</c:v>
                </c:pt>
                <c:pt idx="92">
                  <c:v>51.738900000000001</c:v>
                </c:pt>
                <c:pt idx="93">
                  <c:v>51.951999999999998</c:v>
                </c:pt>
                <c:pt idx="94">
                  <c:v>52.137699999999995</c:v>
                </c:pt>
                <c:pt idx="95">
                  <c:v>52.310400000000001</c:v>
                </c:pt>
                <c:pt idx="96">
                  <c:v>52.478199999999994</c:v>
                </c:pt>
                <c:pt idx="97">
                  <c:v>52.636000000000003</c:v>
                </c:pt>
                <c:pt idx="98">
                  <c:v>52.713500000000003</c:v>
                </c:pt>
                <c:pt idx="99">
                  <c:v>52.658700000000003</c:v>
                </c:pt>
                <c:pt idx="100">
                  <c:v>52.522899999999993</c:v>
                </c:pt>
                <c:pt idx="101">
                  <c:v>52.309899999999999</c:v>
                </c:pt>
                <c:pt idx="102">
                  <c:v>51.982099999999996</c:v>
                </c:pt>
                <c:pt idx="103">
                  <c:v>51.518600000000006</c:v>
                </c:pt>
                <c:pt idx="104">
                  <c:v>51.047299999999993</c:v>
                </c:pt>
                <c:pt idx="105">
                  <c:v>50.579900000000002</c:v>
                </c:pt>
                <c:pt idx="106">
                  <c:v>50.120600000000003</c:v>
                </c:pt>
                <c:pt idx="107">
                  <c:v>49.576999999999998</c:v>
                </c:pt>
                <c:pt idx="108">
                  <c:v>49.0261</c:v>
                </c:pt>
                <c:pt idx="109">
                  <c:v>48.476799999999997</c:v>
                </c:pt>
                <c:pt idx="110">
                  <c:v>47.948900000000002</c:v>
                </c:pt>
                <c:pt idx="111">
                  <c:v>47.450699999999998</c:v>
                </c:pt>
                <c:pt idx="112">
                  <c:v>46.903599999999997</c:v>
                </c:pt>
                <c:pt idx="113">
                  <c:v>46.315300000000001</c:v>
                </c:pt>
                <c:pt idx="114">
                  <c:v>45.801600000000001</c:v>
                </c:pt>
                <c:pt idx="115">
                  <c:v>45.321199999999997</c:v>
                </c:pt>
                <c:pt idx="116">
                  <c:v>44.890299999999996</c:v>
                </c:pt>
                <c:pt idx="117">
                  <c:v>44.501600000000003</c:v>
                </c:pt>
                <c:pt idx="118">
                  <c:v>44.148499999999999</c:v>
                </c:pt>
                <c:pt idx="119">
                  <c:v>43.768700000000003</c:v>
                </c:pt>
                <c:pt idx="120">
                  <c:v>43.399500000000003</c:v>
                </c:pt>
                <c:pt idx="121">
                  <c:v>42.963200000000001</c:v>
                </c:pt>
                <c:pt idx="122">
                  <c:v>42.596400000000003</c:v>
                </c:pt>
                <c:pt idx="123">
                  <c:v>42.311700000000002</c:v>
                </c:pt>
                <c:pt idx="124">
                  <c:v>42.116100000000003</c:v>
                </c:pt>
                <c:pt idx="125">
                  <c:v>41.927300000000002</c:v>
                </c:pt>
                <c:pt idx="126">
                  <c:v>41.737000000000002</c:v>
                </c:pt>
                <c:pt idx="127">
                  <c:v>41.578700000000005</c:v>
                </c:pt>
                <c:pt idx="128">
                  <c:v>41.456400000000002</c:v>
                </c:pt>
                <c:pt idx="129">
                  <c:v>41.323999999999998</c:v>
                </c:pt>
                <c:pt idx="130">
                  <c:v>41.163600000000002</c:v>
                </c:pt>
                <c:pt idx="131">
                  <c:v>40.981200000000001</c:v>
                </c:pt>
                <c:pt idx="132">
                  <c:v>40.828399999999995</c:v>
                </c:pt>
                <c:pt idx="133">
                  <c:v>40.685400000000001</c:v>
                </c:pt>
                <c:pt idx="134">
                  <c:v>40.532899999999998</c:v>
                </c:pt>
                <c:pt idx="135">
                  <c:v>40.366399999999999</c:v>
                </c:pt>
                <c:pt idx="136">
                  <c:v>40.226900000000001</c:v>
                </c:pt>
                <c:pt idx="137">
                  <c:v>40.178599999999996</c:v>
                </c:pt>
                <c:pt idx="138">
                  <c:v>40.2575</c:v>
                </c:pt>
                <c:pt idx="139">
                  <c:v>40.3093</c:v>
                </c:pt>
                <c:pt idx="140">
                  <c:v>40.402700000000003</c:v>
                </c:pt>
                <c:pt idx="141">
                  <c:v>40.427700000000002</c:v>
                </c:pt>
                <c:pt idx="142">
                  <c:v>40.398000000000003</c:v>
                </c:pt>
                <c:pt idx="143">
                  <c:v>40.261200000000002</c:v>
                </c:pt>
                <c:pt idx="144">
                  <c:v>40.176600000000001</c:v>
                </c:pt>
                <c:pt idx="145">
                  <c:v>40.1248</c:v>
                </c:pt>
                <c:pt idx="146">
                  <c:v>40.558100000000003</c:v>
                </c:pt>
                <c:pt idx="147">
                  <c:v>41.033799999999999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0.401113</c:v>
                </c:pt>
                <c:pt idx="2">
                  <c:v>0.80696400000000001</c:v>
                </c:pt>
                <c:pt idx="3">
                  <c:v>1.2140599999999999</c:v>
                </c:pt>
                <c:pt idx="4">
                  <c:v>1.61711</c:v>
                </c:pt>
                <c:pt idx="5">
                  <c:v>2.0244300000000002</c:v>
                </c:pt>
                <c:pt idx="6">
                  <c:v>2.4312399999999998</c:v>
                </c:pt>
                <c:pt idx="7">
                  <c:v>2.8379599999999998</c:v>
                </c:pt>
                <c:pt idx="8">
                  <c:v>3.2435100000000001</c:v>
                </c:pt>
                <c:pt idx="9">
                  <c:v>3.6523500000000002</c:v>
                </c:pt>
                <c:pt idx="10">
                  <c:v>4.0542400000000001</c:v>
                </c:pt>
                <c:pt idx="11">
                  <c:v>4.4640500000000003</c:v>
                </c:pt>
                <c:pt idx="12">
                  <c:v>4.86937</c:v>
                </c:pt>
                <c:pt idx="13">
                  <c:v>5.2776899999999998</c:v>
                </c:pt>
                <c:pt idx="14">
                  <c:v>5.6795400000000003</c:v>
                </c:pt>
                <c:pt idx="15">
                  <c:v>6.0892799999999996</c:v>
                </c:pt>
                <c:pt idx="16">
                  <c:v>6.4953700000000003</c:v>
                </c:pt>
                <c:pt idx="17">
                  <c:v>6.8986700000000001</c:v>
                </c:pt>
                <c:pt idx="18">
                  <c:v>7.30715</c:v>
                </c:pt>
                <c:pt idx="19">
                  <c:v>7.7099099999999998</c:v>
                </c:pt>
                <c:pt idx="20">
                  <c:v>8.1181900000000002</c:v>
                </c:pt>
                <c:pt idx="21">
                  <c:v>8.5268499999999996</c:v>
                </c:pt>
                <c:pt idx="22">
                  <c:v>8.9315499999999997</c:v>
                </c:pt>
                <c:pt idx="23">
                  <c:v>9.3388399999999994</c:v>
                </c:pt>
                <c:pt idx="24">
                  <c:v>9.7425800000000002</c:v>
                </c:pt>
                <c:pt idx="25">
                  <c:v>10.1469</c:v>
                </c:pt>
                <c:pt idx="26">
                  <c:v>10.557600000000001</c:v>
                </c:pt>
                <c:pt idx="27">
                  <c:v>10.962199999999999</c:v>
                </c:pt>
                <c:pt idx="28">
                  <c:v>11.367100000000001</c:v>
                </c:pt>
                <c:pt idx="29">
                  <c:v>11.7746</c:v>
                </c:pt>
                <c:pt idx="30">
                  <c:v>12.180999999999999</c:v>
                </c:pt>
                <c:pt idx="31">
                  <c:v>12.587300000000001</c:v>
                </c:pt>
                <c:pt idx="32">
                  <c:v>12.994999999999999</c:v>
                </c:pt>
                <c:pt idx="33">
                  <c:v>13.3978</c:v>
                </c:pt>
                <c:pt idx="34">
                  <c:v>13.805</c:v>
                </c:pt>
                <c:pt idx="35">
                  <c:v>14.2135</c:v>
                </c:pt>
                <c:pt idx="36">
                  <c:v>14.6175</c:v>
                </c:pt>
                <c:pt idx="37">
                  <c:v>15.0237</c:v>
                </c:pt>
                <c:pt idx="38">
                  <c:v>15.432</c:v>
                </c:pt>
                <c:pt idx="39">
                  <c:v>15.8361</c:v>
                </c:pt>
                <c:pt idx="40">
                  <c:v>16.244499999999999</c:v>
                </c:pt>
                <c:pt idx="41">
                  <c:v>16.6511</c:v>
                </c:pt>
                <c:pt idx="42">
                  <c:v>17.052900000000001</c:v>
                </c:pt>
                <c:pt idx="43">
                  <c:v>17.462199999999999</c:v>
                </c:pt>
                <c:pt idx="44">
                  <c:v>17.870200000000001</c:v>
                </c:pt>
                <c:pt idx="45">
                  <c:v>18.274899999999999</c:v>
                </c:pt>
                <c:pt idx="46">
                  <c:v>18.682200000000002</c:v>
                </c:pt>
                <c:pt idx="47">
                  <c:v>19.0868</c:v>
                </c:pt>
                <c:pt idx="48">
                  <c:v>19.491399999999999</c:v>
                </c:pt>
                <c:pt idx="49">
                  <c:v>19.8995</c:v>
                </c:pt>
                <c:pt idx="50">
                  <c:v>20.307300000000001</c:v>
                </c:pt>
                <c:pt idx="51">
                  <c:v>20.7121</c:v>
                </c:pt>
                <c:pt idx="52">
                  <c:v>21.114899999999999</c:v>
                </c:pt>
                <c:pt idx="53">
                  <c:v>21.5229</c:v>
                </c:pt>
                <c:pt idx="54">
                  <c:v>21.932300000000001</c:v>
                </c:pt>
                <c:pt idx="55">
                  <c:v>22.3398</c:v>
                </c:pt>
                <c:pt idx="56">
                  <c:v>22.746600000000001</c:v>
                </c:pt>
                <c:pt idx="57">
                  <c:v>23.151</c:v>
                </c:pt>
                <c:pt idx="58">
                  <c:v>23.5533</c:v>
                </c:pt>
                <c:pt idx="59">
                  <c:v>23.9621</c:v>
                </c:pt>
                <c:pt idx="60">
                  <c:v>24.3705</c:v>
                </c:pt>
                <c:pt idx="61">
                  <c:v>24.776299999999999</c:v>
                </c:pt>
                <c:pt idx="62">
                  <c:v>25.178799999999999</c:v>
                </c:pt>
                <c:pt idx="63">
                  <c:v>25.5853</c:v>
                </c:pt>
                <c:pt idx="64">
                  <c:v>25.9941</c:v>
                </c:pt>
                <c:pt idx="65">
                  <c:v>26.400700000000001</c:v>
                </c:pt>
                <c:pt idx="66">
                  <c:v>26.808399999999999</c:v>
                </c:pt>
                <c:pt idx="67">
                  <c:v>27.211400000000001</c:v>
                </c:pt>
                <c:pt idx="68">
                  <c:v>27.6174</c:v>
                </c:pt>
                <c:pt idx="69">
                  <c:v>28.023299999999999</c:v>
                </c:pt>
                <c:pt idx="70">
                  <c:v>28.434799999999999</c:v>
                </c:pt>
                <c:pt idx="71">
                  <c:v>28.8367</c:v>
                </c:pt>
                <c:pt idx="72">
                  <c:v>29.242899999999999</c:v>
                </c:pt>
                <c:pt idx="73">
                  <c:v>29.6477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68.847100000000012</c:v>
                </c:pt>
                <c:pt idx="1">
                  <c:v>67.450600000000009</c:v>
                </c:pt>
                <c:pt idx="2">
                  <c:v>66.161699999999996</c:v>
                </c:pt>
                <c:pt idx="3">
                  <c:v>64.9983</c:v>
                </c:pt>
                <c:pt idx="4">
                  <c:v>63.834999999999994</c:v>
                </c:pt>
                <c:pt idx="5">
                  <c:v>62.735399999999998</c:v>
                </c:pt>
                <c:pt idx="6">
                  <c:v>61.595100000000002</c:v>
                </c:pt>
                <c:pt idx="7">
                  <c:v>60.316400000000002</c:v>
                </c:pt>
                <c:pt idx="8">
                  <c:v>58.855599999999995</c:v>
                </c:pt>
                <c:pt idx="9">
                  <c:v>57.222799999999992</c:v>
                </c:pt>
                <c:pt idx="10">
                  <c:v>55.771599999999999</c:v>
                </c:pt>
                <c:pt idx="11">
                  <c:v>54.582500000000003</c:v>
                </c:pt>
                <c:pt idx="12">
                  <c:v>53.7104</c:v>
                </c:pt>
                <c:pt idx="13">
                  <c:v>53.004899999999999</c:v>
                </c:pt>
                <c:pt idx="14">
                  <c:v>52.255200000000002</c:v>
                </c:pt>
                <c:pt idx="15">
                  <c:v>51.448300000000003</c:v>
                </c:pt>
                <c:pt idx="16">
                  <c:v>50.595800000000004</c:v>
                </c:pt>
                <c:pt idx="17">
                  <c:v>49.902700000000003</c:v>
                </c:pt>
                <c:pt idx="18">
                  <c:v>49.403300000000002</c:v>
                </c:pt>
                <c:pt idx="19">
                  <c:v>48.954700000000003</c:v>
                </c:pt>
                <c:pt idx="20">
                  <c:v>48.454700000000003</c:v>
                </c:pt>
                <c:pt idx="21">
                  <c:v>47.913499999999999</c:v>
                </c:pt>
                <c:pt idx="22">
                  <c:v>47.3521</c:v>
                </c:pt>
                <c:pt idx="23">
                  <c:v>46.679700000000004</c:v>
                </c:pt>
                <c:pt idx="24">
                  <c:v>45.829799999999999</c:v>
                </c:pt>
                <c:pt idx="25">
                  <c:v>44.787300000000002</c:v>
                </c:pt>
                <c:pt idx="26">
                  <c:v>43.679099999999998</c:v>
                </c:pt>
                <c:pt idx="27">
                  <c:v>42.594000000000001</c:v>
                </c:pt>
                <c:pt idx="28">
                  <c:v>41.579500000000003</c:v>
                </c:pt>
                <c:pt idx="29">
                  <c:v>40.5627</c:v>
                </c:pt>
                <c:pt idx="30">
                  <c:v>39.704699999999995</c:v>
                </c:pt>
                <c:pt idx="31">
                  <c:v>39.022300000000001</c:v>
                </c:pt>
                <c:pt idx="32">
                  <c:v>38.523000000000003</c:v>
                </c:pt>
                <c:pt idx="33">
                  <c:v>38.175199999999997</c:v>
                </c:pt>
                <c:pt idx="34">
                  <c:v>37.8367</c:v>
                </c:pt>
                <c:pt idx="35">
                  <c:v>37.485700000000001</c:v>
                </c:pt>
                <c:pt idx="36">
                  <c:v>37.073699999999995</c:v>
                </c:pt>
                <c:pt idx="37">
                  <c:v>36.6997</c:v>
                </c:pt>
                <c:pt idx="38">
                  <c:v>36.398899999999998</c:v>
                </c:pt>
                <c:pt idx="39">
                  <c:v>36.0548</c:v>
                </c:pt>
                <c:pt idx="40">
                  <c:v>35.7029</c:v>
                </c:pt>
                <c:pt idx="41">
                  <c:v>35.349899999999998</c:v>
                </c:pt>
                <c:pt idx="42">
                  <c:v>35.056399999999996</c:v>
                </c:pt>
                <c:pt idx="43">
                  <c:v>34.820900000000002</c:v>
                </c:pt>
                <c:pt idx="44">
                  <c:v>34.6721</c:v>
                </c:pt>
                <c:pt idx="45">
                  <c:v>34.549500000000002</c:v>
                </c:pt>
                <c:pt idx="46">
                  <c:v>34.4709</c:v>
                </c:pt>
                <c:pt idx="47">
                  <c:v>34.392499999999998</c:v>
                </c:pt>
                <c:pt idx="48">
                  <c:v>34.350099999999998</c:v>
                </c:pt>
                <c:pt idx="49">
                  <c:v>34.322900000000004</c:v>
                </c:pt>
                <c:pt idx="50">
                  <c:v>34.296599999999998</c:v>
                </c:pt>
                <c:pt idx="51">
                  <c:v>34.364699999999999</c:v>
                </c:pt>
                <c:pt idx="52">
                  <c:v>34.434799999999996</c:v>
                </c:pt>
                <c:pt idx="53">
                  <c:v>34.609899999999996</c:v>
                </c:pt>
                <c:pt idx="54">
                  <c:v>34.9467</c:v>
                </c:pt>
                <c:pt idx="55">
                  <c:v>35.246899999999997</c:v>
                </c:pt>
                <c:pt idx="56">
                  <c:v>35.529600000000002</c:v>
                </c:pt>
                <c:pt idx="57">
                  <c:v>35.672699999999999</c:v>
                </c:pt>
                <c:pt idx="58">
                  <c:v>35.703800000000001</c:v>
                </c:pt>
                <c:pt idx="59">
                  <c:v>35.783200000000001</c:v>
                </c:pt>
                <c:pt idx="60">
                  <c:v>35.884599999999999</c:v>
                </c:pt>
                <c:pt idx="61">
                  <c:v>36.174499999999995</c:v>
                </c:pt>
                <c:pt idx="62">
                  <c:v>36.5946</c:v>
                </c:pt>
                <c:pt idx="63">
                  <c:v>37.064</c:v>
                </c:pt>
                <c:pt idx="64">
                  <c:v>37.680599999999998</c:v>
                </c:pt>
                <c:pt idx="65">
                  <c:v>38.2819</c:v>
                </c:pt>
                <c:pt idx="66">
                  <c:v>39.029299999999999</c:v>
                </c:pt>
                <c:pt idx="67">
                  <c:v>39.806100000000001</c:v>
                </c:pt>
                <c:pt idx="68">
                  <c:v>40.7059</c:v>
                </c:pt>
                <c:pt idx="69">
                  <c:v>41.366300000000003</c:v>
                </c:pt>
                <c:pt idx="70">
                  <c:v>42.0655</c:v>
                </c:pt>
                <c:pt idx="71">
                  <c:v>42.617399999999996</c:v>
                </c:pt>
                <c:pt idx="72">
                  <c:v>43.203499999999998</c:v>
                </c:pt>
                <c:pt idx="73">
                  <c:v>43.780299999999997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29.6477</c:v>
                </c:pt>
                <c:pt idx="1">
                  <c:v>30.0579</c:v>
                </c:pt>
                <c:pt idx="2">
                  <c:v>30.528600000000001</c:v>
                </c:pt>
                <c:pt idx="3">
                  <c:v>30.915099999999999</c:v>
                </c:pt>
                <c:pt idx="4">
                  <c:v>31.3218</c:v>
                </c:pt>
                <c:pt idx="5">
                  <c:v>31.7315</c:v>
                </c:pt>
                <c:pt idx="6">
                  <c:v>32.135800000000003</c:v>
                </c:pt>
                <c:pt idx="7">
                  <c:v>32.539499999999997</c:v>
                </c:pt>
                <c:pt idx="8">
                  <c:v>32.946199999999997</c:v>
                </c:pt>
                <c:pt idx="9">
                  <c:v>33.352600000000002</c:v>
                </c:pt>
                <c:pt idx="10">
                  <c:v>33.758600000000001</c:v>
                </c:pt>
                <c:pt idx="11">
                  <c:v>34.1629</c:v>
                </c:pt>
                <c:pt idx="12">
                  <c:v>34.571399999999997</c:v>
                </c:pt>
                <c:pt idx="13">
                  <c:v>34.976999999999997</c:v>
                </c:pt>
                <c:pt idx="14">
                  <c:v>35.386699999999998</c:v>
                </c:pt>
                <c:pt idx="15">
                  <c:v>35.788699999999999</c:v>
                </c:pt>
                <c:pt idx="16">
                  <c:v>36.197400000000002</c:v>
                </c:pt>
                <c:pt idx="17">
                  <c:v>36.604999999999997</c:v>
                </c:pt>
                <c:pt idx="18">
                  <c:v>37.011099999999999</c:v>
                </c:pt>
                <c:pt idx="19">
                  <c:v>37.418900000000001</c:v>
                </c:pt>
                <c:pt idx="20">
                  <c:v>37.822000000000003</c:v>
                </c:pt>
                <c:pt idx="21">
                  <c:v>38.227400000000003</c:v>
                </c:pt>
                <c:pt idx="22">
                  <c:v>38.637</c:v>
                </c:pt>
                <c:pt idx="23">
                  <c:v>39.041400000000003</c:v>
                </c:pt>
                <c:pt idx="24">
                  <c:v>39.445700000000002</c:v>
                </c:pt>
                <c:pt idx="25">
                  <c:v>39.8521</c:v>
                </c:pt>
                <c:pt idx="26">
                  <c:v>40.258800000000001</c:v>
                </c:pt>
                <c:pt idx="27">
                  <c:v>40.664400000000001</c:v>
                </c:pt>
                <c:pt idx="28">
                  <c:v>41.0747</c:v>
                </c:pt>
                <c:pt idx="29">
                  <c:v>41.480899999999998</c:v>
                </c:pt>
                <c:pt idx="30">
                  <c:v>41.884999999999998</c:v>
                </c:pt>
                <c:pt idx="31">
                  <c:v>42.288800000000002</c:v>
                </c:pt>
                <c:pt idx="32">
                  <c:v>42.694600000000001</c:v>
                </c:pt>
                <c:pt idx="33">
                  <c:v>43.103900000000003</c:v>
                </c:pt>
                <c:pt idx="34">
                  <c:v>43.511699999999998</c:v>
                </c:pt>
                <c:pt idx="35">
                  <c:v>43.915999999999997</c:v>
                </c:pt>
                <c:pt idx="36">
                  <c:v>44.320999999999998</c:v>
                </c:pt>
                <c:pt idx="37">
                  <c:v>44.728299999999997</c:v>
                </c:pt>
                <c:pt idx="38">
                  <c:v>45.138599999999997</c:v>
                </c:pt>
                <c:pt idx="39">
                  <c:v>45.541400000000003</c:v>
                </c:pt>
                <c:pt idx="40">
                  <c:v>45.948099999999997</c:v>
                </c:pt>
                <c:pt idx="41">
                  <c:v>46.355200000000004</c:v>
                </c:pt>
                <c:pt idx="42">
                  <c:v>46.758200000000002</c:v>
                </c:pt>
                <c:pt idx="43">
                  <c:v>47.164099999999998</c:v>
                </c:pt>
                <c:pt idx="44">
                  <c:v>47.572299999999998</c:v>
                </c:pt>
                <c:pt idx="45">
                  <c:v>47.979300000000002</c:v>
                </c:pt>
                <c:pt idx="46">
                  <c:v>48.383000000000003</c:v>
                </c:pt>
                <c:pt idx="47">
                  <c:v>48.787700000000001</c:v>
                </c:pt>
                <c:pt idx="48">
                  <c:v>49.1965</c:v>
                </c:pt>
                <c:pt idx="49">
                  <c:v>49.604599999999998</c:v>
                </c:pt>
                <c:pt idx="50">
                  <c:v>50.011000000000003</c:v>
                </c:pt>
                <c:pt idx="51">
                  <c:v>50.414700000000003</c:v>
                </c:pt>
                <c:pt idx="52">
                  <c:v>50.819499999999998</c:v>
                </c:pt>
                <c:pt idx="53">
                  <c:v>51.227600000000002</c:v>
                </c:pt>
                <c:pt idx="54">
                  <c:v>51.631</c:v>
                </c:pt>
                <c:pt idx="55">
                  <c:v>52.041400000000003</c:v>
                </c:pt>
                <c:pt idx="56">
                  <c:v>52.444699999999997</c:v>
                </c:pt>
                <c:pt idx="57">
                  <c:v>52.851500000000001</c:v>
                </c:pt>
                <c:pt idx="58">
                  <c:v>53.261200000000002</c:v>
                </c:pt>
                <c:pt idx="59">
                  <c:v>53.668399999999998</c:v>
                </c:pt>
                <c:pt idx="60">
                  <c:v>54.072400000000002</c:v>
                </c:pt>
                <c:pt idx="61">
                  <c:v>54.476399999999998</c:v>
                </c:pt>
                <c:pt idx="62">
                  <c:v>54.8825</c:v>
                </c:pt>
                <c:pt idx="63">
                  <c:v>55.2913</c:v>
                </c:pt>
                <c:pt idx="64">
                  <c:v>55.6982</c:v>
                </c:pt>
                <c:pt idx="65">
                  <c:v>56.103999999999999</c:v>
                </c:pt>
                <c:pt idx="66">
                  <c:v>56.506700000000002</c:v>
                </c:pt>
                <c:pt idx="67">
                  <c:v>56.915100000000002</c:v>
                </c:pt>
                <c:pt idx="68">
                  <c:v>57.3247</c:v>
                </c:pt>
                <c:pt idx="69">
                  <c:v>57.730800000000002</c:v>
                </c:pt>
                <c:pt idx="70">
                  <c:v>58.136000000000003</c:v>
                </c:pt>
                <c:pt idx="71">
                  <c:v>58.5381</c:v>
                </c:pt>
                <c:pt idx="72">
                  <c:v>58.945399999999999</c:v>
                </c:pt>
                <c:pt idx="73">
                  <c:v>59.3506</c:v>
                </c:pt>
                <c:pt idx="74">
                  <c:v>59.7575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43.780299999999997</c:v>
                </c:pt>
                <c:pt idx="1">
                  <c:v>44.418900000000001</c:v>
                </c:pt>
                <c:pt idx="2">
                  <c:v>44.998699999999999</c:v>
                </c:pt>
                <c:pt idx="3">
                  <c:v>45.509899999999995</c:v>
                </c:pt>
                <c:pt idx="4">
                  <c:v>46.120899999999999</c:v>
                </c:pt>
                <c:pt idx="5">
                  <c:v>46.687200000000004</c:v>
                </c:pt>
                <c:pt idx="6">
                  <c:v>47.2607</c:v>
                </c:pt>
                <c:pt idx="7">
                  <c:v>47.762500000000003</c:v>
                </c:pt>
                <c:pt idx="8">
                  <c:v>48.241399999999999</c:v>
                </c:pt>
                <c:pt idx="9">
                  <c:v>48.671700000000001</c:v>
                </c:pt>
                <c:pt idx="10">
                  <c:v>49.037399999999998</c:v>
                </c:pt>
                <c:pt idx="11">
                  <c:v>49.368699999999997</c:v>
                </c:pt>
                <c:pt idx="12">
                  <c:v>49.701299999999996</c:v>
                </c:pt>
                <c:pt idx="13">
                  <c:v>50.021999999999998</c:v>
                </c:pt>
                <c:pt idx="14">
                  <c:v>50.393500000000003</c:v>
                </c:pt>
                <c:pt idx="15">
                  <c:v>50.731899999999996</c:v>
                </c:pt>
                <c:pt idx="16">
                  <c:v>51.080400000000004</c:v>
                </c:pt>
                <c:pt idx="17">
                  <c:v>51.359299999999998</c:v>
                </c:pt>
                <c:pt idx="18">
                  <c:v>51.570499999999996</c:v>
                </c:pt>
                <c:pt idx="19">
                  <c:v>51.738900000000001</c:v>
                </c:pt>
                <c:pt idx="20">
                  <c:v>51.951999999999998</c:v>
                </c:pt>
                <c:pt idx="21">
                  <c:v>52.137699999999995</c:v>
                </c:pt>
                <c:pt idx="22">
                  <c:v>52.310400000000001</c:v>
                </c:pt>
                <c:pt idx="23">
                  <c:v>52.478199999999994</c:v>
                </c:pt>
                <c:pt idx="24">
                  <c:v>52.636000000000003</c:v>
                </c:pt>
                <c:pt idx="25">
                  <c:v>52.713500000000003</c:v>
                </c:pt>
                <c:pt idx="26">
                  <c:v>52.658700000000003</c:v>
                </c:pt>
                <c:pt idx="27">
                  <c:v>52.522899999999993</c:v>
                </c:pt>
                <c:pt idx="28">
                  <c:v>52.309899999999999</c:v>
                </c:pt>
                <c:pt idx="29">
                  <c:v>51.982099999999996</c:v>
                </c:pt>
                <c:pt idx="30">
                  <c:v>51.518600000000006</c:v>
                </c:pt>
                <c:pt idx="31">
                  <c:v>51.047299999999993</c:v>
                </c:pt>
                <c:pt idx="32">
                  <c:v>50.579900000000002</c:v>
                </c:pt>
                <c:pt idx="33">
                  <c:v>50.120600000000003</c:v>
                </c:pt>
                <c:pt idx="34">
                  <c:v>49.576999999999998</c:v>
                </c:pt>
                <c:pt idx="35">
                  <c:v>49.0261</c:v>
                </c:pt>
                <c:pt idx="36">
                  <c:v>48.476799999999997</c:v>
                </c:pt>
                <c:pt idx="37">
                  <c:v>47.948900000000002</c:v>
                </c:pt>
                <c:pt idx="38">
                  <c:v>47.450699999999998</c:v>
                </c:pt>
                <c:pt idx="39">
                  <c:v>46.903599999999997</c:v>
                </c:pt>
                <c:pt idx="40">
                  <c:v>46.315300000000001</c:v>
                </c:pt>
                <c:pt idx="41">
                  <c:v>45.801600000000001</c:v>
                </c:pt>
                <c:pt idx="42">
                  <c:v>45.321199999999997</c:v>
                </c:pt>
                <c:pt idx="43">
                  <c:v>44.890299999999996</c:v>
                </c:pt>
                <c:pt idx="44">
                  <c:v>44.501600000000003</c:v>
                </c:pt>
                <c:pt idx="45">
                  <c:v>44.148499999999999</c:v>
                </c:pt>
                <c:pt idx="46">
                  <c:v>43.768700000000003</c:v>
                </c:pt>
                <c:pt idx="47">
                  <c:v>43.399500000000003</c:v>
                </c:pt>
                <c:pt idx="48">
                  <c:v>42.963200000000001</c:v>
                </c:pt>
                <c:pt idx="49">
                  <c:v>42.596400000000003</c:v>
                </c:pt>
                <c:pt idx="50">
                  <c:v>42.311700000000002</c:v>
                </c:pt>
                <c:pt idx="51">
                  <c:v>42.116100000000003</c:v>
                </c:pt>
                <c:pt idx="52">
                  <c:v>41.927300000000002</c:v>
                </c:pt>
                <c:pt idx="53">
                  <c:v>41.737000000000002</c:v>
                </c:pt>
                <c:pt idx="54">
                  <c:v>41.578700000000005</c:v>
                </c:pt>
                <c:pt idx="55">
                  <c:v>41.456400000000002</c:v>
                </c:pt>
                <c:pt idx="56">
                  <c:v>41.323999999999998</c:v>
                </c:pt>
                <c:pt idx="57">
                  <c:v>41.163600000000002</c:v>
                </c:pt>
                <c:pt idx="58">
                  <c:v>40.981200000000001</c:v>
                </c:pt>
                <c:pt idx="59">
                  <c:v>40.828399999999995</c:v>
                </c:pt>
                <c:pt idx="60">
                  <c:v>40.685400000000001</c:v>
                </c:pt>
                <c:pt idx="61">
                  <c:v>40.532899999999998</c:v>
                </c:pt>
                <c:pt idx="62">
                  <c:v>40.366399999999999</c:v>
                </c:pt>
                <c:pt idx="63">
                  <c:v>40.226900000000001</c:v>
                </c:pt>
                <c:pt idx="64">
                  <c:v>40.178599999999996</c:v>
                </c:pt>
                <c:pt idx="65">
                  <c:v>40.2575</c:v>
                </c:pt>
                <c:pt idx="66">
                  <c:v>40.3093</c:v>
                </c:pt>
                <c:pt idx="67">
                  <c:v>40.402700000000003</c:v>
                </c:pt>
                <c:pt idx="68">
                  <c:v>40.427700000000002</c:v>
                </c:pt>
                <c:pt idx="69">
                  <c:v>40.398000000000003</c:v>
                </c:pt>
                <c:pt idx="70">
                  <c:v>40.261200000000002</c:v>
                </c:pt>
                <c:pt idx="71">
                  <c:v>40.176600000000001</c:v>
                </c:pt>
                <c:pt idx="72">
                  <c:v>40.1248</c:v>
                </c:pt>
                <c:pt idx="73">
                  <c:v>40.558100000000003</c:v>
                </c:pt>
                <c:pt idx="74">
                  <c:v>41.033799999999999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14.939375</c:v>
                </c:pt>
                <c:pt idx="1">
                  <c:v>44.818125000000002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43.656567567567549</c:v>
                </c:pt>
                <c:pt idx="1">
                  <c:v>46.028341891891891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35.7637</c:v>
                </c:pt>
                <c:pt idx="1">
                  <c:v>30.2774</c:v>
                </c:pt>
                <c:pt idx="2">
                  <c:v>26.3565</c:v>
                </c:pt>
                <c:pt idx="3">
                  <c:v>28.735900000000001</c:v>
                </c:pt>
                <c:pt idx="4">
                  <c:v>78.202500000000001</c:v>
                </c:pt>
                <c:pt idx="5">
                  <c:v>75.072699999999998</c:v>
                </c:pt>
                <c:pt idx="6">
                  <c:v>17.028700000000001</c:v>
                </c:pt>
                <c:pt idx="7">
                  <c:v>76.844899999999996</c:v>
                </c:pt>
                <c:pt idx="8">
                  <c:v>14.9389</c:v>
                </c:pt>
                <c:pt idx="9">
                  <c:v>23.940200000000001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34.2361</c:v>
                </c:pt>
                <c:pt idx="1">
                  <c:v>30.082899999999999</c:v>
                </c:pt>
                <c:pt idx="2">
                  <c:v>31.128599999999999</c:v>
                </c:pt>
                <c:pt idx="3">
                  <c:v>32.948999999999998</c:v>
                </c:pt>
                <c:pt idx="4">
                  <c:v>71.966999999999999</c:v>
                </c:pt>
                <c:pt idx="5">
                  <c:v>79.165000000000006</c:v>
                </c:pt>
                <c:pt idx="6">
                  <c:v>15.2636</c:v>
                </c:pt>
                <c:pt idx="7">
                  <c:v>74.562700000000007</c:v>
                </c:pt>
                <c:pt idx="8">
                  <c:v>13.179</c:v>
                </c:pt>
                <c:pt idx="9">
                  <c:v>36.443199999999997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0.55409497568045951</c:v>
                </c:pt>
                <c:pt idx="1">
                  <c:v>0.27157511481580709</c:v>
                </c:pt>
                <c:pt idx="2">
                  <c:v>0.17432990950373342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5057</c:v>
                </c:pt>
                <c:pt idx="7">
                  <c:v>0</c:v>
                </c:pt>
                <c:pt idx="8">
                  <c:v>7724</c:v>
                </c:pt>
                <c:pt idx="9">
                  <c:v>0</c:v>
                </c:pt>
                <c:pt idx="10">
                  <c:v>0</c:v>
                </c:pt>
                <c:pt idx="11">
                  <c:v>13201</c:v>
                </c:pt>
                <c:pt idx="12">
                  <c:v>0</c:v>
                </c:pt>
                <c:pt idx="13">
                  <c:v>21605</c:v>
                </c:pt>
                <c:pt idx="14">
                  <c:v>0</c:v>
                </c:pt>
                <c:pt idx="15">
                  <c:v>0</c:v>
                </c:pt>
                <c:pt idx="16">
                  <c:v>31050</c:v>
                </c:pt>
                <c:pt idx="17">
                  <c:v>0</c:v>
                </c:pt>
                <c:pt idx="18">
                  <c:v>0</c:v>
                </c:pt>
                <c:pt idx="19">
                  <c:v>32870</c:v>
                </c:pt>
                <c:pt idx="20">
                  <c:v>0</c:v>
                </c:pt>
                <c:pt idx="21">
                  <c:v>37442</c:v>
                </c:pt>
                <c:pt idx="22">
                  <c:v>0</c:v>
                </c:pt>
                <c:pt idx="23">
                  <c:v>0</c:v>
                </c:pt>
                <c:pt idx="24">
                  <c:v>35254</c:v>
                </c:pt>
                <c:pt idx="25">
                  <c:v>0</c:v>
                </c:pt>
                <c:pt idx="26">
                  <c:v>42752</c:v>
                </c:pt>
                <c:pt idx="27">
                  <c:v>0</c:v>
                </c:pt>
                <c:pt idx="28">
                  <c:v>0</c:v>
                </c:pt>
                <c:pt idx="29">
                  <c:v>45489</c:v>
                </c:pt>
                <c:pt idx="30">
                  <c:v>0</c:v>
                </c:pt>
                <c:pt idx="31">
                  <c:v>47654</c:v>
                </c:pt>
                <c:pt idx="32">
                  <c:v>0</c:v>
                </c:pt>
                <c:pt idx="33">
                  <c:v>0</c:v>
                </c:pt>
                <c:pt idx="34">
                  <c:v>51623</c:v>
                </c:pt>
                <c:pt idx="35">
                  <c:v>0</c:v>
                </c:pt>
                <c:pt idx="36">
                  <c:v>0</c:v>
                </c:pt>
                <c:pt idx="37">
                  <c:v>49450</c:v>
                </c:pt>
                <c:pt idx="38">
                  <c:v>0</c:v>
                </c:pt>
                <c:pt idx="39">
                  <c:v>49315</c:v>
                </c:pt>
                <c:pt idx="40">
                  <c:v>0</c:v>
                </c:pt>
                <c:pt idx="41">
                  <c:v>0</c:v>
                </c:pt>
                <c:pt idx="42">
                  <c:v>48810</c:v>
                </c:pt>
                <c:pt idx="43">
                  <c:v>0</c:v>
                </c:pt>
                <c:pt idx="44">
                  <c:v>50270</c:v>
                </c:pt>
                <c:pt idx="45">
                  <c:v>0</c:v>
                </c:pt>
                <c:pt idx="46">
                  <c:v>0</c:v>
                </c:pt>
                <c:pt idx="47">
                  <c:v>47292</c:v>
                </c:pt>
                <c:pt idx="48">
                  <c:v>0</c:v>
                </c:pt>
                <c:pt idx="49">
                  <c:v>46344</c:v>
                </c:pt>
                <c:pt idx="50">
                  <c:v>0</c:v>
                </c:pt>
                <c:pt idx="51">
                  <c:v>0</c:v>
                </c:pt>
                <c:pt idx="52">
                  <c:v>44648</c:v>
                </c:pt>
                <c:pt idx="53">
                  <c:v>0</c:v>
                </c:pt>
                <c:pt idx="54">
                  <c:v>0</c:v>
                </c:pt>
                <c:pt idx="55">
                  <c:v>46639</c:v>
                </c:pt>
                <c:pt idx="56">
                  <c:v>0</c:v>
                </c:pt>
                <c:pt idx="57">
                  <c:v>45848</c:v>
                </c:pt>
                <c:pt idx="58">
                  <c:v>0</c:v>
                </c:pt>
                <c:pt idx="59">
                  <c:v>0</c:v>
                </c:pt>
                <c:pt idx="60">
                  <c:v>49253</c:v>
                </c:pt>
                <c:pt idx="61">
                  <c:v>0</c:v>
                </c:pt>
                <c:pt idx="62">
                  <c:v>45380</c:v>
                </c:pt>
                <c:pt idx="63">
                  <c:v>0</c:v>
                </c:pt>
                <c:pt idx="64">
                  <c:v>0</c:v>
                </c:pt>
                <c:pt idx="65">
                  <c:v>50076</c:v>
                </c:pt>
                <c:pt idx="66">
                  <c:v>0</c:v>
                </c:pt>
                <c:pt idx="67">
                  <c:v>49459</c:v>
                </c:pt>
                <c:pt idx="68">
                  <c:v>0</c:v>
                </c:pt>
                <c:pt idx="69">
                  <c:v>0</c:v>
                </c:pt>
                <c:pt idx="70">
                  <c:v>46642</c:v>
                </c:pt>
                <c:pt idx="71">
                  <c:v>0</c:v>
                </c:pt>
                <c:pt idx="72">
                  <c:v>0</c:v>
                </c:pt>
                <c:pt idx="73">
                  <c:v>44360</c:v>
                </c:pt>
                <c:pt idx="74">
                  <c:v>0</c:v>
                </c:pt>
                <c:pt idx="75">
                  <c:v>44981</c:v>
                </c:pt>
                <c:pt idx="76">
                  <c:v>0</c:v>
                </c:pt>
                <c:pt idx="77">
                  <c:v>0</c:v>
                </c:pt>
                <c:pt idx="78">
                  <c:v>46402</c:v>
                </c:pt>
                <c:pt idx="79">
                  <c:v>0</c:v>
                </c:pt>
                <c:pt idx="80">
                  <c:v>47510</c:v>
                </c:pt>
                <c:pt idx="81">
                  <c:v>0</c:v>
                </c:pt>
                <c:pt idx="82">
                  <c:v>0</c:v>
                </c:pt>
                <c:pt idx="83">
                  <c:v>48470</c:v>
                </c:pt>
                <c:pt idx="84">
                  <c:v>0</c:v>
                </c:pt>
                <c:pt idx="85">
                  <c:v>0</c:v>
                </c:pt>
                <c:pt idx="86">
                  <c:v>42538</c:v>
                </c:pt>
                <c:pt idx="87">
                  <c:v>0</c:v>
                </c:pt>
                <c:pt idx="88">
                  <c:v>44598</c:v>
                </c:pt>
                <c:pt idx="89">
                  <c:v>0</c:v>
                </c:pt>
                <c:pt idx="90">
                  <c:v>0</c:v>
                </c:pt>
                <c:pt idx="91">
                  <c:v>47384</c:v>
                </c:pt>
                <c:pt idx="92">
                  <c:v>0</c:v>
                </c:pt>
                <c:pt idx="93">
                  <c:v>41010</c:v>
                </c:pt>
                <c:pt idx="94">
                  <c:v>0</c:v>
                </c:pt>
                <c:pt idx="95">
                  <c:v>0</c:v>
                </c:pt>
                <c:pt idx="96">
                  <c:v>39272</c:v>
                </c:pt>
                <c:pt idx="97">
                  <c:v>0</c:v>
                </c:pt>
                <c:pt idx="98">
                  <c:v>34589</c:v>
                </c:pt>
                <c:pt idx="99">
                  <c:v>0</c:v>
                </c:pt>
                <c:pt idx="100">
                  <c:v>0</c:v>
                </c:pt>
                <c:pt idx="101">
                  <c:v>34979</c:v>
                </c:pt>
                <c:pt idx="102">
                  <c:v>0</c:v>
                </c:pt>
                <c:pt idx="103">
                  <c:v>0</c:v>
                </c:pt>
                <c:pt idx="104">
                  <c:v>34463</c:v>
                </c:pt>
                <c:pt idx="105">
                  <c:v>0</c:v>
                </c:pt>
                <c:pt idx="106">
                  <c:v>32648</c:v>
                </c:pt>
                <c:pt idx="107">
                  <c:v>0</c:v>
                </c:pt>
                <c:pt idx="108">
                  <c:v>0</c:v>
                </c:pt>
                <c:pt idx="109">
                  <c:v>27416</c:v>
                </c:pt>
                <c:pt idx="110">
                  <c:v>0</c:v>
                </c:pt>
                <c:pt idx="111">
                  <c:v>28163</c:v>
                </c:pt>
                <c:pt idx="112">
                  <c:v>0</c:v>
                </c:pt>
                <c:pt idx="113">
                  <c:v>0</c:v>
                </c:pt>
                <c:pt idx="114">
                  <c:v>26785</c:v>
                </c:pt>
                <c:pt idx="115">
                  <c:v>0</c:v>
                </c:pt>
                <c:pt idx="116">
                  <c:v>29253</c:v>
                </c:pt>
                <c:pt idx="117">
                  <c:v>0</c:v>
                </c:pt>
                <c:pt idx="118">
                  <c:v>0</c:v>
                </c:pt>
                <c:pt idx="119">
                  <c:v>26724</c:v>
                </c:pt>
                <c:pt idx="120">
                  <c:v>0</c:v>
                </c:pt>
                <c:pt idx="121">
                  <c:v>0</c:v>
                </c:pt>
                <c:pt idx="122">
                  <c:v>23884</c:v>
                </c:pt>
                <c:pt idx="123">
                  <c:v>0</c:v>
                </c:pt>
                <c:pt idx="124">
                  <c:v>21888</c:v>
                </c:pt>
                <c:pt idx="125">
                  <c:v>0</c:v>
                </c:pt>
                <c:pt idx="126">
                  <c:v>0</c:v>
                </c:pt>
                <c:pt idx="127">
                  <c:v>19740</c:v>
                </c:pt>
                <c:pt idx="128">
                  <c:v>0</c:v>
                </c:pt>
                <c:pt idx="129">
                  <c:v>17108</c:v>
                </c:pt>
                <c:pt idx="130">
                  <c:v>0</c:v>
                </c:pt>
                <c:pt idx="131">
                  <c:v>0</c:v>
                </c:pt>
                <c:pt idx="132">
                  <c:v>14720</c:v>
                </c:pt>
                <c:pt idx="133">
                  <c:v>0</c:v>
                </c:pt>
                <c:pt idx="134">
                  <c:v>12228</c:v>
                </c:pt>
                <c:pt idx="135">
                  <c:v>0</c:v>
                </c:pt>
                <c:pt idx="136">
                  <c:v>0</c:v>
                </c:pt>
                <c:pt idx="137">
                  <c:v>9721</c:v>
                </c:pt>
                <c:pt idx="138">
                  <c:v>0</c:v>
                </c:pt>
                <c:pt idx="139">
                  <c:v>0</c:v>
                </c:pt>
                <c:pt idx="140">
                  <c:v>9348</c:v>
                </c:pt>
                <c:pt idx="141">
                  <c:v>0</c:v>
                </c:pt>
                <c:pt idx="142">
                  <c:v>6935</c:v>
                </c:pt>
                <c:pt idx="143">
                  <c:v>0</c:v>
                </c:pt>
                <c:pt idx="144">
                  <c:v>0</c:v>
                </c:pt>
                <c:pt idx="145">
                  <c:v>6024</c:v>
                </c:pt>
                <c:pt idx="146">
                  <c:v>0</c:v>
                </c:pt>
                <c:pt idx="147">
                  <c:v>6892</c:v>
                </c:pt>
                <c:pt idx="148">
                  <c:v>0</c:v>
                </c:pt>
                <c:pt idx="149">
                  <c:v>0</c:v>
                </c:pt>
                <c:pt idx="150">
                  <c:v>4820</c:v>
                </c:pt>
                <c:pt idx="151">
                  <c:v>0</c:v>
                </c:pt>
                <c:pt idx="152">
                  <c:v>5170</c:v>
                </c:pt>
                <c:pt idx="153">
                  <c:v>0</c:v>
                </c:pt>
                <c:pt idx="154">
                  <c:v>0</c:v>
                </c:pt>
                <c:pt idx="155">
                  <c:v>4116</c:v>
                </c:pt>
                <c:pt idx="156">
                  <c:v>0</c:v>
                </c:pt>
                <c:pt idx="157">
                  <c:v>0</c:v>
                </c:pt>
                <c:pt idx="158">
                  <c:v>3664</c:v>
                </c:pt>
                <c:pt idx="159">
                  <c:v>0</c:v>
                </c:pt>
                <c:pt idx="160">
                  <c:v>3596</c:v>
                </c:pt>
                <c:pt idx="161">
                  <c:v>0</c:v>
                </c:pt>
                <c:pt idx="162">
                  <c:v>0</c:v>
                </c:pt>
                <c:pt idx="163">
                  <c:v>2000</c:v>
                </c:pt>
                <c:pt idx="164">
                  <c:v>0</c:v>
                </c:pt>
                <c:pt idx="165">
                  <c:v>1384</c:v>
                </c:pt>
                <c:pt idx="166">
                  <c:v>0</c:v>
                </c:pt>
                <c:pt idx="167">
                  <c:v>0</c:v>
                </c:pt>
                <c:pt idx="168">
                  <c:v>1013</c:v>
                </c:pt>
                <c:pt idx="169">
                  <c:v>0</c:v>
                </c:pt>
                <c:pt idx="170">
                  <c:v>0</c:v>
                </c:pt>
                <c:pt idx="171">
                  <c:v>836</c:v>
                </c:pt>
                <c:pt idx="172">
                  <c:v>0</c:v>
                </c:pt>
                <c:pt idx="173">
                  <c:v>643</c:v>
                </c:pt>
                <c:pt idx="174">
                  <c:v>0</c:v>
                </c:pt>
                <c:pt idx="175">
                  <c:v>0</c:v>
                </c:pt>
                <c:pt idx="176">
                  <c:v>832</c:v>
                </c:pt>
                <c:pt idx="177">
                  <c:v>0</c:v>
                </c:pt>
                <c:pt idx="178">
                  <c:v>718</c:v>
                </c:pt>
                <c:pt idx="179">
                  <c:v>0</c:v>
                </c:pt>
                <c:pt idx="180">
                  <c:v>0</c:v>
                </c:pt>
                <c:pt idx="181">
                  <c:v>316</c:v>
                </c:pt>
                <c:pt idx="182">
                  <c:v>0</c:v>
                </c:pt>
                <c:pt idx="183">
                  <c:v>242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2911</c:v>
                </c:pt>
                <c:pt idx="7">
                  <c:v>0</c:v>
                </c:pt>
                <c:pt idx="8">
                  <c:v>6294</c:v>
                </c:pt>
                <c:pt idx="9">
                  <c:v>0</c:v>
                </c:pt>
                <c:pt idx="10">
                  <c:v>0</c:v>
                </c:pt>
                <c:pt idx="11">
                  <c:v>7310</c:v>
                </c:pt>
                <c:pt idx="12">
                  <c:v>0</c:v>
                </c:pt>
                <c:pt idx="13">
                  <c:v>6774</c:v>
                </c:pt>
                <c:pt idx="14">
                  <c:v>0</c:v>
                </c:pt>
                <c:pt idx="15">
                  <c:v>0</c:v>
                </c:pt>
                <c:pt idx="16">
                  <c:v>12155</c:v>
                </c:pt>
                <c:pt idx="17">
                  <c:v>0</c:v>
                </c:pt>
                <c:pt idx="18">
                  <c:v>0</c:v>
                </c:pt>
                <c:pt idx="19">
                  <c:v>19213</c:v>
                </c:pt>
                <c:pt idx="20">
                  <c:v>0</c:v>
                </c:pt>
                <c:pt idx="21">
                  <c:v>22522</c:v>
                </c:pt>
                <c:pt idx="22">
                  <c:v>0</c:v>
                </c:pt>
                <c:pt idx="23">
                  <c:v>0</c:v>
                </c:pt>
                <c:pt idx="24">
                  <c:v>30045</c:v>
                </c:pt>
                <c:pt idx="25">
                  <c:v>0</c:v>
                </c:pt>
                <c:pt idx="26">
                  <c:v>36352</c:v>
                </c:pt>
                <c:pt idx="27">
                  <c:v>0</c:v>
                </c:pt>
                <c:pt idx="28">
                  <c:v>0</c:v>
                </c:pt>
                <c:pt idx="29">
                  <c:v>43717</c:v>
                </c:pt>
                <c:pt idx="30">
                  <c:v>0</c:v>
                </c:pt>
                <c:pt idx="31">
                  <c:v>43800</c:v>
                </c:pt>
                <c:pt idx="32">
                  <c:v>0</c:v>
                </c:pt>
                <c:pt idx="33">
                  <c:v>0</c:v>
                </c:pt>
                <c:pt idx="34">
                  <c:v>40747</c:v>
                </c:pt>
                <c:pt idx="35">
                  <c:v>0</c:v>
                </c:pt>
                <c:pt idx="36">
                  <c:v>0</c:v>
                </c:pt>
                <c:pt idx="37">
                  <c:v>42507</c:v>
                </c:pt>
                <c:pt idx="38">
                  <c:v>0</c:v>
                </c:pt>
                <c:pt idx="39">
                  <c:v>43144</c:v>
                </c:pt>
                <c:pt idx="40">
                  <c:v>0</c:v>
                </c:pt>
                <c:pt idx="41">
                  <c:v>0</c:v>
                </c:pt>
                <c:pt idx="42">
                  <c:v>43663</c:v>
                </c:pt>
                <c:pt idx="43">
                  <c:v>0</c:v>
                </c:pt>
                <c:pt idx="44">
                  <c:v>45720</c:v>
                </c:pt>
                <c:pt idx="45">
                  <c:v>0</c:v>
                </c:pt>
                <c:pt idx="46">
                  <c:v>0</c:v>
                </c:pt>
                <c:pt idx="47">
                  <c:v>49327</c:v>
                </c:pt>
                <c:pt idx="48">
                  <c:v>0</c:v>
                </c:pt>
                <c:pt idx="49">
                  <c:v>53895</c:v>
                </c:pt>
                <c:pt idx="50">
                  <c:v>0</c:v>
                </c:pt>
                <c:pt idx="51">
                  <c:v>0</c:v>
                </c:pt>
                <c:pt idx="52">
                  <c:v>57416</c:v>
                </c:pt>
                <c:pt idx="53">
                  <c:v>0</c:v>
                </c:pt>
                <c:pt idx="54">
                  <c:v>0</c:v>
                </c:pt>
                <c:pt idx="55">
                  <c:v>57021</c:v>
                </c:pt>
                <c:pt idx="56">
                  <c:v>0</c:v>
                </c:pt>
                <c:pt idx="57">
                  <c:v>65032</c:v>
                </c:pt>
                <c:pt idx="58">
                  <c:v>0</c:v>
                </c:pt>
                <c:pt idx="59">
                  <c:v>0</c:v>
                </c:pt>
                <c:pt idx="60">
                  <c:v>63341</c:v>
                </c:pt>
                <c:pt idx="61">
                  <c:v>0</c:v>
                </c:pt>
                <c:pt idx="62">
                  <c:v>70000</c:v>
                </c:pt>
                <c:pt idx="63">
                  <c:v>0</c:v>
                </c:pt>
                <c:pt idx="64">
                  <c:v>0</c:v>
                </c:pt>
                <c:pt idx="65">
                  <c:v>70843</c:v>
                </c:pt>
                <c:pt idx="66">
                  <c:v>0</c:v>
                </c:pt>
                <c:pt idx="67">
                  <c:v>69518</c:v>
                </c:pt>
                <c:pt idx="68">
                  <c:v>0</c:v>
                </c:pt>
                <c:pt idx="69">
                  <c:v>0</c:v>
                </c:pt>
                <c:pt idx="70">
                  <c:v>71291</c:v>
                </c:pt>
                <c:pt idx="71">
                  <c:v>0</c:v>
                </c:pt>
                <c:pt idx="72">
                  <c:v>0</c:v>
                </c:pt>
                <c:pt idx="73">
                  <c:v>65240</c:v>
                </c:pt>
                <c:pt idx="74">
                  <c:v>0</c:v>
                </c:pt>
                <c:pt idx="75">
                  <c:v>63566</c:v>
                </c:pt>
                <c:pt idx="76">
                  <c:v>0</c:v>
                </c:pt>
                <c:pt idx="77">
                  <c:v>0</c:v>
                </c:pt>
                <c:pt idx="78">
                  <c:v>60691</c:v>
                </c:pt>
                <c:pt idx="79">
                  <c:v>0</c:v>
                </c:pt>
                <c:pt idx="80">
                  <c:v>56415</c:v>
                </c:pt>
                <c:pt idx="81">
                  <c:v>0</c:v>
                </c:pt>
                <c:pt idx="82">
                  <c:v>0</c:v>
                </c:pt>
                <c:pt idx="83">
                  <c:v>51659</c:v>
                </c:pt>
                <c:pt idx="84">
                  <c:v>0</c:v>
                </c:pt>
                <c:pt idx="85">
                  <c:v>0</c:v>
                </c:pt>
                <c:pt idx="86">
                  <c:v>47706</c:v>
                </c:pt>
                <c:pt idx="87">
                  <c:v>0</c:v>
                </c:pt>
                <c:pt idx="88">
                  <c:v>45383</c:v>
                </c:pt>
                <c:pt idx="89">
                  <c:v>0</c:v>
                </c:pt>
                <c:pt idx="90">
                  <c:v>0</c:v>
                </c:pt>
                <c:pt idx="91">
                  <c:v>43437</c:v>
                </c:pt>
                <c:pt idx="92">
                  <c:v>0</c:v>
                </c:pt>
                <c:pt idx="93">
                  <c:v>39853</c:v>
                </c:pt>
                <c:pt idx="94">
                  <c:v>0</c:v>
                </c:pt>
                <c:pt idx="95">
                  <c:v>0</c:v>
                </c:pt>
                <c:pt idx="96">
                  <c:v>36106</c:v>
                </c:pt>
                <c:pt idx="97">
                  <c:v>0</c:v>
                </c:pt>
                <c:pt idx="98">
                  <c:v>32790</c:v>
                </c:pt>
                <c:pt idx="99">
                  <c:v>0</c:v>
                </c:pt>
                <c:pt idx="100">
                  <c:v>0</c:v>
                </c:pt>
                <c:pt idx="101">
                  <c:v>31667</c:v>
                </c:pt>
                <c:pt idx="102">
                  <c:v>0</c:v>
                </c:pt>
                <c:pt idx="103">
                  <c:v>0</c:v>
                </c:pt>
                <c:pt idx="104">
                  <c:v>33199</c:v>
                </c:pt>
                <c:pt idx="105">
                  <c:v>0</c:v>
                </c:pt>
                <c:pt idx="106">
                  <c:v>30416</c:v>
                </c:pt>
                <c:pt idx="107">
                  <c:v>0</c:v>
                </c:pt>
                <c:pt idx="108">
                  <c:v>0</c:v>
                </c:pt>
                <c:pt idx="109">
                  <c:v>29372</c:v>
                </c:pt>
                <c:pt idx="110">
                  <c:v>0</c:v>
                </c:pt>
                <c:pt idx="111">
                  <c:v>24539</c:v>
                </c:pt>
                <c:pt idx="112">
                  <c:v>0</c:v>
                </c:pt>
                <c:pt idx="113">
                  <c:v>0</c:v>
                </c:pt>
                <c:pt idx="114">
                  <c:v>21245</c:v>
                </c:pt>
                <c:pt idx="115">
                  <c:v>0</c:v>
                </c:pt>
                <c:pt idx="116">
                  <c:v>17470</c:v>
                </c:pt>
                <c:pt idx="117">
                  <c:v>0</c:v>
                </c:pt>
                <c:pt idx="118">
                  <c:v>0</c:v>
                </c:pt>
                <c:pt idx="119">
                  <c:v>13439</c:v>
                </c:pt>
                <c:pt idx="120">
                  <c:v>0</c:v>
                </c:pt>
                <c:pt idx="121">
                  <c:v>0</c:v>
                </c:pt>
                <c:pt idx="122">
                  <c:v>10509</c:v>
                </c:pt>
                <c:pt idx="123">
                  <c:v>0</c:v>
                </c:pt>
                <c:pt idx="124">
                  <c:v>8902</c:v>
                </c:pt>
                <c:pt idx="125">
                  <c:v>0</c:v>
                </c:pt>
                <c:pt idx="126">
                  <c:v>0</c:v>
                </c:pt>
                <c:pt idx="127">
                  <c:v>7759</c:v>
                </c:pt>
                <c:pt idx="128">
                  <c:v>0</c:v>
                </c:pt>
                <c:pt idx="129">
                  <c:v>6980</c:v>
                </c:pt>
                <c:pt idx="130">
                  <c:v>0</c:v>
                </c:pt>
                <c:pt idx="131">
                  <c:v>0</c:v>
                </c:pt>
                <c:pt idx="132">
                  <c:v>5572</c:v>
                </c:pt>
                <c:pt idx="133">
                  <c:v>0</c:v>
                </c:pt>
                <c:pt idx="134">
                  <c:v>4039</c:v>
                </c:pt>
                <c:pt idx="135">
                  <c:v>0</c:v>
                </c:pt>
                <c:pt idx="136">
                  <c:v>0</c:v>
                </c:pt>
                <c:pt idx="137">
                  <c:v>3963</c:v>
                </c:pt>
                <c:pt idx="138">
                  <c:v>0</c:v>
                </c:pt>
                <c:pt idx="139">
                  <c:v>0</c:v>
                </c:pt>
                <c:pt idx="140">
                  <c:v>3935</c:v>
                </c:pt>
                <c:pt idx="141">
                  <c:v>0</c:v>
                </c:pt>
                <c:pt idx="142">
                  <c:v>3183</c:v>
                </c:pt>
                <c:pt idx="143">
                  <c:v>0</c:v>
                </c:pt>
                <c:pt idx="144">
                  <c:v>0</c:v>
                </c:pt>
                <c:pt idx="145">
                  <c:v>1650</c:v>
                </c:pt>
                <c:pt idx="146">
                  <c:v>0</c:v>
                </c:pt>
                <c:pt idx="147">
                  <c:v>642</c:v>
                </c:pt>
                <c:pt idx="148">
                  <c:v>0</c:v>
                </c:pt>
                <c:pt idx="149">
                  <c:v>0</c:v>
                </c:pt>
                <c:pt idx="150">
                  <c:v>854</c:v>
                </c:pt>
                <c:pt idx="151">
                  <c:v>0</c:v>
                </c:pt>
                <c:pt idx="152">
                  <c:v>323</c:v>
                </c:pt>
                <c:pt idx="153">
                  <c:v>0</c:v>
                </c:pt>
                <c:pt idx="154">
                  <c:v>0</c:v>
                </c:pt>
                <c:pt idx="155">
                  <c:v>239</c:v>
                </c:pt>
                <c:pt idx="156">
                  <c:v>0</c:v>
                </c:pt>
                <c:pt idx="157">
                  <c:v>0</c:v>
                </c:pt>
                <c:pt idx="158">
                  <c:v>173</c:v>
                </c:pt>
                <c:pt idx="159">
                  <c:v>0</c:v>
                </c:pt>
                <c:pt idx="160">
                  <c:v>32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0.19302478691036279</c:v>
                </c:pt>
                <c:pt idx="1">
                  <c:v>0.37594075449873476</c:v>
                </c:pt>
                <c:pt idx="2">
                  <c:v>0.43103445859090245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0.51420968832006364</c:v>
                </c:pt>
                <c:pt idx="1">
                  <c:v>0.27400083610880338</c:v>
                </c:pt>
                <c:pt idx="2">
                  <c:v>0.21178947557113295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6.3862674999999998</c:v>
                </c:pt>
                <c:pt idx="1">
                  <c:v>17.168412500000002</c:v>
                </c:pt>
                <c:pt idx="2">
                  <c:v>31.5304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0.401113</c:v>
                </c:pt>
                <c:pt idx="2">
                  <c:v>0.80696400000000001</c:v>
                </c:pt>
                <c:pt idx="3">
                  <c:v>1.2140599999999999</c:v>
                </c:pt>
                <c:pt idx="4">
                  <c:v>1.61711</c:v>
                </c:pt>
                <c:pt idx="5">
                  <c:v>2.0244300000000002</c:v>
                </c:pt>
                <c:pt idx="6">
                  <c:v>2.4312399999999998</c:v>
                </c:pt>
                <c:pt idx="7">
                  <c:v>2.8379599999999998</c:v>
                </c:pt>
                <c:pt idx="8">
                  <c:v>3.2435100000000001</c:v>
                </c:pt>
                <c:pt idx="9">
                  <c:v>3.6523500000000002</c:v>
                </c:pt>
                <c:pt idx="10">
                  <c:v>4.0542400000000001</c:v>
                </c:pt>
                <c:pt idx="11">
                  <c:v>4.4640500000000003</c:v>
                </c:pt>
                <c:pt idx="12">
                  <c:v>4.86937</c:v>
                </c:pt>
                <c:pt idx="13">
                  <c:v>5.2776899999999998</c:v>
                </c:pt>
                <c:pt idx="14">
                  <c:v>5.6795400000000003</c:v>
                </c:pt>
                <c:pt idx="15">
                  <c:v>6.0892799999999996</c:v>
                </c:pt>
                <c:pt idx="16">
                  <c:v>6.4953700000000003</c:v>
                </c:pt>
                <c:pt idx="17">
                  <c:v>6.8986700000000001</c:v>
                </c:pt>
                <c:pt idx="18">
                  <c:v>7.30715</c:v>
                </c:pt>
                <c:pt idx="19">
                  <c:v>7.7099099999999998</c:v>
                </c:pt>
                <c:pt idx="20">
                  <c:v>8.1181900000000002</c:v>
                </c:pt>
                <c:pt idx="21">
                  <c:v>8.5268499999999996</c:v>
                </c:pt>
                <c:pt idx="22">
                  <c:v>8.9315499999999997</c:v>
                </c:pt>
                <c:pt idx="23">
                  <c:v>9.3388399999999994</c:v>
                </c:pt>
                <c:pt idx="24">
                  <c:v>9.7425800000000002</c:v>
                </c:pt>
                <c:pt idx="25">
                  <c:v>10.1469</c:v>
                </c:pt>
                <c:pt idx="26">
                  <c:v>10.557600000000001</c:v>
                </c:pt>
                <c:pt idx="27">
                  <c:v>10.962199999999999</c:v>
                </c:pt>
                <c:pt idx="28">
                  <c:v>11.367100000000001</c:v>
                </c:pt>
                <c:pt idx="29">
                  <c:v>11.7746</c:v>
                </c:pt>
                <c:pt idx="30">
                  <c:v>12.180999999999999</c:v>
                </c:pt>
                <c:pt idx="31">
                  <c:v>12.587300000000001</c:v>
                </c:pt>
                <c:pt idx="32">
                  <c:v>12.994999999999999</c:v>
                </c:pt>
                <c:pt idx="33">
                  <c:v>13.3978</c:v>
                </c:pt>
                <c:pt idx="34">
                  <c:v>13.805</c:v>
                </c:pt>
                <c:pt idx="35">
                  <c:v>14.2135</c:v>
                </c:pt>
                <c:pt idx="36">
                  <c:v>14.6175</c:v>
                </c:pt>
                <c:pt idx="37">
                  <c:v>15.0237</c:v>
                </c:pt>
                <c:pt idx="38">
                  <c:v>15.432</c:v>
                </c:pt>
                <c:pt idx="39">
                  <c:v>15.8361</c:v>
                </c:pt>
                <c:pt idx="40">
                  <c:v>16.244499999999999</c:v>
                </c:pt>
                <c:pt idx="41">
                  <c:v>16.6511</c:v>
                </c:pt>
                <c:pt idx="42">
                  <c:v>17.052900000000001</c:v>
                </c:pt>
                <c:pt idx="43">
                  <c:v>17.462199999999999</c:v>
                </c:pt>
                <c:pt idx="44">
                  <c:v>17.870200000000001</c:v>
                </c:pt>
                <c:pt idx="45">
                  <c:v>18.274899999999999</c:v>
                </c:pt>
                <c:pt idx="46">
                  <c:v>18.682200000000002</c:v>
                </c:pt>
                <c:pt idx="47">
                  <c:v>19.0868</c:v>
                </c:pt>
                <c:pt idx="48">
                  <c:v>19.491399999999999</c:v>
                </c:pt>
                <c:pt idx="49">
                  <c:v>19.8995</c:v>
                </c:pt>
                <c:pt idx="50">
                  <c:v>20.307300000000001</c:v>
                </c:pt>
                <c:pt idx="51">
                  <c:v>20.7121</c:v>
                </c:pt>
                <c:pt idx="52">
                  <c:v>21.114899999999999</c:v>
                </c:pt>
                <c:pt idx="53">
                  <c:v>21.5229</c:v>
                </c:pt>
                <c:pt idx="54">
                  <c:v>21.932300000000001</c:v>
                </c:pt>
                <c:pt idx="55">
                  <c:v>22.3398</c:v>
                </c:pt>
                <c:pt idx="56">
                  <c:v>22.746600000000001</c:v>
                </c:pt>
                <c:pt idx="57">
                  <c:v>23.151</c:v>
                </c:pt>
                <c:pt idx="58">
                  <c:v>23.5533</c:v>
                </c:pt>
                <c:pt idx="59">
                  <c:v>23.9621</c:v>
                </c:pt>
                <c:pt idx="60">
                  <c:v>24.3705</c:v>
                </c:pt>
                <c:pt idx="61">
                  <c:v>24.776299999999999</c:v>
                </c:pt>
                <c:pt idx="62">
                  <c:v>25.178799999999999</c:v>
                </c:pt>
                <c:pt idx="63">
                  <c:v>25.5853</c:v>
                </c:pt>
                <c:pt idx="64">
                  <c:v>25.9941</c:v>
                </c:pt>
                <c:pt idx="65">
                  <c:v>26.400700000000001</c:v>
                </c:pt>
                <c:pt idx="66">
                  <c:v>26.808399999999999</c:v>
                </c:pt>
                <c:pt idx="67">
                  <c:v>27.211400000000001</c:v>
                </c:pt>
                <c:pt idx="68">
                  <c:v>27.6174</c:v>
                </c:pt>
                <c:pt idx="69">
                  <c:v>28.023299999999999</c:v>
                </c:pt>
                <c:pt idx="70">
                  <c:v>28.434799999999999</c:v>
                </c:pt>
                <c:pt idx="71">
                  <c:v>28.8367</c:v>
                </c:pt>
                <c:pt idx="72">
                  <c:v>29.242899999999999</c:v>
                </c:pt>
                <c:pt idx="73">
                  <c:v>29.6477</c:v>
                </c:pt>
                <c:pt idx="74">
                  <c:v>30.0579</c:v>
                </c:pt>
                <c:pt idx="75">
                  <c:v>30.528600000000001</c:v>
                </c:pt>
                <c:pt idx="76">
                  <c:v>30.915099999999999</c:v>
                </c:pt>
                <c:pt idx="77">
                  <c:v>31.3218</c:v>
                </c:pt>
                <c:pt idx="78">
                  <c:v>31.7315</c:v>
                </c:pt>
                <c:pt idx="79">
                  <c:v>32.135800000000003</c:v>
                </c:pt>
                <c:pt idx="80">
                  <c:v>32.539499999999997</c:v>
                </c:pt>
                <c:pt idx="81">
                  <c:v>32.946199999999997</c:v>
                </c:pt>
                <c:pt idx="82">
                  <c:v>33.352600000000002</c:v>
                </c:pt>
                <c:pt idx="83">
                  <c:v>33.758600000000001</c:v>
                </c:pt>
                <c:pt idx="84">
                  <c:v>34.1629</c:v>
                </c:pt>
                <c:pt idx="85">
                  <c:v>34.571399999999997</c:v>
                </c:pt>
                <c:pt idx="86">
                  <c:v>34.976999999999997</c:v>
                </c:pt>
                <c:pt idx="87">
                  <c:v>35.386699999999998</c:v>
                </c:pt>
                <c:pt idx="88">
                  <c:v>35.788699999999999</c:v>
                </c:pt>
                <c:pt idx="89">
                  <c:v>36.197400000000002</c:v>
                </c:pt>
                <c:pt idx="90">
                  <c:v>36.604999999999997</c:v>
                </c:pt>
                <c:pt idx="91">
                  <c:v>37.011099999999999</c:v>
                </c:pt>
                <c:pt idx="92">
                  <c:v>37.418900000000001</c:v>
                </c:pt>
                <c:pt idx="93">
                  <c:v>37.822000000000003</c:v>
                </c:pt>
                <c:pt idx="94">
                  <c:v>38.227400000000003</c:v>
                </c:pt>
                <c:pt idx="95">
                  <c:v>38.637</c:v>
                </c:pt>
                <c:pt idx="96">
                  <c:v>39.041400000000003</c:v>
                </c:pt>
                <c:pt idx="97">
                  <c:v>39.445700000000002</c:v>
                </c:pt>
                <c:pt idx="98">
                  <c:v>39.8521</c:v>
                </c:pt>
                <c:pt idx="99">
                  <c:v>40.258800000000001</c:v>
                </c:pt>
                <c:pt idx="100">
                  <c:v>40.664400000000001</c:v>
                </c:pt>
                <c:pt idx="101">
                  <c:v>41.0747</c:v>
                </c:pt>
                <c:pt idx="102">
                  <c:v>41.480899999999998</c:v>
                </c:pt>
                <c:pt idx="103">
                  <c:v>41.884999999999998</c:v>
                </c:pt>
                <c:pt idx="104">
                  <c:v>42.288800000000002</c:v>
                </c:pt>
                <c:pt idx="105">
                  <c:v>42.694600000000001</c:v>
                </c:pt>
                <c:pt idx="106">
                  <c:v>43.103900000000003</c:v>
                </c:pt>
                <c:pt idx="107">
                  <c:v>43.511699999999998</c:v>
                </c:pt>
                <c:pt idx="108">
                  <c:v>43.915999999999997</c:v>
                </c:pt>
                <c:pt idx="109">
                  <c:v>44.320999999999998</c:v>
                </c:pt>
                <c:pt idx="110">
                  <c:v>44.728299999999997</c:v>
                </c:pt>
                <c:pt idx="111">
                  <c:v>45.138599999999997</c:v>
                </c:pt>
                <c:pt idx="112">
                  <c:v>45.541400000000003</c:v>
                </c:pt>
                <c:pt idx="113">
                  <c:v>45.948099999999997</c:v>
                </c:pt>
                <c:pt idx="114">
                  <c:v>46.355200000000004</c:v>
                </c:pt>
                <c:pt idx="115">
                  <c:v>46.758200000000002</c:v>
                </c:pt>
                <c:pt idx="116">
                  <c:v>47.164099999999998</c:v>
                </c:pt>
                <c:pt idx="117">
                  <c:v>47.572299999999998</c:v>
                </c:pt>
                <c:pt idx="118">
                  <c:v>47.979300000000002</c:v>
                </c:pt>
                <c:pt idx="119">
                  <c:v>48.383000000000003</c:v>
                </c:pt>
                <c:pt idx="120">
                  <c:v>48.787700000000001</c:v>
                </c:pt>
                <c:pt idx="121">
                  <c:v>49.1965</c:v>
                </c:pt>
                <c:pt idx="122">
                  <c:v>49.604599999999998</c:v>
                </c:pt>
                <c:pt idx="123">
                  <c:v>50.011000000000003</c:v>
                </c:pt>
                <c:pt idx="124">
                  <c:v>50.414700000000003</c:v>
                </c:pt>
                <c:pt idx="125">
                  <c:v>50.819499999999998</c:v>
                </c:pt>
                <c:pt idx="126">
                  <c:v>51.227600000000002</c:v>
                </c:pt>
                <c:pt idx="127">
                  <c:v>51.631</c:v>
                </c:pt>
                <c:pt idx="128">
                  <c:v>52.041400000000003</c:v>
                </c:pt>
                <c:pt idx="129">
                  <c:v>52.444699999999997</c:v>
                </c:pt>
                <c:pt idx="130">
                  <c:v>52.851500000000001</c:v>
                </c:pt>
                <c:pt idx="131">
                  <c:v>53.261200000000002</c:v>
                </c:pt>
                <c:pt idx="132">
                  <c:v>53.668399999999998</c:v>
                </c:pt>
                <c:pt idx="133">
                  <c:v>54.072400000000002</c:v>
                </c:pt>
                <c:pt idx="134">
                  <c:v>54.476399999999998</c:v>
                </c:pt>
                <c:pt idx="135">
                  <c:v>54.8825</c:v>
                </c:pt>
                <c:pt idx="136">
                  <c:v>55.2913</c:v>
                </c:pt>
                <c:pt idx="137">
                  <c:v>55.6982</c:v>
                </c:pt>
                <c:pt idx="138">
                  <c:v>56.103999999999999</c:v>
                </c:pt>
                <c:pt idx="139">
                  <c:v>56.506700000000002</c:v>
                </c:pt>
                <c:pt idx="140">
                  <c:v>56.915100000000002</c:v>
                </c:pt>
                <c:pt idx="141">
                  <c:v>57.3247</c:v>
                </c:pt>
                <c:pt idx="142">
                  <c:v>57.730800000000002</c:v>
                </c:pt>
                <c:pt idx="143">
                  <c:v>58.136000000000003</c:v>
                </c:pt>
                <c:pt idx="144">
                  <c:v>58.5381</c:v>
                </c:pt>
                <c:pt idx="145">
                  <c:v>58.945399999999999</c:v>
                </c:pt>
                <c:pt idx="146">
                  <c:v>59.3506</c:v>
                </c:pt>
                <c:pt idx="147">
                  <c:v>59.7575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1.38703</c:v>
                </c:pt>
                <c:pt idx="1">
                  <c:v>1.4351099999999999</c:v>
                </c:pt>
                <c:pt idx="2">
                  <c:v>1.4821200000000001</c:v>
                </c:pt>
                <c:pt idx="3">
                  <c:v>1.52847</c:v>
                </c:pt>
                <c:pt idx="4">
                  <c:v>1.5757399999999999</c:v>
                </c:pt>
                <c:pt idx="5">
                  <c:v>1.62277</c:v>
                </c:pt>
                <c:pt idx="6">
                  <c:v>1.6719400000000002</c:v>
                </c:pt>
                <c:pt idx="7">
                  <c:v>1.7261299999999999</c:v>
                </c:pt>
                <c:pt idx="8">
                  <c:v>1.7854700000000001</c:v>
                </c:pt>
                <c:pt idx="9">
                  <c:v>1.8476300000000001</c:v>
                </c:pt>
                <c:pt idx="10">
                  <c:v>1.90977</c:v>
                </c:pt>
                <c:pt idx="11">
                  <c:v>1.9696099999999999</c:v>
                </c:pt>
                <c:pt idx="12">
                  <c:v>2.0249600000000001</c:v>
                </c:pt>
                <c:pt idx="13">
                  <c:v>2.0784600000000002</c:v>
                </c:pt>
                <c:pt idx="14">
                  <c:v>2.13632</c:v>
                </c:pt>
                <c:pt idx="15">
                  <c:v>2.1969099999999999</c:v>
                </c:pt>
                <c:pt idx="16">
                  <c:v>2.2599200000000002</c:v>
                </c:pt>
                <c:pt idx="17">
                  <c:v>2.3208799999999998</c:v>
                </c:pt>
                <c:pt idx="18">
                  <c:v>2.3790100000000001</c:v>
                </c:pt>
                <c:pt idx="19">
                  <c:v>2.4352900000000002</c:v>
                </c:pt>
                <c:pt idx="20">
                  <c:v>2.4905400000000002</c:v>
                </c:pt>
                <c:pt idx="21">
                  <c:v>2.5450900000000001</c:v>
                </c:pt>
                <c:pt idx="22">
                  <c:v>2.5975100000000002</c:v>
                </c:pt>
                <c:pt idx="23">
                  <c:v>2.6498500000000003</c:v>
                </c:pt>
                <c:pt idx="24">
                  <c:v>2.7052500000000004</c:v>
                </c:pt>
                <c:pt idx="25">
                  <c:v>2.7618999999999998</c:v>
                </c:pt>
                <c:pt idx="26">
                  <c:v>2.8186800000000001</c:v>
                </c:pt>
                <c:pt idx="27">
                  <c:v>2.8758699999999999</c:v>
                </c:pt>
                <c:pt idx="28">
                  <c:v>2.93283</c:v>
                </c:pt>
                <c:pt idx="29">
                  <c:v>2.9914800000000001</c:v>
                </c:pt>
                <c:pt idx="30">
                  <c:v>3.0486499999999999</c:v>
                </c:pt>
                <c:pt idx="31">
                  <c:v>3.10128</c:v>
                </c:pt>
                <c:pt idx="32">
                  <c:v>3.14541</c:v>
                </c:pt>
                <c:pt idx="33">
                  <c:v>3.1803699999999999</c:v>
                </c:pt>
                <c:pt idx="34">
                  <c:v>3.2099199999999999</c:v>
                </c:pt>
                <c:pt idx="35">
                  <c:v>3.23841</c:v>
                </c:pt>
                <c:pt idx="36">
                  <c:v>3.2708700000000004</c:v>
                </c:pt>
                <c:pt idx="37">
                  <c:v>3.3040399999999996</c:v>
                </c:pt>
                <c:pt idx="38">
                  <c:v>3.33751</c:v>
                </c:pt>
                <c:pt idx="39">
                  <c:v>3.36815</c:v>
                </c:pt>
                <c:pt idx="40">
                  <c:v>3.39595</c:v>
                </c:pt>
                <c:pt idx="41">
                  <c:v>3.4214000000000002</c:v>
                </c:pt>
                <c:pt idx="42">
                  <c:v>3.4451100000000001</c:v>
                </c:pt>
                <c:pt idx="43">
                  <c:v>3.4654499999999997</c:v>
                </c:pt>
                <c:pt idx="44">
                  <c:v>3.4808299999999996</c:v>
                </c:pt>
                <c:pt idx="45">
                  <c:v>3.4915699999999998</c:v>
                </c:pt>
                <c:pt idx="46">
                  <c:v>3.4954400000000003</c:v>
                </c:pt>
                <c:pt idx="47">
                  <c:v>3.49634</c:v>
                </c:pt>
                <c:pt idx="48">
                  <c:v>3.4941599999999999</c:v>
                </c:pt>
                <c:pt idx="49">
                  <c:v>3.484</c:v>
                </c:pt>
                <c:pt idx="50">
                  <c:v>3.4775200000000002</c:v>
                </c:pt>
                <c:pt idx="51">
                  <c:v>3.4450799999999999</c:v>
                </c:pt>
                <c:pt idx="52">
                  <c:v>3.4309699999999999</c:v>
                </c:pt>
                <c:pt idx="53">
                  <c:v>3.4048400000000001</c:v>
                </c:pt>
                <c:pt idx="54">
                  <c:v>3.3634900000000001</c:v>
                </c:pt>
                <c:pt idx="55">
                  <c:v>3.32918</c:v>
                </c:pt>
                <c:pt idx="56">
                  <c:v>3.2942300000000002</c:v>
                </c:pt>
                <c:pt idx="57">
                  <c:v>3.2592400000000001</c:v>
                </c:pt>
                <c:pt idx="58">
                  <c:v>3.23807</c:v>
                </c:pt>
                <c:pt idx="59">
                  <c:v>3.1900899999999996</c:v>
                </c:pt>
                <c:pt idx="60">
                  <c:v>3.1662699999999999</c:v>
                </c:pt>
                <c:pt idx="61">
                  <c:v>3.12439</c:v>
                </c:pt>
                <c:pt idx="62">
                  <c:v>3.0828199999999999</c:v>
                </c:pt>
                <c:pt idx="63">
                  <c:v>3.0406300000000002</c:v>
                </c:pt>
                <c:pt idx="64">
                  <c:v>2.98874</c:v>
                </c:pt>
                <c:pt idx="65">
                  <c:v>2.9492400000000001</c:v>
                </c:pt>
                <c:pt idx="66">
                  <c:v>2.9101599999999999</c:v>
                </c:pt>
                <c:pt idx="67">
                  <c:v>2.8759200000000003</c:v>
                </c:pt>
                <c:pt idx="68">
                  <c:v>2.8360999999999996</c:v>
                </c:pt>
                <c:pt idx="69">
                  <c:v>2.8071200000000003</c:v>
                </c:pt>
                <c:pt idx="70">
                  <c:v>2.7760400000000001</c:v>
                </c:pt>
                <c:pt idx="71">
                  <c:v>2.7492200000000002</c:v>
                </c:pt>
                <c:pt idx="72">
                  <c:v>2.7216200000000002</c:v>
                </c:pt>
                <c:pt idx="73">
                  <c:v>2.69442</c:v>
                </c:pt>
                <c:pt idx="74">
                  <c:v>2.6672200000000004</c:v>
                </c:pt>
                <c:pt idx="75">
                  <c:v>2.6444000000000001</c:v>
                </c:pt>
                <c:pt idx="76">
                  <c:v>2.6254200000000001</c:v>
                </c:pt>
                <c:pt idx="77">
                  <c:v>2.6050599999999999</c:v>
                </c:pt>
                <c:pt idx="78">
                  <c:v>2.58514</c:v>
                </c:pt>
                <c:pt idx="79">
                  <c:v>2.5646300000000002</c:v>
                </c:pt>
                <c:pt idx="80">
                  <c:v>2.54616</c:v>
                </c:pt>
                <c:pt idx="81">
                  <c:v>2.5289600000000001</c:v>
                </c:pt>
                <c:pt idx="82">
                  <c:v>2.5164599999999999</c:v>
                </c:pt>
                <c:pt idx="83">
                  <c:v>2.5072999999999999</c:v>
                </c:pt>
                <c:pt idx="84">
                  <c:v>2.5019900000000002</c:v>
                </c:pt>
                <c:pt idx="85">
                  <c:v>2.4968599999999999</c:v>
                </c:pt>
                <c:pt idx="86">
                  <c:v>2.4917600000000002</c:v>
                </c:pt>
                <c:pt idx="87">
                  <c:v>2.48394</c:v>
                </c:pt>
                <c:pt idx="88">
                  <c:v>2.4788999999999999</c:v>
                </c:pt>
                <c:pt idx="89">
                  <c:v>2.47411</c:v>
                </c:pt>
                <c:pt idx="90">
                  <c:v>2.4720500000000003</c:v>
                </c:pt>
                <c:pt idx="91">
                  <c:v>2.4704999999999999</c:v>
                </c:pt>
                <c:pt idx="92">
                  <c:v>2.4679200000000003</c:v>
                </c:pt>
                <c:pt idx="93">
                  <c:v>2.4614500000000001</c:v>
                </c:pt>
                <c:pt idx="94">
                  <c:v>2.4561299999999999</c:v>
                </c:pt>
                <c:pt idx="95">
                  <c:v>2.4500299999999999</c:v>
                </c:pt>
                <c:pt idx="96">
                  <c:v>2.44434</c:v>
                </c:pt>
                <c:pt idx="97">
                  <c:v>2.4389099999999999</c:v>
                </c:pt>
                <c:pt idx="98">
                  <c:v>2.43547</c:v>
                </c:pt>
                <c:pt idx="99">
                  <c:v>2.4354999999999998</c:v>
                </c:pt>
                <c:pt idx="100">
                  <c:v>2.4368500000000002</c:v>
                </c:pt>
                <c:pt idx="101">
                  <c:v>2.4403899999999998</c:v>
                </c:pt>
                <c:pt idx="102">
                  <c:v>2.4453800000000001</c:v>
                </c:pt>
                <c:pt idx="103">
                  <c:v>2.45417</c:v>
                </c:pt>
                <c:pt idx="104">
                  <c:v>2.4636800000000001</c:v>
                </c:pt>
                <c:pt idx="105">
                  <c:v>2.4740599999999997</c:v>
                </c:pt>
                <c:pt idx="106">
                  <c:v>2.4850400000000001</c:v>
                </c:pt>
                <c:pt idx="107">
                  <c:v>2.4998999999999998</c:v>
                </c:pt>
                <c:pt idx="108">
                  <c:v>2.5155599999999998</c:v>
                </c:pt>
                <c:pt idx="109">
                  <c:v>2.53199</c:v>
                </c:pt>
                <c:pt idx="110">
                  <c:v>2.5486900000000001</c:v>
                </c:pt>
                <c:pt idx="111">
                  <c:v>2.5639799999999999</c:v>
                </c:pt>
                <c:pt idx="112">
                  <c:v>2.5808300000000002</c:v>
                </c:pt>
                <c:pt idx="113">
                  <c:v>2.5976599999999999</c:v>
                </c:pt>
                <c:pt idx="114">
                  <c:v>2.6123099999999999</c:v>
                </c:pt>
                <c:pt idx="115">
                  <c:v>2.6242799999999997</c:v>
                </c:pt>
                <c:pt idx="116">
                  <c:v>2.63449</c:v>
                </c:pt>
                <c:pt idx="117">
                  <c:v>2.6459799999999998</c:v>
                </c:pt>
                <c:pt idx="118">
                  <c:v>2.6577899999999999</c:v>
                </c:pt>
                <c:pt idx="119">
                  <c:v>2.6700400000000002</c:v>
                </c:pt>
                <c:pt idx="120">
                  <c:v>2.6843499999999998</c:v>
                </c:pt>
                <c:pt idx="121">
                  <c:v>2.7021099999999998</c:v>
                </c:pt>
                <c:pt idx="122">
                  <c:v>2.7193299999999998</c:v>
                </c:pt>
                <c:pt idx="123">
                  <c:v>2.7341199999999999</c:v>
                </c:pt>
                <c:pt idx="124">
                  <c:v>2.7420099999999996</c:v>
                </c:pt>
                <c:pt idx="125">
                  <c:v>2.74959</c:v>
                </c:pt>
                <c:pt idx="126">
                  <c:v>2.7566200000000003</c:v>
                </c:pt>
                <c:pt idx="127">
                  <c:v>2.7619899999999999</c:v>
                </c:pt>
                <c:pt idx="128">
                  <c:v>2.7653499999999998</c:v>
                </c:pt>
                <c:pt idx="129">
                  <c:v>2.7692299999999999</c:v>
                </c:pt>
                <c:pt idx="130">
                  <c:v>2.7741400000000001</c:v>
                </c:pt>
                <c:pt idx="131">
                  <c:v>2.7799499999999999</c:v>
                </c:pt>
                <c:pt idx="132">
                  <c:v>2.7821600000000002</c:v>
                </c:pt>
                <c:pt idx="133">
                  <c:v>2.7842000000000002</c:v>
                </c:pt>
                <c:pt idx="134">
                  <c:v>2.7857500000000002</c:v>
                </c:pt>
                <c:pt idx="135">
                  <c:v>2.7870200000000001</c:v>
                </c:pt>
                <c:pt idx="136">
                  <c:v>2.7902300000000002</c:v>
                </c:pt>
                <c:pt idx="137">
                  <c:v>2.7906599999999999</c:v>
                </c:pt>
                <c:pt idx="138">
                  <c:v>2.78878</c:v>
                </c:pt>
                <c:pt idx="139">
                  <c:v>2.7900100000000001</c:v>
                </c:pt>
                <c:pt idx="140">
                  <c:v>2.7960800000000003</c:v>
                </c:pt>
                <c:pt idx="141">
                  <c:v>2.8075099999999997</c:v>
                </c:pt>
                <c:pt idx="142">
                  <c:v>2.81555</c:v>
                </c:pt>
                <c:pt idx="143">
                  <c:v>2.8323499999999999</c:v>
                </c:pt>
                <c:pt idx="144">
                  <c:v>2.8485300000000002</c:v>
                </c:pt>
                <c:pt idx="145">
                  <c:v>2.8639100000000002</c:v>
                </c:pt>
                <c:pt idx="146">
                  <c:v>2.8598600000000003</c:v>
                </c:pt>
                <c:pt idx="147">
                  <c:v>2.8458000000000001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0.401113</c:v>
                </c:pt>
                <c:pt idx="2">
                  <c:v>0.80696400000000001</c:v>
                </c:pt>
                <c:pt idx="3">
                  <c:v>1.2140599999999999</c:v>
                </c:pt>
                <c:pt idx="4">
                  <c:v>1.61711</c:v>
                </c:pt>
                <c:pt idx="5">
                  <c:v>2.0244300000000002</c:v>
                </c:pt>
                <c:pt idx="6">
                  <c:v>2.4312399999999998</c:v>
                </c:pt>
                <c:pt idx="7">
                  <c:v>2.8379599999999998</c:v>
                </c:pt>
                <c:pt idx="8">
                  <c:v>3.2435100000000001</c:v>
                </c:pt>
                <c:pt idx="9">
                  <c:v>3.6523500000000002</c:v>
                </c:pt>
                <c:pt idx="10">
                  <c:v>4.0542400000000001</c:v>
                </c:pt>
                <c:pt idx="11">
                  <c:v>4.4640500000000003</c:v>
                </c:pt>
                <c:pt idx="12">
                  <c:v>4.86937</c:v>
                </c:pt>
                <c:pt idx="13">
                  <c:v>5.2776899999999998</c:v>
                </c:pt>
                <c:pt idx="14">
                  <c:v>5.6795400000000003</c:v>
                </c:pt>
                <c:pt idx="15">
                  <c:v>6.0892799999999996</c:v>
                </c:pt>
                <c:pt idx="16">
                  <c:v>6.4953700000000003</c:v>
                </c:pt>
                <c:pt idx="17">
                  <c:v>6.8986700000000001</c:v>
                </c:pt>
                <c:pt idx="18">
                  <c:v>7.30715</c:v>
                </c:pt>
                <c:pt idx="19">
                  <c:v>7.7099099999999998</c:v>
                </c:pt>
                <c:pt idx="20">
                  <c:v>8.1181900000000002</c:v>
                </c:pt>
                <c:pt idx="21">
                  <c:v>8.5268499999999996</c:v>
                </c:pt>
                <c:pt idx="22">
                  <c:v>8.9315499999999997</c:v>
                </c:pt>
                <c:pt idx="23">
                  <c:v>9.3388399999999994</c:v>
                </c:pt>
                <c:pt idx="24">
                  <c:v>9.7425800000000002</c:v>
                </c:pt>
                <c:pt idx="25">
                  <c:v>10.1469</c:v>
                </c:pt>
                <c:pt idx="26">
                  <c:v>10.557600000000001</c:v>
                </c:pt>
                <c:pt idx="27">
                  <c:v>10.962199999999999</c:v>
                </c:pt>
                <c:pt idx="28">
                  <c:v>11.367100000000001</c:v>
                </c:pt>
                <c:pt idx="29">
                  <c:v>11.7746</c:v>
                </c:pt>
                <c:pt idx="30">
                  <c:v>12.180999999999999</c:v>
                </c:pt>
                <c:pt idx="31">
                  <c:v>12.587300000000001</c:v>
                </c:pt>
                <c:pt idx="32">
                  <c:v>12.994999999999999</c:v>
                </c:pt>
                <c:pt idx="33">
                  <c:v>13.3978</c:v>
                </c:pt>
                <c:pt idx="34">
                  <c:v>13.805</c:v>
                </c:pt>
                <c:pt idx="35">
                  <c:v>14.2135</c:v>
                </c:pt>
                <c:pt idx="36">
                  <c:v>14.6175</c:v>
                </c:pt>
                <c:pt idx="37">
                  <c:v>15.0237</c:v>
                </c:pt>
                <c:pt idx="38">
                  <c:v>15.432</c:v>
                </c:pt>
                <c:pt idx="39">
                  <c:v>15.8361</c:v>
                </c:pt>
                <c:pt idx="40">
                  <c:v>16.244499999999999</c:v>
                </c:pt>
                <c:pt idx="41">
                  <c:v>16.6511</c:v>
                </c:pt>
                <c:pt idx="42">
                  <c:v>17.052900000000001</c:v>
                </c:pt>
                <c:pt idx="43">
                  <c:v>17.462199999999999</c:v>
                </c:pt>
                <c:pt idx="44">
                  <c:v>17.870200000000001</c:v>
                </c:pt>
                <c:pt idx="45">
                  <c:v>18.274899999999999</c:v>
                </c:pt>
                <c:pt idx="46">
                  <c:v>18.682200000000002</c:v>
                </c:pt>
                <c:pt idx="47">
                  <c:v>19.0868</c:v>
                </c:pt>
                <c:pt idx="48">
                  <c:v>19.491399999999999</c:v>
                </c:pt>
                <c:pt idx="49">
                  <c:v>19.8995</c:v>
                </c:pt>
                <c:pt idx="50">
                  <c:v>20.307300000000001</c:v>
                </c:pt>
                <c:pt idx="51">
                  <c:v>20.7121</c:v>
                </c:pt>
                <c:pt idx="52">
                  <c:v>21.114899999999999</c:v>
                </c:pt>
                <c:pt idx="53">
                  <c:v>21.5229</c:v>
                </c:pt>
                <c:pt idx="54">
                  <c:v>21.932300000000001</c:v>
                </c:pt>
                <c:pt idx="55">
                  <c:v>22.3398</c:v>
                </c:pt>
                <c:pt idx="56">
                  <c:v>22.746600000000001</c:v>
                </c:pt>
                <c:pt idx="57">
                  <c:v>23.151</c:v>
                </c:pt>
                <c:pt idx="58">
                  <c:v>23.5533</c:v>
                </c:pt>
                <c:pt idx="59">
                  <c:v>23.9621</c:v>
                </c:pt>
                <c:pt idx="60">
                  <c:v>24.3705</c:v>
                </c:pt>
                <c:pt idx="61">
                  <c:v>24.776299999999999</c:v>
                </c:pt>
                <c:pt idx="62">
                  <c:v>25.178799999999999</c:v>
                </c:pt>
                <c:pt idx="63">
                  <c:v>25.5853</c:v>
                </c:pt>
                <c:pt idx="64">
                  <c:v>25.9941</c:v>
                </c:pt>
                <c:pt idx="65">
                  <c:v>26.400700000000001</c:v>
                </c:pt>
                <c:pt idx="66">
                  <c:v>26.808399999999999</c:v>
                </c:pt>
                <c:pt idx="67">
                  <c:v>27.211400000000001</c:v>
                </c:pt>
                <c:pt idx="68">
                  <c:v>27.6174</c:v>
                </c:pt>
                <c:pt idx="69">
                  <c:v>28.023299999999999</c:v>
                </c:pt>
                <c:pt idx="70">
                  <c:v>28.434799999999999</c:v>
                </c:pt>
                <c:pt idx="71">
                  <c:v>28.8367</c:v>
                </c:pt>
                <c:pt idx="72">
                  <c:v>29.242899999999999</c:v>
                </c:pt>
                <c:pt idx="73">
                  <c:v>29.6477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1.38703</c:v>
                </c:pt>
                <c:pt idx="1">
                  <c:v>1.4351099999999999</c:v>
                </c:pt>
                <c:pt idx="2">
                  <c:v>1.4821200000000001</c:v>
                </c:pt>
                <c:pt idx="3">
                  <c:v>1.52847</c:v>
                </c:pt>
                <c:pt idx="4">
                  <c:v>1.5757399999999999</c:v>
                </c:pt>
                <c:pt idx="5">
                  <c:v>1.62277</c:v>
                </c:pt>
                <c:pt idx="6">
                  <c:v>1.6719400000000002</c:v>
                </c:pt>
                <c:pt idx="7">
                  <c:v>1.7261299999999999</c:v>
                </c:pt>
                <c:pt idx="8">
                  <c:v>1.7854700000000001</c:v>
                </c:pt>
                <c:pt idx="9">
                  <c:v>1.8476300000000001</c:v>
                </c:pt>
                <c:pt idx="10">
                  <c:v>1.90977</c:v>
                </c:pt>
                <c:pt idx="11">
                  <c:v>1.9696099999999999</c:v>
                </c:pt>
                <c:pt idx="12">
                  <c:v>2.0249600000000001</c:v>
                </c:pt>
                <c:pt idx="13">
                  <c:v>2.0784600000000002</c:v>
                </c:pt>
                <c:pt idx="14">
                  <c:v>2.13632</c:v>
                </c:pt>
                <c:pt idx="15">
                  <c:v>2.1969099999999999</c:v>
                </c:pt>
                <c:pt idx="16">
                  <c:v>2.2599200000000002</c:v>
                </c:pt>
                <c:pt idx="17">
                  <c:v>2.3208799999999998</c:v>
                </c:pt>
                <c:pt idx="18">
                  <c:v>2.3790100000000001</c:v>
                </c:pt>
                <c:pt idx="19">
                  <c:v>2.4352900000000002</c:v>
                </c:pt>
                <c:pt idx="20">
                  <c:v>2.4905400000000002</c:v>
                </c:pt>
                <c:pt idx="21">
                  <c:v>2.5450900000000001</c:v>
                </c:pt>
                <c:pt idx="22">
                  <c:v>2.5975100000000002</c:v>
                </c:pt>
                <c:pt idx="23">
                  <c:v>2.6498500000000003</c:v>
                </c:pt>
                <c:pt idx="24">
                  <c:v>2.7052500000000004</c:v>
                </c:pt>
                <c:pt idx="25">
                  <c:v>2.7618999999999998</c:v>
                </c:pt>
                <c:pt idx="26">
                  <c:v>2.8186800000000001</c:v>
                </c:pt>
                <c:pt idx="27">
                  <c:v>2.8758699999999999</c:v>
                </c:pt>
                <c:pt idx="28">
                  <c:v>2.93283</c:v>
                </c:pt>
                <c:pt idx="29">
                  <c:v>2.9914800000000001</c:v>
                </c:pt>
                <c:pt idx="30">
                  <c:v>3.0486499999999999</c:v>
                </c:pt>
                <c:pt idx="31">
                  <c:v>3.10128</c:v>
                </c:pt>
                <c:pt idx="32">
                  <c:v>3.14541</c:v>
                </c:pt>
                <c:pt idx="33">
                  <c:v>3.1803699999999999</c:v>
                </c:pt>
                <c:pt idx="34">
                  <c:v>3.2099199999999999</c:v>
                </c:pt>
                <c:pt idx="35">
                  <c:v>3.23841</c:v>
                </c:pt>
                <c:pt idx="36">
                  <c:v>3.2708700000000004</c:v>
                </c:pt>
                <c:pt idx="37">
                  <c:v>3.3040399999999996</c:v>
                </c:pt>
                <c:pt idx="38">
                  <c:v>3.33751</c:v>
                </c:pt>
                <c:pt idx="39">
                  <c:v>3.36815</c:v>
                </c:pt>
                <c:pt idx="40">
                  <c:v>3.39595</c:v>
                </c:pt>
                <c:pt idx="41">
                  <c:v>3.4214000000000002</c:v>
                </c:pt>
                <c:pt idx="42">
                  <c:v>3.4451100000000001</c:v>
                </c:pt>
                <c:pt idx="43">
                  <c:v>3.4654499999999997</c:v>
                </c:pt>
                <c:pt idx="44">
                  <c:v>3.4808299999999996</c:v>
                </c:pt>
                <c:pt idx="45">
                  <c:v>3.4915699999999998</c:v>
                </c:pt>
                <c:pt idx="46">
                  <c:v>3.4954400000000003</c:v>
                </c:pt>
                <c:pt idx="47">
                  <c:v>3.49634</c:v>
                </c:pt>
                <c:pt idx="48">
                  <c:v>3.4941599999999999</c:v>
                </c:pt>
                <c:pt idx="49">
                  <c:v>3.484</c:v>
                </c:pt>
                <c:pt idx="50">
                  <c:v>3.4775200000000002</c:v>
                </c:pt>
                <c:pt idx="51">
                  <c:v>3.4450799999999999</c:v>
                </c:pt>
                <c:pt idx="52">
                  <c:v>3.4309699999999999</c:v>
                </c:pt>
                <c:pt idx="53">
                  <c:v>3.4048400000000001</c:v>
                </c:pt>
                <c:pt idx="54">
                  <c:v>3.3634900000000001</c:v>
                </c:pt>
                <c:pt idx="55">
                  <c:v>3.32918</c:v>
                </c:pt>
                <c:pt idx="56">
                  <c:v>3.2942300000000002</c:v>
                </c:pt>
                <c:pt idx="57">
                  <c:v>3.2592400000000001</c:v>
                </c:pt>
                <c:pt idx="58">
                  <c:v>3.23807</c:v>
                </c:pt>
                <c:pt idx="59">
                  <c:v>3.1900899999999996</c:v>
                </c:pt>
                <c:pt idx="60">
                  <c:v>3.1662699999999999</c:v>
                </c:pt>
                <c:pt idx="61">
                  <c:v>3.12439</c:v>
                </c:pt>
                <c:pt idx="62">
                  <c:v>3.0828199999999999</c:v>
                </c:pt>
                <c:pt idx="63">
                  <c:v>3.0406300000000002</c:v>
                </c:pt>
                <c:pt idx="64">
                  <c:v>2.98874</c:v>
                </c:pt>
                <c:pt idx="65">
                  <c:v>2.9492400000000001</c:v>
                </c:pt>
                <c:pt idx="66">
                  <c:v>2.9101599999999999</c:v>
                </c:pt>
                <c:pt idx="67">
                  <c:v>2.8759200000000003</c:v>
                </c:pt>
                <c:pt idx="68">
                  <c:v>2.8360999999999996</c:v>
                </c:pt>
                <c:pt idx="69">
                  <c:v>2.8071200000000003</c:v>
                </c:pt>
                <c:pt idx="70">
                  <c:v>2.7760400000000001</c:v>
                </c:pt>
                <c:pt idx="71">
                  <c:v>2.7492200000000002</c:v>
                </c:pt>
                <c:pt idx="72">
                  <c:v>2.7216200000000002</c:v>
                </c:pt>
                <c:pt idx="73">
                  <c:v>2.69442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29.6477</c:v>
                </c:pt>
                <c:pt idx="1">
                  <c:v>30.0579</c:v>
                </c:pt>
                <c:pt idx="2">
                  <c:v>30.528600000000001</c:v>
                </c:pt>
                <c:pt idx="3">
                  <c:v>30.915099999999999</c:v>
                </c:pt>
                <c:pt idx="4">
                  <c:v>31.3218</c:v>
                </c:pt>
                <c:pt idx="5">
                  <c:v>31.7315</c:v>
                </c:pt>
                <c:pt idx="6">
                  <c:v>32.135800000000003</c:v>
                </c:pt>
                <c:pt idx="7">
                  <c:v>32.539499999999997</c:v>
                </c:pt>
                <c:pt idx="8">
                  <c:v>32.946199999999997</c:v>
                </c:pt>
                <c:pt idx="9">
                  <c:v>33.352600000000002</c:v>
                </c:pt>
                <c:pt idx="10">
                  <c:v>33.758600000000001</c:v>
                </c:pt>
                <c:pt idx="11">
                  <c:v>34.1629</c:v>
                </c:pt>
                <c:pt idx="12">
                  <c:v>34.571399999999997</c:v>
                </c:pt>
                <c:pt idx="13">
                  <c:v>34.976999999999997</c:v>
                </c:pt>
                <c:pt idx="14">
                  <c:v>35.386699999999998</c:v>
                </c:pt>
                <c:pt idx="15">
                  <c:v>35.788699999999999</c:v>
                </c:pt>
                <c:pt idx="16">
                  <c:v>36.197400000000002</c:v>
                </c:pt>
                <c:pt idx="17">
                  <c:v>36.604999999999997</c:v>
                </c:pt>
                <c:pt idx="18">
                  <c:v>37.011099999999999</c:v>
                </c:pt>
                <c:pt idx="19">
                  <c:v>37.418900000000001</c:v>
                </c:pt>
                <c:pt idx="20">
                  <c:v>37.822000000000003</c:v>
                </c:pt>
                <c:pt idx="21">
                  <c:v>38.227400000000003</c:v>
                </c:pt>
                <c:pt idx="22">
                  <c:v>38.637</c:v>
                </c:pt>
                <c:pt idx="23">
                  <c:v>39.041400000000003</c:v>
                </c:pt>
                <c:pt idx="24">
                  <c:v>39.445700000000002</c:v>
                </c:pt>
                <c:pt idx="25">
                  <c:v>39.8521</c:v>
                </c:pt>
                <c:pt idx="26">
                  <c:v>40.258800000000001</c:v>
                </c:pt>
                <c:pt idx="27">
                  <c:v>40.664400000000001</c:v>
                </c:pt>
                <c:pt idx="28">
                  <c:v>41.0747</c:v>
                </c:pt>
                <c:pt idx="29">
                  <c:v>41.480899999999998</c:v>
                </c:pt>
                <c:pt idx="30">
                  <c:v>41.884999999999998</c:v>
                </c:pt>
                <c:pt idx="31">
                  <c:v>42.288800000000002</c:v>
                </c:pt>
                <c:pt idx="32">
                  <c:v>42.694600000000001</c:v>
                </c:pt>
                <c:pt idx="33">
                  <c:v>43.103900000000003</c:v>
                </c:pt>
                <c:pt idx="34">
                  <c:v>43.511699999999998</c:v>
                </c:pt>
                <c:pt idx="35">
                  <c:v>43.915999999999997</c:v>
                </c:pt>
                <c:pt idx="36">
                  <c:v>44.320999999999998</c:v>
                </c:pt>
                <c:pt idx="37">
                  <c:v>44.728299999999997</c:v>
                </c:pt>
                <c:pt idx="38">
                  <c:v>45.138599999999997</c:v>
                </c:pt>
                <c:pt idx="39">
                  <c:v>45.541400000000003</c:v>
                </c:pt>
                <c:pt idx="40">
                  <c:v>45.948099999999997</c:v>
                </c:pt>
                <c:pt idx="41">
                  <c:v>46.355200000000004</c:v>
                </c:pt>
                <c:pt idx="42">
                  <c:v>46.758200000000002</c:v>
                </c:pt>
                <c:pt idx="43">
                  <c:v>47.164099999999998</c:v>
                </c:pt>
                <c:pt idx="44">
                  <c:v>47.572299999999998</c:v>
                </c:pt>
                <c:pt idx="45">
                  <c:v>47.979300000000002</c:v>
                </c:pt>
                <c:pt idx="46">
                  <c:v>48.383000000000003</c:v>
                </c:pt>
                <c:pt idx="47">
                  <c:v>48.787700000000001</c:v>
                </c:pt>
                <c:pt idx="48">
                  <c:v>49.1965</c:v>
                </c:pt>
                <c:pt idx="49">
                  <c:v>49.604599999999998</c:v>
                </c:pt>
                <c:pt idx="50">
                  <c:v>50.011000000000003</c:v>
                </c:pt>
                <c:pt idx="51">
                  <c:v>50.414700000000003</c:v>
                </c:pt>
                <c:pt idx="52">
                  <c:v>50.819499999999998</c:v>
                </c:pt>
                <c:pt idx="53">
                  <c:v>51.227600000000002</c:v>
                </c:pt>
                <c:pt idx="54">
                  <c:v>51.631</c:v>
                </c:pt>
                <c:pt idx="55">
                  <c:v>52.041400000000003</c:v>
                </c:pt>
                <c:pt idx="56">
                  <c:v>52.444699999999997</c:v>
                </c:pt>
                <c:pt idx="57">
                  <c:v>52.851500000000001</c:v>
                </c:pt>
                <c:pt idx="58">
                  <c:v>53.261200000000002</c:v>
                </c:pt>
                <c:pt idx="59">
                  <c:v>53.668399999999998</c:v>
                </c:pt>
                <c:pt idx="60">
                  <c:v>54.072400000000002</c:v>
                </c:pt>
                <c:pt idx="61">
                  <c:v>54.476399999999998</c:v>
                </c:pt>
                <c:pt idx="62">
                  <c:v>54.8825</c:v>
                </c:pt>
                <c:pt idx="63">
                  <c:v>55.2913</c:v>
                </c:pt>
                <c:pt idx="64">
                  <c:v>55.6982</c:v>
                </c:pt>
                <c:pt idx="65">
                  <c:v>56.103999999999999</c:v>
                </c:pt>
                <c:pt idx="66">
                  <c:v>56.506700000000002</c:v>
                </c:pt>
                <c:pt idx="67">
                  <c:v>56.915100000000002</c:v>
                </c:pt>
                <c:pt idx="68">
                  <c:v>57.3247</c:v>
                </c:pt>
                <c:pt idx="69">
                  <c:v>57.730800000000002</c:v>
                </c:pt>
                <c:pt idx="70">
                  <c:v>58.136000000000003</c:v>
                </c:pt>
                <c:pt idx="71">
                  <c:v>58.5381</c:v>
                </c:pt>
                <c:pt idx="72">
                  <c:v>58.945399999999999</c:v>
                </c:pt>
                <c:pt idx="73">
                  <c:v>59.3506</c:v>
                </c:pt>
                <c:pt idx="74">
                  <c:v>59.7575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2.69442</c:v>
                </c:pt>
                <c:pt idx="1">
                  <c:v>2.6672200000000004</c:v>
                </c:pt>
                <c:pt idx="2">
                  <c:v>2.6444000000000001</c:v>
                </c:pt>
                <c:pt idx="3">
                  <c:v>2.6254200000000001</c:v>
                </c:pt>
                <c:pt idx="4">
                  <c:v>2.6050599999999999</c:v>
                </c:pt>
                <c:pt idx="5">
                  <c:v>2.58514</c:v>
                </c:pt>
                <c:pt idx="6">
                  <c:v>2.5646300000000002</c:v>
                </c:pt>
                <c:pt idx="7">
                  <c:v>2.54616</c:v>
                </c:pt>
                <c:pt idx="8">
                  <c:v>2.5289600000000001</c:v>
                </c:pt>
                <c:pt idx="9">
                  <c:v>2.5164599999999999</c:v>
                </c:pt>
                <c:pt idx="10">
                  <c:v>2.5072999999999999</c:v>
                </c:pt>
                <c:pt idx="11">
                  <c:v>2.5019900000000002</c:v>
                </c:pt>
                <c:pt idx="12">
                  <c:v>2.4968599999999999</c:v>
                </c:pt>
                <c:pt idx="13">
                  <c:v>2.4917600000000002</c:v>
                </c:pt>
                <c:pt idx="14">
                  <c:v>2.48394</c:v>
                </c:pt>
                <c:pt idx="15">
                  <c:v>2.4788999999999999</c:v>
                </c:pt>
                <c:pt idx="16">
                  <c:v>2.47411</c:v>
                </c:pt>
                <c:pt idx="17">
                  <c:v>2.4720500000000003</c:v>
                </c:pt>
                <c:pt idx="18">
                  <c:v>2.4704999999999999</c:v>
                </c:pt>
                <c:pt idx="19">
                  <c:v>2.4679200000000003</c:v>
                </c:pt>
                <c:pt idx="20">
                  <c:v>2.4614500000000001</c:v>
                </c:pt>
                <c:pt idx="21">
                  <c:v>2.4561299999999999</c:v>
                </c:pt>
                <c:pt idx="22">
                  <c:v>2.4500299999999999</c:v>
                </c:pt>
                <c:pt idx="23">
                  <c:v>2.44434</c:v>
                </c:pt>
                <c:pt idx="24">
                  <c:v>2.4389099999999999</c:v>
                </c:pt>
                <c:pt idx="25">
                  <c:v>2.43547</c:v>
                </c:pt>
                <c:pt idx="26">
                  <c:v>2.4354999999999998</c:v>
                </c:pt>
                <c:pt idx="27">
                  <c:v>2.4368500000000002</c:v>
                </c:pt>
                <c:pt idx="28">
                  <c:v>2.4403899999999998</c:v>
                </c:pt>
                <c:pt idx="29">
                  <c:v>2.4453800000000001</c:v>
                </c:pt>
                <c:pt idx="30">
                  <c:v>2.45417</c:v>
                </c:pt>
                <c:pt idx="31">
                  <c:v>2.4636800000000001</c:v>
                </c:pt>
                <c:pt idx="32">
                  <c:v>2.4740599999999997</c:v>
                </c:pt>
                <c:pt idx="33">
                  <c:v>2.4850400000000001</c:v>
                </c:pt>
                <c:pt idx="34">
                  <c:v>2.4998999999999998</c:v>
                </c:pt>
                <c:pt idx="35">
                  <c:v>2.5155599999999998</c:v>
                </c:pt>
                <c:pt idx="36">
                  <c:v>2.53199</c:v>
                </c:pt>
                <c:pt idx="37">
                  <c:v>2.5486900000000001</c:v>
                </c:pt>
                <c:pt idx="38">
                  <c:v>2.5639799999999999</c:v>
                </c:pt>
                <c:pt idx="39">
                  <c:v>2.5808300000000002</c:v>
                </c:pt>
                <c:pt idx="40">
                  <c:v>2.5976599999999999</c:v>
                </c:pt>
                <c:pt idx="41">
                  <c:v>2.6123099999999999</c:v>
                </c:pt>
                <c:pt idx="42">
                  <c:v>2.6242799999999997</c:v>
                </c:pt>
                <c:pt idx="43">
                  <c:v>2.63449</c:v>
                </c:pt>
                <c:pt idx="44">
                  <c:v>2.6459799999999998</c:v>
                </c:pt>
                <c:pt idx="45">
                  <c:v>2.6577899999999999</c:v>
                </c:pt>
                <c:pt idx="46">
                  <c:v>2.6700400000000002</c:v>
                </c:pt>
                <c:pt idx="47">
                  <c:v>2.6843499999999998</c:v>
                </c:pt>
                <c:pt idx="48">
                  <c:v>2.7021099999999998</c:v>
                </c:pt>
                <c:pt idx="49">
                  <c:v>2.7193299999999998</c:v>
                </c:pt>
                <c:pt idx="50">
                  <c:v>2.7341199999999999</c:v>
                </c:pt>
                <c:pt idx="51">
                  <c:v>2.7420099999999996</c:v>
                </c:pt>
                <c:pt idx="52">
                  <c:v>2.74959</c:v>
                </c:pt>
                <c:pt idx="53">
                  <c:v>2.7566200000000003</c:v>
                </c:pt>
                <c:pt idx="54">
                  <c:v>2.7619899999999999</c:v>
                </c:pt>
                <c:pt idx="55">
                  <c:v>2.7653499999999998</c:v>
                </c:pt>
                <c:pt idx="56">
                  <c:v>2.7692299999999999</c:v>
                </c:pt>
                <c:pt idx="57">
                  <c:v>2.7741400000000001</c:v>
                </c:pt>
                <c:pt idx="58">
                  <c:v>2.7799499999999999</c:v>
                </c:pt>
                <c:pt idx="59">
                  <c:v>2.7821600000000002</c:v>
                </c:pt>
                <c:pt idx="60">
                  <c:v>2.7842000000000002</c:v>
                </c:pt>
                <c:pt idx="61">
                  <c:v>2.7857500000000002</c:v>
                </c:pt>
                <c:pt idx="62">
                  <c:v>2.7870200000000001</c:v>
                </c:pt>
                <c:pt idx="63">
                  <c:v>2.7902300000000002</c:v>
                </c:pt>
                <c:pt idx="64">
                  <c:v>2.7906599999999999</c:v>
                </c:pt>
                <c:pt idx="65">
                  <c:v>2.78878</c:v>
                </c:pt>
                <c:pt idx="66">
                  <c:v>2.7900100000000001</c:v>
                </c:pt>
                <c:pt idx="67">
                  <c:v>2.7960800000000003</c:v>
                </c:pt>
                <c:pt idx="68">
                  <c:v>2.8075099999999997</c:v>
                </c:pt>
                <c:pt idx="69">
                  <c:v>2.81555</c:v>
                </c:pt>
                <c:pt idx="70">
                  <c:v>2.8323499999999999</c:v>
                </c:pt>
                <c:pt idx="71">
                  <c:v>2.8485300000000002</c:v>
                </c:pt>
                <c:pt idx="72">
                  <c:v>2.8639100000000002</c:v>
                </c:pt>
                <c:pt idx="73">
                  <c:v>2.8598600000000003</c:v>
                </c:pt>
                <c:pt idx="74">
                  <c:v>2.8458000000000001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14.939375</c:v>
                </c:pt>
                <c:pt idx="1">
                  <c:v>44.818125000000002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2.7861189189189202</c:v>
                </c:pt>
                <c:pt idx="1">
                  <c:v>2.6221739189189193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0.401113</c:v>
                </c:pt>
                <c:pt idx="2">
                  <c:v>0.80696400000000001</c:v>
                </c:pt>
                <c:pt idx="3">
                  <c:v>1.2140599999999999</c:v>
                </c:pt>
                <c:pt idx="4">
                  <c:v>1.61711</c:v>
                </c:pt>
                <c:pt idx="5">
                  <c:v>2.0244300000000002</c:v>
                </c:pt>
                <c:pt idx="6">
                  <c:v>2.4312399999999998</c:v>
                </c:pt>
                <c:pt idx="7">
                  <c:v>2.8379599999999998</c:v>
                </c:pt>
                <c:pt idx="8">
                  <c:v>3.2435100000000001</c:v>
                </c:pt>
                <c:pt idx="9">
                  <c:v>3.6523500000000002</c:v>
                </c:pt>
                <c:pt idx="10">
                  <c:v>4.0542400000000001</c:v>
                </c:pt>
                <c:pt idx="11">
                  <c:v>4.4640500000000003</c:v>
                </c:pt>
                <c:pt idx="12">
                  <c:v>4.86937</c:v>
                </c:pt>
                <c:pt idx="13">
                  <c:v>5.2776899999999998</c:v>
                </c:pt>
                <c:pt idx="14">
                  <c:v>5.6795400000000003</c:v>
                </c:pt>
                <c:pt idx="15">
                  <c:v>6.0892799999999996</c:v>
                </c:pt>
                <c:pt idx="16">
                  <c:v>6.4953700000000003</c:v>
                </c:pt>
                <c:pt idx="17">
                  <c:v>6.8986700000000001</c:v>
                </c:pt>
                <c:pt idx="18">
                  <c:v>7.30715</c:v>
                </c:pt>
                <c:pt idx="19">
                  <c:v>7.7099099999999998</c:v>
                </c:pt>
                <c:pt idx="20">
                  <c:v>8.1181900000000002</c:v>
                </c:pt>
                <c:pt idx="21">
                  <c:v>8.5268499999999996</c:v>
                </c:pt>
                <c:pt idx="22">
                  <c:v>8.9315499999999997</c:v>
                </c:pt>
                <c:pt idx="23">
                  <c:v>9.3388399999999994</c:v>
                </c:pt>
                <c:pt idx="24">
                  <c:v>9.7425800000000002</c:v>
                </c:pt>
                <c:pt idx="25">
                  <c:v>10.1469</c:v>
                </c:pt>
                <c:pt idx="26">
                  <c:v>10.557600000000001</c:v>
                </c:pt>
                <c:pt idx="27">
                  <c:v>10.962199999999999</c:v>
                </c:pt>
                <c:pt idx="28">
                  <c:v>11.367100000000001</c:v>
                </c:pt>
                <c:pt idx="29">
                  <c:v>11.7746</c:v>
                </c:pt>
                <c:pt idx="30">
                  <c:v>12.180999999999999</c:v>
                </c:pt>
                <c:pt idx="31">
                  <c:v>12.587300000000001</c:v>
                </c:pt>
                <c:pt idx="32">
                  <c:v>12.994999999999999</c:v>
                </c:pt>
                <c:pt idx="33">
                  <c:v>13.3978</c:v>
                </c:pt>
                <c:pt idx="34">
                  <c:v>13.805</c:v>
                </c:pt>
                <c:pt idx="35">
                  <c:v>14.2135</c:v>
                </c:pt>
                <c:pt idx="36">
                  <c:v>14.6175</c:v>
                </c:pt>
                <c:pt idx="37">
                  <c:v>15.0237</c:v>
                </c:pt>
                <c:pt idx="38">
                  <c:v>15.432</c:v>
                </c:pt>
                <c:pt idx="39">
                  <c:v>15.8361</c:v>
                </c:pt>
                <c:pt idx="40">
                  <c:v>16.244499999999999</c:v>
                </c:pt>
                <c:pt idx="41">
                  <c:v>16.6511</c:v>
                </c:pt>
                <c:pt idx="42">
                  <c:v>17.052900000000001</c:v>
                </c:pt>
                <c:pt idx="43">
                  <c:v>17.462199999999999</c:v>
                </c:pt>
                <c:pt idx="44">
                  <c:v>17.870200000000001</c:v>
                </c:pt>
                <c:pt idx="45">
                  <c:v>18.274899999999999</c:v>
                </c:pt>
                <c:pt idx="46">
                  <c:v>18.682200000000002</c:v>
                </c:pt>
                <c:pt idx="47">
                  <c:v>19.0868</c:v>
                </c:pt>
                <c:pt idx="48">
                  <c:v>19.491399999999999</c:v>
                </c:pt>
                <c:pt idx="49">
                  <c:v>19.8995</c:v>
                </c:pt>
                <c:pt idx="50">
                  <c:v>20.307300000000001</c:v>
                </c:pt>
                <c:pt idx="51">
                  <c:v>20.7121</c:v>
                </c:pt>
                <c:pt idx="52">
                  <c:v>21.114899999999999</c:v>
                </c:pt>
                <c:pt idx="53">
                  <c:v>21.5229</c:v>
                </c:pt>
                <c:pt idx="54">
                  <c:v>21.932300000000001</c:v>
                </c:pt>
                <c:pt idx="55">
                  <c:v>22.3398</c:v>
                </c:pt>
                <c:pt idx="56">
                  <c:v>22.746600000000001</c:v>
                </c:pt>
                <c:pt idx="57">
                  <c:v>23.151</c:v>
                </c:pt>
                <c:pt idx="58">
                  <c:v>23.5533</c:v>
                </c:pt>
                <c:pt idx="59">
                  <c:v>23.9621</c:v>
                </c:pt>
                <c:pt idx="60">
                  <c:v>24.3705</c:v>
                </c:pt>
                <c:pt idx="61">
                  <c:v>24.776299999999999</c:v>
                </c:pt>
                <c:pt idx="62">
                  <c:v>25.178799999999999</c:v>
                </c:pt>
                <c:pt idx="63">
                  <c:v>25.5853</c:v>
                </c:pt>
                <c:pt idx="64">
                  <c:v>25.9941</c:v>
                </c:pt>
                <c:pt idx="65">
                  <c:v>26.400700000000001</c:v>
                </c:pt>
                <c:pt idx="66">
                  <c:v>26.808399999999999</c:v>
                </c:pt>
                <c:pt idx="67">
                  <c:v>27.211400000000001</c:v>
                </c:pt>
                <c:pt idx="68">
                  <c:v>27.6174</c:v>
                </c:pt>
                <c:pt idx="69">
                  <c:v>28.023299999999999</c:v>
                </c:pt>
                <c:pt idx="70">
                  <c:v>28.434799999999999</c:v>
                </c:pt>
                <c:pt idx="71">
                  <c:v>28.8367</c:v>
                </c:pt>
                <c:pt idx="72">
                  <c:v>29.242899999999999</c:v>
                </c:pt>
                <c:pt idx="73">
                  <c:v>29.6477</c:v>
                </c:pt>
                <c:pt idx="74">
                  <c:v>30.0579</c:v>
                </c:pt>
                <c:pt idx="75">
                  <c:v>30.528600000000001</c:v>
                </c:pt>
                <c:pt idx="76">
                  <c:v>30.915099999999999</c:v>
                </c:pt>
                <c:pt idx="77">
                  <c:v>31.3218</c:v>
                </c:pt>
                <c:pt idx="78">
                  <c:v>31.7315</c:v>
                </c:pt>
                <c:pt idx="79">
                  <c:v>32.135800000000003</c:v>
                </c:pt>
                <c:pt idx="80">
                  <c:v>32.539499999999997</c:v>
                </c:pt>
                <c:pt idx="81">
                  <c:v>32.946199999999997</c:v>
                </c:pt>
                <c:pt idx="82">
                  <c:v>33.352600000000002</c:v>
                </c:pt>
                <c:pt idx="83">
                  <c:v>33.758600000000001</c:v>
                </c:pt>
                <c:pt idx="84">
                  <c:v>34.1629</c:v>
                </c:pt>
                <c:pt idx="85">
                  <c:v>34.571399999999997</c:v>
                </c:pt>
                <c:pt idx="86">
                  <c:v>34.976999999999997</c:v>
                </c:pt>
                <c:pt idx="87">
                  <c:v>35.386699999999998</c:v>
                </c:pt>
                <c:pt idx="88">
                  <c:v>35.788699999999999</c:v>
                </c:pt>
                <c:pt idx="89">
                  <c:v>36.197400000000002</c:v>
                </c:pt>
                <c:pt idx="90">
                  <c:v>36.604999999999997</c:v>
                </c:pt>
                <c:pt idx="91">
                  <c:v>37.011099999999999</c:v>
                </c:pt>
                <c:pt idx="92">
                  <c:v>37.418900000000001</c:v>
                </c:pt>
                <c:pt idx="93">
                  <c:v>37.822000000000003</c:v>
                </c:pt>
                <c:pt idx="94">
                  <c:v>38.227400000000003</c:v>
                </c:pt>
                <c:pt idx="95">
                  <c:v>38.637</c:v>
                </c:pt>
                <c:pt idx="96">
                  <c:v>39.041400000000003</c:v>
                </c:pt>
                <c:pt idx="97">
                  <c:v>39.445700000000002</c:v>
                </c:pt>
                <c:pt idx="98">
                  <c:v>39.8521</c:v>
                </c:pt>
                <c:pt idx="99">
                  <c:v>40.258800000000001</c:v>
                </c:pt>
                <c:pt idx="100">
                  <c:v>40.664400000000001</c:v>
                </c:pt>
                <c:pt idx="101">
                  <c:v>41.0747</c:v>
                </c:pt>
                <c:pt idx="102">
                  <c:v>41.480899999999998</c:v>
                </c:pt>
                <c:pt idx="103">
                  <c:v>41.884999999999998</c:v>
                </c:pt>
                <c:pt idx="104">
                  <c:v>42.288800000000002</c:v>
                </c:pt>
                <c:pt idx="105">
                  <c:v>42.694600000000001</c:v>
                </c:pt>
                <c:pt idx="106">
                  <c:v>43.103900000000003</c:v>
                </c:pt>
                <c:pt idx="107">
                  <c:v>43.511699999999998</c:v>
                </c:pt>
                <c:pt idx="108">
                  <c:v>43.915999999999997</c:v>
                </c:pt>
                <c:pt idx="109">
                  <c:v>44.320999999999998</c:v>
                </c:pt>
                <c:pt idx="110">
                  <c:v>44.728299999999997</c:v>
                </c:pt>
                <c:pt idx="111">
                  <c:v>45.138599999999997</c:v>
                </c:pt>
                <c:pt idx="112">
                  <c:v>45.541400000000003</c:v>
                </c:pt>
                <c:pt idx="113">
                  <c:v>45.948099999999997</c:v>
                </c:pt>
                <c:pt idx="114">
                  <c:v>46.355200000000004</c:v>
                </c:pt>
                <c:pt idx="115">
                  <c:v>46.758200000000002</c:v>
                </c:pt>
                <c:pt idx="116">
                  <c:v>47.164099999999998</c:v>
                </c:pt>
                <c:pt idx="117">
                  <c:v>47.572299999999998</c:v>
                </c:pt>
                <c:pt idx="118">
                  <c:v>47.979300000000002</c:v>
                </c:pt>
                <c:pt idx="119">
                  <c:v>48.383000000000003</c:v>
                </c:pt>
                <c:pt idx="120">
                  <c:v>48.787700000000001</c:v>
                </c:pt>
                <c:pt idx="121">
                  <c:v>49.1965</c:v>
                </c:pt>
                <c:pt idx="122">
                  <c:v>49.604599999999998</c:v>
                </c:pt>
                <c:pt idx="123">
                  <c:v>50.011000000000003</c:v>
                </c:pt>
                <c:pt idx="124">
                  <c:v>50.414700000000003</c:v>
                </c:pt>
                <c:pt idx="125">
                  <c:v>50.819499999999998</c:v>
                </c:pt>
                <c:pt idx="126">
                  <c:v>51.227600000000002</c:v>
                </c:pt>
                <c:pt idx="127">
                  <c:v>51.631</c:v>
                </c:pt>
                <c:pt idx="128">
                  <c:v>52.041400000000003</c:v>
                </c:pt>
                <c:pt idx="129">
                  <c:v>52.444699999999997</c:v>
                </c:pt>
                <c:pt idx="130">
                  <c:v>52.851500000000001</c:v>
                </c:pt>
                <c:pt idx="131">
                  <c:v>53.261200000000002</c:v>
                </c:pt>
                <c:pt idx="132">
                  <c:v>53.668399999999998</c:v>
                </c:pt>
                <c:pt idx="133">
                  <c:v>54.072400000000002</c:v>
                </c:pt>
                <c:pt idx="134">
                  <c:v>54.476399999999998</c:v>
                </c:pt>
                <c:pt idx="135">
                  <c:v>54.8825</c:v>
                </c:pt>
                <c:pt idx="136">
                  <c:v>55.2913</c:v>
                </c:pt>
                <c:pt idx="137">
                  <c:v>55.6982</c:v>
                </c:pt>
                <c:pt idx="138">
                  <c:v>56.103999999999999</c:v>
                </c:pt>
                <c:pt idx="139">
                  <c:v>56.506700000000002</c:v>
                </c:pt>
                <c:pt idx="140">
                  <c:v>56.915100000000002</c:v>
                </c:pt>
                <c:pt idx="141">
                  <c:v>57.3247</c:v>
                </c:pt>
                <c:pt idx="142">
                  <c:v>57.730800000000002</c:v>
                </c:pt>
                <c:pt idx="143">
                  <c:v>58.136000000000003</c:v>
                </c:pt>
                <c:pt idx="144">
                  <c:v>58.5381</c:v>
                </c:pt>
                <c:pt idx="145">
                  <c:v>58.945399999999999</c:v>
                </c:pt>
                <c:pt idx="146">
                  <c:v>59.3506</c:v>
                </c:pt>
                <c:pt idx="147">
                  <c:v>59.7575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68.847100000000012</c:v>
                </c:pt>
                <c:pt idx="1">
                  <c:v>67.450600000000009</c:v>
                </c:pt>
                <c:pt idx="2">
                  <c:v>66.161699999999996</c:v>
                </c:pt>
                <c:pt idx="3">
                  <c:v>64.9983</c:v>
                </c:pt>
                <c:pt idx="4">
                  <c:v>63.834999999999994</c:v>
                </c:pt>
                <c:pt idx="5">
                  <c:v>62.735399999999998</c:v>
                </c:pt>
                <c:pt idx="6">
                  <c:v>61.595100000000002</c:v>
                </c:pt>
                <c:pt idx="7">
                  <c:v>60.316400000000002</c:v>
                </c:pt>
                <c:pt idx="8">
                  <c:v>58.855599999999995</c:v>
                </c:pt>
                <c:pt idx="9">
                  <c:v>57.222799999999992</c:v>
                </c:pt>
                <c:pt idx="10">
                  <c:v>55.771599999999999</c:v>
                </c:pt>
                <c:pt idx="11">
                  <c:v>54.582500000000003</c:v>
                </c:pt>
                <c:pt idx="12">
                  <c:v>53.7104</c:v>
                </c:pt>
                <c:pt idx="13">
                  <c:v>53.004899999999999</c:v>
                </c:pt>
                <c:pt idx="14">
                  <c:v>52.255200000000002</c:v>
                </c:pt>
                <c:pt idx="15">
                  <c:v>51.448300000000003</c:v>
                </c:pt>
                <c:pt idx="16">
                  <c:v>50.595800000000004</c:v>
                </c:pt>
                <c:pt idx="17">
                  <c:v>49.902700000000003</c:v>
                </c:pt>
                <c:pt idx="18">
                  <c:v>49.403300000000002</c:v>
                </c:pt>
                <c:pt idx="19">
                  <c:v>48.954700000000003</c:v>
                </c:pt>
                <c:pt idx="20">
                  <c:v>48.454700000000003</c:v>
                </c:pt>
                <c:pt idx="21">
                  <c:v>47.913499999999999</c:v>
                </c:pt>
                <c:pt idx="22">
                  <c:v>47.3521</c:v>
                </c:pt>
                <c:pt idx="23">
                  <c:v>46.679700000000004</c:v>
                </c:pt>
                <c:pt idx="24">
                  <c:v>45.829799999999999</c:v>
                </c:pt>
                <c:pt idx="25">
                  <c:v>44.787300000000002</c:v>
                </c:pt>
                <c:pt idx="26">
                  <c:v>43.679099999999998</c:v>
                </c:pt>
                <c:pt idx="27">
                  <c:v>42.594000000000001</c:v>
                </c:pt>
                <c:pt idx="28">
                  <c:v>41.579500000000003</c:v>
                </c:pt>
                <c:pt idx="29">
                  <c:v>40.5627</c:v>
                </c:pt>
                <c:pt idx="30">
                  <c:v>39.704699999999995</c:v>
                </c:pt>
                <c:pt idx="31">
                  <c:v>39.022300000000001</c:v>
                </c:pt>
                <c:pt idx="32">
                  <c:v>38.523000000000003</c:v>
                </c:pt>
                <c:pt idx="33">
                  <c:v>38.175199999999997</c:v>
                </c:pt>
                <c:pt idx="34">
                  <c:v>37.8367</c:v>
                </c:pt>
                <c:pt idx="35">
                  <c:v>37.485700000000001</c:v>
                </c:pt>
                <c:pt idx="36">
                  <c:v>37.073699999999995</c:v>
                </c:pt>
                <c:pt idx="37">
                  <c:v>36.6997</c:v>
                </c:pt>
                <c:pt idx="38">
                  <c:v>36.398899999999998</c:v>
                </c:pt>
                <c:pt idx="39">
                  <c:v>36.0548</c:v>
                </c:pt>
                <c:pt idx="40">
                  <c:v>35.7029</c:v>
                </c:pt>
                <c:pt idx="41">
                  <c:v>35.349899999999998</c:v>
                </c:pt>
                <c:pt idx="42">
                  <c:v>35.056399999999996</c:v>
                </c:pt>
                <c:pt idx="43">
                  <c:v>34.820900000000002</c:v>
                </c:pt>
                <c:pt idx="44">
                  <c:v>34.6721</c:v>
                </c:pt>
                <c:pt idx="45">
                  <c:v>34.549500000000002</c:v>
                </c:pt>
                <c:pt idx="46">
                  <c:v>34.4709</c:v>
                </c:pt>
                <c:pt idx="47">
                  <c:v>34.392499999999998</c:v>
                </c:pt>
                <c:pt idx="48">
                  <c:v>34.350099999999998</c:v>
                </c:pt>
                <c:pt idx="49">
                  <c:v>34.322900000000004</c:v>
                </c:pt>
                <c:pt idx="50">
                  <c:v>34.296599999999998</c:v>
                </c:pt>
                <c:pt idx="51">
                  <c:v>34.364699999999999</c:v>
                </c:pt>
                <c:pt idx="52">
                  <c:v>34.434799999999996</c:v>
                </c:pt>
                <c:pt idx="53">
                  <c:v>34.609899999999996</c:v>
                </c:pt>
                <c:pt idx="54">
                  <c:v>34.9467</c:v>
                </c:pt>
                <c:pt idx="55">
                  <c:v>35.246899999999997</c:v>
                </c:pt>
                <c:pt idx="56">
                  <c:v>35.529600000000002</c:v>
                </c:pt>
                <c:pt idx="57">
                  <c:v>35.672699999999999</c:v>
                </c:pt>
                <c:pt idx="58">
                  <c:v>35.703800000000001</c:v>
                </c:pt>
                <c:pt idx="59">
                  <c:v>35.783200000000001</c:v>
                </c:pt>
                <c:pt idx="60">
                  <c:v>35.884599999999999</c:v>
                </c:pt>
                <c:pt idx="61">
                  <c:v>36.174499999999995</c:v>
                </c:pt>
                <c:pt idx="62">
                  <c:v>36.5946</c:v>
                </c:pt>
                <c:pt idx="63">
                  <c:v>37.064</c:v>
                </c:pt>
                <c:pt idx="64">
                  <c:v>37.680599999999998</c:v>
                </c:pt>
                <c:pt idx="65">
                  <c:v>38.2819</c:v>
                </c:pt>
                <c:pt idx="66">
                  <c:v>39.029299999999999</c:v>
                </c:pt>
                <c:pt idx="67">
                  <c:v>39.806100000000001</c:v>
                </c:pt>
                <c:pt idx="68">
                  <c:v>40.7059</c:v>
                </c:pt>
                <c:pt idx="69">
                  <c:v>41.366300000000003</c:v>
                </c:pt>
                <c:pt idx="70">
                  <c:v>42.0655</c:v>
                </c:pt>
                <c:pt idx="71">
                  <c:v>42.617399999999996</c:v>
                </c:pt>
                <c:pt idx="72">
                  <c:v>43.203499999999998</c:v>
                </c:pt>
                <c:pt idx="73">
                  <c:v>43.780299999999997</c:v>
                </c:pt>
                <c:pt idx="74">
                  <c:v>44.418900000000001</c:v>
                </c:pt>
                <c:pt idx="75">
                  <c:v>44.998699999999999</c:v>
                </c:pt>
                <c:pt idx="76">
                  <c:v>45.509899999999995</c:v>
                </c:pt>
                <c:pt idx="77">
                  <c:v>46.120899999999999</c:v>
                </c:pt>
                <c:pt idx="78">
                  <c:v>46.687200000000004</c:v>
                </c:pt>
                <c:pt idx="79">
                  <c:v>47.2607</c:v>
                </c:pt>
                <c:pt idx="80">
                  <c:v>47.762500000000003</c:v>
                </c:pt>
                <c:pt idx="81">
                  <c:v>48.241399999999999</c:v>
                </c:pt>
                <c:pt idx="82">
                  <c:v>48.671700000000001</c:v>
                </c:pt>
                <c:pt idx="83">
                  <c:v>49.037399999999998</c:v>
                </c:pt>
                <c:pt idx="84">
                  <c:v>49.368699999999997</c:v>
                </c:pt>
                <c:pt idx="85">
                  <c:v>49.701299999999996</c:v>
                </c:pt>
                <c:pt idx="86">
                  <c:v>50.021999999999998</c:v>
                </c:pt>
                <c:pt idx="87">
                  <c:v>50.393500000000003</c:v>
                </c:pt>
                <c:pt idx="88">
                  <c:v>50.731899999999996</c:v>
                </c:pt>
                <c:pt idx="89">
                  <c:v>51.080400000000004</c:v>
                </c:pt>
                <c:pt idx="90">
                  <c:v>51.359299999999998</c:v>
                </c:pt>
                <c:pt idx="91">
                  <c:v>51.570499999999996</c:v>
                </c:pt>
                <c:pt idx="92">
                  <c:v>51.738900000000001</c:v>
                </c:pt>
                <c:pt idx="93">
                  <c:v>51.951999999999998</c:v>
                </c:pt>
                <c:pt idx="94">
                  <c:v>52.137699999999995</c:v>
                </c:pt>
                <c:pt idx="95">
                  <c:v>52.310400000000001</c:v>
                </c:pt>
                <c:pt idx="96">
                  <c:v>52.478199999999994</c:v>
                </c:pt>
                <c:pt idx="97">
                  <c:v>52.636000000000003</c:v>
                </c:pt>
                <c:pt idx="98">
                  <c:v>52.713500000000003</c:v>
                </c:pt>
                <c:pt idx="99">
                  <c:v>52.658700000000003</c:v>
                </c:pt>
                <c:pt idx="100">
                  <c:v>52.522899999999993</c:v>
                </c:pt>
                <c:pt idx="101">
                  <c:v>52.309899999999999</c:v>
                </c:pt>
                <c:pt idx="102">
                  <c:v>51.982099999999996</c:v>
                </c:pt>
                <c:pt idx="103">
                  <c:v>51.518600000000006</c:v>
                </c:pt>
                <c:pt idx="104">
                  <c:v>51.047299999999993</c:v>
                </c:pt>
                <c:pt idx="105">
                  <c:v>50.579900000000002</c:v>
                </c:pt>
                <c:pt idx="106">
                  <c:v>50.120600000000003</c:v>
                </c:pt>
                <c:pt idx="107">
                  <c:v>49.576999999999998</c:v>
                </c:pt>
                <c:pt idx="108">
                  <c:v>49.0261</c:v>
                </c:pt>
                <c:pt idx="109">
                  <c:v>48.476799999999997</c:v>
                </c:pt>
                <c:pt idx="110">
                  <c:v>47.948900000000002</c:v>
                </c:pt>
                <c:pt idx="111">
                  <c:v>47.450699999999998</c:v>
                </c:pt>
                <c:pt idx="112">
                  <c:v>46.903599999999997</c:v>
                </c:pt>
                <c:pt idx="113">
                  <c:v>46.315300000000001</c:v>
                </c:pt>
                <c:pt idx="114">
                  <c:v>45.801600000000001</c:v>
                </c:pt>
                <c:pt idx="115">
                  <c:v>45.321199999999997</c:v>
                </c:pt>
                <c:pt idx="116">
                  <c:v>44.890299999999996</c:v>
                </c:pt>
                <c:pt idx="117">
                  <c:v>44.501600000000003</c:v>
                </c:pt>
                <c:pt idx="118">
                  <c:v>44.148499999999999</c:v>
                </c:pt>
                <c:pt idx="119">
                  <c:v>43.768700000000003</c:v>
                </c:pt>
                <c:pt idx="120">
                  <c:v>43.399500000000003</c:v>
                </c:pt>
                <c:pt idx="121">
                  <c:v>42.963200000000001</c:v>
                </c:pt>
                <c:pt idx="122">
                  <c:v>42.596400000000003</c:v>
                </c:pt>
                <c:pt idx="123">
                  <c:v>42.311700000000002</c:v>
                </c:pt>
                <c:pt idx="124">
                  <c:v>42.116100000000003</c:v>
                </c:pt>
                <c:pt idx="125">
                  <c:v>41.927300000000002</c:v>
                </c:pt>
                <c:pt idx="126">
                  <c:v>41.737000000000002</c:v>
                </c:pt>
                <c:pt idx="127">
                  <c:v>41.578700000000005</c:v>
                </c:pt>
                <c:pt idx="128">
                  <c:v>41.456400000000002</c:v>
                </c:pt>
                <c:pt idx="129">
                  <c:v>41.323999999999998</c:v>
                </c:pt>
                <c:pt idx="130">
                  <c:v>41.163600000000002</c:v>
                </c:pt>
                <c:pt idx="131">
                  <c:v>40.981200000000001</c:v>
                </c:pt>
                <c:pt idx="132">
                  <c:v>40.828399999999995</c:v>
                </c:pt>
                <c:pt idx="133">
                  <c:v>40.685400000000001</c:v>
                </c:pt>
                <c:pt idx="134">
                  <c:v>40.532899999999998</c:v>
                </c:pt>
                <c:pt idx="135">
                  <c:v>40.366399999999999</c:v>
                </c:pt>
                <c:pt idx="136">
                  <c:v>40.226900000000001</c:v>
                </c:pt>
                <c:pt idx="137">
                  <c:v>40.178599999999996</c:v>
                </c:pt>
                <c:pt idx="138">
                  <c:v>40.2575</c:v>
                </c:pt>
                <c:pt idx="139">
                  <c:v>40.3093</c:v>
                </c:pt>
                <c:pt idx="140">
                  <c:v>40.402700000000003</c:v>
                </c:pt>
                <c:pt idx="141">
                  <c:v>40.427700000000002</c:v>
                </c:pt>
                <c:pt idx="142">
                  <c:v>40.398000000000003</c:v>
                </c:pt>
                <c:pt idx="143">
                  <c:v>40.261200000000002</c:v>
                </c:pt>
                <c:pt idx="144">
                  <c:v>40.176600000000001</c:v>
                </c:pt>
                <c:pt idx="145">
                  <c:v>40.1248</c:v>
                </c:pt>
                <c:pt idx="146">
                  <c:v>40.558100000000003</c:v>
                </c:pt>
                <c:pt idx="147">
                  <c:v>41.033799999999999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0.401113</c:v>
                </c:pt>
                <c:pt idx="2">
                  <c:v>0.80696400000000001</c:v>
                </c:pt>
                <c:pt idx="3">
                  <c:v>1.2140599999999999</c:v>
                </c:pt>
                <c:pt idx="4">
                  <c:v>1.61711</c:v>
                </c:pt>
                <c:pt idx="5">
                  <c:v>2.0244300000000002</c:v>
                </c:pt>
                <c:pt idx="6">
                  <c:v>2.4312399999999998</c:v>
                </c:pt>
                <c:pt idx="7">
                  <c:v>2.8379599999999998</c:v>
                </c:pt>
                <c:pt idx="8">
                  <c:v>3.2435100000000001</c:v>
                </c:pt>
                <c:pt idx="9">
                  <c:v>3.6523500000000002</c:v>
                </c:pt>
                <c:pt idx="10">
                  <c:v>4.0542400000000001</c:v>
                </c:pt>
                <c:pt idx="11">
                  <c:v>4.4640500000000003</c:v>
                </c:pt>
                <c:pt idx="12">
                  <c:v>4.86937</c:v>
                </c:pt>
                <c:pt idx="13">
                  <c:v>5.2776899999999998</c:v>
                </c:pt>
                <c:pt idx="14">
                  <c:v>5.6795400000000003</c:v>
                </c:pt>
                <c:pt idx="15">
                  <c:v>6.0892799999999996</c:v>
                </c:pt>
                <c:pt idx="16">
                  <c:v>6.4953700000000003</c:v>
                </c:pt>
                <c:pt idx="17">
                  <c:v>6.8986700000000001</c:v>
                </c:pt>
                <c:pt idx="18">
                  <c:v>7.30715</c:v>
                </c:pt>
                <c:pt idx="19">
                  <c:v>7.7099099999999998</c:v>
                </c:pt>
                <c:pt idx="20">
                  <c:v>8.1181900000000002</c:v>
                </c:pt>
                <c:pt idx="21">
                  <c:v>8.5268499999999996</c:v>
                </c:pt>
                <c:pt idx="22">
                  <c:v>8.9315499999999997</c:v>
                </c:pt>
                <c:pt idx="23">
                  <c:v>9.3388399999999994</c:v>
                </c:pt>
                <c:pt idx="24">
                  <c:v>9.7425800000000002</c:v>
                </c:pt>
                <c:pt idx="25">
                  <c:v>10.1469</c:v>
                </c:pt>
                <c:pt idx="26">
                  <c:v>10.557600000000001</c:v>
                </c:pt>
                <c:pt idx="27">
                  <c:v>10.962199999999999</c:v>
                </c:pt>
                <c:pt idx="28">
                  <c:v>11.367100000000001</c:v>
                </c:pt>
                <c:pt idx="29">
                  <c:v>11.7746</c:v>
                </c:pt>
                <c:pt idx="30">
                  <c:v>12.180999999999999</c:v>
                </c:pt>
                <c:pt idx="31">
                  <c:v>12.587300000000001</c:v>
                </c:pt>
                <c:pt idx="32">
                  <c:v>12.994999999999999</c:v>
                </c:pt>
                <c:pt idx="33">
                  <c:v>13.3978</c:v>
                </c:pt>
                <c:pt idx="34">
                  <c:v>13.805</c:v>
                </c:pt>
                <c:pt idx="35">
                  <c:v>14.2135</c:v>
                </c:pt>
                <c:pt idx="36">
                  <c:v>14.6175</c:v>
                </c:pt>
                <c:pt idx="37">
                  <c:v>15.0237</c:v>
                </c:pt>
                <c:pt idx="38">
                  <c:v>15.432</c:v>
                </c:pt>
                <c:pt idx="39">
                  <c:v>15.8361</c:v>
                </c:pt>
                <c:pt idx="40">
                  <c:v>16.244499999999999</c:v>
                </c:pt>
                <c:pt idx="41">
                  <c:v>16.6511</c:v>
                </c:pt>
                <c:pt idx="42">
                  <c:v>17.052900000000001</c:v>
                </c:pt>
                <c:pt idx="43">
                  <c:v>17.462199999999999</c:v>
                </c:pt>
                <c:pt idx="44">
                  <c:v>17.870200000000001</c:v>
                </c:pt>
                <c:pt idx="45">
                  <c:v>18.274899999999999</c:v>
                </c:pt>
                <c:pt idx="46">
                  <c:v>18.682200000000002</c:v>
                </c:pt>
                <c:pt idx="47">
                  <c:v>19.0868</c:v>
                </c:pt>
                <c:pt idx="48">
                  <c:v>19.491399999999999</c:v>
                </c:pt>
                <c:pt idx="49">
                  <c:v>19.8995</c:v>
                </c:pt>
                <c:pt idx="50">
                  <c:v>20.307300000000001</c:v>
                </c:pt>
                <c:pt idx="51">
                  <c:v>20.7121</c:v>
                </c:pt>
                <c:pt idx="52">
                  <c:v>21.114899999999999</c:v>
                </c:pt>
                <c:pt idx="53">
                  <c:v>21.5229</c:v>
                </c:pt>
                <c:pt idx="54">
                  <c:v>21.932300000000001</c:v>
                </c:pt>
                <c:pt idx="55">
                  <c:v>22.3398</c:v>
                </c:pt>
                <c:pt idx="56">
                  <c:v>22.746600000000001</c:v>
                </c:pt>
                <c:pt idx="57">
                  <c:v>23.151</c:v>
                </c:pt>
                <c:pt idx="58">
                  <c:v>23.5533</c:v>
                </c:pt>
                <c:pt idx="59">
                  <c:v>23.9621</c:v>
                </c:pt>
                <c:pt idx="60">
                  <c:v>24.3705</c:v>
                </c:pt>
                <c:pt idx="61">
                  <c:v>24.776299999999999</c:v>
                </c:pt>
                <c:pt idx="62">
                  <c:v>25.178799999999999</c:v>
                </c:pt>
                <c:pt idx="63">
                  <c:v>25.5853</c:v>
                </c:pt>
                <c:pt idx="64">
                  <c:v>25.9941</c:v>
                </c:pt>
                <c:pt idx="65">
                  <c:v>26.400700000000001</c:v>
                </c:pt>
                <c:pt idx="66">
                  <c:v>26.808399999999999</c:v>
                </c:pt>
                <c:pt idx="67">
                  <c:v>27.211400000000001</c:v>
                </c:pt>
                <c:pt idx="68">
                  <c:v>27.6174</c:v>
                </c:pt>
                <c:pt idx="69">
                  <c:v>28.023299999999999</c:v>
                </c:pt>
                <c:pt idx="70">
                  <c:v>28.434799999999999</c:v>
                </c:pt>
                <c:pt idx="71">
                  <c:v>28.8367</c:v>
                </c:pt>
                <c:pt idx="72">
                  <c:v>29.242899999999999</c:v>
                </c:pt>
                <c:pt idx="73">
                  <c:v>29.6477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68.847100000000012</c:v>
                </c:pt>
                <c:pt idx="1">
                  <c:v>67.450600000000009</c:v>
                </c:pt>
                <c:pt idx="2">
                  <c:v>66.161699999999996</c:v>
                </c:pt>
                <c:pt idx="3">
                  <c:v>64.9983</c:v>
                </c:pt>
                <c:pt idx="4">
                  <c:v>63.834999999999994</c:v>
                </c:pt>
                <c:pt idx="5">
                  <c:v>62.735399999999998</c:v>
                </c:pt>
                <c:pt idx="6">
                  <c:v>61.595100000000002</c:v>
                </c:pt>
                <c:pt idx="7">
                  <c:v>60.316400000000002</c:v>
                </c:pt>
                <c:pt idx="8">
                  <c:v>58.855599999999995</c:v>
                </c:pt>
                <c:pt idx="9">
                  <c:v>57.222799999999992</c:v>
                </c:pt>
                <c:pt idx="10">
                  <c:v>55.771599999999999</c:v>
                </c:pt>
                <c:pt idx="11">
                  <c:v>54.582500000000003</c:v>
                </c:pt>
                <c:pt idx="12">
                  <c:v>53.7104</c:v>
                </c:pt>
                <c:pt idx="13">
                  <c:v>53.004899999999999</c:v>
                </c:pt>
                <c:pt idx="14">
                  <c:v>52.255200000000002</c:v>
                </c:pt>
                <c:pt idx="15">
                  <c:v>51.448300000000003</c:v>
                </c:pt>
                <c:pt idx="16">
                  <c:v>50.595800000000004</c:v>
                </c:pt>
                <c:pt idx="17">
                  <c:v>49.902700000000003</c:v>
                </c:pt>
                <c:pt idx="18">
                  <c:v>49.403300000000002</c:v>
                </c:pt>
                <c:pt idx="19">
                  <c:v>48.954700000000003</c:v>
                </c:pt>
                <c:pt idx="20">
                  <c:v>48.454700000000003</c:v>
                </c:pt>
                <c:pt idx="21">
                  <c:v>47.913499999999999</c:v>
                </c:pt>
                <c:pt idx="22">
                  <c:v>47.3521</c:v>
                </c:pt>
                <c:pt idx="23">
                  <c:v>46.679700000000004</c:v>
                </c:pt>
                <c:pt idx="24">
                  <c:v>45.829799999999999</c:v>
                </c:pt>
                <c:pt idx="25">
                  <c:v>44.787300000000002</c:v>
                </c:pt>
                <c:pt idx="26">
                  <c:v>43.679099999999998</c:v>
                </c:pt>
                <c:pt idx="27">
                  <c:v>42.594000000000001</c:v>
                </c:pt>
                <c:pt idx="28">
                  <c:v>41.579500000000003</c:v>
                </c:pt>
                <c:pt idx="29">
                  <c:v>40.5627</c:v>
                </c:pt>
                <c:pt idx="30">
                  <c:v>39.704699999999995</c:v>
                </c:pt>
                <c:pt idx="31">
                  <c:v>39.022300000000001</c:v>
                </c:pt>
                <c:pt idx="32">
                  <c:v>38.523000000000003</c:v>
                </c:pt>
                <c:pt idx="33">
                  <c:v>38.175199999999997</c:v>
                </c:pt>
                <c:pt idx="34">
                  <c:v>37.8367</c:v>
                </c:pt>
                <c:pt idx="35">
                  <c:v>37.485700000000001</c:v>
                </c:pt>
                <c:pt idx="36">
                  <c:v>37.073699999999995</c:v>
                </c:pt>
                <c:pt idx="37">
                  <c:v>36.6997</c:v>
                </c:pt>
                <c:pt idx="38">
                  <c:v>36.398899999999998</c:v>
                </c:pt>
                <c:pt idx="39">
                  <c:v>36.0548</c:v>
                </c:pt>
                <c:pt idx="40">
                  <c:v>35.7029</c:v>
                </c:pt>
                <c:pt idx="41">
                  <c:v>35.349899999999998</c:v>
                </c:pt>
                <c:pt idx="42">
                  <c:v>35.056399999999996</c:v>
                </c:pt>
                <c:pt idx="43">
                  <c:v>34.820900000000002</c:v>
                </c:pt>
                <c:pt idx="44">
                  <c:v>34.6721</c:v>
                </c:pt>
                <c:pt idx="45">
                  <c:v>34.549500000000002</c:v>
                </c:pt>
                <c:pt idx="46">
                  <c:v>34.4709</c:v>
                </c:pt>
                <c:pt idx="47">
                  <c:v>34.392499999999998</c:v>
                </c:pt>
                <c:pt idx="48">
                  <c:v>34.350099999999998</c:v>
                </c:pt>
                <c:pt idx="49">
                  <c:v>34.322900000000004</c:v>
                </c:pt>
                <c:pt idx="50">
                  <c:v>34.296599999999998</c:v>
                </c:pt>
                <c:pt idx="51">
                  <c:v>34.364699999999999</c:v>
                </c:pt>
                <c:pt idx="52">
                  <c:v>34.434799999999996</c:v>
                </c:pt>
                <c:pt idx="53">
                  <c:v>34.609899999999996</c:v>
                </c:pt>
                <c:pt idx="54">
                  <c:v>34.9467</c:v>
                </c:pt>
                <c:pt idx="55">
                  <c:v>35.246899999999997</c:v>
                </c:pt>
                <c:pt idx="56">
                  <c:v>35.529600000000002</c:v>
                </c:pt>
                <c:pt idx="57">
                  <c:v>35.672699999999999</c:v>
                </c:pt>
                <c:pt idx="58">
                  <c:v>35.703800000000001</c:v>
                </c:pt>
                <c:pt idx="59">
                  <c:v>35.783200000000001</c:v>
                </c:pt>
                <c:pt idx="60">
                  <c:v>35.884599999999999</c:v>
                </c:pt>
                <c:pt idx="61">
                  <c:v>36.174499999999995</c:v>
                </c:pt>
                <c:pt idx="62">
                  <c:v>36.5946</c:v>
                </c:pt>
                <c:pt idx="63">
                  <c:v>37.064</c:v>
                </c:pt>
                <c:pt idx="64">
                  <c:v>37.680599999999998</c:v>
                </c:pt>
                <c:pt idx="65">
                  <c:v>38.2819</c:v>
                </c:pt>
                <c:pt idx="66">
                  <c:v>39.029299999999999</c:v>
                </c:pt>
                <c:pt idx="67">
                  <c:v>39.806100000000001</c:v>
                </c:pt>
                <c:pt idx="68">
                  <c:v>40.7059</c:v>
                </c:pt>
                <c:pt idx="69">
                  <c:v>41.366300000000003</c:v>
                </c:pt>
                <c:pt idx="70">
                  <c:v>42.0655</c:v>
                </c:pt>
                <c:pt idx="71">
                  <c:v>42.617399999999996</c:v>
                </c:pt>
                <c:pt idx="72">
                  <c:v>43.203499999999998</c:v>
                </c:pt>
                <c:pt idx="73">
                  <c:v>43.780299999999997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29.6477</c:v>
                </c:pt>
                <c:pt idx="1">
                  <c:v>30.0579</c:v>
                </c:pt>
                <c:pt idx="2">
                  <c:v>30.528600000000001</c:v>
                </c:pt>
                <c:pt idx="3">
                  <c:v>30.915099999999999</c:v>
                </c:pt>
                <c:pt idx="4">
                  <c:v>31.3218</c:v>
                </c:pt>
                <c:pt idx="5">
                  <c:v>31.7315</c:v>
                </c:pt>
                <c:pt idx="6">
                  <c:v>32.135800000000003</c:v>
                </c:pt>
                <c:pt idx="7">
                  <c:v>32.539499999999997</c:v>
                </c:pt>
                <c:pt idx="8">
                  <c:v>32.946199999999997</c:v>
                </c:pt>
                <c:pt idx="9">
                  <c:v>33.352600000000002</c:v>
                </c:pt>
                <c:pt idx="10">
                  <c:v>33.758600000000001</c:v>
                </c:pt>
                <c:pt idx="11">
                  <c:v>34.1629</c:v>
                </c:pt>
                <c:pt idx="12">
                  <c:v>34.571399999999997</c:v>
                </c:pt>
                <c:pt idx="13">
                  <c:v>34.976999999999997</c:v>
                </c:pt>
                <c:pt idx="14">
                  <c:v>35.386699999999998</c:v>
                </c:pt>
                <c:pt idx="15">
                  <c:v>35.788699999999999</c:v>
                </c:pt>
                <c:pt idx="16">
                  <c:v>36.197400000000002</c:v>
                </c:pt>
                <c:pt idx="17">
                  <c:v>36.604999999999997</c:v>
                </c:pt>
                <c:pt idx="18">
                  <c:v>37.011099999999999</c:v>
                </c:pt>
                <c:pt idx="19">
                  <c:v>37.418900000000001</c:v>
                </c:pt>
                <c:pt idx="20">
                  <c:v>37.822000000000003</c:v>
                </c:pt>
                <c:pt idx="21">
                  <c:v>38.227400000000003</c:v>
                </c:pt>
                <c:pt idx="22">
                  <c:v>38.637</c:v>
                </c:pt>
                <c:pt idx="23">
                  <c:v>39.041400000000003</c:v>
                </c:pt>
                <c:pt idx="24">
                  <c:v>39.445700000000002</c:v>
                </c:pt>
                <c:pt idx="25">
                  <c:v>39.8521</c:v>
                </c:pt>
                <c:pt idx="26">
                  <c:v>40.258800000000001</c:v>
                </c:pt>
                <c:pt idx="27">
                  <c:v>40.664400000000001</c:v>
                </c:pt>
                <c:pt idx="28">
                  <c:v>41.0747</c:v>
                </c:pt>
                <c:pt idx="29">
                  <c:v>41.480899999999998</c:v>
                </c:pt>
                <c:pt idx="30">
                  <c:v>41.884999999999998</c:v>
                </c:pt>
                <c:pt idx="31">
                  <c:v>42.288800000000002</c:v>
                </c:pt>
                <c:pt idx="32">
                  <c:v>42.694600000000001</c:v>
                </c:pt>
                <c:pt idx="33">
                  <c:v>43.103900000000003</c:v>
                </c:pt>
                <c:pt idx="34">
                  <c:v>43.511699999999998</c:v>
                </c:pt>
                <c:pt idx="35">
                  <c:v>43.915999999999997</c:v>
                </c:pt>
                <c:pt idx="36">
                  <c:v>44.320999999999998</c:v>
                </c:pt>
                <c:pt idx="37">
                  <c:v>44.728299999999997</c:v>
                </c:pt>
                <c:pt idx="38">
                  <c:v>45.138599999999997</c:v>
                </c:pt>
                <c:pt idx="39">
                  <c:v>45.541400000000003</c:v>
                </c:pt>
                <c:pt idx="40">
                  <c:v>45.948099999999997</c:v>
                </c:pt>
                <c:pt idx="41">
                  <c:v>46.355200000000004</c:v>
                </c:pt>
                <c:pt idx="42">
                  <c:v>46.758200000000002</c:v>
                </c:pt>
                <c:pt idx="43">
                  <c:v>47.164099999999998</c:v>
                </c:pt>
                <c:pt idx="44">
                  <c:v>47.572299999999998</c:v>
                </c:pt>
                <c:pt idx="45">
                  <c:v>47.979300000000002</c:v>
                </c:pt>
                <c:pt idx="46">
                  <c:v>48.383000000000003</c:v>
                </c:pt>
                <c:pt idx="47">
                  <c:v>48.787700000000001</c:v>
                </c:pt>
                <c:pt idx="48">
                  <c:v>49.1965</c:v>
                </c:pt>
                <c:pt idx="49">
                  <c:v>49.604599999999998</c:v>
                </c:pt>
                <c:pt idx="50">
                  <c:v>50.011000000000003</c:v>
                </c:pt>
                <c:pt idx="51">
                  <c:v>50.414700000000003</c:v>
                </c:pt>
                <c:pt idx="52">
                  <c:v>50.819499999999998</c:v>
                </c:pt>
                <c:pt idx="53">
                  <c:v>51.227600000000002</c:v>
                </c:pt>
                <c:pt idx="54">
                  <c:v>51.631</c:v>
                </c:pt>
                <c:pt idx="55">
                  <c:v>52.041400000000003</c:v>
                </c:pt>
                <c:pt idx="56">
                  <c:v>52.444699999999997</c:v>
                </c:pt>
                <c:pt idx="57">
                  <c:v>52.851500000000001</c:v>
                </c:pt>
                <c:pt idx="58">
                  <c:v>53.261200000000002</c:v>
                </c:pt>
                <c:pt idx="59">
                  <c:v>53.668399999999998</c:v>
                </c:pt>
                <c:pt idx="60">
                  <c:v>54.072400000000002</c:v>
                </c:pt>
                <c:pt idx="61">
                  <c:v>54.476399999999998</c:v>
                </c:pt>
                <c:pt idx="62">
                  <c:v>54.8825</c:v>
                </c:pt>
                <c:pt idx="63">
                  <c:v>55.2913</c:v>
                </c:pt>
                <c:pt idx="64">
                  <c:v>55.6982</c:v>
                </c:pt>
                <c:pt idx="65">
                  <c:v>56.103999999999999</c:v>
                </c:pt>
                <c:pt idx="66">
                  <c:v>56.506700000000002</c:v>
                </c:pt>
                <c:pt idx="67">
                  <c:v>56.915100000000002</c:v>
                </c:pt>
                <c:pt idx="68">
                  <c:v>57.3247</c:v>
                </c:pt>
                <c:pt idx="69">
                  <c:v>57.730800000000002</c:v>
                </c:pt>
                <c:pt idx="70">
                  <c:v>58.136000000000003</c:v>
                </c:pt>
                <c:pt idx="71">
                  <c:v>58.5381</c:v>
                </c:pt>
                <c:pt idx="72">
                  <c:v>58.945399999999999</c:v>
                </c:pt>
                <c:pt idx="73">
                  <c:v>59.3506</c:v>
                </c:pt>
                <c:pt idx="74">
                  <c:v>59.7575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43.780299999999997</c:v>
                </c:pt>
                <c:pt idx="1">
                  <c:v>44.418900000000001</c:v>
                </c:pt>
                <c:pt idx="2">
                  <c:v>44.998699999999999</c:v>
                </c:pt>
                <c:pt idx="3">
                  <c:v>45.509899999999995</c:v>
                </c:pt>
                <c:pt idx="4">
                  <c:v>46.120899999999999</c:v>
                </c:pt>
                <c:pt idx="5">
                  <c:v>46.687200000000004</c:v>
                </c:pt>
                <c:pt idx="6">
                  <c:v>47.2607</c:v>
                </c:pt>
                <c:pt idx="7">
                  <c:v>47.762500000000003</c:v>
                </c:pt>
                <c:pt idx="8">
                  <c:v>48.241399999999999</c:v>
                </c:pt>
                <c:pt idx="9">
                  <c:v>48.671700000000001</c:v>
                </c:pt>
                <c:pt idx="10">
                  <c:v>49.037399999999998</c:v>
                </c:pt>
                <c:pt idx="11">
                  <c:v>49.368699999999997</c:v>
                </c:pt>
                <c:pt idx="12">
                  <c:v>49.701299999999996</c:v>
                </c:pt>
                <c:pt idx="13">
                  <c:v>50.021999999999998</c:v>
                </c:pt>
                <c:pt idx="14">
                  <c:v>50.393500000000003</c:v>
                </c:pt>
                <c:pt idx="15">
                  <c:v>50.731899999999996</c:v>
                </c:pt>
                <c:pt idx="16">
                  <c:v>51.080400000000004</c:v>
                </c:pt>
                <c:pt idx="17">
                  <c:v>51.359299999999998</c:v>
                </c:pt>
                <c:pt idx="18">
                  <c:v>51.570499999999996</c:v>
                </c:pt>
                <c:pt idx="19">
                  <c:v>51.738900000000001</c:v>
                </c:pt>
                <c:pt idx="20">
                  <c:v>51.951999999999998</c:v>
                </c:pt>
                <c:pt idx="21">
                  <c:v>52.137699999999995</c:v>
                </c:pt>
                <c:pt idx="22">
                  <c:v>52.310400000000001</c:v>
                </c:pt>
                <c:pt idx="23">
                  <c:v>52.478199999999994</c:v>
                </c:pt>
                <c:pt idx="24">
                  <c:v>52.636000000000003</c:v>
                </c:pt>
                <c:pt idx="25">
                  <c:v>52.713500000000003</c:v>
                </c:pt>
                <c:pt idx="26">
                  <c:v>52.658700000000003</c:v>
                </c:pt>
                <c:pt idx="27">
                  <c:v>52.522899999999993</c:v>
                </c:pt>
                <c:pt idx="28">
                  <c:v>52.309899999999999</c:v>
                </c:pt>
                <c:pt idx="29">
                  <c:v>51.982099999999996</c:v>
                </c:pt>
                <c:pt idx="30">
                  <c:v>51.518600000000006</c:v>
                </c:pt>
                <c:pt idx="31">
                  <c:v>51.047299999999993</c:v>
                </c:pt>
                <c:pt idx="32">
                  <c:v>50.579900000000002</c:v>
                </c:pt>
                <c:pt idx="33">
                  <c:v>50.120600000000003</c:v>
                </c:pt>
                <c:pt idx="34">
                  <c:v>49.576999999999998</c:v>
                </c:pt>
                <c:pt idx="35">
                  <c:v>49.0261</c:v>
                </c:pt>
                <c:pt idx="36">
                  <c:v>48.476799999999997</c:v>
                </c:pt>
                <c:pt idx="37">
                  <c:v>47.948900000000002</c:v>
                </c:pt>
                <c:pt idx="38">
                  <c:v>47.450699999999998</c:v>
                </c:pt>
                <c:pt idx="39">
                  <c:v>46.903599999999997</c:v>
                </c:pt>
                <c:pt idx="40">
                  <c:v>46.315300000000001</c:v>
                </c:pt>
                <c:pt idx="41">
                  <c:v>45.801600000000001</c:v>
                </c:pt>
                <c:pt idx="42">
                  <c:v>45.321199999999997</c:v>
                </c:pt>
                <c:pt idx="43">
                  <c:v>44.890299999999996</c:v>
                </c:pt>
                <c:pt idx="44">
                  <c:v>44.501600000000003</c:v>
                </c:pt>
                <c:pt idx="45">
                  <c:v>44.148499999999999</c:v>
                </c:pt>
                <c:pt idx="46">
                  <c:v>43.768700000000003</c:v>
                </c:pt>
                <c:pt idx="47">
                  <c:v>43.399500000000003</c:v>
                </c:pt>
                <c:pt idx="48">
                  <c:v>42.963200000000001</c:v>
                </c:pt>
                <c:pt idx="49">
                  <c:v>42.596400000000003</c:v>
                </c:pt>
                <c:pt idx="50">
                  <c:v>42.311700000000002</c:v>
                </c:pt>
                <c:pt idx="51">
                  <c:v>42.116100000000003</c:v>
                </c:pt>
                <c:pt idx="52">
                  <c:v>41.927300000000002</c:v>
                </c:pt>
                <c:pt idx="53">
                  <c:v>41.737000000000002</c:v>
                </c:pt>
                <c:pt idx="54">
                  <c:v>41.578700000000005</c:v>
                </c:pt>
                <c:pt idx="55">
                  <c:v>41.456400000000002</c:v>
                </c:pt>
                <c:pt idx="56">
                  <c:v>41.323999999999998</c:v>
                </c:pt>
                <c:pt idx="57">
                  <c:v>41.163600000000002</c:v>
                </c:pt>
                <c:pt idx="58">
                  <c:v>40.981200000000001</c:v>
                </c:pt>
                <c:pt idx="59">
                  <c:v>40.828399999999995</c:v>
                </c:pt>
                <c:pt idx="60">
                  <c:v>40.685400000000001</c:v>
                </c:pt>
                <c:pt idx="61">
                  <c:v>40.532899999999998</c:v>
                </c:pt>
                <c:pt idx="62">
                  <c:v>40.366399999999999</c:v>
                </c:pt>
                <c:pt idx="63">
                  <c:v>40.226900000000001</c:v>
                </c:pt>
                <c:pt idx="64">
                  <c:v>40.178599999999996</c:v>
                </c:pt>
                <c:pt idx="65">
                  <c:v>40.2575</c:v>
                </c:pt>
                <c:pt idx="66">
                  <c:v>40.3093</c:v>
                </c:pt>
                <c:pt idx="67">
                  <c:v>40.402700000000003</c:v>
                </c:pt>
                <c:pt idx="68">
                  <c:v>40.427700000000002</c:v>
                </c:pt>
                <c:pt idx="69">
                  <c:v>40.398000000000003</c:v>
                </c:pt>
                <c:pt idx="70">
                  <c:v>40.261200000000002</c:v>
                </c:pt>
                <c:pt idx="71">
                  <c:v>40.176600000000001</c:v>
                </c:pt>
                <c:pt idx="72">
                  <c:v>40.1248</c:v>
                </c:pt>
                <c:pt idx="73">
                  <c:v>40.558100000000003</c:v>
                </c:pt>
                <c:pt idx="74">
                  <c:v>41.033799999999999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14.939375</c:v>
                </c:pt>
                <c:pt idx="1">
                  <c:v>44.818125000000002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43.656567567567549</c:v>
                </c:pt>
                <c:pt idx="1">
                  <c:v>46.028341891891891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1.38703</c:v>
                </c:pt>
                <c:pt idx="1">
                  <c:v>1.4351099999999999</c:v>
                </c:pt>
                <c:pt idx="2">
                  <c:v>1.4821200000000001</c:v>
                </c:pt>
                <c:pt idx="3">
                  <c:v>1.52847</c:v>
                </c:pt>
                <c:pt idx="4">
                  <c:v>1.5757399999999999</c:v>
                </c:pt>
                <c:pt idx="5">
                  <c:v>1.62277</c:v>
                </c:pt>
                <c:pt idx="6">
                  <c:v>1.6719400000000002</c:v>
                </c:pt>
                <c:pt idx="7">
                  <c:v>1.7261299999999999</c:v>
                </c:pt>
                <c:pt idx="8">
                  <c:v>1.7854700000000001</c:v>
                </c:pt>
                <c:pt idx="9">
                  <c:v>1.8476300000000001</c:v>
                </c:pt>
                <c:pt idx="10">
                  <c:v>1.90977</c:v>
                </c:pt>
                <c:pt idx="11">
                  <c:v>1.9696099999999999</c:v>
                </c:pt>
                <c:pt idx="12">
                  <c:v>2.0249600000000001</c:v>
                </c:pt>
                <c:pt idx="13">
                  <c:v>2.0784600000000002</c:v>
                </c:pt>
                <c:pt idx="14">
                  <c:v>2.13632</c:v>
                </c:pt>
                <c:pt idx="15">
                  <c:v>2.1969099999999999</c:v>
                </c:pt>
                <c:pt idx="16">
                  <c:v>2.2599200000000002</c:v>
                </c:pt>
                <c:pt idx="17">
                  <c:v>2.3208799999999998</c:v>
                </c:pt>
                <c:pt idx="18">
                  <c:v>2.3790100000000001</c:v>
                </c:pt>
                <c:pt idx="19">
                  <c:v>2.4352900000000002</c:v>
                </c:pt>
                <c:pt idx="20">
                  <c:v>2.4905400000000002</c:v>
                </c:pt>
                <c:pt idx="21">
                  <c:v>2.5450900000000001</c:v>
                </c:pt>
                <c:pt idx="22">
                  <c:v>2.5975100000000002</c:v>
                </c:pt>
                <c:pt idx="23">
                  <c:v>2.6498500000000003</c:v>
                </c:pt>
                <c:pt idx="24">
                  <c:v>2.7052500000000004</c:v>
                </c:pt>
                <c:pt idx="25">
                  <c:v>2.7618999999999998</c:v>
                </c:pt>
                <c:pt idx="26">
                  <c:v>2.8186800000000001</c:v>
                </c:pt>
                <c:pt idx="27">
                  <c:v>2.8758699999999999</c:v>
                </c:pt>
                <c:pt idx="28">
                  <c:v>2.93283</c:v>
                </c:pt>
                <c:pt idx="29">
                  <c:v>2.9914800000000001</c:v>
                </c:pt>
                <c:pt idx="30">
                  <c:v>3.0486499999999999</c:v>
                </c:pt>
                <c:pt idx="31">
                  <c:v>3.10128</c:v>
                </c:pt>
                <c:pt idx="32">
                  <c:v>3.14541</c:v>
                </c:pt>
                <c:pt idx="33">
                  <c:v>3.1803699999999999</c:v>
                </c:pt>
                <c:pt idx="34">
                  <c:v>3.2099199999999999</c:v>
                </c:pt>
                <c:pt idx="35">
                  <c:v>3.23841</c:v>
                </c:pt>
                <c:pt idx="36">
                  <c:v>3.2708700000000004</c:v>
                </c:pt>
                <c:pt idx="37">
                  <c:v>3.3040399999999996</c:v>
                </c:pt>
                <c:pt idx="38">
                  <c:v>3.33751</c:v>
                </c:pt>
                <c:pt idx="39">
                  <c:v>3.36815</c:v>
                </c:pt>
                <c:pt idx="40">
                  <c:v>3.39595</c:v>
                </c:pt>
                <c:pt idx="41">
                  <c:v>3.4214000000000002</c:v>
                </c:pt>
                <c:pt idx="42">
                  <c:v>3.4451100000000001</c:v>
                </c:pt>
                <c:pt idx="43">
                  <c:v>3.4654499999999997</c:v>
                </c:pt>
                <c:pt idx="44">
                  <c:v>3.4808299999999996</c:v>
                </c:pt>
                <c:pt idx="45">
                  <c:v>3.4915699999999998</c:v>
                </c:pt>
                <c:pt idx="46">
                  <c:v>3.4954400000000003</c:v>
                </c:pt>
                <c:pt idx="47">
                  <c:v>3.49634</c:v>
                </c:pt>
                <c:pt idx="48">
                  <c:v>3.4941599999999999</c:v>
                </c:pt>
                <c:pt idx="49">
                  <c:v>3.484</c:v>
                </c:pt>
                <c:pt idx="50">
                  <c:v>3.4775200000000002</c:v>
                </c:pt>
                <c:pt idx="51">
                  <c:v>3.4450799999999999</c:v>
                </c:pt>
                <c:pt idx="52">
                  <c:v>3.4309699999999999</c:v>
                </c:pt>
                <c:pt idx="53">
                  <c:v>3.4048400000000001</c:v>
                </c:pt>
                <c:pt idx="54">
                  <c:v>3.3634900000000001</c:v>
                </c:pt>
                <c:pt idx="55">
                  <c:v>3.32918</c:v>
                </c:pt>
                <c:pt idx="56">
                  <c:v>3.2942300000000002</c:v>
                </c:pt>
                <c:pt idx="57">
                  <c:v>3.2592400000000001</c:v>
                </c:pt>
                <c:pt idx="58">
                  <c:v>3.23807</c:v>
                </c:pt>
                <c:pt idx="59">
                  <c:v>3.1900899999999996</c:v>
                </c:pt>
                <c:pt idx="60">
                  <c:v>3.1662699999999999</c:v>
                </c:pt>
                <c:pt idx="61">
                  <c:v>3.12439</c:v>
                </c:pt>
                <c:pt idx="62">
                  <c:v>3.0828199999999999</c:v>
                </c:pt>
                <c:pt idx="63">
                  <c:v>3.0406300000000002</c:v>
                </c:pt>
                <c:pt idx="64">
                  <c:v>2.98874</c:v>
                </c:pt>
                <c:pt idx="65">
                  <c:v>2.9492400000000001</c:v>
                </c:pt>
                <c:pt idx="66">
                  <c:v>2.9101599999999999</c:v>
                </c:pt>
                <c:pt idx="67">
                  <c:v>2.8759200000000003</c:v>
                </c:pt>
                <c:pt idx="68">
                  <c:v>2.8360999999999996</c:v>
                </c:pt>
                <c:pt idx="69">
                  <c:v>2.8071200000000003</c:v>
                </c:pt>
                <c:pt idx="70">
                  <c:v>2.7760400000000001</c:v>
                </c:pt>
                <c:pt idx="71">
                  <c:v>2.7492200000000002</c:v>
                </c:pt>
                <c:pt idx="72">
                  <c:v>2.7216200000000002</c:v>
                </c:pt>
                <c:pt idx="73">
                  <c:v>2.69442</c:v>
                </c:pt>
                <c:pt idx="74">
                  <c:v>2.6672200000000004</c:v>
                </c:pt>
                <c:pt idx="75">
                  <c:v>2.6444000000000001</c:v>
                </c:pt>
                <c:pt idx="76">
                  <c:v>2.6254200000000001</c:v>
                </c:pt>
                <c:pt idx="77">
                  <c:v>2.6050599999999999</c:v>
                </c:pt>
                <c:pt idx="78">
                  <c:v>2.58514</c:v>
                </c:pt>
                <c:pt idx="79">
                  <c:v>2.5646300000000002</c:v>
                </c:pt>
                <c:pt idx="80">
                  <c:v>2.54616</c:v>
                </c:pt>
                <c:pt idx="81">
                  <c:v>2.5289600000000001</c:v>
                </c:pt>
                <c:pt idx="82">
                  <c:v>2.5164599999999999</c:v>
                </c:pt>
                <c:pt idx="83">
                  <c:v>2.5072999999999999</c:v>
                </c:pt>
                <c:pt idx="84">
                  <c:v>2.5019900000000002</c:v>
                </c:pt>
                <c:pt idx="85">
                  <c:v>2.4968599999999999</c:v>
                </c:pt>
                <c:pt idx="86">
                  <c:v>2.4917600000000002</c:v>
                </c:pt>
                <c:pt idx="87">
                  <c:v>2.48394</c:v>
                </c:pt>
                <c:pt idx="88">
                  <c:v>2.4788999999999999</c:v>
                </c:pt>
                <c:pt idx="89">
                  <c:v>2.47411</c:v>
                </c:pt>
                <c:pt idx="90">
                  <c:v>2.4720500000000003</c:v>
                </c:pt>
                <c:pt idx="91">
                  <c:v>2.4704999999999999</c:v>
                </c:pt>
                <c:pt idx="92">
                  <c:v>2.4679200000000003</c:v>
                </c:pt>
                <c:pt idx="93">
                  <c:v>2.4614500000000001</c:v>
                </c:pt>
                <c:pt idx="94">
                  <c:v>2.4561299999999999</c:v>
                </c:pt>
                <c:pt idx="95">
                  <c:v>2.4500299999999999</c:v>
                </c:pt>
                <c:pt idx="96">
                  <c:v>2.44434</c:v>
                </c:pt>
                <c:pt idx="97">
                  <c:v>2.4389099999999999</c:v>
                </c:pt>
                <c:pt idx="98">
                  <c:v>2.43547</c:v>
                </c:pt>
                <c:pt idx="99">
                  <c:v>2.4354999999999998</c:v>
                </c:pt>
                <c:pt idx="100">
                  <c:v>2.4368500000000002</c:v>
                </c:pt>
                <c:pt idx="101">
                  <c:v>2.4403899999999998</c:v>
                </c:pt>
                <c:pt idx="102">
                  <c:v>2.4453800000000001</c:v>
                </c:pt>
                <c:pt idx="103">
                  <c:v>2.45417</c:v>
                </c:pt>
                <c:pt idx="104">
                  <c:v>2.4636800000000001</c:v>
                </c:pt>
                <c:pt idx="105">
                  <c:v>2.4740599999999997</c:v>
                </c:pt>
                <c:pt idx="106">
                  <c:v>2.4850400000000001</c:v>
                </c:pt>
                <c:pt idx="107">
                  <c:v>2.4998999999999998</c:v>
                </c:pt>
                <c:pt idx="108">
                  <c:v>2.5155599999999998</c:v>
                </c:pt>
                <c:pt idx="109">
                  <c:v>2.53199</c:v>
                </c:pt>
                <c:pt idx="110">
                  <c:v>2.5486900000000001</c:v>
                </c:pt>
                <c:pt idx="111">
                  <c:v>2.5639799999999999</c:v>
                </c:pt>
                <c:pt idx="112">
                  <c:v>2.5808300000000002</c:v>
                </c:pt>
                <c:pt idx="113">
                  <c:v>2.5976599999999999</c:v>
                </c:pt>
                <c:pt idx="114">
                  <c:v>2.6123099999999999</c:v>
                </c:pt>
                <c:pt idx="115">
                  <c:v>2.6242799999999997</c:v>
                </c:pt>
                <c:pt idx="116">
                  <c:v>2.63449</c:v>
                </c:pt>
                <c:pt idx="117">
                  <c:v>2.6459799999999998</c:v>
                </c:pt>
                <c:pt idx="118">
                  <c:v>2.6577899999999999</c:v>
                </c:pt>
                <c:pt idx="119">
                  <c:v>2.6700400000000002</c:v>
                </c:pt>
                <c:pt idx="120">
                  <c:v>2.6843499999999998</c:v>
                </c:pt>
                <c:pt idx="121">
                  <c:v>2.7021099999999998</c:v>
                </c:pt>
                <c:pt idx="122">
                  <c:v>2.7193299999999998</c:v>
                </c:pt>
                <c:pt idx="123">
                  <c:v>2.7341199999999999</c:v>
                </c:pt>
                <c:pt idx="124">
                  <c:v>2.7420099999999996</c:v>
                </c:pt>
                <c:pt idx="125">
                  <c:v>2.74959</c:v>
                </c:pt>
                <c:pt idx="126">
                  <c:v>2.7566200000000003</c:v>
                </c:pt>
                <c:pt idx="127">
                  <c:v>2.7619899999999999</c:v>
                </c:pt>
                <c:pt idx="128">
                  <c:v>2.7653499999999998</c:v>
                </c:pt>
                <c:pt idx="129">
                  <c:v>2.7692299999999999</c:v>
                </c:pt>
                <c:pt idx="130">
                  <c:v>2.7741400000000001</c:v>
                </c:pt>
                <c:pt idx="131">
                  <c:v>2.7799499999999999</c:v>
                </c:pt>
                <c:pt idx="132">
                  <c:v>2.7821600000000002</c:v>
                </c:pt>
                <c:pt idx="133">
                  <c:v>2.7842000000000002</c:v>
                </c:pt>
                <c:pt idx="134">
                  <c:v>2.7857500000000002</c:v>
                </c:pt>
                <c:pt idx="135">
                  <c:v>2.7870200000000001</c:v>
                </c:pt>
                <c:pt idx="136">
                  <c:v>2.7902300000000002</c:v>
                </c:pt>
                <c:pt idx="137">
                  <c:v>2.7906599999999999</c:v>
                </c:pt>
                <c:pt idx="138">
                  <c:v>2.78878</c:v>
                </c:pt>
                <c:pt idx="139">
                  <c:v>2.7900100000000001</c:v>
                </c:pt>
                <c:pt idx="140">
                  <c:v>2.7960800000000003</c:v>
                </c:pt>
                <c:pt idx="141">
                  <c:v>2.8075099999999997</c:v>
                </c:pt>
                <c:pt idx="142">
                  <c:v>2.81555</c:v>
                </c:pt>
                <c:pt idx="143">
                  <c:v>2.8323499999999999</c:v>
                </c:pt>
                <c:pt idx="144">
                  <c:v>2.8485300000000002</c:v>
                </c:pt>
                <c:pt idx="145">
                  <c:v>2.8639100000000002</c:v>
                </c:pt>
                <c:pt idx="146">
                  <c:v>2.8598600000000003</c:v>
                </c:pt>
                <c:pt idx="147">
                  <c:v>2.8458000000000001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68.847100000000012</c:v>
                </c:pt>
                <c:pt idx="1">
                  <c:v>67.450600000000009</c:v>
                </c:pt>
                <c:pt idx="2">
                  <c:v>66.161699999999996</c:v>
                </c:pt>
                <c:pt idx="3">
                  <c:v>64.9983</c:v>
                </c:pt>
                <c:pt idx="4">
                  <c:v>63.834999999999994</c:v>
                </c:pt>
                <c:pt idx="5">
                  <c:v>62.735399999999998</c:v>
                </c:pt>
                <c:pt idx="6">
                  <c:v>61.595100000000002</c:v>
                </c:pt>
                <c:pt idx="7">
                  <c:v>60.316400000000002</c:v>
                </c:pt>
                <c:pt idx="8">
                  <c:v>58.855599999999995</c:v>
                </c:pt>
                <c:pt idx="9">
                  <c:v>57.222799999999992</c:v>
                </c:pt>
                <c:pt idx="10">
                  <c:v>55.771599999999999</c:v>
                </c:pt>
                <c:pt idx="11">
                  <c:v>54.582500000000003</c:v>
                </c:pt>
                <c:pt idx="12">
                  <c:v>53.7104</c:v>
                </c:pt>
                <c:pt idx="13">
                  <c:v>53.004899999999999</c:v>
                </c:pt>
                <c:pt idx="14">
                  <c:v>52.255200000000002</c:v>
                </c:pt>
                <c:pt idx="15">
                  <c:v>51.448300000000003</c:v>
                </c:pt>
                <c:pt idx="16">
                  <c:v>50.595800000000004</c:v>
                </c:pt>
                <c:pt idx="17">
                  <c:v>49.902700000000003</c:v>
                </c:pt>
                <c:pt idx="18">
                  <c:v>49.403300000000002</c:v>
                </c:pt>
                <c:pt idx="19">
                  <c:v>48.954700000000003</c:v>
                </c:pt>
                <c:pt idx="20">
                  <c:v>48.454700000000003</c:v>
                </c:pt>
                <c:pt idx="21">
                  <c:v>47.913499999999999</c:v>
                </c:pt>
                <c:pt idx="22">
                  <c:v>47.3521</c:v>
                </c:pt>
                <c:pt idx="23">
                  <c:v>46.679700000000004</c:v>
                </c:pt>
                <c:pt idx="24">
                  <c:v>45.829799999999999</c:v>
                </c:pt>
                <c:pt idx="25">
                  <c:v>44.787300000000002</c:v>
                </c:pt>
                <c:pt idx="26">
                  <c:v>43.679099999999998</c:v>
                </c:pt>
                <c:pt idx="27">
                  <c:v>42.594000000000001</c:v>
                </c:pt>
                <c:pt idx="28">
                  <c:v>41.579500000000003</c:v>
                </c:pt>
                <c:pt idx="29">
                  <c:v>40.5627</c:v>
                </c:pt>
                <c:pt idx="30">
                  <c:v>39.704699999999995</c:v>
                </c:pt>
                <c:pt idx="31">
                  <c:v>39.022300000000001</c:v>
                </c:pt>
                <c:pt idx="32">
                  <c:v>38.523000000000003</c:v>
                </c:pt>
                <c:pt idx="33">
                  <c:v>38.175199999999997</c:v>
                </c:pt>
                <c:pt idx="34">
                  <c:v>37.8367</c:v>
                </c:pt>
                <c:pt idx="35">
                  <c:v>37.485700000000001</c:v>
                </c:pt>
                <c:pt idx="36">
                  <c:v>37.073699999999995</c:v>
                </c:pt>
                <c:pt idx="37">
                  <c:v>36.6997</c:v>
                </c:pt>
                <c:pt idx="38">
                  <c:v>36.398899999999998</c:v>
                </c:pt>
                <c:pt idx="39">
                  <c:v>36.0548</c:v>
                </c:pt>
                <c:pt idx="40">
                  <c:v>35.7029</c:v>
                </c:pt>
                <c:pt idx="41">
                  <c:v>35.349899999999998</c:v>
                </c:pt>
                <c:pt idx="42">
                  <c:v>35.056399999999996</c:v>
                </c:pt>
                <c:pt idx="43">
                  <c:v>34.820900000000002</c:v>
                </c:pt>
                <c:pt idx="44">
                  <c:v>34.6721</c:v>
                </c:pt>
                <c:pt idx="45">
                  <c:v>34.549500000000002</c:v>
                </c:pt>
                <c:pt idx="46">
                  <c:v>34.4709</c:v>
                </c:pt>
                <c:pt idx="47">
                  <c:v>34.392499999999998</c:v>
                </c:pt>
                <c:pt idx="48">
                  <c:v>34.350099999999998</c:v>
                </c:pt>
                <c:pt idx="49">
                  <c:v>34.322900000000004</c:v>
                </c:pt>
                <c:pt idx="50">
                  <c:v>34.296599999999998</c:v>
                </c:pt>
                <c:pt idx="51">
                  <c:v>34.364699999999999</c:v>
                </c:pt>
                <c:pt idx="52">
                  <c:v>34.434799999999996</c:v>
                </c:pt>
                <c:pt idx="53">
                  <c:v>34.609899999999996</c:v>
                </c:pt>
                <c:pt idx="54">
                  <c:v>34.9467</c:v>
                </c:pt>
                <c:pt idx="55">
                  <c:v>35.246899999999997</c:v>
                </c:pt>
                <c:pt idx="56">
                  <c:v>35.529600000000002</c:v>
                </c:pt>
                <c:pt idx="57">
                  <c:v>35.672699999999999</c:v>
                </c:pt>
                <c:pt idx="58">
                  <c:v>35.703800000000001</c:v>
                </c:pt>
                <c:pt idx="59">
                  <c:v>35.783200000000001</c:v>
                </c:pt>
                <c:pt idx="60">
                  <c:v>35.884599999999999</c:v>
                </c:pt>
                <c:pt idx="61">
                  <c:v>36.174499999999995</c:v>
                </c:pt>
                <c:pt idx="62">
                  <c:v>36.5946</c:v>
                </c:pt>
                <c:pt idx="63">
                  <c:v>37.064</c:v>
                </c:pt>
                <c:pt idx="64">
                  <c:v>37.680599999999998</c:v>
                </c:pt>
                <c:pt idx="65">
                  <c:v>38.2819</c:v>
                </c:pt>
                <c:pt idx="66">
                  <c:v>39.029299999999999</c:v>
                </c:pt>
                <c:pt idx="67">
                  <c:v>39.806100000000001</c:v>
                </c:pt>
                <c:pt idx="68">
                  <c:v>40.7059</c:v>
                </c:pt>
                <c:pt idx="69">
                  <c:v>41.366300000000003</c:v>
                </c:pt>
                <c:pt idx="70">
                  <c:v>42.0655</c:v>
                </c:pt>
                <c:pt idx="71">
                  <c:v>42.617399999999996</c:v>
                </c:pt>
                <c:pt idx="72">
                  <c:v>43.203499999999998</c:v>
                </c:pt>
                <c:pt idx="73">
                  <c:v>43.780299999999997</c:v>
                </c:pt>
                <c:pt idx="74">
                  <c:v>44.418900000000001</c:v>
                </c:pt>
                <c:pt idx="75">
                  <c:v>44.998699999999999</c:v>
                </c:pt>
                <c:pt idx="76">
                  <c:v>45.509899999999995</c:v>
                </c:pt>
                <c:pt idx="77">
                  <c:v>46.120899999999999</c:v>
                </c:pt>
                <c:pt idx="78">
                  <c:v>46.687200000000004</c:v>
                </c:pt>
                <c:pt idx="79">
                  <c:v>47.2607</c:v>
                </c:pt>
                <c:pt idx="80">
                  <c:v>47.762500000000003</c:v>
                </c:pt>
                <c:pt idx="81">
                  <c:v>48.241399999999999</c:v>
                </c:pt>
                <c:pt idx="82">
                  <c:v>48.671700000000001</c:v>
                </c:pt>
                <c:pt idx="83">
                  <c:v>49.037399999999998</c:v>
                </c:pt>
                <c:pt idx="84">
                  <c:v>49.368699999999997</c:v>
                </c:pt>
                <c:pt idx="85">
                  <c:v>49.701299999999996</c:v>
                </c:pt>
                <c:pt idx="86">
                  <c:v>50.021999999999998</c:v>
                </c:pt>
                <c:pt idx="87">
                  <c:v>50.393500000000003</c:v>
                </c:pt>
                <c:pt idx="88">
                  <c:v>50.731899999999996</c:v>
                </c:pt>
                <c:pt idx="89">
                  <c:v>51.080400000000004</c:v>
                </c:pt>
                <c:pt idx="90">
                  <c:v>51.359299999999998</c:v>
                </c:pt>
                <c:pt idx="91">
                  <c:v>51.570499999999996</c:v>
                </c:pt>
                <c:pt idx="92">
                  <c:v>51.738900000000001</c:v>
                </c:pt>
                <c:pt idx="93">
                  <c:v>51.951999999999998</c:v>
                </c:pt>
                <c:pt idx="94">
                  <c:v>52.137699999999995</c:v>
                </c:pt>
                <c:pt idx="95">
                  <c:v>52.310400000000001</c:v>
                </c:pt>
                <c:pt idx="96">
                  <c:v>52.478199999999994</c:v>
                </c:pt>
                <c:pt idx="97">
                  <c:v>52.636000000000003</c:v>
                </c:pt>
                <c:pt idx="98">
                  <c:v>52.713500000000003</c:v>
                </c:pt>
                <c:pt idx="99">
                  <c:v>52.658700000000003</c:v>
                </c:pt>
                <c:pt idx="100">
                  <c:v>52.522899999999993</c:v>
                </c:pt>
                <c:pt idx="101">
                  <c:v>52.309899999999999</c:v>
                </c:pt>
                <c:pt idx="102">
                  <c:v>51.982099999999996</c:v>
                </c:pt>
                <c:pt idx="103">
                  <c:v>51.518600000000006</c:v>
                </c:pt>
                <c:pt idx="104">
                  <c:v>51.047299999999993</c:v>
                </c:pt>
                <c:pt idx="105">
                  <c:v>50.579900000000002</c:v>
                </c:pt>
                <c:pt idx="106">
                  <c:v>50.120600000000003</c:v>
                </c:pt>
                <c:pt idx="107">
                  <c:v>49.576999999999998</c:v>
                </c:pt>
                <c:pt idx="108">
                  <c:v>49.0261</c:v>
                </c:pt>
                <c:pt idx="109">
                  <c:v>48.476799999999997</c:v>
                </c:pt>
                <c:pt idx="110">
                  <c:v>47.948900000000002</c:v>
                </c:pt>
                <c:pt idx="111">
                  <c:v>47.450699999999998</c:v>
                </c:pt>
                <c:pt idx="112">
                  <c:v>46.903599999999997</c:v>
                </c:pt>
                <c:pt idx="113">
                  <c:v>46.315300000000001</c:v>
                </c:pt>
                <c:pt idx="114">
                  <c:v>45.801600000000001</c:v>
                </c:pt>
                <c:pt idx="115">
                  <c:v>45.321199999999997</c:v>
                </c:pt>
                <c:pt idx="116">
                  <c:v>44.890299999999996</c:v>
                </c:pt>
                <c:pt idx="117">
                  <c:v>44.501600000000003</c:v>
                </c:pt>
                <c:pt idx="118">
                  <c:v>44.148499999999999</c:v>
                </c:pt>
                <c:pt idx="119">
                  <c:v>43.768700000000003</c:v>
                </c:pt>
                <c:pt idx="120">
                  <c:v>43.399500000000003</c:v>
                </c:pt>
                <c:pt idx="121">
                  <c:v>42.963200000000001</c:v>
                </c:pt>
                <c:pt idx="122">
                  <c:v>42.596400000000003</c:v>
                </c:pt>
                <c:pt idx="123">
                  <c:v>42.311700000000002</c:v>
                </c:pt>
                <c:pt idx="124">
                  <c:v>42.116100000000003</c:v>
                </c:pt>
                <c:pt idx="125">
                  <c:v>41.927300000000002</c:v>
                </c:pt>
                <c:pt idx="126">
                  <c:v>41.737000000000002</c:v>
                </c:pt>
                <c:pt idx="127">
                  <c:v>41.578700000000005</c:v>
                </c:pt>
                <c:pt idx="128">
                  <c:v>41.456400000000002</c:v>
                </c:pt>
                <c:pt idx="129">
                  <c:v>41.323999999999998</c:v>
                </c:pt>
                <c:pt idx="130">
                  <c:v>41.163600000000002</c:v>
                </c:pt>
                <c:pt idx="131">
                  <c:v>40.981200000000001</c:v>
                </c:pt>
                <c:pt idx="132">
                  <c:v>40.828399999999995</c:v>
                </c:pt>
                <c:pt idx="133">
                  <c:v>40.685400000000001</c:v>
                </c:pt>
                <c:pt idx="134">
                  <c:v>40.532899999999998</c:v>
                </c:pt>
                <c:pt idx="135">
                  <c:v>40.366399999999999</c:v>
                </c:pt>
                <c:pt idx="136">
                  <c:v>40.226900000000001</c:v>
                </c:pt>
                <c:pt idx="137">
                  <c:v>40.178599999999996</c:v>
                </c:pt>
                <c:pt idx="138">
                  <c:v>40.2575</c:v>
                </c:pt>
                <c:pt idx="139">
                  <c:v>40.3093</c:v>
                </c:pt>
                <c:pt idx="140">
                  <c:v>40.402700000000003</c:v>
                </c:pt>
                <c:pt idx="141">
                  <c:v>40.427700000000002</c:v>
                </c:pt>
                <c:pt idx="142">
                  <c:v>40.398000000000003</c:v>
                </c:pt>
                <c:pt idx="143">
                  <c:v>40.261200000000002</c:v>
                </c:pt>
                <c:pt idx="144">
                  <c:v>40.176600000000001</c:v>
                </c:pt>
                <c:pt idx="145">
                  <c:v>40.1248</c:v>
                </c:pt>
                <c:pt idx="146">
                  <c:v>40.558100000000003</c:v>
                </c:pt>
                <c:pt idx="147">
                  <c:v>41.033799999999999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1.38703</c:v>
                </c:pt>
                <c:pt idx="1">
                  <c:v>1.4351099999999999</c:v>
                </c:pt>
                <c:pt idx="2">
                  <c:v>1.4821200000000001</c:v>
                </c:pt>
                <c:pt idx="3">
                  <c:v>1.52847</c:v>
                </c:pt>
                <c:pt idx="4">
                  <c:v>1.5757399999999999</c:v>
                </c:pt>
                <c:pt idx="5">
                  <c:v>1.62277</c:v>
                </c:pt>
                <c:pt idx="6">
                  <c:v>1.6719400000000002</c:v>
                </c:pt>
                <c:pt idx="7">
                  <c:v>1.7261299999999999</c:v>
                </c:pt>
                <c:pt idx="8">
                  <c:v>1.7854700000000001</c:v>
                </c:pt>
                <c:pt idx="9">
                  <c:v>1.8476300000000001</c:v>
                </c:pt>
                <c:pt idx="10">
                  <c:v>1.90977</c:v>
                </c:pt>
                <c:pt idx="11">
                  <c:v>1.9696099999999999</c:v>
                </c:pt>
                <c:pt idx="12">
                  <c:v>2.0249600000000001</c:v>
                </c:pt>
                <c:pt idx="13">
                  <c:v>2.0784600000000002</c:v>
                </c:pt>
                <c:pt idx="14">
                  <c:v>2.13632</c:v>
                </c:pt>
                <c:pt idx="15">
                  <c:v>2.1969099999999999</c:v>
                </c:pt>
                <c:pt idx="16">
                  <c:v>2.2599200000000002</c:v>
                </c:pt>
                <c:pt idx="17">
                  <c:v>2.3208799999999998</c:v>
                </c:pt>
                <c:pt idx="18">
                  <c:v>2.3790100000000001</c:v>
                </c:pt>
                <c:pt idx="19">
                  <c:v>2.4352900000000002</c:v>
                </c:pt>
                <c:pt idx="20">
                  <c:v>2.4905400000000002</c:v>
                </c:pt>
                <c:pt idx="21">
                  <c:v>2.5450900000000001</c:v>
                </c:pt>
                <c:pt idx="22">
                  <c:v>2.5975100000000002</c:v>
                </c:pt>
                <c:pt idx="23">
                  <c:v>2.6498500000000003</c:v>
                </c:pt>
                <c:pt idx="24">
                  <c:v>2.7052500000000004</c:v>
                </c:pt>
                <c:pt idx="25">
                  <c:v>2.7618999999999998</c:v>
                </c:pt>
                <c:pt idx="26">
                  <c:v>2.8186800000000001</c:v>
                </c:pt>
                <c:pt idx="27">
                  <c:v>2.8758699999999999</c:v>
                </c:pt>
                <c:pt idx="28">
                  <c:v>2.93283</c:v>
                </c:pt>
                <c:pt idx="29">
                  <c:v>2.9914800000000001</c:v>
                </c:pt>
                <c:pt idx="30">
                  <c:v>3.0486499999999999</c:v>
                </c:pt>
                <c:pt idx="31">
                  <c:v>3.10128</c:v>
                </c:pt>
                <c:pt idx="32">
                  <c:v>3.14541</c:v>
                </c:pt>
                <c:pt idx="33">
                  <c:v>3.1803699999999999</c:v>
                </c:pt>
                <c:pt idx="34">
                  <c:v>3.2099199999999999</c:v>
                </c:pt>
                <c:pt idx="35">
                  <c:v>3.23841</c:v>
                </c:pt>
                <c:pt idx="36">
                  <c:v>3.2708700000000004</c:v>
                </c:pt>
                <c:pt idx="37">
                  <c:v>3.3040399999999996</c:v>
                </c:pt>
                <c:pt idx="38">
                  <c:v>3.33751</c:v>
                </c:pt>
                <c:pt idx="39">
                  <c:v>3.36815</c:v>
                </c:pt>
                <c:pt idx="40">
                  <c:v>3.39595</c:v>
                </c:pt>
                <c:pt idx="41">
                  <c:v>3.4214000000000002</c:v>
                </c:pt>
                <c:pt idx="42">
                  <c:v>3.4451100000000001</c:v>
                </c:pt>
                <c:pt idx="43">
                  <c:v>3.4654499999999997</c:v>
                </c:pt>
                <c:pt idx="44">
                  <c:v>3.4808299999999996</c:v>
                </c:pt>
                <c:pt idx="45">
                  <c:v>3.4915699999999998</c:v>
                </c:pt>
                <c:pt idx="46">
                  <c:v>3.4954400000000003</c:v>
                </c:pt>
                <c:pt idx="47">
                  <c:v>3.49634</c:v>
                </c:pt>
                <c:pt idx="48">
                  <c:v>3.4941599999999999</c:v>
                </c:pt>
                <c:pt idx="49">
                  <c:v>3.484</c:v>
                </c:pt>
                <c:pt idx="50">
                  <c:v>3.4775200000000002</c:v>
                </c:pt>
                <c:pt idx="51">
                  <c:v>3.4450799999999999</c:v>
                </c:pt>
                <c:pt idx="52">
                  <c:v>3.4309699999999999</c:v>
                </c:pt>
                <c:pt idx="53">
                  <c:v>3.4048400000000001</c:v>
                </c:pt>
                <c:pt idx="54">
                  <c:v>3.3634900000000001</c:v>
                </c:pt>
                <c:pt idx="55">
                  <c:v>3.32918</c:v>
                </c:pt>
                <c:pt idx="56">
                  <c:v>3.2942300000000002</c:v>
                </c:pt>
                <c:pt idx="57">
                  <c:v>3.2592400000000001</c:v>
                </c:pt>
                <c:pt idx="58">
                  <c:v>3.23807</c:v>
                </c:pt>
                <c:pt idx="59">
                  <c:v>3.1900899999999996</c:v>
                </c:pt>
                <c:pt idx="60">
                  <c:v>3.1662699999999999</c:v>
                </c:pt>
                <c:pt idx="61">
                  <c:v>3.12439</c:v>
                </c:pt>
                <c:pt idx="62">
                  <c:v>3.0828199999999999</c:v>
                </c:pt>
                <c:pt idx="63">
                  <c:v>3.0406300000000002</c:v>
                </c:pt>
                <c:pt idx="64">
                  <c:v>2.98874</c:v>
                </c:pt>
                <c:pt idx="65">
                  <c:v>2.9492400000000001</c:v>
                </c:pt>
                <c:pt idx="66">
                  <c:v>2.9101599999999999</c:v>
                </c:pt>
                <c:pt idx="67">
                  <c:v>2.8759200000000003</c:v>
                </c:pt>
                <c:pt idx="68">
                  <c:v>2.8360999999999996</c:v>
                </c:pt>
                <c:pt idx="69">
                  <c:v>2.8071200000000003</c:v>
                </c:pt>
                <c:pt idx="70">
                  <c:v>2.7760400000000001</c:v>
                </c:pt>
                <c:pt idx="71">
                  <c:v>2.7492200000000002</c:v>
                </c:pt>
                <c:pt idx="72">
                  <c:v>2.7216200000000002</c:v>
                </c:pt>
                <c:pt idx="73">
                  <c:v>2.69442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68.847100000000012</c:v>
                </c:pt>
                <c:pt idx="1">
                  <c:v>67.450600000000009</c:v>
                </c:pt>
                <c:pt idx="2">
                  <c:v>66.161699999999996</c:v>
                </c:pt>
                <c:pt idx="3">
                  <c:v>64.9983</c:v>
                </c:pt>
                <c:pt idx="4">
                  <c:v>63.834999999999994</c:v>
                </c:pt>
                <c:pt idx="5">
                  <c:v>62.735399999999998</c:v>
                </c:pt>
                <c:pt idx="6">
                  <c:v>61.595100000000002</c:v>
                </c:pt>
                <c:pt idx="7">
                  <c:v>60.316400000000002</c:v>
                </c:pt>
                <c:pt idx="8">
                  <c:v>58.855599999999995</c:v>
                </c:pt>
                <c:pt idx="9">
                  <c:v>57.222799999999992</c:v>
                </c:pt>
                <c:pt idx="10">
                  <c:v>55.771599999999999</c:v>
                </c:pt>
                <c:pt idx="11">
                  <c:v>54.582500000000003</c:v>
                </c:pt>
                <c:pt idx="12">
                  <c:v>53.7104</c:v>
                </c:pt>
                <c:pt idx="13">
                  <c:v>53.004899999999999</c:v>
                </c:pt>
                <c:pt idx="14">
                  <c:v>52.255200000000002</c:v>
                </c:pt>
                <c:pt idx="15">
                  <c:v>51.448300000000003</c:v>
                </c:pt>
                <c:pt idx="16">
                  <c:v>50.595800000000004</c:v>
                </c:pt>
                <c:pt idx="17">
                  <c:v>49.902700000000003</c:v>
                </c:pt>
                <c:pt idx="18">
                  <c:v>49.403300000000002</c:v>
                </c:pt>
                <c:pt idx="19">
                  <c:v>48.954700000000003</c:v>
                </c:pt>
                <c:pt idx="20">
                  <c:v>48.454700000000003</c:v>
                </c:pt>
                <c:pt idx="21">
                  <c:v>47.913499999999999</c:v>
                </c:pt>
                <c:pt idx="22">
                  <c:v>47.3521</c:v>
                </c:pt>
                <c:pt idx="23">
                  <c:v>46.679700000000004</c:v>
                </c:pt>
                <c:pt idx="24">
                  <c:v>45.829799999999999</c:v>
                </c:pt>
                <c:pt idx="25">
                  <c:v>44.787300000000002</c:v>
                </c:pt>
                <c:pt idx="26">
                  <c:v>43.679099999999998</c:v>
                </c:pt>
                <c:pt idx="27">
                  <c:v>42.594000000000001</c:v>
                </c:pt>
                <c:pt idx="28">
                  <c:v>41.579500000000003</c:v>
                </c:pt>
                <c:pt idx="29">
                  <c:v>40.5627</c:v>
                </c:pt>
                <c:pt idx="30">
                  <c:v>39.704699999999995</c:v>
                </c:pt>
                <c:pt idx="31">
                  <c:v>39.022300000000001</c:v>
                </c:pt>
                <c:pt idx="32">
                  <c:v>38.523000000000003</c:v>
                </c:pt>
                <c:pt idx="33">
                  <c:v>38.175199999999997</c:v>
                </c:pt>
                <c:pt idx="34">
                  <c:v>37.8367</c:v>
                </c:pt>
                <c:pt idx="35">
                  <c:v>37.485700000000001</c:v>
                </c:pt>
                <c:pt idx="36">
                  <c:v>37.073699999999995</c:v>
                </c:pt>
                <c:pt idx="37">
                  <c:v>36.6997</c:v>
                </c:pt>
                <c:pt idx="38">
                  <c:v>36.398899999999998</c:v>
                </c:pt>
                <c:pt idx="39">
                  <c:v>36.0548</c:v>
                </c:pt>
                <c:pt idx="40">
                  <c:v>35.7029</c:v>
                </c:pt>
                <c:pt idx="41">
                  <c:v>35.349899999999998</c:v>
                </c:pt>
                <c:pt idx="42">
                  <c:v>35.056399999999996</c:v>
                </c:pt>
                <c:pt idx="43">
                  <c:v>34.820900000000002</c:v>
                </c:pt>
                <c:pt idx="44">
                  <c:v>34.6721</c:v>
                </c:pt>
                <c:pt idx="45">
                  <c:v>34.549500000000002</c:v>
                </c:pt>
                <c:pt idx="46">
                  <c:v>34.4709</c:v>
                </c:pt>
                <c:pt idx="47">
                  <c:v>34.392499999999998</c:v>
                </c:pt>
                <c:pt idx="48">
                  <c:v>34.350099999999998</c:v>
                </c:pt>
                <c:pt idx="49">
                  <c:v>34.322900000000004</c:v>
                </c:pt>
                <c:pt idx="50">
                  <c:v>34.296599999999998</c:v>
                </c:pt>
                <c:pt idx="51">
                  <c:v>34.364699999999999</c:v>
                </c:pt>
                <c:pt idx="52">
                  <c:v>34.434799999999996</c:v>
                </c:pt>
                <c:pt idx="53">
                  <c:v>34.609899999999996</c:v>
                </c:pt>
                <c:pt idx="54">
                  <c:v>34.9467</c:v>
                </c:pt>
                <c:pt idx="55">
                  <c:v>35.246899999999997</c:v>
                </c:pt>
                <c:pt idx="56">
                  <c:v>35.529600000000002</c:v>
                </c:pt>
                <c:pt idx="57">
                  <c:v>35.672699999999999</c:v>
                </c:pt>
                <c:pt idx="58">
                  <c:v>35.703800000000001</c:v>
                </c:pt>
                <c:pt idx="59">
                  <c:v>35.783200000000001</c:v>
                </c:pt>
                <c:pt idx="60">
                  <c:v>35.884599999999999</c:v>
                </c:pt>
                <c:pt idx="61">
                  <c:v>36.174499999999995</c:v>
                </c:pt>
                <c:pt idx="62">
                  <c:v>36.5946</c:v>
                </c:pt>
                <c:pt idx="63">
                  <c:v>37.064</c:v>
                </c:pt>
                <c:pt idx="64">
                  <c:v>37.680599999999998</c:v>
                </c:pt>
                <c:pt idx="65">
                  <c:v>38.2819</c:v>
                </c:pt>
                <c:pt idx="66">
                  <c:v>39.029299999999999</c:v>
                </c:pt>
                <c:pt idx="67">
                  <c:v>39.806100000000001</c:v>
                </c:pt>
                <c:pt idx="68">
                  <c:v>40.7059</c:v>
                </c:pt>
                <c:pt idx="69">
                  <c:v>41.366300000000003</c:v>
                </c:pt>
                <c:pt idx="70">
                  <c:v>42.0655</c:v>
                </c:pt>
                <c:pt idx="71">
                  <c:v>42.617399999999996</c:v>
                </c:pt>
                <c:pt idx="72">
                  <c:v>43.203499999999998</c:v>
                </c:pt>
                <c:pt idx="73">
                  <c:v>43.780299999999997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2.69442</c:v>
                </c:pt>
                <c:pt idx="1">
                  <c:v>2.6672200000000004</c:v>
                </c:pt>
                <c:pt idx="2">
                  <c:v>2.6444000000000001</c:v>
                </c:pt>
                <c:pt idx="3">
                  <c:v>2.6254200000000001</c:v>
                </c:pt>
                <c:pt idx="4">
                  <c:v>2.6050599999999999</c:v>
                </c:pt>
                <c:pt idx="5">
                  <c:v>2.58514</c:v>
                </c:pt>
                <c:pt idx="6">
                  <c:v>2.5646300000000002</c:v>
                </c:pt>
                <c:pt idx="7">
                  <c:v>2.54616</c:v>
                </c:pt>
                <c:pt idx="8">
                  <c:v>2.5289600000000001</c:v>
                </c:pt>
                <c:pt idx="9">
                  <c:v>2.5164599999999999</c:v>
                </c:pt>
                <c:pt idx="10">
                  <c:v>2.5072999999999999</c:v>
                </c:pt>
                <c:pt idx="11">
                  <c:v>2.5019900000000002</c:v>
                </c:pt>
                <c:pt idx="12">
                  <c:v>2.4968599999999999</c:v>
                </c:pt>
                <c:pt idx="13">
                  <c:v>2.4917600000000002</c:v>
                </c:pt>
                <c:pt idx="14">
                  <c:v>2.48394</c:v>
                </c:pt>
                <c:pt idx="15">
                  <c:v>2.4788999999999999</c:v>
                </c:pt>
                <c:pt idx="16">
                  <c:v>2.47411</c:v>
                </c:pt>
                <c:pt idx="17">
                  <c:v>2.4720500000000003</c:v>
                </c:pt>
                <c:pt idx="18">
                  <c:v>2.4704999999999999</c:v>
                </c:pt>
                <c:pt idx="19">
                  <c:v>2.4679200000000003</c:v>
                </c:pt>
                <c:pt idx="20">
                  <c:v>2.4614500000000001</c:v>
                </c:pt>
                <c:pt idx="21">
                  <c:v>2.4561299999999999</c:v>
                </c:pt>
                <c:pt idx="22">
                  <c:v>2.4500299999999999</c:v>
                </c:pt>
                <c:pt idx="23">
                  <c:v>2.44434</c:v>
                </c:pt>
                <c:pt idx="24">
                  <c:v>2.4389099999999999</c:v>
                </c:pt>
                <c:pt idx="25">
                  <c:v>2.43547</c:v>
                </c:pt>
                <c:pt idx="26">
                  <c:v>2.4354999999999998</c:v>
                </c:pt>
                <c:pt idx="27">
                  <c:v>2.4368500000000002</c:v>
                </c:pt>
                <c:pt idx="28">
                  <c:v>2.4403899999999998</c:v>
                </c:pt>
                <c:pt idx="29">
                  <c:v>2.4453800000000001</c:v>
                </c:pt>
                <c:pt idx="30">
                  <c:v>2.45417</c:v>
                </c:pt>
                <c:pt idx="31">
                  <c:v>2.4636800000000001</c:v>
                </c:pt>
                <c:pt idx="32">
                  <c:v>2.4740599999999997</c:v>
                </c:pt>
                <c:pt idx="33">
                  <c:v>2.4850400000000001</c:v>
                </c:pt>
                <c:pt idx="34">
                  <c:v>2.4998999999999998</c:v>
                </c:pt>
                <c:pt idx="35">
                  <c:v>2.5155599999999998</c:v>
                </c:pt>
                <c:pt idx="36">
                  <c:v>2.53199</c:v>
                </c:pt>
                <c:pt idx="37">
                  <c:v>2.5486900000000001</c:v>
                </c:pt>
                <c:pt idx="38">
                  <c:v>2.5639799999999999</c:v>
                </c:pt>
                <c:pt idx="39">
                  <c:v>2.5808300000000002</c:v>
                </c:pt>
                <c:pt idx="40">
                  <c:v>2.5976599999999999</c:v>
                </c:pt>
                <c:pt idx="41">
                  <c:v>2.6123099999999999</c:v>
                </c:pt>
                <c:pt idx="42">
                  <c:v>2.6242799999999997</c:v>
                </c:pt>
                <c:pt idx="43">
                  <c:v>2.63449</c:v>
                </c:pt>
                <c:pt idx="44">
                  <c:v>2.6459799999999998</c:v>
                </c:pt>
                <c:pt idx="45">
                  <c:v>2.6577899999999999</c:v>
                </c:pt>
                <c:pt idx="46">
                  <c:v>2.6700400000000002</c:v>
                </c:pt>
                <c:pt idx="47">
                  <c:v>2.6843499999999998</c:v>
                </c:pt>
                <c:pt idx="48">
                  <c:v>2.7021099999999998</c:v>
                </c:pt>
                <c:pt idx="49">
                  <c:v>2.7193299999999998</c:v>
                </c:pt>
                <c:pt idx="50">
                  <c:v>2.7341199999999999</c:v>
                </c:pt>
                <c:pt idx="51">
                  <c:v>2.7420099999999996</c:v>
                </c:pt>
                <c:pt idx="52">
                  <c:v>2.74959</c:v>
                </c:pt>
                <c:pt idx="53">
                  <c:v>2.7566200000000003</c:v>
                </c:pt>
                <c:pt idx="54">
                  <c:v>2.7619899999999999</c:v>
                </c:pt>
                <c:pt idx="55">
                  <c:v>2.7653499999999998</c:v>
                </c:pt>
                <c:pt idx="56">
                  <c:v>2.7692299999999999</c:v>
                </c:pt>
                <c:pt idx="57">
                  <c:v>2.7741400000000001</c:v>
                </c:pt>
                <c:pt idx="58">
                  <c:v>2.7799499999999999</c:v>
                </c:pt>
                <c:pt idx="59">
                  <c:v>2.7821600000000002</c:v>
                </c:pt>
                <c:pt idx="60">
                  <c:v>2.7842000000000002</c:v>
                </c:pt>
                <c:pt idx="61">
                  <c:v>2.7857500000000002</c:v>
                </c:pt>
                <c:pt idx="62">
                  <c:v>2.7870200000000001</c:v>
                </c:pt>
                <c:pt idx="63">
                  <c:v>2.7902300000000002</c:v>
                </c:pt>
                <c:pt idx="64">
                  <c:v>2.7906599999999999</c:v>
                </c:pt>
                <c:pt idx="65">
                  <c:v>2.78878</c:v>
                </c:pt>
                <c:pt idx="66">
                  <c:v>2.7900100000000001</c:v>
                </c:pt>
                <c:pt idx="67">
                  <c:v>2.7960800000000003</c:v>
                </c:pt>
                <c:pt idx="68">
                  <c:v>2.8075099999999997</c:v>
                </c:pt>
                <c:pt idx="69">
                  <c:v>2.81555</c:v>
                </c:pt>
                <c:pt idx="70">
                  <c:v>2.8323499999999999</c:v>
                </c:pt>
                <c:pt idx="71">
                  <c:v>2.8485300000000002</c:v>
                </c:pt>
                <c:pt idx="72">
                  <c:v>2.8639100000000002</c:v>
                </c:pt>
                <c:pt idx="73">
                  <c:v>2.8598600000000003</c:v>
                </c:pt>
                <c:pt idx="74">
                  <c:v>2.8458000000000001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43.780299999999997</c:v>
                </c:pt>
                <c:pt idx="1">
                  <c:v>44.418900000000001</c:v>
                </c:pt>
                <c:pt idx="2">
                  <c:v>44.998699999999999</c:v>
                </c:pt>
                <c:pt idx="3">
                  <c:v>45.509899999999995</c:v>
                </c:pt>
                <c:pt idx="4">
                  <c:v>46.120899999999999</c:v>
                </c:pt>
                <c:pt idx="5">
                  <c:v>46.687200000000004</c:v>
                </c:pt>
                <c:pt idx="6">
                  <c:v>47.2607</c:v>
                </c:pt>
                <c:pt idx="7">
                  <c:v>47.762500000000003</c:v>
                </c:pt>
                <c:pt idx="8">
                  <c:v>48.241399999999999</c:v>
                </c:pt>
                <c:pt idx="9">
                  <c:v>48.671700000000001</c:v>
                </c:pt>
                <c:pt idx="10">
                  <c:v>49.037399999999998</c:v>
                </c:pt>
                <c:pt idx="11">
                  <c:v>49.368699999999997</c:v>
                </c:pt>
                <c:pt idx="12">
                  <c:v>49.701299999999996</c:v>
                </c:pt>
                <c:pt idx="13">
                  <c:v>50.021999999999998</c:v>
                </c:pt>
                <c:pt idx="14">
                  <c:v>50.393500000000003</c:v>
                </c:pt>
                <c:pt idx="15">
                  <c:v>50.731899999999996</c:v>
                </c:pt>
                <c:pt idx="16">
                  <c:v>51.080400000000004</c:v>
                </c:pt>
                <c:pt idx="17">
                  <c:v>51.359299999999998</c:v>
                </c:pt>
                <c:pt idx="18">
                  <c:v>51.570499999999996</c:v>
                </c:pt>
                <c:pt idx="19">
                  <c:v>51.738900000000001</c:v>
                </c:pt>
                <c:pt idx="20">
                  <c:v>51.951999999999998</c:v>
                </c:pt>
                <c:pt idx="21">
                  <c:v>52.137699999999995</c:v>
                </c:pt>
                <c:pt idx="22">
                  <c:v>52.310400000000001</c:v>
                </c:pt>
                <c:pt idx="23">
                  <c:v>52.478199999999994</c:v>
                </c:pt>
                <c:pt idx="24">
                  <c:v>52.636000000000003</c:v>
                </c:pt>
                <c:pt idx="25">
                  <c:v>52.713500000000003</c:v>
                </c:pt>
                <c:pt idx="26">
                  <c:v>52.658700000000003</c:v>
                </c:pt>
                <c:pt idx="27">
                  <c:v>52.522899999999993</c:v>
                </c:pt>
                <c:pt idx="28">
                  <c:v>52.309899999999999</c:v>
                </c:pt>
                <c:pt idx="29">
                  <c:v>51.982099999999996</c:v>
                </c:pt>
                <c:pt idx="30">
                  <c:v>51.518600000000006</c:v>
                </c:pt>
                <c:pt idx="31">
                  <c:v>51.047299999999993</c:v>
                </c:pt>
                <c:pt idx="32">
                  <c:v>50.579900000000002</c:v>
                </c:pt>
                <c:pt idx="33">
                  <c:v>50.120600000000003</c:v>
                </c:pt>
                <c:pt idx="34">
                  <c:v>49.576999999999998</c:v>
                </c:pt>
                <c:pt idx="35">
                  <c:v>49.0261</c:v>
                </c:pt>
                <c:pt idx="36">
                  <c:v>48.476799999999997</c:v>
                </c:pt>
                <c:pt idx="37">
                  <c:v>47.948900000000002</c:v>
                </c:pt>
                <c:pt idx="38">
                  <c:v>47.450699999999998</c:v>
                </c:pt>
                <c:pt idx="39">
                  <c:v>46.903599999999997</c:v>
                </c:pt>
                <c:pt idx="40">
                  <c:v>46.315300000000001</c:v>
                </c:pt>
                <c:pt idx="41">
                  <c:v>45.801600000000001</c:v>
                </c:pt>
                <c:pt idx="42">
                  <c:v>45.321199999999997</c:v>
                </c:pt>
                <c:pt idx="43">
                  <c:v>44.890299999999996</c:v>
                </c:pt>
                <c:pt idx="44">
                  <c:v>44.501600000000003</c:v>
                </c:pt>
                <c:pt idx="45">
                  <c:v>44.148499999999999</c:v>
                </c:pt>
                <c:pt idx="46">
                  <c:v>43.768700000000003</c:v>
                </c:pt>
                <c:pt idx="47">
                  <c:v>43.399500000000003</c:v>
                </c:pt>
                <c:pt idx="48">
                  <c:v>42.963200000000001</c:v>
                </c:pt>
                <c:pt idx="49">
                  <c:v>42.596400000000003</c:v>
                </c:pt>
                <c:pt idx="50">
                  <c:v>42.311700000000002</c:v>
                </c:pt>
                <c:pt idx="51">
                  <c:v>42.116100000000003</c:v>
                </c:pt>
                <c:pt idx="52">
                  <c:v>41.927300000000002</c:v>
                </c:pt>
                <c:pt idx="53">
                  <c:v>41.737000000000002</c:v>
                </c:pt>
                <c:pt idx="54">
                  <c:v>41.578700000000005</c:v>
                </c:pt>
                <c:pt idx="55">
                  <c:v>41.456400000000002</c:v>
                </c:pt>
                <c:pt idx="56">
                  <c:v>41.323999999999998</c:v>
                </c:pt>
                <c:pt idx="57">
                  <c:v>41.163600000000002</c:v>
                </c:pt>
                <c:pt idx="58">
                  <c:v>40.981200000000001</c:v>
                </c:pt>
                <c:pt idx="59">
                  <c:v>40.828399999999995</c:v>
                </c:pt>
                <c:pt idx="60">
                  <c:v>40.685400000000001</c:v>
                </c:pt>
                <c:pt idx="61">
                  <c:v>40.532899999999998</c:v>
                </c:pt>
                <c:pt idx="62">
                  <c:v>40.366399999999999</c:v>
                </c:pt>
                <c:pt idx="63">
                  <c:v>40.226900000000001</c:v>
                </c:pt>
                <c:pt idx="64">
                  <c:v>40.178599999999996</c:v>
                </c:pt>
                <c:pt idx="65">
                  <c:v>40.2575</c:v>
                </c:pt>
                <c:pt idx="66">
                  <c:v>40.3093</c:v>
                </c:pt>
                <c:pt idx="67">
                  <c:v>40.402700000000003</c:v>
                </c:pt>
                <c:pt idx="68">
                  <c:v>40.427700000000002</c:v>
                </c:pt>
                <c:pt idx="69">
                  <c:v>40.398000000000003</c:v>
                </c:pt>
                <c:pt idx="70">
                  <c:v>40.261200000000002</c:v>
                </c:pt>
                <c:pt idx="71">
                  <c:v>40.176600000000001</c:v>
                </c:pt>
                <c:pt idx="72">
                  <c:v>40.1248</c:v>
                </c:pt>
                <c:pt idx="73">
                  <c:v>40.558100000000003</c:v>
                </c:pt>
                <c:pt idx="74">
                  <c:v>41.033799999999999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1.38703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68.847100000000012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2.7861189189189202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43.656567567567549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2.6221739189189193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46.028341891891891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2.6221739189189193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46.028341891891891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topLeftCell="A3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4"/>
      <c r="D1" s="115"/>
      <c r="E1" s="115"/>
      <c r="F1" s="115"/>
      <c r="G1" s="115"/>
      <c r="H1" s="115"/>
      <c r="I1" s="115"/>
      <c r="J1" s="26"/>
      <c r="K1" s="8"/>
      <c r="L1" s="2"/>
      <c r="M1" s="2"/>
      <c r="N1" s="2"/>
      <c r="O1" s="2"/>
      <c r="P1" s="2"/>
    </row>
    <row r="2" spans="2:21" ht="27.75" customHeight="1" thickBot="1">
      <c r="B2" s="155" t="s">
        <v>290</v>
      </c>
      <c r="C2" s="156"/>
      <c r="D2" s="156"/>
      <c r="E2" s="156"/>
      <c r="F2" s="156"/>
      <c r="G2" s="156"/>
      <c r="H2" s="156"/>
      <c r="I2" s="156"/>
      <c r="J2" s="156"/>
      <c r="K2" s="156"/>
      <c r="L2" s="90"/>
      <c r="M2" s="90"/>
      <c r="N2" s="90"/>
      <c r="O2" s="90"/>
      <c r="P2" s="90"/>
    </row>
    <row r="3" spans="2:21" ht="13.5">
      <c r="B3" s="137" t="str">
        <f>lang!B2</f>
        <v>心理生理状态分析结果</v>
      </c>
      <c r="C3" s="138"/>
      <c r="D3" s="138"/>
      <c r="E3" s="138"/>
      <c r="F3" s="138"/>
      <c r="G3" s="138"/>
      <c r="H3" s="138"/>
      <c r="I3" s="138"/>
      <c r="J3" s="138"/>
      <c r="K3" s="139"/>
    </row>
    <row r="4" spans="2:21" ht="34.5" customHeight="1" thickBot="1">
      <c r="B4" s="140"/>
      <c r="C4" s="141"/>
      <c r="D4" s="141"/>
      <c r="E4" s="141"/>
      <c r="F4" s="141"/>
      <c r="G4" s="141"/>
      <c r="H4" s="141"/>
      <c r="I4" s="141"/>
      <c r="J4" s="141"/>
      <c r="K4" s="142"/>
    </row>
    <row r="5" spans="2:21" ht="16.5" customHeight="1">
      <c r="B5" s="45" t="str">
        <f>lang!B24</f>
        <v>姓名</v>
      </c>
      <c r="C5" s="198" t="s">
        <v>570</v>
      </c>
      <c r="D5" s="152"/>
      <c r="E5" s="152"/>
      <c r="F5" s="153"/>
      <c r="G5" s="48" t="str">
        <f>lang!B27</f>
        <v>编号</v>
      </c>
      <c r="H5" s="151">
        <v>1</v>
      </c>
      <c r="I5" s="152"/>
      <c r="J5" s="152"/>
      <c r="K5" s="154"/>
    </row>
    <row r="6" spans="2:21" ht="17.25" customHeight="1">
      <c r="B6" s="46" t="str">
        <f>lang!B25</f>
        <v>性别</v>
      </c>
      <c r="C6" s="197" t="s">
        <v>569</v>
      </c>
      <c r="D6" s="189"/>
      <c r="E6" s="189"/>
      <c r="F6" s="190"/>
      <c r="G6" s="49" t="str">
        <f>lang!B28</f>
        <v xml:space="preserve"> 日期</v>
      </c>
      <c r="H6" s="173">
        <f>FH_info!A2</f>
        <v>43612.446435185186</v>
      </c>
      <c r="I6" s="174"/>
      <c r="J6" s="174"/>
      <c r="K6" s="175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1">
        <v>32</v>
      </c>
      <c r="D7" s="192"/>
      <c r="E7" s="192"/>
      <c r="F7" s="193"/>
      <c r="G7" s="50" t="str">
        <f>lang!B29</f>
        <v>误差率（%）</v>
      </c>
      <c r="H7" s="176">
        <f>M!B17*1</f>
        <v>19.111499999999999</v>
      </c>
      <c r="I7" s="177"/>
      <c r="J7" s="177"/>
      <c r="K7" s="178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9" t="str">
        <f>lang!B30</f>
        <v>10项参数结果</v>
      </c>
      <c r="C8" s="170"/>
      <c r="D8" s="171"/>
      <c r="E8" s="171"/>
      <c r="F8" s="171"/>
      <c r="G8" s="171"/>
      <c r="H8" s="171"/>
      <c r="I8" s="171"/>
      <c r="J8" s="171"/>
      <c r="K8" s="172"/>
      <c r="M8" s="27" t="str">
        <f>lang!B14</f>
        <v>攻击性</v>
      </c>
      <c r="N8" s="59">
        <f>M!B5*1</f>
        <v>34.4542</v>
      </c>
      <c r="O8" s="59">
        <f>M!C5*1</f>
        <v>8.5060900000000004</v>
      </c>
      <c r="P8" s="59">
        <f>M!D5*1</f>
        <v>24.688099999999999</v>
      </c>
      <c r="Q8" s="59">
        <f>M!E5*1</f>
        <v>20</v>
      </c>
      <c r="R8" s="59">
        <f>M!F5*1</f>
        <v>13.4993</v>
      </c>
      <c r="S8" s="59">
        <f>M!G5*1</f>
        <v>50</v>
      </c>
      <c r="T8" s="59">
        <f>M!H5*1</f>
        <v>49.198500000000003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30.1523</v>
      </c>
      <c r="O9" s="59">
        <f>M!C6*1</f>
        <v>3.1428500000000001</v>
      </c>
      <c r="P9" s="59">
        <f>M!D6*1</f>
        <v>10.4232</v>
      </c>
      <c r="Q9" s="59">
        <f>M!E6*1</f>
        <v>20</v>
      </c>
      <c r="R9" s="59">
        <f>M!F6*1</f>
        <v>27.4085</v>
      </c>
      <c r="S9" s="59">
        <f>M!G6*1</f>
        <v>40</v>
      </c>
      <c r="T9" s="59">
        <f>M!H6*1</f>
        <v>40.147799999999997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13.4993</v>
      </c>
      <c r="D10" s="99">
        <f>N8</f>
        <v>34.4542</v>
      </c>
      <c r="E10" s="100">
        <f>T8</f>
        <v>49.198500000000003</v>
      </c>
      <c r="F10" s="91">
        <f>P8</f>
        <v>24.688099999999999</v>
      </c>
      <c r="G10" s="81" t="str">
        <f>CONCATENATE(M9,"
(20 ~ 40)")</f>
        <v>压力
(20 ~ 40)</v>
      </c>
      <c r="H10" s="98">
        <f>R9</f>
        <v>27.4085</v>
      </c>
      <c r="I10" s="108">
        <f>N9</f>
        <v>30.1523</v>
      </c>
      <c r="J10" s="98">
        <f>T9</f>
        <v>40.147799999999997</v>
      </c>
      <c r="K10" s="92">
        <f>P9</f>
        <v>10.4232</v>
      </c>
      <c r="L10" s="6"/>
      <c r="M10" s="27" t="str">
        <f>lang!B16</f>
        <v>焦虑</v>
      </c>
      <c r="N10" s="59">
        <f>M!B7*1</f>
        <v>29.710100000000001</v>
      </c>
      <c r="O10" s="59">
        <f>M!C7*1</f>
        <v>10.5289</v>
      </c>
      <c r="P10" s="59">
        <f>M!D7*1</f>
        <v>35.439</v>
      </c>
      <c r="Q10" s="59">
        <f>M!E7*1</f>
        <v>15</v>
      </c>
      <c r="R10" s="59">
        <f>M!F7*1</f>
        <v>7.4857500000000003</v>
      </c>
      <c r="S10" s="59">
        <f>M!G7*1</f>
        <v>40</v>
      </c>
      <c r="T10" s="59">
        <f>M!H7*1</f>
        <v>50.284399999999998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7.4857500000000003</v>
      </c>
      <c r="D11" s="102">
        <f>N10</f>
        <v>29.710100000000001</v>
      </c>
      <c r="E11" s="103">
        <f>T10</f>
        <v>50.284399999999998</v>
      </c>
      <c r="F11" s="94">
        <f>P10</f>
        <v>35.439</v>
      </c>
      <c r="G11" s="52" t="str">
        <f>CONCATENATE(M11,"
(20 ~ 50)")</f>
        <v>可疑
(20 ~ 50)</v>
      </c>
      <c r="H11" s="101">
        <f>R11</f>
        <v>20.825099999999999</v>
      </c>
      <c r="I11" s="104">
        <f>N11</f>
        <v>31.3811</v>
      </c>
      <c r="J11" s="101">
        <f>T11</f>
        <v>40.330500000000001</v>
      </c>
      <c r="K11" s="95">
        <f>P11</f>
        <v>15.3582</v>
      </c>
      <c r="L11" s="4"/>
      <c r="M11" s="27" t="str">
        <f>lang!B17</f>
        <v>可疑</v>
      </c>
      <c r="N11" s="59">
        <f>M!B8*1</f>
        <v>31.3811</v>
      </c>
      <c r="O11" s="59">
        <f>M!C8*1</f>
        <v>4.8195699999999997</v>
      </c>
      <c r="P11" s="59">
        <f>M!D8*1</f>
        <v>15.3582</v>
      </c>
      <c r="Q11" s="59">
        <f>M!E8*1</f>
        <v>20</v>
      </c>
      <c r="R11" s="59">
        <f>M!F8*1</f>
        <v>20.825099999999999</v>
      </c>
      <c r="S11" s="59">
        <f>M!G8*1</f>
        <v>50</v>
      </c>
      <c r="T11" s="59">
        <f>M!H8*1</f>
        <v>40.330500000000001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64.354100000000003</v>
      </c>
      <c r="D12" s="104">
        <f>N12</f>
        <v>74.629599999999996</v>
      </c>
      <c r="E12" s="101">
        <f>T12</f>
        <v>86.349800000000002</v>
      </c>
      <c r="F12" s="93">
        <f>P12</f>
        <v>6.7469900000000003</v>
      </c>
      <c r="G12" s="52" t="str">
        <f>CONCATENATE(M13,"
(40 ~ 100)")</f>
        <v>自信
(40 ~ 100)</v>
      </c>
      <c r="H12" s="101">
        <f>R13</f>
        <v>62.694699999999997</v>
      </c>
      <c r="I12" s="104">
        <f>N13</f>
        <v>76.024299999999997</v>
      </c>
      <c r="J12" s="101">
        <f>T13</f>
        <v>81.756200000000007</v>
      </c>
      <c r="K12" s="95">
        <f>P13</f>
        <v>7.6975499999999997</v>
      </c>
      <c r="L12" s="4"/>
      <c r="M12" s="27" t="str">
        <f>lang!B18</f>
        <v>平衡</v>
      </c>
      <c r="N12" s="59">
        <f>M!B9*1</f>
        <v>74.629599999999996</v>
      </c>
      <c r="O12" s="59">
        <f>M!C9*1</f>
        <v>5.0352499999999996</v>
      </c>
      <c r="P12" s="59">
        <f>M!D9*1</f>
        <v>6.7469900000000003</v>
      </c>
      <c r="Q12" s="59">
        <f>M!E9*1</f>
        <v>50</v>
      </c>
      <c r="R12" s="59">
        <f>M!F9*1</f>
        <v>64.354100000000003</v>
      </c>
      <c r="S12" s="59">
        <f>M!G9*1</f>
        <v>100</v>
      </c>
      <c r="T12" s="59">
        <f>M!H9*1</f>
        <v>86.349800000000002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6.0453799999999998</v>
      </c>
      <c r="D13" s="102">
        <f>N14</f>
        <v>15.3834</v>
      </c>
      <c r="E13" s="103">
        <f>T14</f>
        <v>23.275099999999998</v>
      </c>
      <c r="F13" s="94">
        <f>P14</f>
        <v>27.4815</v>
      </c>
      <c r="G13" s="52" t="str">
        <f>CONCATENATE(M15,"
(50 ~ 100)")</f>
        <v>自我调节
(50 ~ 100)</v>
      </c>
      <c r="H13" s="101">
        <f>R15</f>
        <v>63.625</v>
      </c>
      <c r="I13" s="104">
        <f>N15</f>
        <v>75.908600000000007</v>
      </c>
      <c r="J13" s="101">
        <f>T15</f>
        <v>81.612499999999997</v>
      </c>
      <c r="K13" s="95">
        <f>P15</f>
        <v>5.2778999999999998</v>
      </c>
      <c r="L13" s="4"/>
      <c r="M13" s="27" t="str">
        <f>lang!B19</f>
        <v>自信</v>
      </c>
      <c r="N13" s="59">
        <f>M!B10*1</f>
        <v>76.024299999999997</v>
      </c>
      <c r="O13" s="59">
        <f>M!C10*1</f>
        <v>5.8520099999999999</v>
      </c>
      <c r="P13" s="59">
        <f>M!D10*1</f>
        <v>7.6975499999999997</v>
      </c>
      <c r="Q13" s="59">
        <f>M!E10*1</f>
        <v>40</v>
      </c>
      <c r="R13" s="59">
        <f>M!F10*1</f>
        <v>62.694699999999997</v>
      </c>
      <c r="S13" s="59">
        <f>M!G10*1</f>
        <v>100</v>
      </c>
      <c r="T13" s="59">
        <f>M!H10*1</f>
        <v>81.756200000000007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11.0731</v>
      </c>
      <c r="D14" s="106">
        <f>N16</f>
        <v>14.4978</v>
      </c>
      <c r="E14" s="107">
        <f>T16</f>
        <v>31.494900000000001</v>
      </c>
      <c r="F14" s="96">
        <f>P16</f>
        <v>21.775700000000001</v>
      </c>
      <c r="G14" s="112" t="str">
        <f>CONCATENATE(M17,"
(10 ~ 50)")</f>
        <v>神经质
(10 ~ 50)</v>
      </c>
      <c r="H14" s="105">
        <f>R17</f>
        <v>0.415877</v>
      </c>
      <c r="I14" s="106">
        <f>N17</f>
        <v>31.57</v>
      </c>
      <c r="J14" s="107">
        <f>T17</f>
        <v>52.861699999999999</v>
      </c>
      <c r="K14" s="97">
        <f>P17</f>
        <v>36.226300000000002</v>
      </c>
      <c r="M14" s="27" t="str">
        <f>lang!B20</f>
        <v>活力</v>
      </c>
      <c r="N14" s="59">
        <f>M!B11*1</f>
        <v>15.3834</v>
      </c>
      <c r="O14" s="59">
        <f>M!C11*1</f>
        <v>4.2276100000000003</v>
      </c>
      <c r="P14" s="59">
        <f>M!D11*1</f>
        <v>27.4815</v>
      </c>
      <c r="Q14" s="59">
        <f>M!E11*1</f>
        <v>10</v>
      </c>
      <c r="R14" s="59">
        <f>M!F11*1</f>
        <v>6.0453799999999998</v>
      </c>
      <c r="S14" s="59">
        <f>M!G11*1</f>
        <v>50</v>
      </c>
      <c r="T14" s="59">
        <f>M!H11*1</f>
        <v>23.275099999999998</v>
      </c>
      <c r="U14" s="14"/>
    </row>
    <row r="15" spans="2:21" ht="19.5" customHeight="1" thickBot="1">
      <c r="B15" s="148" t="str">
        <f>lang!B3</f>
        <v>参数表</v>
      </c>
      <c r="C15" s="149"/>
      <c r="D15" s="149"/>
      <c r="E15" s="149"/>
      <c r="F15" s="150"/>
      <c r="G15" s="145" t="str">
        <f>lang!B4</f>
        <v>情感状态分布图</v>
      </c>
      <c r="H15" s="146"/>
      <c r="I15" s="146"/>
      <c r="J15" s="146"/>
      <c r="K15" s="147"/>
      <c r="M15" s="27" t="str">
        <f>lang!B21</f>
        <v>自我调节</v>
      </c>
      <c r="N15" s="59">
        <f>M!B12*1</f>
        <v>75.908600000000007</v>
      </c>
      <c r="O15" s="59">
        <f>M!C12*1</f>
        <v>4.0063800000000001</v>
      </c>
      <c r="P15" s="59">
        <f>M!D12*1</f>
        <v>5.2778999999999998</v>
      </c>
      <c r="Q15" s="59">
        <f>M!E12*1</f>
        <v>50</v>
      </c>
      <c r="R15" s="59">
        <f>M!F12*1</f>
        <v>63.625</v>
      </c>
      <c r="S15" s="59">
        <f>M!G12*1</f>
        <v>100</v>
      </c>
      <c r="T15" s="59">
        <f>M!H12*1</f>
        <v>81.612499999999997</v>
      </c>
      <c r="U15" s="14"/>
    </row>
    <row r="16" spans="2:21" ht="21" customHeight="1">
      <c r="B16" s="38"/>
      <c r="C16" s="28"/>
      <c r="D16" s="28"/>
      <c r="E16" s="28"/>
      <c r="F16" s="28"/>
      <c r="G16" s="126"/>
      <c r="H16" s="127"/>
      <c r="I16" s="127"/>
      <c r="J16" s="127"/>
      <c r="K16" s="128"/>
      <c r="M16" s="27" t="str">
        <f>lang!B22</f>
        <v>抑郁</v>
      </c>
      <c r="N16" s="59">
        <f>M!B13*1</f>
        <v>14.4978</v>
      </c>
      <c r="O16" s="59">
        <f>M!C13*1</f>
        <v>3.157</v>
      </c>
      <c r="P16" s="59">
        <f>M!D13*1</f>
        <v>21.775700000000001</v>
      </c>
      <c r="Q16" s="59">
        <f>M!E13*1</f>
        <v>10</v>
      </c>
      <c r="R16" s="59">
        <f>M!F13*1</f>
        <v>11.0731</v>
      </c>
      <c r="S16" s="59">
        <f>M!G13*1</f>
        <v>25</v>
      </c>
      <c r="T16" s="59">
        <f>M!H13*1</f>
        <v>31.494900000000001</v>
      </c>
      <c r="U16" s="14"/>
    </row>
    <row r="17" spans="2:24" ht="21" customHeight="1">
      <c r="B17" s="29"/>
      <c r="C17" s="32"/>
      <c r="D17" s="32"/>
      <c r="E17" s="32"/>
      <c r="F17" s="32"/>
      <c r="G17" s="129"/>
      <c r="H17" s="130"/>
      <c r="I17" s="130"/>
      <c r="J17" s="130"/>
      <c r="K17" s="131"/>
      <c r="M17" s="27" t="str">
        <f>lang!B23</f>
        <v>神经质</v>
      </c>
      <c r="N17" s="59">
        <f>M!B14*1</f>
        <v>31.57</v>
      </c>
      <c r="O17" s="59">
        <f>M!C14*1</f>
        <v>11.4366</v>
      </c>
      <c r="P17" s="59">
        <f>M!D14*1</f>
        <v>36.226300000000002</v>
      </c>
      <c r="Q17" s="59">
        <f>M!E14*1</f>
        <v>10</v>
      </c>
      <c r="R17" s="59">
        <f>M!F14*1</f>
        <v>0.415877</v>
      </c>
      <c r="S17" s="59">
        <f>M!G14*1</f>
        <v>50</v>
      </c>
      <c r="T17" s="59">
        <f>M!H14*1</f>
        <v>52.861699999999999</v>
      </c>
      <c r="U17" s="15"/>
    </row>
    <row r="18" spans="2:24" ht="21" customHeight="1">
      <c r="B18" s="29"/>
      <c r="C18" s="32"/>
      <c r="D18" s="32"/>
      <c r="E18" s="32"/>
      <c r="F18" s="32"/>
      <c r="G18" s="129"/>
      <c r="H18" s="130"/>
      <c r="I18" s="130"/>
      <c r="J18" s="130"/>
      <c r="K18" s="131"/>
      <c r="M18" s="21" t="str">
        <f>lang!B7</f>
        <v>Positive</v>
      </c>
      <c r="N18" s="65">
        <f>SUM(N12:N15)/4</f>
        <v>60.486474999999999</v>
      </c>
      <c r="O18" s="22">
        <f>N18/(N18+N19+N20)</f>
        <v>0.52622193435457709</v>
      </c>
      <c r="P18" s="65">
        <f>SUM(P12:P15)/4</f>
        <v>11.800985000000001</v>
      </c>
      <c r="Q18" s="22">
        <f>P18/(P18+P19+P20)</f>
        <v>0.18948544704636916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9"/>
      <c r="H19" s="130"/>
      <c r="I19" s="130"/>
      <c r="J19" s="130"/>
      <c r="K19" s="131"/>
      <c r="M19" s="21" t="str">
        <f>lang!B8</f>
        <v>Negative</v>
      </c>
      <c r="N19" s="18">
        <f>SUM(N8:N11)/4</f>
        <v>31.424424999999999</v>
      </c>
      <c r="O19" s="22">
        <f>N19/(N18+N19+N20)</f>
        <v>0.27338709537099548</v>
      </c>
      <c r="P19" s="18">
        <f>SUM(P8:P11)/4</f>
        <v>21.477124999999997</v>
      </c>
      <c r="Q19" s="22">
        <f>P19/(P18+P19+P20)</f>
        <v>0.3448527925334835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9"/>
      <c r="H20" s="130"/>
      <c r="I20" s="130"/>
      <c r="J20" s="130"/>
      <c r="K20" s="131"/>
      <c r="M20" s="21" t="str">
        <f>lang!B9</f>
        <v>Physiological</v>
      </c>
      <c r="N20" s="18">
        <f>(N16+N17)/2</f>
        <v>23.033899999999999</v>
      </c>
      <c r="O20" s="22">
        <f>N20/(N18+N19+N20)</f>
        <v>0.20039097027442737</v>
      </c>
      <c r="P20" s="18">
        <f>(P16+P17)/2</f>
        <v>29.001000000000001</v>
      </c>
      <c r="Q20" s="22">
        <f>P20/(P18+P19+P20)</f>
        <v>0.46566176042014729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9"/>
      <c r="H21" s="130"/>
      <c r="I21" s="130"/>
      <c r="J21" s="130"/>
      <c r="K21" s="131"/>
      <c r="M21" s="21" t="str">
        <f>lang!B50</f>
        <v>Sat</v>
      </c>
      <c r="N21" s="88">
        <f ca="1">(info!V3-info!U3)-(info!X3-info!W3)</f>
        <v>4.0112243243243473E-2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9"/>
      <c r="H22" s="130"/>
      <c r="I22" s="130"/>
      <c r="J22" s="130"/>
      <c r="K22" s="131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2"/>
      <c r="H23" s="133"/>
      <c r="I23" s="133"/>
      <c r="J23" s="133"/>
      <c r="K23" s="134"/>
      <c r="M23" s="16"/>
      <c r="O23" s="17"/>
      <c r="Q23"/>
      <c r="T23"/>
      <c r="U23" s="19"/>
    </row>
    <row r="24" spans="2:24" ht="17.25" customHeight="1" thickBot="1">
      <c r="B24" s="194" t="str">
        <f>lang!B5</f>
        <v>频率分布直方图</v>
      </c>
      <c r="C24" s="195"/>
      <c r="D24" s="195"/>
      <c r="E24" s="195"/>
      <c r="F24" s="196"/>
      <c r="G24" s="123" t="str">
        <f>lang!B6</f>
        <v xml:space="preserve">心理变化 - 心理基础代谢 </v>
      </c>
      <c r="H24" s="124"/>
      <c r="I24" s="124"/>
      <c r="J24" s="124"/>
      <c r="K24" s="125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1.3217384420495593</v>
      </c>
      <c r="D25" s="44" t="str">
        <f>lang!B11</f>
        <v>频率方差</v>
      </c>
      <c r="E25" s="143">
        <f ca="1">FH!L3</f>
        <v>0.6122567706949128</v>
      </c>
      <c r="F25" s="144"/>
      <c r="G25" s="135" t="str">
        <f>lang!B12</f>
        <v>生理变化率</v>
      </c>
      <c r="H25" s="136"/>
      <c r="I25" s="62" t="str">
        <f ca="1">CONCATENATE(info!M7,"-",info!M8)</f>
        <v>34.3-68.8</v>
      </c>
      <c r="J25" s="42" t="str">
        <f>lang!B13</f>
        <v>千卡l/分钟</v>
      </c>
      <c r="K25" s="41" t="str">
        <f ca="1">CONCATENATE(info!M5,"-",info!M6)</f>
        <v>1.4-3.5</v>
      </c>
      <c r="M25" s="16"/>
      <c r="O25" s="17"/>
      <c r="P25" s="17"/>
      <c r="Q25"/>
      <c r="T25"/>
      <c r="U25" s="19"/>
    </row>
    <row r="26" spans="2:24" ht="156.75" customHeight="1" thickBot="1">
      <c r="B26" s="116" ph="1"/>
      <c r="C26" s="117" ph="1"/>
      <c r="D26" s="117" ph="1"/>
      <c r="E26" s="118" ph="1"/>
      <c r="F26" s="39" ph="1"/>
      <c r="G26" s="119"/>
      <c r="H26" s="120"/>
      <c r="I26" s="120"/>
      <c r="J26" s="121"/>
      <c r="K26" s="122"/>
      <c r="M26"/>
      <c r="O26" s="17"/>
      <c r="Q26"/>
      <c r="T26"/>
      <c r="U26" s="19"/>
    </row>
    <row r="27" spans="2:24" ht="15" customHeight="1" thickBot="1">
      <c r="B27" s="163" t="str">
        <f>CONCATENATE( lang!B31," ",ROUND(100-FH_info!L2,0),"%]")</f>
        <v>Result [Quality 100%]</v>
      </c>
      <c r="C27" s="164"/>
      <c r="D27" s="164"/>
      <c r="E27" s="164"/>
      <c r="F27" s="164"/>
      <c r="G27" s="164"/>
      <c r="H27" s="164"/>
      <c r="I27" s="164"/>
      <c r="J27" s="164"/>
      <c r="K27" s="165"/>
      <c r="M27"/>
      <c r="Q27"/>
      <c r="T27"/>
    </row>
    <row r="28" spans="2:24" ht="15.75" thickBot="1">
      <c r="B28" s="179" t="str">
        <f>lang!B32</f>
        <v>外向性</v>
      </c>
      <c r="C28" s="180"/>
      <c r="D28" s="181"/>
      <c r="E28" s="163">
        <f>M!B18*100</f>
        <v>46.400400000000005</v>
      </c>
      <c r="F28" s="165"/>
      <c r="G28" s="179" t="str">
        <f>lang!B33</f>
        <v>稳定性</v>
      </c>
      <c r="H28" s="180"/>
      <c r="I28" s="181"/>
      <c r="J28" s="182">
        <f>M!B19*100</f>
        <v>73.708600000000004</v>
      </c>
      <c r="K28" s="183"/>
    </row>
    <row r="29" spans="2:24" ht="24.75" customHeight="1">
      <c r="B29" s="166" t="str">
        <f>lang!B34</f>
        <v xml:space="preserve">心理生理状态分析结果： </v>
      </c>
      <c r="C29" s="167"/>
      <c r="D29" s="167"/>
      <c r="E29" s="167"/>
      <c r="F29" s="167"/>
      <c r="G29" s="167"/>
      <c r="H29" s="167"/>
      <c r="I29" s="167"/>
      <c r="J29" s="167"/>
      <c r="K29" s="168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4" t="str">
        <f>lang!B37</f>
        <v>意见</v>
      </c>
      <c r="C32" s="185"/>
      <c r="D32" s="186"/>
      <c r="E32" s="186"/>
      <c r="F32" s="186"/>
      <c r="G32" s="186"/>
      <c r="H32" s="186"/>
      <c r="I32" s="186"/>
      <c r="J32" s="186"/>
      <c r="K32" s="187"/>
      <c r="M32"/>
      <c r="Q32"/>
      <c r="T32"/>
      <c r="W32" s="33"/>
      <c r="X32" s="33"/>
    </row>
    <row r="33" spans="2:24" ht="18" customHeight="1">
      <c r="B33" s="157"/>
      <c r="C33" s="158"/>
      <c r="D33" s="158"/>
      <c r="E33" s="158"/>
      <c r="F33" s="158"/>
      <c r="G33" s="158"/>
      <c r="H33" s="158"/>
      <c r="I33" s="158"/>
      <c r="J33" s="158"/>
      <c r="K33" s="159"/>
      <c r="M33"/>
      <c r="Q33"/>
      <c r="T33"/>
      <c r="W33" s="33"/>
      <c r="X33" s="33"/>
    </row>
    <row r="34" spans="2:24" ht="20.25" customHeight="1">
      <c r="B34" s="157"/>
      <c r="C34" s="158"/>
      <c r="D34" s="158"/>
      <c r="E34" s="158"/>
      <c r="F34" s="158"/>
      <c r="G34" s="158"/>
      <c r="H34" s="158"/>
      <c r="I34" s="158"/>
      <c r="J34" s="158"/>
      <c r="K34" s="159"/>
      <c r="M34"/>
      <c r="Q34"/>
      <c r="T34"/>
      <c r="W34" s="33"/>
      <c r="X34" s="33"/>
    </row>
    <row r="35" spans="2:24" ht="35.25" customHeight="1" thickBot="1">
      <c r="B35" s="160"/>
      <c r="C35" s="161"/>
      <c r="D35" s="161"/>
      <c r="E35" s="161"/>
      <c r="F35" s="161"/>
      <c r="G35" s="161"/>
      <c r="H35" s="161"/>
      <c r="I35" s="161"/>
      <c r="J35" s="161"/>
      <c r="K35" s="162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4"/>
      <c r="D1" s="115"/>
      <c r="E1" s="115"/>
      <c r="F1" s="115"/>
      <c r="G1" s="115"/>
      <c r="H1" s="115"/>
      <c r="I1" s="115"/>
      <c r="J1" s="87"/>
      <c r="K1" s="87"/>
      <c r="L1" s="86"/>
      <c r="M1" s="86"/>
      <c r="N1" s="86"/>
      <c r="O1" s="86"/>
      <c r="P1" s="86"/>
    </row>
    <row r="2" spans="2:38" ht="13.5">
      <c r="B2" s="137" t="str">
        <f>lang!B2</f>
        <v>心理生理状态分析结果</v>
      </c>
      <c r="C2" s="138"/>
      <c r="D2" s="138"/>
      <c r="E2" s="138"/>
      <c r="F2" s="138"/>
      <c r="G2" s="138"/>
      <c r="H2" s="138"/>
      <c r="I2" s="138"/>
      <c r="J2" s="138"/>
      <c r="K2" s="139"/>
    </row>
    <row r="3" spans="2:38" ht="31.5" customHeight="1" thickBot="1">
      <c r="B3" s="140"/>
      <c r="C3" s="141"/>
      <c r="D3" s="141"/>
      <c r="E3" s="141"/>
      <c r="F3" s="141"/>
      <c r="G3" s="141"/>
      <c r="H3" s="141"/>
      <c r="I3" s="141"/>
      <c r="J3" s="141"/>
      <c r="K3" s="142"/>
    </row>
    <row r="4" spans="2:38" ht="16.5" customHeight="1">
      <c r="B4" s="45" t="str">
        <f>lang!B24</f>
        <v>姓名</v>
      </c>
      <c r="C4" s="151" t="str">
        <f>FH_info!B2</f>
        <v>.</v>
      </c>
      <c r="D4" s="152"/>
      <c r="E4" s="152"/>
      <c r="F4" s="153"/>
      <c r="G4" s="48" t="str">
        <f>lang!B27</f>
        <v>编号</v>
      </c>
      <c r="H4" s="151"/>
      <c r="I4" s="152"/>
      <c r="J4" s="152"/>
      <c r="K4" s="154"/>
    </row>
    <row r="5" spans="2:38" ht="17.25" customHeight="1">
      <c r="B5" s="46" t="str">
        <f>lang!B25</f>
        <v>性别</v>
      </c>
      <c r="C5" s="188"/>
      <c r="D5" s="189"/>
      <c r="E5" s="189"/>
      <c r="F5" s="190"/>
      <c r="G5" s="49" t="str">
        <f>lang!B28</f>
        <v xml:space="preserve"> 日期</v>
      </c>
      <c r="H5" s="173">
        <f>FH_info!A2</f>
        <v>43612.446435185186</v>
      </c>
      <c r="I5" s="174"/>
      <c r="J5" s="174"/>
      <c r="K5" s="175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1"/>
      <c r="D6" s="192"/>
      <c r="E6" s="192"/>
      <c r="F6" s="193"/>
      <c r="G6" s="50" t="str">
        <f>lang!B29</f>
        <v>误差率（%）</v>
      </c>
      <c r="H6" s="176">
        <f>dM!B17*1</f>
        <v>0</v>
      </c>
      <c r="I6" s="177"/>
      <c r="J6" s="177"/>
      <c r="K6" s="178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9" t="str">
        <f>lang!B30</f>
        <v>10项参数结果</v>
      </c>
      <c r="C7" s="170"/>
      <c r="D7" s="171"/>
      <c r="E7" s="171"/>
      <c r="F7" s="171"/>
      <c r="G7" s="171"/>
      <c r="H7" s="171"/>
      <c r="I7" s="171"/>
      <c r="J7" s="171"/>
      <c r="K7" s="172"/>
      <c r="M7" s="27" t="str">
        <f>lang!B14</f>
        <v>攻击性</v>
      </c>
      <c r="N7" s="59">
        <f>AF7-W7</f>
        <v>-1.5275999999999996</v>
      </c>
      <c r="O7" s="59">
        <f t="shared" ref="O7:T7" si="2">AG7-X7</f>
        <v>-8.4936099999999985</v>
      </c>
      <c r="P7" s="59">
        <f t="shared" si="2"/>
        <v>-23.37575</v>
      </c>
      <c r="Q7" s="59">
        <f t="shared" si="2"/>
        <v>0</v>
      </c>
      <c r="R7" s="59">
        <f t="shared" si="2"/>
        <v>15.011899999999999</v>
      </c>
      <c r="S7" s="59">
        <f t="shared" si="2"/>
        <v>0</v>
      </c>
      <c r="T7" s="59">
        <f t="shared" si="2"/>
        <v>-6.4931000000000054</v>
      </c>
      <c r="U7" s="14"/>
      <c r="V7" s="27" t="str">
        <f>M7</f>
        <v>攻击性</v>
      </c>
      <c r="W7" s="59">
        <f>'M1'!B5*1</f>
        <v>35.7637</v>
      </c>
      <c r="X7" s="59">
        <f>'M1'!C5*1</f>
        <v>11.487399999999999</v>
      </c>
      <c r="Y7" s="59">
        <f>'M1'!D5*1</f>
        <v>32.1203</v>
      </c>
      <c r="Z7" s="59">
        <f>'M1'!E5*1</f>
        <v>20</v>
      </c>
      <c r="AA7" s="59">
        <f>'M1'!F5*1</f>
        <v>13.4993</v>
      </c>
      <c r="AB7" s="59">
        <f>'M1'!G5*1</f>
        <v>50</v>
      </c>
      <c r="AC7" s="59">
        <f>'M1'!H5*1</f>
        <v>49.198500000000003</v>
      </c>
      <c r="AE7" s="27" t="str">
        <f>V7</f>
        <v>攻击性</v>
      </c>
      <c r="AF7" s="59">
        <f>'M2'!B5*1</f>
        <v>34.2361</v>
      </c>
      <c r="AG7" s="59">
        <f>'M2'!C5*1</f>
        <v>2.9937900000000002</v>
      </c>
      <c r="AH7" s="59">
        <f>'M2'!D5*1</f>
        <v>8.7445500000000003</v>
      </c>
      <c r="AI7" s="59">
        <f>'M2'!E5*1</f>
        <v>20</v>
      </c>
      <c r="AJ7" s="59">
        <f>'M2'!F5*1</f>
        <v>28.511199999999999</v>
      </c>
      <c r="AK7" s="59">
        <f>'M2'!G5*1</f>
        <v>50</v>
      </c>
      <c r="AL7" s="59">
        <f>'M2'!H5*1</f>
        <v>42.705399999999997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-0.19450000000000145</v>
      </c>
      <c r="O8" s="59">
        <f t="shared" ref="O8:O16" si="5">AG8-X8</f>
        <v>2.1956700000000002</v>
      </c>
      <c r="P8" s="59">
        <f t="shared" ref="P8:P16" si="6">AH8-Y8</f>
        <v>7.3358499999999998</v>
      </c>
      <c r="Q8" s="59">
        <f t="shared" ref="Q8:Q16" si="7">AI8-Z8</f>
        <v>0</v>
      </c>
      <c r="R8" s="59">
        <f t="shared" ref="R8:R16" si="8">AJ8-AA8</f>
        <v>0.29609999999999914</v>
      </c>
      <c r="S8" s="59">
        <f t="shared" ref="S8:S16" si="9">AK8-AB8</f>
        <v>0</v>
      </c>
      <c r="T8" s="59">
        <f t="shared" ref="T8:T16" si="10">AL8-AC8</f>
        <v>4.6441999999999979</v>
      </c>
      <c r="U8" s="15"/>
      <c r="V8" s="27" t="str">
        <f t="shared" ref="V8:V16" si="11">M8</f>
        <v>压力</v>
      </c>
      <c r="W8" s="59">
        <f>'M1'!B6*1</f>
        <v>30.2774</v>
      </c>
      <c r="X8" s="59">
        <f>'M1'!C6*1</f>
        <v>1.7380599999999999</v>
      </c>
      <c r="Y8" s="59">
        <f>'M1'!D6*1</f>
        <v>5.7404500000000001</v>
      </c>
      <c r="Z8" s="59">
        <f>'M1'!E6*1</f>
        <v>20</v>
      </c>
      <c r="AA8" s="59">
        <f>'M1'!F6*1</f>
        <v>27.4085</v>
      </c>
      <c r="AB8" s="59">
        <f>'M1'!G6*1</f>
        <v>40</v>
      </c>
      <c r="AC8" s="59">
        <f>'M1'!H6*1</f>
        <v>35.503599999999999</v>
      </c>
      <c r="AE8" s="27" t="str">
        <f t="shared" ref="AE8:AE16" si="12">V8</f>
        <v>压力</v>
      </c>
      <c r="AF8" s="59">
        <f>'M2'!B6*1</f>
        <v>30.082899999999999</v>
      </c>
      <c r="AG8" s="59">
        <f>'M2'!C6*1</f>
        <v>3.9337300000000002</v>
      </c>
      <c r="AH8" s="59">
        <f>'M2'!D6*1</f>
        <v>13.0763</v>
      </c>
      <c r="AI8" s="59">
        <f>'M2'!E6*1</f>
        <v>20</v>
      </c>
      <c r="AJ8" s="59">
        <f>'M2'!F6*1</f>
        <v>27.704599999999999</v>
      </c>
      <c r="AK8" s="59">
        <f>'M2'!G6*1</f>
        <v>40</v>
      </c>
      <c r="AL8" s="59">
        <f>'M2'!H6*1</f>
        <v>40.147799999999997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15.011899999999999</v>
      </c>
      <c r="D9" s="78">
        <f>N7</f>
        <v>-1.5275999999999996</v>
      </c>
      <c r="E9" s="79">
        <f>T7</f>
        <v>-6.4931000000000054</v>
      </c>
      <c r="F9" s="79">
        <f>P7</f>
        <v>-23.37575</v>
      </c>
      <c r="G9" s="80" t="str">
        <f>CONCATENATE(M8,"
(20 ~ 40)")</f>
        <v>压力
(20 ~ 40)</v>
      </c>
      <c r="H9" s="77">
        <f>R8</f>
        <v>0.29609999999999914</v>
      </c>
      <c r="I9" s="81">
        <f>N8</f>
        <v>-0.19450000000000145</v>
      </c>
      <c r="J9" s="77">
        <f>T8</f>
        <v>4.6441999999999979</v>
      </c>
      <c r="K9" s="82">
        <f>P8</f>
        <v>7.3358499999999998</v>
      </c>
      <c r="L9" s="6"/>
      <c r="M9" s="27" t="str">
        <f>lang!B16</f>
        <v>焦虑</v>
      </c>
      <c r="N9" s="59">
        <f t="shared" si="4"/>
        <v>4.7720999999999982</v>
      </c>
      <c r="O9" s="59">
        <f t="shared" si="5"/>
        <v>0.57160000000000011</v>
      </c>
      <c r="P9" s="59">
        <f t="shared" si="6"/>
        <v>-4.0437999999999974</v>
      </c>
      <c r="Q9" s="59">
        <f t="shared" si="7"/>
        <v>0</v>
      </c>
      <c r="R9" s="59">
        <f t="shared" si="8"/>
        <v>0.22244999999999937</v>
      </c>
      <c r="S9" s="59">
        <f t="shared" si="9"/>
        <v>0</v>
      </c>
      <c r="T9" s="59">
        <f t="shared" si="10"/>
        <v>0.33599999999999852</v>
      </c>
      <c r="U9" s="14"/>
      <c r="V9" s="27" t="str">
        <f t="shared" si="11"/>
        <v>焦虑</v>
      </c>
      <c r="W9" s="59">
        <f>'M1'!B7*1</f>
        <v>26.3565</v>
      </c>
      <c r="X9" s="59">
        <f>'M1'!C7*1</f>
        <v>10.1088</v>
      </c>
      <c r="Y9" s="59">
        <f>'M1'!D7*1</f>
        <v>38.354199999999999</v>
      </c>
      <c r="Z9" s="59">
        <f>'M1'!E7*1</f>
        <v>15</v>
      </c>
      <c r="AA9" s="59">
        <f>'M1'!F7*1</f>
        <v>7.4857500000000003</v>
      </c>
      <c r="AB9" s="59">
        <f>'M1'!G7*1</f>
        <v>40</v>
      </c>
      <c r="AC9" s="59">
        <f>'M1'!H7*1</f>
        <v>49.948399999999999</v>
      </c>
      <c r="AE9" s="27" t="str">
        <f t="shared" si="12"/>
        <v>焦虑</v>
      </c>
      <c r="AF9" s="59">
        <f>'M2'!B7*1</f>
        <v>31.128599999999999</v>
      </c>
      <c r="AG9" s="59">
        <f>'M2'!C7*1</f>
        <v>10.680400000000001</v>
      </c>
      <c r="AH9" s="59">
        <f>'M2'!D7*1</f>
        <v>34.310400000000001</v>
      </c>
      <c r="AI9" s="59">
        <f>'M2'!E7*1</f>
        <v>15</v>
      </c>
      <c r="AJ9" s="59">
        <f>'M2'!F7*1</f>
        <v>7.7081999999999997</v>
      </c>
      <c r="AK9" s="59">
        <f>'M2'!G7*1</f>
        <v>40</v>
      </c>
      <c r="AL9" s="59">
        <f>'M2'!H7*1</f>
        <v>50.284399999999998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0.22244999999999937</v>
      </c>
      <c r="D10" s="51">
        <f>N9</f>
        <v>4.7720999999999982</v>
      </c>
      <c r="E10" s="53">
        <f>T9</f>
        <v>0.33599999999999852</v>
      </c>
      <c r="F10" s="53">
        <f>P9</f>
        <v>-4.0437999999999974</v>
      </c>
      <c r="G10" s="73" t="str">
        <f>CONCATENATE(M10,"
(20 ~ 50)")</f>
        <v>可疑
(20 ~ 50)</v>
      </c>
      <c r="H10" s="24">
        <f>R10</f>
        <v>3.2711000000000006</v>
      </c>
      <c r="I10" s="52">
        <f>N10</f>
        <v>4.2130999999999972</v>
      </c>
      <c r="J10" s="24">
        <f>T10</f>
        <v>-0.50030000000000285</v>
      </c>
      <c r="K10" s="25">
        <f>P10</f>
        <v>-5.1119999999999983</v>
      </c>
      <c r="L10" s="4"/>
      <c r="M10" s="27" t="str">
        <f>lang!B17</f>
        <v>可疑</v>
      </c>
      <c r="N10" s="59">
        <f t="shared" si="4"/>
        <v>4.2130999999999972</v>
      </c>
      <c r="O10" s="59">
        <f t="shared" si="5"/>
        <v>-0.94056999999999924</v>
      </c>
      <c r="P10" s="59">
        <f t="shared" si="6"/>
        <v>-5.1119999999999983</v>
      </c>
      <c r="Q10" s="59">
        <f t="shared" si="7"/>
        <v>0</v>
      </c>
      <c r="R10" s="59">
        <f t="shared" si="8"/>
        <v>3.2711000000000006</v>
      </c>
      <c r="S10" s="59">
        <f t="shared" si="9"/>
        <v>0</v>
      </c>
      <c r="T10" s="59">
        <f t="shared" si="10"/>
        <v>-0.50030000000000285</v>
      </c>
      <c r="U10" s="14"/>
      <c r="V10" s="27" t="str">
        <f t="shared" si="11"/>
        <v>可疑</v>
      </c>
      <c r="W10" s="59">
        <f>'M1'!B8*1</f>
        <v>28.735900000000001</v>
      </c>
      <c r="X10" s="59">
        <f>'M1'!C8*1</f>
        <v>5.0731599999999997</v>
      </c>
      <c r="Y10" s="59">
        <f>'M1'!D8*1</f>
        <v>17.654399999999999</v>
      </c>
      <c r="Z10" s="59">
        <f>'M1'!E8*1</f>
        <v>20</v>
      </c>
      <c r="AA10" s="59">
        <f>'M1'!F8*1</f>
        <v>20.825099999999999</v>
      </c>
      <c r="AB10" s="59">
        <f>'M1'!G8*1</f>
        <v>50</v>
      </c>
      <c r="AC10" s="59">
        <f>'M1'!H8*1</f>
        <v>40.330500000000001</v>
      </c>
      <c r="AE10" s="27" t="str">
        <f t="shared" si="12"/>
        <v>可疑</v>
      </c>
      <c r="AF10" s="59">
        <f>'M2'!B8*1</f>
        <v>32.948999999999998</v>
      </c>
      <c r="AG10" s="59">
        <f>'M2'!C8*1</f>
        <v>4.1325900000000004</v>
      </c>
      <c r="AH10" s="59">
        <f>'M2'!D8*1</f>
        <v>12.542400000000001</v>
      </c>
      <c r="AI10" s="59">
        <f>'M2'!E8*1</f>
        <v>20</v>
      </c>
      <c r="AJ10" s="59">
        <f>'M2'!F8*1</f>
        <v>24.0962</v>
      </c>
      <c r="AK10" s="59">
        <f>'M2'!G8*1</f>
        <v>50</v>
      </c>
      <c r="AL10" s="59">
        <f>'M2'!H8*1</f>
        <v>39.830199999999998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-6.2223000000000042</v>
      </c>
      <c r="D11" s="52">
        <f>N11</f>
        <v>-6.2355000000000018</v>
      </c>
      <c r="E11" s="24">
        <f>T11</f>
        <v>-8.520300000000006</v>
      </c>
      <c r="F11" s="24">
        <f>P11</f>
        <v>-0.78482999999999947</v>
      </c>
      <c r="G11" s="73" t="str">
        <f>CONCATENATE(M12,"
(40 ~ 100)")</f>
        <v>自信
(40 ~ 100)</v>
      </c>
      <c r="H11" s="24">
        <f>R12</f>
        <v>-0.13650000000000517</v>
      </c>
      <c r="I11" s="52">
        <f>N12</f>
        <v>4.0923000000000087</v>
      </c>
      <c r="J11" s="24">
        <f>T12</f>
        <v>1.5958000000000112</v>
      </c>
      <c r="K11" s="25">
        <f>P12</f>
        <v>4.7768600000000001</v>
      </c>
      <c r="L11" s="4"/>
      <c r="M11" s="27" t="str">
        <f>lang!B18</f>
        <v>平衡</v>
      </c>
      <c r="N11" s="59">
        <f t="shared" si="4"/>
        <v>-6.2355000000000018</v>
      </c>
      <c r="O11" s="59">
        <f t="shared" si="5"/>
        <v>-0.89269000000000043</v>
      </c>
      <c r="P11" s="59">
        <f t="shared" si="6"/>
        <v>-0.78482999999999947</v>
      </c>
      <c r="Q11" s="59">
        <f t="shared" si="7"/>
        <v>0</v>
      </c>
      <c r="R11" s="59">
        <f t="shared" si="8"/>
        <v>-6.2223000000000042</v>
      </c>
      <c r="S11" s="59">
        <f t="shared" si="9"/>
        <v>0</v>
      </c>
      <c r="T11" s="59">
        <f t="shared" si="10"/>
        <v>-8.520300000000006</v>
      </c>
      <c r="U11" s="14"/>
      <c r="V11" s="27" t="str">
        <f t="shared" si="11"/>
        <v>平衡</v>
      </c>
      <c r="W11" s="59">
        <f>'M1'!B9*1</f>
        <v>78.202500000000001</v>
      </c>
      <c r="X11" s="59">
        <f>'M1'!C9*1</f>
        <v>4.1120200000000002</v>
      </c>
      <c r="Y11" s="59">
        <f>'M1'!D9*1</f>
        <v>5.2581699999999998</v>
      </c>
      <c r="Z11" s="59">
        <f>'M1'!E9*1</f>
        <v>50</v>
      </c>
      <c r="AA11" s="59">
        <f>'M1'!F9*1</f>
        <v>70.576400000000007</v>
      </c>
      <c r="AB11" s="59">
        <f>'M1'!G9*1</f>
        <v>100</v>
      </c>
      <c r="AC11" s="59">
        <f>'M1'!H9*1</f>
        <v>86.349800000000002</v>
      </c>
      <c r="AE11" s="27" t="str">
        <f t="shared" si="12"/>
        <v>平衡</v>
      </c>
      <c r="AF11" s="59">
        <f>'M2'!B9*1</f>
        <v>71.966999999999999</v>
      </c>
      <c r="AG11" s="59">
        <f>'M2'!C9*1</f>
        <v>3.2193299999999998</v>
      </c>
      <c r="AH11" s="59">
        <f>'M2'!D9*1</f>
        <v>4.4733400000000003</v>
      </c>
      <c r="AI11" s="59">
        <f>'M2'!E9*1</f>
        <v>50</v>
      </c>
      <c r="AJ11" s="59">
        <f>'M2'!F9*1</f>
        <v>64.354100000000003</v>
      </c>
      <c r="AK11" s="59">
        <f>'M2'!G9*1</f>
        <v>100</v>
      </c>
      <c r="AL11" s="59">
        <f>'M2'!H9*1</f>
        <v>77.829499999999996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7.7326200000000007</v>
      </c>
      <c r="D12" s="51">
        <f>N13</f>
        <v>-1.7651000000000003</v>
      </c>
      <c r="E12" s="53">
        <f>T13</f>
        <v>-4.9534999999999982</v>
      </c>
      <c r="F12" s="53">
        <f>P13</f>
        <v>-28.948950000000004</v>
      </c>
      <c r="G12" s="73" t="str">
        <f>CONCATENATE(M14,"
(50 ~ 100)")</f>
        <v>自我调节
(50 ~ 100)</v>
      </c>
      <c r="H12" s="24">
        <f>R14</f>
        <v>-3.6680000000000064</v>
      </c>
      <c r="I12" s="52">
        <f>N14</f>
        <v>-2.2821999999999889</v>
      </c>
      <c r="J12" s="24">
        <f>T14</f>
        <v>-1.9572000000000003</v>
      </c>
      <c r="K12" s="25">
        <f>P14</f>
        <v>2.3052699999999997</v>
      </c>
      <c r="L12" s="4"/>
      <c r="M12" s="27" t="str">
        <f>lang!B19</f>
        <v>自信</v>
      </c>
      <c r="N12" s="59">
        <f t="shared" si="4"/>
        <v>4.0923000000000087</v>
      </c>
      <c r="O12" s="59">
        <f t="shared" si="5"/>
        <v>3.9724500000000003</v>
      </c>
      <c r="P12" s="59">
        <f t="shared" si="6"/>
        <v>4.7768600000000001</v>
      </c>
      <c r="Q12" s="59">
        <f t="shared" si="7"/>
        <v>0</v>
      </c>
      <c r="R12" s="59">
        <f t="shared" si="8"/>
        <v>-0.13650000000000517</v>
      </c>
      <c r="S12" s="59">
        <f t="shared" si="9"/>
        <v>0</v>
      </c>
      <c r="T12" s="59">
        <f t="shared" si="10"/>
        <v>1.5958000000000112</v>
      </c>
      <c r="U12" s="15"/>
      <c r="V12" s="27" t="str">
        <f t="shared" si="11"/>
        <v>自信</v>
      </c>
      <c r="W12" s="59">
        <f>'M1'!B10*1</f>
        <v>75.072699999999998</v>
      </c>
      <c r="X12" s="59">
        <f>'M1'!C10*1</f>
        <v>3.5008699999999999</v>
      </c>
      <c r="Y12" s="59">
        <f>'M1'!D10*1</f>
        <v>4.6633100000000001</v>
      </c>
      <c r="Z12" s="59">
        <f>'M1'!E10*1</f>
        <v>40</v>
      </c>
      <c r="AA12" s="59">
        <f>'M1'!F10*1</f>
        <v>62.831200000000003</v>
      </c>
      <c r="AB12" s="59">
        <f>'M1'!G10*1</f>
        <v>100</v>
      </c>
      <c r="AC12" s="59">
        <f>'M1'!H10*1</f>
        <v>80.160399999999996</v>
      </c>
      <c r="AE12" s="27" t="str">
        <f t="shared" si="12"/>
        <v>自信</v>
      </c>
      <c r="AF12" s="59">
        <f>'M2'!B10*1</f>
        <v>79.165000000000006</v>
      </c>
      <c r="AG12" s="59">
        <f>'M2'!C10*1</f>
        <v>7.4733200000000002</v>
      </c>
      <c r="AH12" s="59">
        <f>'M2'!D10*1</f>
        <v>9.4401700000000002</v>
      </c>
      <c r="AI12" s="59">
        <f>'M2'!E10*1</f>
        <v>40</v>
      </c>
      <c r="AJ12" s="59">
        <f>'M2'!F10*1</f>
        <v>62.694699999999997</v>
      </c>
      <c r="AK12" s="59">
        <f>'M2'!G10*1</f>
        <v>100</v>
      </c>
      <c r="AL12" s="59">
        <f>'M2'!H10*1</f>
        <v>81.756200000000007</v>
      </c>
    </row>
    <row r="13" spans="2:38" ht="25.5" customHeight="1" thickBot="1">
      <c r="B13" s="72" t="str">
        <f>CONCATENATE(M15,"
(10 ~ 25)")</f>
        <v>抑郁
(10 ~ 25)</v>
      </c>
      <c r="C13" s="54">
        <f>R15</f>
        <v>-0.83259999999999934</v>
      </c>
      <c r="D13" s="55">
        <f>N15</f>
        <v>-1.7599</v>
      </c>
      <c r="E13" s="56">
        <f>T15</f>
        <v>8.0753000000000021</v>
      </c>
      <c r="F13" s="56">
        <f>P15</f>
        <v>11.627099999999999</v>
      </c>
      <c r="G13" s="74" t="str">
        <f>CONCATENATE(M16,"
(10 ~ 50)")</f>
        <v>神经质
(10 ~ 50)</v>
      </c>
      <c r="H13" s="54">
        <f>R16</f>
        <v>0.54018900000000003</v>
      </c>
      <c r="I13" s="55">
        <f>N16</f>
        <v>12.502999999999997</v>
      </c>
      <c r="J13" s="56">
        <f>T16</f>
        <v>16.065399999999997</v>
      </c>
      <c r="K13" s="57">
        <f>P16</f>
        <v>-2.3792000000000044</v>
      </c>
      <c r="M13" s="27" t="str">
        <f>lang!B20</f>
        <v>活力</v>
      </c>
      <c r="N13" s="59">
        <f t="shared" si="4"/>
        <v>-1.7651000000000003</v>
      </c>
      <c r="O13" s="59">
        <f t="shared" si="5"/>
        <v>-5.0313869999999996</v>
      </c>
      <c r="P13" s="59">
        <f t="shared" si="6"/>
        <v>-28.948950000000004</v>
      </c>
      <c r="Q13" s="59">
        <f t="shared" si="7"/>
        <v>0</v>
      </c>
      <c r="R13" s="59">
        <f t="shared" si="8"/>
        <v>7.7326200000000007</v>
      </c>
      <c r="S13" s="59">
        <f t="shared" si="9"/>
        <v>0</v>
      </c>
      <c r="T13" s="59">
        <f t="shared" si="10"/>
        <v>-4.9534999999999982</v>
      </c>
      <c r="U13" s="14"/>
      <c r="V13" s="27" t="str">
        <f t="shared" si="11"/>
        <v>活力</v>
      </c>
      <c r="W13" s="59">
        <f>'M1'!B11*1</f>
        <v>17.028700000000001</v>
      </c>
      <c r="X13" s="59">
        <f>'M1'!C11*1</f>
        <v>5.9111599999999997</v>
      </c>
      <c r="Y13" s="59">
        <f>'M1'!D11*1</f>
        <v>34.712800000000001</v>
      </c>
      <c r="Z13" s="59">
        <f>'M1'!E11*1</f>
        <v>10</v>
      </c>
      <c r="AA13" s="59">
        <f>'M1'!F11*1</f>
        <v>6.0453799999999998</v>
      </c>
      <c r="AB13" s="59">
        <f>'M1'!G11*1</f>
        <v>50</v>
      </c>
      <c r="AC13" s="59">
        <f>'M1'!H11*1</f>
        <v>23.275099999999998</v>
      </c>
      <c r="AE13" s="27" t="str">
        <f t="shared" si="12"/>
        <v>活力</v>
      </c>
      <c r="AF13" s="59">
        <f>'M2'!B11*1</f>
        <v>15.2636</v>
      </c>
      <c r="AG13" s="59">
        <f>'M2'!C11*1</f>
        <v>0.87977300000000003</v>
      </c>
      <c r="AH13" s="59">
        <f>'M2'!D11*1</f>
        <v>5.7638499999999997</v>
      </c>
      <c r="AI13" s="59">
        <f>'M2'!E11*1</f>
        <v>10</v>
      </c>
      <c r="AJ13" s="59">
        <f>'M2'!F11*1</f>
        <v>13.778</v>
      </c>
      <c r="AK13" s="59">
        <f>'M2'!G11*1</f>
        <v>50</v>
      </c>
      <c r="AL13" s="59">
        <f>'M2'!H11*1</f>
        <v>18.3216</v>
      </c>
    </row>
    <row r="14" spans="2:38" ht="19.5" customHeight="1" thickBot="1">
      <c r="B14" s="148" t="str">
        <f>lang!B3</f>
        <v>参数表</v>
      </c>
      <c r="C14" s="149"/>
      <c r="D14" s="149"/>
      <c r="E14" s="149"/>
      <c r="F14" s="150"/>
      <c r="G14" s="145" t="str">
        <f>lang!B4</f>
        <v>情感状态分布图</v>
      </c>
      <c r="H14" s="146"/>
      <c r="I14" s="146"/>
      <c r="J14" s="146"/>
      <c r="K14" s="147"/>
      <c r="M14" s="27" t="str">
        <f>lang!B21</f>
        <v>自我调节</v>
      </c>
      <c r="N14" s="59">
        <f t="shared" si="4"/>
        <v>-2.2821999999999889</v>
      </c>
      <c r="O14" s="59">
        <f t="shared" si="5"/>
        <v>1.6375699999999997</v>
      </c>
      <c r="P14" s="59">
        <f t="shared" si="6"/>
        <v>2.3052699999999997</v>
      </c>
      <c r="Q14" s="59">
        <f t="shared" si="7"/>
        <v>0</v>
      </c>
      <c r="R14" s="59">
        <f t="shared" si="8"/>
        <v>-3.6680000000000064</v>
      </c>
      <c r="S14" s="59">
        <f t="shared" si="9"/>
        <v>0</v>
      </c>
      <c r="T14" s="59">
        <f t="shared" si="10"/>
        <v>-1.9572000000000003</v>
      </c>
      <c r="U14" s="14"/>
      <c r="V14" s="27" t="str">
        <f t="shared" si="11"/>
        <v>自我调节</v>
      </c>
      <c r="W14" s="59">
        <f>'M1'!B12*1</f>
        <v>76.844899999999996</v>
      </c>
      <c r="X14" s="59">
        <f>'M1'!C12*1</f>
        <v>2.7375500000000001</v>
      </c>
      <c r="Y14" s="59">
        <f>'M1'!D12*1</f>
        <v>3.5624400000000001</v>
      </c>
      <c r="Z14" s="59">
        <f>'M1'!E12*1</f>
        <v>50</v>
      </c>
      <c r="AA14" s="59">
        <f>'M1'!F12*1</f>
        <v>67.293000000000006</v>
      </c>
      <c r="AB14" s="59">
        <f>'M1'!G12*1</f>
        <v>100</v>
      </c>
      <c r="AC14" s="59">
        <f>'M1'!H12*1</f>
        <v>81.612499999999997</v>
      </c>
      <c r="AE14" s="27" t="str">
        <f t="shared" si="12"/>
        <v>自我调节</v>
      </c>
      <c r="AF14" s="59">
        <f>'M2'!B12*1</f>
        <v>74.562700000000007</v>
      </c>
      <c r="AG14" s="59">
        <f>'M2'!C12*1</f>
        <v>4.3751199999999999</v>
      </c>
      <c r="AH14" s="59">
        <f>'M2'!D12*1</f>
        <v>5.8677099999999998</v>
      </c>
      <c r="AI14" s="59">
        <f>'M2'!E12*1</f>
        <v>50</v>
      </c>
      <c r="AJ14" s="59">
        <f>'M2'!F12*1</f>
        <v>63.625</v>
      </c>
      <c r="AK14" s="59">
        <f>'M2'!G12*1</f>
        <v>100</v>
      </c>
      <c r="AL14" s="59">
        <f>'M2'!H12*1</f>
        <v>79.655299999999997</v>
      </c>
    </row>
    <row r="15" spans="2:38" ht="21" customHeight="1">
      <c r="B15" s="38"/>
      <c r="C15" s="28"/>
      <c r="D15" s="28"/>
      <c r="E15" s="28"/>
      <c r="F15" s="28"/>
      <c r="G15" s="126"/>
      <c r="H15" s="127"/>
      <c r="I15" s="127"/>
      <c r="J15" s="127"/>
      <c r="K15" s="128"/>
      <c r="M15" s="27" t="str">
        <f>lang!B22</f>
        <v>抑郁</v>
      </c>
      <c r="N15" s="59">
        <f t="shared" si="4"/>
        <v>-1.7599</v>
      </c>
      <c r="O15" s="59">
        <f t="shared" si="5"/>
        <v>1.2503000000000002</v>
      </c>
      <c r="P15" s="59">
        <f t="shared" si="6"/>
        <v>11.627099999999999</v>
      </c>
      <c r="Q15" s="59">
        <f t="shared" si="7"/>
        <v>0</v>
      </c>
      <c r="R15" s="59">
        <f t="shared" si="8"/>
        <v>-0.83259999999999934</v>
      </c>
      <c r="S15" s="59">
        <f t="shared" si="9"/>
        <v>0</v>
      </c>
      <c r="T15" s="59">
        <f t="shared" si="10"/>
        <v>8.0753000000000021</v>
      </c>
      <c r="U15" s="14"/>
      <c r="V15" s="27" t="str">
        <f t="shared" si="11"/>
        <v>抑郁</v>
      </c>
      <c r="W15" s="59">
        <f>'M1'!B13*1</f>
        <v>14.9389</v>
      </c>
      <c r="X15" s="59">
        <f>'M1'!C13*1</f>
        <v>2.3940199999999998</v>
      </c>
      <c r="Y15" s="59">
        <f>'M1'!D13*1</f>
        <v>16.025400000000001</v>
      </c>
      <c r="Z15" s="59">
        <f>'M1'!E13*1</f>
        <v>10</v>
      </c>
      <c r="AA15" s="59">
        <f>'M1'!F13*1</f>
        <v>11.9057</v>
      </c>
      <c r="AB15" s="59">
        <f>'M1'!G13*1</f>
        <v>25</v>
      </c>
      <c r="AC15" s="59">
        <f>'M1'!H13*1</f>
        <v>23.419599999999999</v>
      </c>
      <c r="AE15" s="27" t="str">
        <f t="shared" si="12"/>
        <v>抑郁</v>
      </c>
      <c r="AF15" s="59">
        <f>'M2'!B13*1</f>
        <v>13.179</v>
      </c>
      <c r="AG15" s="59">
        <f>'M2'!C13*1</f>
        <v>3.64432</v>
      </c>
      <c r="AH15" s="59">
        <f>'M2'!D13*1</f>
        <v>27.6525</v>
      </c>
      <c r="AI15" s="59">
        <f>'M2'!E13*1</f>
        <v>10</v>
      </c>
      <c r="AJ15" s="59">
        <f>'M2'!F13*1</f>
        <v>11.0731</v>
      </c>
      <c r="AK15" s="59">
        <f>'M2'!G13*1</f>
        <v>25</v>
      </c>
      <c r="AL15" s="59">
        <f>'M2'!H13*1</f>
        <v>31.494900000000001</v>
      </c>
    </row>
    <row r="16" spans="2:38" ht="21" customHeight="1">
      <c r="B16" s="29"/>
      <c r="C16" s="32"/>
      <c r="D16" s="32"/>
      <c r="E16" s="32"/>
      <c r="F16" s="32"/>
      <c r="G16" s="129"/>
      <c r="H16" s="130"/>
      <c r="I16" s="130"/>
      <c r="J16" s="130"/>
      <c r="K16" s="131"/>
      <c r="M16" s="27" t="str">
        <f>lang!B23</f>
        <v>神经质</v>
      </c>
      <c r="N16" s="59">
        <f t="shared" si="4"/>
        <v>12.502999999999997</v>
      </c>
      <c r="O16" s="59">
        <f t="shared" si="5"/>
        <v>3.8574900000000003</v>
      </c>
      <c r="P16" s="59">
        <f t="shared" si="6"/>
        <v>-2.3792000000000044</v>
      </c>
      <c r="Q16" s="59">
        <f t="shared" si="7"/>
        <v>0</v>
      </c>
      <c r="R16" s="59">
        <f t="shared" si="8"/>
        <v>0.54018900000000003</v>
      </c>
      <c r="S16" s="59">
        <f t="shared" si="9"/>
        <v>0</v>
      </c>
      <c r="T16" s="59">
        <f t="shared" si="10"/>
        <v>16.065399999999997</v>
      </c>
      <c r="U16" s="15"/>
      <c r="V16" s="27" t="str">
        <f t="shared" si="11"/>
        <v>神经质</v>
      </c>
      <c r="W16" s="59">
        <f>'M1'!B14*1</f>
        <v>23.940200000000001</v>
      </c>
      <c r="X16" s="59">
        <f>'M1'!C14*1</f>
        <v>9.0464099999999998</v>
      </c>
      <c r="Y16" s="59">
        <f>'M1'!D14*1</f>
        <v>37.787500000000001</v>
      </c>
      <c r="Z16" s="59">
        <f>'M1'!E14*1</f>
        <v>10</v>
      </c>
      <c r="AA16" s="59">
        <f>'M1'!F14*1</f>
        <v>0.415877</v>
      </c>
      <c r="AB16" s="59">
        <f>'M1'!G14*1</f>
        <v>50</v>
      </c>
      <c r="AC16" s="59">
        <f>'M1'!H14*1</f>
        <v>36.796300000000002</v>
      </c>
      <c r="AE16" s="27" t="str">
        <f t="shared" si="12"/>
        <v>神经质</v>
      </c>
      <c r="AF16" s="59">
        <f>'M2'!B14*1</f>
        <v>36.443199999999997</v>
      </c>
      <c r="AG16" s="59">
        <f>'M2'!C14*1</f>
        <v>12.9039</v>
      </c>
      <c r="AH16" s="59">
        <f>'M2'!D14*1</f>
        <v>35.408299999999997</v>
      </c>
      <c r="AI16" s="59">
        <f>'M2'!E14*1</f>
        <v>10</v>
      </c>
      <c r="AJ16" s="59">
        <f>'M2'!F14*1</f>
        <v>0.95606599999999997</v>
      </c>
      <c r="AK16" s="59">
        <f>'M2'!G14*1</f>
        <v>50</v>
      </c>
      <c r="AL16" s="59">
        <f>'M2'!H14*1</f>
        <v>52.861699999999999</v>
      </c>
    </row>
    <row r="17" spans="2:38" ht="21" customHeight="1">
      <c r="B17" s="29"/>
      <c r="C17" s="32"/>
      <c r="D17" s="32"/>
      <c r="E17" s="32"/>
      <c r="F17" s="32"/>
      <c r="G17" s="129"/>
      <c r="H17" s="130"/>
      <c r="I17" s="130"/>
      <c r="J17" s="130"/>
      <c r="K17" s="131"/>
      <c r="M17" s="21" t="str">
        <f>lang!B7</f>
        <v>Positive</v>
      </c>
      <c r="N17" s="65">
        <f>SUM(N11:N14)/4</f>
        <v>-1.5476249999999956</v>
      </c>
      <c r="O17" s="22">
        <f>N17/(N17+N18+N19)</f>
        <v>-0.27441619235065612</v>
      </c>
      <c r="P17" s="65">
        <f>SUM(P11:P14)/4</f>
        <v>-5.6629125000000009</v>
      </c>
      <c r="Q17" s="22">
        <f>P17/(P17+P18+P19)</f>
        <v>0.77173607526689381</v>
      </c>
      <c r="R17" s="14"/>
      <c r="S17" s="14"/>
      <c r="T17" s="14"/>
      <c r="U17" s="14"/>
      <c r="V17" s="21" t="str">
        <f>M17</f>
        <v>Positive</v>
      </c>
      <c r="W17" s="65">
        <f>SUM(W11:W14)/4</f>
        <v>61.787199999999999</v>
      </c>
      <c r="X17" s="22">
        <f>W17/(W17+W18+W19)</f>
        <v>0.55409497568045951</v>
      </c>
      <c r="Y17" s="65">
        <f>SUM(Y11:Y14)/4</f>
        <v>12.049180000000002</v>
      </c>
      <c r="Z17" s="22">
        <f>Y17/(Y17+Y18+Y19)</f>
        <v>0.19302478691036279</v>
      </c>
      <c r="AA17" s="14"/>
      <c r="AB17" s="14"/>
      <c r="AC17" s="14"/>
      <c r="AE17" s="21" t="str">
        <f>V17</f>
        <v>Positive</v>
      </c>
      <c r="AF17" s="65">
        <f>SUM(AF11:AF14)/4</f>
        <v>60.239575000000002</v>
      </c>
      <c r="AG17" s="22">
        <f>AF17/(AF17+AF18+AF19)</f>
        <v>0.51420968832006364</v>
      </c>
      <c r="AH17" s="65">
        <f>SUM(AH11:AH14)/4</f>
        <v>6.3862674999999998</v>
      </c>
      <c r="AI17" s="22">
        <f>AH17/(AH17+AH18+AH19)</f>
        <v>0.11593461423674067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9"/>
      <c r="H18" s="130"/>
      <c r="I18" s="130"/>
      <c r="J18" s="130"/>
      <c r="K18" s="131"/>
      <c r="M18" s="21" t="str">
        <f>lang!B8</f>
        <v>Negative</v>
      </c>
      <c r="N18" s="18">
        <f>SUM(N7:N10)/4</f>
        <v>1.8157749999999986</v>
      </c>
      <c r="O18" s="22">
        <f>N18/(N17+N18+N19)</f>
        <v>0.3219630476798408</v>
      </c>
      <c r="P18" s="18">
        <f>SUM(P7:P10)/4</f>
        <v>-6.2989249999999988</v>
      </c>
      <c r="Q18" s="22">
        <f>P18/(P17+P18+P19)</f>
        <v>0.85841122530155944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30.283374999999999</v>
      </c>
      <c r="X18" s="22">
        <f>W18/(W17+W18+W19)</f>
        <v>0.27157511481580709</v>
      </c>
      <c r="Y18" s="18">
        <f>SUM(Y7:Y10)/4</f>
        <v>23.467337499999999</v>
      </c>
      <c r="Z18" s="22">
        <f>Y18/(Y17+Y18+Y19)</f>
        <v>0.37594075449873476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32.099149999999995</v>
      </c>
      <c r="AG18" s="22">
        <f>AF18/(AF17+AF18+AF19)</f>
        <v>0.27400083610880338</v>
      </c>
      <c r="AH18" s="18">
        <f>SUM(AH7:AH10)/4</f>
        <v>17.168412500000002</v>
      </c>
      <c r="AI18" s="22">
        <f>AH18/(AH17+AH18+AH19)</f>
        <v>0.311670828108083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9"/>
      <c r="H19" s="130"/>
      <c r="I19" s="130"/>
      <c r="J19" s="130"/>
      <c r="K19" s="131"/>
      <c r="M19" s="21" t="str">
        <f>lang!B9</f>
        <v>Physiological</v>
      </c>
      <c r="N19" s="18">
        <f>(N15+N16)/2</f>
        <v>5.3715499999999983</v>
      </c>
      <c r="O19" s="22">
        <f>N19/(N17+N18+N19)</f>
        <v>0.95245314467081532</v>
      </c>
      <c r="P19" s="18">
        <f>(P15+P16)/2</f>
        <v>4.6239499999999971</v>
      </c>
      <c r="Q19" s="22">
        <f>P19/(P17+P18+P19)</f>
        <v>-0.63014730056845314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19.439550000000001</v>
      </c>
      <c r="X19" s="22">
        <f>W19/(W17+W18+W19)</f>
        <v>0.17432990950373342</v>
      </c>
      <c r="Y19" s="18">
        <f>(Y15+Y16)/2</f>
        <v>26.90645</v>
      </c>
      <c r="Z19" s="22">
        <f>Y19/(Y17+Y18+Y19)</f>
        <v>0.43103445859090245</v>
      </c>
      <c r="AA19" s="14"/>
      <c r="AB19" s="14"/>
      <c r="AC19" s="14"/>
      <c r="AE19" s="21" t="str">
        <f t="shared" si="14"/>
        <v>Physiological</v>
      </c>
      <c r="AF19" s="18">
        <f>(AF15+AF16)/2</f>
        <v>24.8111</v>
      </c>
      <c r="AG19" s="22">
        <f>AF19/(AF17+AF18+AF19)</f>
        <v>0.21178947557113295</v>
      </c>
      <c r="AH19" s="18">
        <f>(AH15+AH16)/2</f>
        <v>31.5304</v>
      </c>
      <c r="AI19" s="22">
        <f>AH19/(AH17+AH18+AH19)</f>
        <v>0.57239455765517622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9"/>
      <c r="H20" s="130"/>
      <c r="I20" s="130"/>
      <c r="J20" s="130"/>
      <c r="K20" s="131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9"/>
      <c r="H21" s="130"/>
      <c r="I21" s="130"/>
      <c r="J21" s="130"/>
      <c r="K21" s="131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2"/>
      <c r="H22" s="133"/>
      <c r="I22" s="133"/>
      <c r="J22" s="133"/>
      <c r="K22" s="134"/>
      <c r="M22" s="16"/>
      <c r="O22" s="17"/>
      <c r="Q22"/>
      <c r="T22"/>
      <c r="U22" s="19"/>
    </row>
    <row r="23" spans="2:38" ht="17.25" customHeight="1" thickBot="1">
      <c r="B23" s="194" t="str">
        <f>lang!B5</f>
        <v>频率分布直方图</v>
      </c>
      <c r="C23" s="195"/>
      <c r="D23" s="195"/>
      <c r="E23" s="195"/>
      <c r="F23" s="196"/>
      <c r="G23" s="123" t="str">
        <f>lang!B6</f>
        <v xml:space="preserve">心理变化 - 心理基础代谢 </v>
      </c>
      <c r="H23" s="124"/>
      <c r="I23" s="124"/>
      <c r="J23" s="124"/>
      <c r="K23" s="125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1.35/1.3</v>
      </c>
      <c r="D24" s="44" t="str">
        <f>lang!B11</f>
        <v>频率方差</v>
      </c>
      <c r="E24" s="143" t="str">
        <f ca="1">CONCATENATE(ROUND('FH1'!L3,2),"/",ROUND('FH2'!L3,2))</f>
        <v>0.68/0.54</v>
      </c>
      <c r="F24" s="144"/>
      <c r="G24" s="135" t="str">
        <f>lang!B12</f>
        <v>生理变化率</v>
      </c>
      <c r="H24" s="136"/>
      <c r="I24" s="62" t="str">
        <f ca="1">CONCATENATE(info!M7,"-",info!M8)</f>
        <v>34.3-68.8</v>
      </c>
      <c r="J24" s="42" t="str">
        <f>lang!B13</f>
        <v>千卡l/分钟</v>
      </c>
      <c r="K24" s="41" t="str">
        <f ca="1">CONCATENATE(info!M5,"-",info!M6)</f>
        <v>1.4-3.5</v>
      </c>
      <c r="M24" s="16"/>
      <c r="O24" s="17"/>
      <c r="P24" s="17"/>
      <c r="Q24"/>
      <c r="T24"/>
      <c r="U24" s="19"/>
    </row>
    <row r="25" spans="2:38" ht="156.75" customHeight="1" thickBot="1">
      <c r="B25" s="116"/>
      <c r="C25" s="117"/>
      <c r="D25" s="117"/>
      <c r="E25" s="118"/>
      <c r="F25" s="39"/>
      <c r="G25" s="119"/>
      <c r="H25" s="120"/>
      <c r="I25" s="120"/>
      <c r="J25" s="121"/>
      <c r="K25" s="122"/>
      <c r="M25"/>
      <c r="O25" s="17"/>
      <c r="Q25"/>
      <c r="T25"/>
      <c r="U25" s="19"/>
    </row>
    <row r="26" spans="2:38" ht="15" customHeight="1" thickBot="1">
      <c r="B26" s="163" t="str">
        <f>CONCATENATE( lang!B31," ",ROUND(100-FH_info!L2,0),"%]")</f>
        <v>Result [Quality 100%]</v>
      </c>
      <c r="C26" s="164"/>
      <c r="D26" s="164"/>
      <c r="E26" s="164"/>
      <c r="F26" s="164"/>
      <c r="G26" s="164"/>
      <c r="H26" s="164"/>
      <c r="I26" s="164"/>
      <c r="J26" s="164"/>
      <c r="K26" s="165"/>
      <c r="M26"/>
      <c r="Q26"/>
      <c r="T26"/>
    </row>
    <row r="27" spans="2:38" ht="15.75" thickBot="1">
      <c r="B27" s="179" t="str">
        <f>lang!B32</f>
        <v>外向性</v>
      </c>
      <c r="C27" s="180"/>
      <c r="D27" s="181"/>
      <c r="E27" s="163">
        <f>dM!B18*100</f>
        <v>-11.036399999999997</v>
      </c>
      <c r="F27" s="165"/>
      <c r="G27" s="179" t="str">
        <f>lang!B33</f>
        <v>稳定性</v>
      </c>
      <c r="H27" s="180"/>
      <c r="I27" s="181"/>
      <c r="J27" s="182">
        <f>dM!B19*100</f>
        <v>6.5231000000000039</v>
      </c>
      <c r="K27" s="183"/>
    </row>
    <row r="28" spans="2:38" ht="24.75" customHeight="1">
      <c r="B28" s="166" t="str">
        <f>lang!B34</f>
        <v xml:space="preserve">心理生理状态分析结果： </v>
      </c>
      <c r="C28" s="167"/>
      <c r="D28" s="167"/>
      <c r="E28" s="167"/>
      <c r="F28" s="167"/>
      <c r="G28" s="167"/>
      <c r="H28" s="167"/>
      <c r="I28" s="167"/>
      <c r="J28" s="167"/>
      <c r="K28" s="168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4" t="str">
        <f>lang!B37</f>
        <v>意见</v>
      </c>
      <c r="C31" s="185"/>
      <c r="D31" s="186"/>
      <c r="E31" s="186"/>
      <c r="F31" s="186"/>
      <c r="G31" s="186"/>
      <c r="H31" s="186"/>
      <c r="I31" s="186"/>
      <c r="J31" s="186"/>
      <c r="K31" s="187"/>
      <c r="M31"/>
      <c r="Q31"/>
      <c r="T31"/>
      <c r="W31" s="33"/>
      <c r="X31" s="33"/>
    </row>
    <row r="32" spans="2:38" ht="18" customHeight="1">
      <c r="B32" s="157"/>
      <c r="C32" s="158"/>
      <c r="D32" s="158"/>
      <c r="E32" s="158"/>
      <c r="F32" s="158"/>
      <c r="G32" s="158"/>
      <c r="H32" s="158"/>
      <c r="I32" s="158"/>
      <c r="J32" s="158"/>
      <c r="K32" s="159"/>
      <c r="M32"/>
      <c r="Q32"/>
      <c r="T32"/>
      <c r="W32" s="33"/>
      <c r="X32" s="33"/>
    </row>
    <row r="33" spans="2:24" ht="20.25" customHeight="1">
      <c r="B33" s="157"/>
      <c r="C33" s="158"/>
      <c r="D33" s="158"/>
      <c r="E33" s="158"/>
      <c r="F33" s="158"/>
      <c r="G33" s="158"/>
      <c r="H33" s="158"/>
      <c r="I33" s="158"/>
      <c r="J33" s="158"/>
      <c r="K33" s="159"/>
      <c r="M33"/>
      <c r="Q33"/>
      <c r="T33"/>
      <c r="W33" s="33"/>
      <c r="X33" s="33"/>
    </row>
    <row r="34" spans="2:24" ht="35.25" customHeight="1" thickBot="1">
      <c r="B34" s="160"/>
      <c r="C34" s="161"/>
      <c r="D34" s="161"/>
      <c r="E34" s="161"/>
      <c r="F34" s="161"/>
      <c r="G34" s="161"/>
      <c r="H34" s="161"/>
      <c r="I34" s="161"/>
      <c r="J34" s="161"/>
      <c r="K34" s="162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-0.98800700999773783</v>
      </c>
      <c r="C2">
        <f t="array" aca="1" ref="C2" ca="1">CORREL(FT_E02,FT_PH02)</f>
        <v>-0.98939831350897012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1.38703</v>
      </c>
      <c r="G2" s="61">
        <f>IF(FT!B2&lt;&gt;"",FT!B2*100,"")</f>
        <v>68.847100000000012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1.4351099999999999</v>
      </c>
      <c r="G3" s="61">
        <f>IF(FT!B3&lt;&gt;"",FT!B3*100,"")</f>
        <v>67.450600000000009</v>
      </c>
      <c r="H3" s="61">
        <f t="shared" ref="H3:H66" si="1">(IF(F3&lt;&gt;"",1,""))</f>
        <v>1</v>
      </c>
      <c r="I3" t="str">
        <f>IF(FT!B3&lt;&gt;"",FT!E3,"")</f>
        <v>1 [0.401113]</v>
      </c>
      <c r="J3">
        <f>IF(FT!B3&lt;&gt;"",FT!C3,"")</f>
        <v>0.401113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0.4365656756756755</v>
      </c>
      <c r="V3">
        <f ca="1">AVERAGE(OFFSET(FT!B2,info!$L$3/2,0,info!$L$3/2,1))</f>
        <v>0.46028341891891889</v>
      </c>
      <c r="W3">
        <f ca="1">AVERAGE(OFFSET(FT!A2,0,0,info!$L$3/2,1))</f>
        <v>0.27861189189189201</v>
      </c>
      <c r="X3">
        <f ca="1">AVERAGE(OFFSET(FT!A2,info!$L$3/2,0,info!$L$3/2,1))</f>
        <v>0.26221739189189192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1.4821200000000001</v>
      </c>
      <c r="G4" s="61">
        <f>IF(FT!B4&lt;&gt;"",FT!B4*100,"")</f>
        <v>66.161699999999996</v>
      </c>
      <c r="H4" s="61">
        <f t="shared" si="1"/>
        <v>1</v>
      </c>
      <c r="I4" t="str">
        <f>IF(FT!B4&lt;&gt;"",FT!E4,"")</f>
        <v>1 [0.806964]</v>
      </c>
      <c r="J4">
        <f>IF(FT!B4&lt;&gt;"",FT!C4,"")</f>
        <v>0.80696400000000001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14.939375</v>
      </c>
      <c r="V4">
        <f>U4*3</f>
        <v>44.818125000000002</v>
      </c>
      <c r="W4">
        <f>U4</f>
        <v>14.939375</v>
      </c>
      <c r="X4">
        <f>V4</f>
        <v>44.818125000000002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1.52847</v>
      </c>
      <c r="G5" s="61">
        <f>IF(FT!B5&lt;&gt;"",FT!B5*100,"")</f>
        <v>64.9983</v>
      </c>
      <c r="H5" s="61">
        <f t="shared" si="1"/>
        <v>1</v>
      </c>
      <c r="I5" t="str">
        <f>IF(FT!B5&lt;&gt;"",FT!E5,"")</f>
        <v>1 [1.214057]</v>
      </c>
      <c r="J5">
        <f>IF(FT!B5&lt;&gt;"",FT!C5,"")</f>
        <v>1.2140599999999999</v>
      </c>
      <c r="K5" t="s">
        <v>53</v>
      </c>
      <c r="L5" s="63">
        <f ca="1">MIN(FT_E)</f>
        <v>1.38703</v>
      </c>
      <c r="M5" s="63">
        <f ca="1">ROUND(L5,1)</f>
        <v>1.4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43.656567567567549</v>
      </c>
      <c r="V5">
        <f ca="1">V3*100</f>
        <v>46.028341891891891</v>
      </c>
      <c r="W5">
        <f ca="1">W3*10</f>
        <v>2.7861189189189202</v>
      </c>
      <c r="X5">
        <f ca="1">X3*10</f>
        <v>2.6221739189189193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1.5757399999999999</v>
      </c>
      <c r="G6" s="61">
        <f>IF(FT!B6&lt;&gt;"",FT!B6*100,"")</f>
        <v>63.834999999999994</v>
      </c>
      <c r="H6" s="61">
        <f t="shared" si="1"/>
        <v>1</v>
      </c>
      <c r="I6" t="str">
        <f>IF(FT!B6&lt;&gt;"",FT!E6,"")</f>
        <v>1 [1.617112]</v>
      </c>
      <c r="J6">
        <f>IF(FT!B6&lt;&gt;"",FT!C6,"")</f>
        <v>1.61711</v>
      </c>
      <c r="K6" t="s">
        <v>54</v>
      </c>
      <c r="L6" s="63">
        <f ca="1">MAX(FT_E)</f>
        <v>3.49634</v>
      </c>
      <c r="M6" s="63">
        <f ca="1">ROUND(L6,1)</f>
        <v>3.5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1.62277</v>
      </c>
      <c r="G7" s="61">
        <f>IF(FT!B7&lt;&gt;"",FT!B7*100,"")</f>
        <v>62.735399999999998</v>
      </c>
      <c r="H7" s="61">
        <f t="shared" si="1"/>
        <v>1</v>
      </c>
      <c r="I7" t="str">
        <f>IF(FT!B7&lt;&gt;"",FT!E7,"")</f>
        <v>1 [2.024431]</v>
      </c>
      <c r="J7">
        <f>IF(FT!B7&lt;&gt;"",FT!C7,"")</f>
        <v>2.0244300000000002</v>
      </c>
      <c r="K7" t="s">
        <v>55</v>
      </c>
      <c r="L7" s="63">
        <f ca="1">MIN(FT_PH)</f>
        <v>34.296599999999998</v>
      </c>
      <c r="M7" s="63">
        <f ca="1">ROUND(L7,1)</f>
        <v>34.299999999999997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7802</v>
      </c>
      <c r="D8" s="61">
        <f>FH!B8*1</f>
        <v>7802</v>
      </c>
      <c r="E8">
        <f t="shared" si="3"/>
        <v>6</v>
      </c>
      <c r="F8" s="61">
        <f>IF(FT!A8&lt;&gt;"",FT!A8*10,"")</f>
        <v>1.6719400000000002</v>
      </c>
      <c r="G8" s="61">
        <f>IF(FT!B8&lt;&gt;"",FT!B8*100,"")</f>
        <v>61.595100000000002</v>
      </c>
      <c r="H8" s="61">
        <f t="shared" si="1"/>
        <v>1</v>
      </c>
      <c r="I8" t="str">
        <f>IF(FT!B8&lt;&gt;"",FT!E8,"")</f>
        <v>1 [2.431241]</v>
      </c>
      <c r="J8">
        <f>IF(FT!B8&lt;&gt;"",FT!C8,"")</f>
        <v>2.4312399999999998</v>
      </c>
      <c r="K8" t="s">
        <v>56</v>
      </c>
      <c r="L8" s="63">
        <f ca="1">MAX(FT_PH)</f>
        <v>68.847100000000012</v>
      </c>
      <c r="M8" s="63">
        <f ca="1">ROUND(L8,1)</f>
        <v>68.8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1.7261299999999999</v>
      </c>
      <c r="G9" s="61">
        <f>IF(FT!B9&lt;&gt;"",FT!B9*100,"")</f>
        <v>60.316400000000002</v>
      </c>
      <c r="H9" s="61">
        <f t="shared" si="1"/>
        <v>1</v>
      </c>
      <c r="I9" t="str">
        <f>IF(FT!B9&lt;&gt;"",FT!E9,"")</f>
        <v>1 [2.837957]</v>
      </c>
      <c r="J9">
        <f>IF(FT!B9&lt;&gt;"",FT!C9,"")</f>
        <v>2.8379599999999998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13722</v>
      </c>
      <c r="D10" s="61">
        <f>FH!B10*1</f>
        <v>13722</v>
      </c>
      <c r="E10">
        <f t="shared" si="3"/>
        <v>8</v>
      </c>
      <c r="F10" s="61">
        <f>IF(FT!A10&lt;&gt;"",FT!A10*10,"")</f>
        <v>1.7854700000000001</v>
      </c>
      <c r="G10" s="61">
        <f>IF(FT!B10&lt;&gt;"",FT!B10*100,"")</f>
        <v>58.855599999999995</v>
      </c>
      <c r="H10" s="61">
        <f t="shared" si="1"/>
        <v>1</v>
      </c>
      <c r="I10" t="str">
        <f>IF(FT!B10&lt;&gt;"",FT!E10,"")</f>
        <v>1 [3.243507]</v>
      </c>
      <c r="J10">
        <f>IF(FT!B10&lt;&gt;"",FT!C10,"")</f>
        <v>3.2435100000000001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1.8476300000000001</v>
      </c>
      <c r="G11" s="61">
        <f>IF(FT!B11&lt;&gt;"",FT!B11*100,"")</f>
        <v>57.222799999999992</v>
      </c>
      <c r="H11" s="61">
        <f t="shared" si="1"/>
        <v>1</v>
      </c>
      <c r="I11" t="str">
        <f>IF(FT!B11&lt;&gt;"",FT!E11,"")</f>
        <v>1 [3.652346]</v>
      </c>
      <c r="J11">
        <f>IF(FT!B11&lt;&gt;"",FT!C11,"")</f>
        <v>3.6523500000000002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1.90977</v>
      </c>
      <c r="G12" s="61">
        <f>IF(FT!B12&lt;&gt;"",FT!B12*100,"")</f>
        <v>55.771599999999999</v>
      </c>
      <c r="H12" s="61">
        <f t="shared" si="1"/>
        <v>1</v>
      </c>
      <c r="I12" t="str">
        <f>IF(FT!B12&lt;&gt;"",FT!E12,"")</f>
        <v>1 [4.054244]</v>
      </c>
      <c r="J12">
        <f>IF(FT!B12&lt;&gt;"",FT!C12,"")</f>
        <v>4.0542400000000001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20241</v>
      </c>
      <c r="D13" s="61">
        <f>FH!B13*1</f>
        <v>20241</v>
      </c>
      <c r="E13">
        <f t="shared" si="3"/>
        <v>11</v>
      </c>
      <c r="F13" s="61">
        <f>IF(FT!A13&lt;&gt;"",FT!A13*10,"")</f>
        <v>1.9696099999999999</v>
      </c>
      <c r="G13" s="61">
        <f>IF(FT!B13&lt;&gt;"",FT!B13*100,"")</f>
        <v>54.582500000000003</v>
      </c>
      <c r="H13" s="61">
        <f t="shared" si="1"/>
        <v>1</v>
      </c>
      <c r="I13" t="str">
        <f>IF(FT!B13&lt;&gt;"",FT!E13,"")</f>
        <v>1 [4.464053]</v>
      </c>
      <c r="J13">
        <f>IF(FT!B13&lt;&gt;"",FT!C13,"")</f>
        <v>4.4640500000000003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2.0249600000000001</v>
      </c>
      <c r="G14" s="61">
        <f>IF(FT!B14&lt;&gt;"",FT!B14*100,"")</f>
        <v>53.7104</v>
      </c>
      <c r="H14" s="61">
        <f t="shared" si="1"/>
        <v>1</v>
      </c>
      <c r="I14" t="str">
        <f>IF(FT!B14&lt;&gt;"",FT!E14,"")</f>
        <v>1 [4.869373]</v>
      </c>
      <c r="J14">
        <f>IF(FT!B14&lt;&gt;"",FT!C14,"")</f>
        <v>4.86937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28213</v>
      </c>
      <c r="D15" s="61">
        <f>FH!B15*1</f>
        <v>28213</v>
      </c>
      <c r="E15">
        <f t="shared" si="3"/>
        <v>13</v>
      </c>
      <c r="F15" s="61">
        <f>IF(FT!A15&lt;&gt;"",FT!A15*10,"")</f>
        <v>2.0784600000000002</v>
      </c>
      <c r="G15" s="61">
        <f>IF(FT!B15&lt;&gt;"",FT!B15*100,"")</f>
        <v>53.004899999999999</v>
      </c>
      <c r="H15" s="61">
        <f t="shared" si="1"/>
        <v>1</v>
      </c>
      <c r="I15" t="str">
        <f>IF(FT!B15&lt;&gt;"",FT!E15,"")</f>
        <v>1 [5.277685]</v>
      </c>
      <c r="J15">
        <f>IF(FT!B15&lt;&gt;"",FT!C15,"")</f>
        <v>5.2776899999999998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2.13632</v>
      </c>
      <c r="G16" s="61">
        <f>IF(FT!B16&lt;&gt;"",FT!B16*100,"")</f>
        <v>52.255200000000002</v>
      </c>
      <c r="H16" s="61">
        <f t="shared" si="1"/>
        <v>1</v>
      </c>
      <c r="I16" t="str">
        <f>IF(FT!B16&lt;&gt;"",FT!E16,"")</f>
        <v>1 [5.679540]</v>
      </c>
      <c r="J16">
        <f>IF(FT!B16&lt;&gt;"",FT!C16,"")</f>
        <v>5.6795400000000003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2.1969099999999999</v>
      </c>
      <c r="G17" s="61">
        <f>IF(FT!B17&lt;&gt;"",FT!B17*100,"")</f>
        <v>51.448300000000003</v>
      </c>
      <c r="H17" s="61">
        <f t="shared" si="1"/>
        <v>1</v>
      </c>
      <c r="I17" t="str">
        <f>IF(FT!B17&lt;&gt;"",FT!E17,"")</f>
        <v>1 [6.089276]</v>
      </c>
      <c r="J17">
        <f>IF(FT!B17&lt;&gt;"",FT!C17,"")</f>
        <v>6.0892799999999996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42802</v>
      </c>
      <c r="D18" s="61">
        <f>FH!B18*1</f>
        <v>42802</v>
      </c>
      <c r="E18">
        <f t="shared" si="3"/>
        <v>16</v>
      </c>
      <c r="F18" s="61">
        <f>IF(FT!A18&lt;&gt;"",FT!A18*10,"")</f>
        <v>2.2599200000000002</v>
      </c>
      <c r="G18" s="61">
        <f>IF(FT!B18&lt;&gt;"",FT!B18*100,"")</f>
        <v>50.595800000000004</v>
      </c>
      <c r="H18" s="61">
        <f t="shared" si="1"/>
        <v>1</v>
      </c>
      <c r="I18" t="str">
        <f>IF(FT!B18&lt;&gt;"",FT!E18,"")</f>
        <v>1 [6.495368]</v>
      </c>
      <c r="J18">
        <f>IF(FT!B18&lt;&gt;"",FT!C18,"")</f>
        <v>6.4953700000000003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2.3208799999999998</v>
      </c>
      <c r="G19" s="61">
        <f>IF(FT!B19&lt;&gt;"",FT!B19*100,"")</f>
        <v>49.902700000000003</v>
      </c>
      <c r="H19" s="61">
        <f t="shared" si="1"/>
        <v>1</v>
      </c>
      <c r="I19" t="str">
        <f>IF(FT!B19&lt;&gt;"",FT!E19,"")</f>
        <v>1 [6.898667]</v>
      </c>
      <c r="J19">
        <f>IF(FT!B19&lt;&gt;"",FT!C19,"")</f>
        <v>6.8986700000000001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2.3790100000000001</v>
      </c>
      <c r="G20" s="61">
        <f>IF(FT!B20&lt;&gt;"",FT!B20*100,"")</f>
        <v>49.403300000000002</v>
      </c>
      <c r="H20" s="61">
        <f t="shared" si="1"/>
        <v>1</v>
      </c>
      <c r="I20" t="str">
        <f>IF(FT!B20&lt;&gt;"",FT!E20,"")</f>
        <v>1 [7.307150]</v>
      </c>
      <c r="J20">
        <f>IF(FT!B20&lt;&gt;"",FT!C20,"")</f>
        <v>7.30715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51757</v>
      </c>
      <c r="D21" s="61">
        <f>FH!B21*1</f>
        <v>51757</v>
      </c>
      <c r="E21">
        <f t="shared" si="3"/>
        <v>19</v>
      </c>
      <c r="F21" s="61">
        <f>IF(FT!A21&lt;&gt;"",FT!A21*10,"")</f>
        <v>2.4352900000000002</v>
      </c>
      <c r="G21" s="61">
        <f>IF(FT!B21&lt;&gt;"",FT!B21*100,"")</f>
        <v>48.954700000000003</v>
      </c>
      <c r="H21" s="61">
        <f t="shared" si="1"/>
        <v>1</v>
      </c>
      <c r="I21" t="str">
        <f>IF(FT!B21&lt;&gt;"",FT!E21,"")</f>
        <v>1 [7.709912]</v>
      </c>
      <c r="J21">
        <f>IF(FT!B21&lt;&gt;"",FT!C21,"")</f>
        <v>7.7099099999999998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2.4905400000000002</v>
      </c>
      <c r="G22" s="61">
        <f>IF(FT!B22&lt;&gt;"",FT!B22*100,"")</f>
        <v>48.454700000000003</v>
      </c>
      <c r="H22" s="61">
        <f t="shared" si="1"/>
        <v>1</v>
      </c>
      <c r="I22" t="str">
        <f>IF(FT!B22&lt;&gt;"",FT!E22,"")</f>
        <v>1 [8.118195]</v>
      </c>
      <c r="J22">
        <f>IF(FT!B22&lt;&gt;"",FT!C22,"")</f>
        <v>8.1181900000000002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59624</v>
      </c>
      <c r="D23" s="61">
        <f>FH!B23*1</f>
        <v>59624</v>
      </c>
      <c r="E23">
        <f t="shared" si="3"/>
        <v>21</v>
      </c>
      <c r="F23" s="61">
        <f>IF(FT!A23&lt;&gt;"",FT!A23*10,"")</f>
        <v>2.5450900000000001</v>
      </c>
      <c r="G23" s="61">
        <f>IF(FT!B23&lt;&gt;"",FT!B23*100,"")</f>
        <v>47.913499999999999</v>
      </c>
      <c r="H23" s="61">
        <f t="shared" si="1"/>
        <v>1</v>
      </c>
      <c r="I23" t="str">
        <f>IF(FT!B23&lt;&gt;"",FT!E23,"")</f>
        <v>1 [8.526854]</v>
      </c>
      <c r="J23">
        <f>IF(FT!B23&lt;&gt;"",FT!C23,"")</f>
        <v>8.5268499999999996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2.5975100000000002</v>
      </c>
      <c r="G24" s="61">
        <f>IF(FT!B24&lt;&gt;"",FT!B24*100,"")</f>
        <v>47.3521</v>
      </c>
      <c r="H24" s="61">
        <f t="shared" si="1"/>
        <v>1</v>
      </c>
      <c r="I24" t="str">
        <f>IF(FT!B24&lt;&gt;"",FT!E24,"")</f>
        <v>1 [8.931555]</v>
      </c>
      <c r="J24">
        <f>IF(FT!B24&lt;&gt;"",FT!C24,"")</f>
        <v>8.9315499999999997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2.6498500000000003</v>
      </c>
      <c r="G25" s="61">
        <f>IF(FT!B25&lt;&gt;"",FT!B25*100,"")</f>
        <v>46.679700000000004</v>
      </c>
      <c r="H25" s="61">
        <f t="shared" si="1"/>
        <v>1</v>
      </c>
      <c r="I25" t="str">
        <f>IF(FT!B25&lt;&gt;"",FT!E25,"")</f>
        <v>1 [9.338843]</v>
      </c>
      <c r="J25">
        <f>IF(FT!B25&lt;&gt;"",FT!C25,"")</f>
        <v>9.3388399999999994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64951</v>
      </c>
      <c r="D26" s="61">
        <f>FH!B26*1</f>
        <v>64951</v>
      </c>
      <c r="E26">
        <f t="shared" si="3"/>
        <v>24</v>
      </c>
      <c r="F26" s="61">
        <f>IF(FT!A26&lt;&gt;"",FT!A26*10,"")</f>
        <v>2.7052500000000004</v>
      </c>
      <c r="G26" s="61">
        <f>IF(FT!B26&lt;&gt;"",FT!B26*100,"")</f>
        <v>45.829799999999999</v>
      </c>
      <c r="H26" s="61">
        <f t="shared" si="1"/>
        <v>1</v>
      </c>
      <c r="I26" t="str">
        <f>IF(FT!B26&lt;&gt;"",FT!E26,"")</f>
        <v>1 [9.742585]</v>
      </c>
      <c r="J26">
        <f>IF(FT!B26&lt;&gt;"",FT!C26,"")</f>
        <v>9.7425800000000002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2.7618999999999998</v>
      </c>
      <c r="G27" s="61">
        <f>IF(FT!B27&lt;&gt;"",FT!B27*100,"")</f>
        <v>44.787300000000002</v>
      </c>
      <c r="H27" s="61">
        <f t="shared" si="1"/>
        <v>1</v>
      </c>
      <c r="I27" t="str">
        <f>IF(FT!B27&lt;&gt;"",FT!E27,"")</f>
        <v>1 [10.146855]</v>
      </c>
      <c r="J27">
        <f>IF(FT!B27&lt;&gt;"",FT!C27,"")</f>
        <v>10.1469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78611</v>
      </c>
      <c r="D28" s="61">
        <f>FH!B28*1</f>
        <v>78611</v>
      </c>
      <c r="E28">
        <f t="shared" si="3"/>
        <v>26</v>
      </c>
      <c r="F28" s="61">
        <f>IF(FT!A28&lt;&gt;"",FT!A28*10,"")</f>
        <v>2.8186800000000001</v>
      </c>
      <c r="G28" s="61">
        <f>IF(FT!B28&lt;&gt;"",FT!B28*100,"")</f>
        <v>43.679099999999998</v>
      </c>
      <c r="H28" s="61">
        <f t="shared" si="1"/>
        <v>1</v>
      </c>
      <c r="I28" t="str">
        <f>IF(FT!B28&lt;&gt;"",FT!E28,"")</f>
        <v>1 [10.557595]</v>
      </c>
      <c r="J28">
        <f>IF(FT!B28&lt;&gt;"",FT!C28,"")</f>
        <v>10.557600000000001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2.8758699999999999</v>
      </c>
      <c r="G29" s="61">
        <f>IF(FT!B29&lt;&gt;"",FT!B29*100,"")</f>
        <v>42.594000000000001</v>
      </c>
      <c r="H29" s="61">
        <f t="shared" si="1"/>
        <v>1</v>
      </c>
      <c r="I29" t="str">
        <f>IF(FT!B29&lt;&gt;"",FT!E29,"")</f>
        <v>1 [10.962177]</v>
      </c>
      <c r="J29">
        <f>IF(FT!B29&lt;&gt;"",FT!C29,"")</f>
        <v>10.962199999999999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2.93283</v>
      </c>
      <c r="G30" s="61">
        <f>IF(FT!B30&lt;&gt;"",FT!B30*100,"")</f>
        <v>41.579500000000003</v>
      </c>
      <c r="H30" s="61">
        <f t="shared" si="1"/>
        <v>1</v>
      </c>
      <c r="I30" t="str">
        <f>IF(FT!B30&lt;&gt;"",FT!E30,"")</f>
        <v>1 [11.367085]</v>
      </c>
      <c r="J30">
        <f>IF(FT!B30&lt;&gt;"",FT!C30,"")</f>
        <v>11.367100000000001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88571</v>
      </c>
      <c r="D31" s="61">
        <f>FH!B31*1</f>
        <v>88571</v>
      </c>
      <c r="E31">
        <f t="shared" si="3"/>
        <v>29</v>
      </c>
      <c r="F31" s="61">
        <f>IF(FT!A31&lt;&gt;"",FT!A31*10,"")</f>
        <v>2.9914800000000001</v>
      </c>
      <c r="G31" s="61">
        <f>IF(FT!B31&lt;&gt;"",FT!B31*100,"")</f>
        <v>40.5627</v>
      </c>
      <c r="H31" s="61">
        <f t="shared" si="1"/>
        <v>1</v>
      </c>
      <c r="I31" t="str">
        <f>IF(FT!B31&lt;&gt;"",FT!E31,"")</f>
        <v>1 [11.774599]</v>
      </c>
      <c r="J31">
        <f>IF(FT!B31&lt;&gt;"",FT!C31,"")</f>
        <v>11.7746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3.0486499999999999</v>
      </c>
      <c r="G32" s="61">
        <f>IF(FT!B32&lt;&gt;"",FT!B32*100,"")</f>
        <v>39.704699999999995</v>
      </c>
      <c r="H32" s="61">
        <f t="shared" si="1"/>
        <v>1</v>
      </c>
      <c r="I32" t="str">
        <f>IF(FT!B32&lt;&gt;"",FT!E32,"")</f>
        <v>1 [12.180974]</v>
      </c>
      <c r="J32">
        <f>IF(FT!B32&lt;&gt;"",FT!C32,"")</f>
        <v>12.180999999999999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90740</v>
      </c>
      <c r="D33" s="61">
        <f>FH!B33*1</f>
        <v>90740</v>
      </c>
      <c r="E33">
        <f t="shared" si="3"/>
        <v>31</v>
      </c>
      <c r="F33" s="61">
        <f>IF(FT!A33&lt;&gt;"",FT!A33*10,"")</f>
        <v>3.10128</v>
      </c>
      <c r="G33" s="61">
        <f>IF(FT!B33&lt;&gt;"",FT!B33*100,"")</f>
        <v>39.022300000000001</v>
      </c>
      <c r="H33" s="61">
        <f t="shared" si="1"/>
        <v>1</v>
      </c>
      <c r="I33" t="str">
        <f>IF(FT!B33&lt;&gt;"",FT!E33,"")</f>
        <v>1 [12.587337]</v>
      </c>
      <c r="J33">
        <f>IF(FT!B33&lt;&gt;"",FT!C33,"")</f>
        <v>12.587300000000001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3.14541</v>
      </c>
      <c r="G34" s="61">
        <f>IF(FT!B34&lt;&gt;"",FT!B34*100,"")</f>
        <v>38.523000000000003</v>
      </c>
      <c r="H34" s="61">
        <f t="shared" si="1"/>
        <v>1</v>
      </c>
      <c r="I34" t="str">
        <f>IF(FT!B34&lt;&gt;"",FT!E34,"")</f>
        <v>1 [12.994955]</v>
      </c>
      <c r="J34">
        <f>IF(FT!B34&lt;&gt;"",FT!C34,"")</f>
        <v>12.994999999999999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3.1803699999999999</v>
      </c>
      <c r="G35" s="61">
        <f>IF(FT!B35&lt;&gt;"",FT!B35*100,"")</f>
        <v>38.175199999999997</v>
      </c>
      <c r="H35" s="61">
        <f t="shared" si="1"/>
        <v>1</v>
      </c>
      <c r="I35" t="str">
        <f>IF(FT!B35&lt;&gt;"",FT!E35,"")</f>
        <v>1 [13.397829]</v>
      </c>
      <c r="J35">
        <f>IF(FT!B35&lt;&gt;"",FT!C35,"")</f>
        <v>13.3978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91301</v>
      </c>
      <c r="D36" s="61">
        <f>FH!B36*1</f>
        <v>91301</v>
      </c>
      <c r="E36">
        <f t="shared" si="3"/>
        <v>34</v>
      </c>
      <c r="F36" s="61">
        <f>IF(FT!A36&lt;&gt;"",FT!A36*10,"")</f>
        <v>3.2099199999999999</v>
      </c>
      <c r="G36" s="61">
        <f>IF(FT!B36&lt;&gt;"",FT!B36*100,"")</f>
        <v>37.8367</v>
      </c>
      <c r="H36" s="61">
        <f t="shared" si="1"/>
        <v>1</v>
      </c>
      <c r="I36" t="str">
        <f>IF(FT!B36&lt;&gt;"",FT!E36,"")</f>
        <v>1 [13.805041]</v>
      </c>
      <c r="J36">
        <f>IF(FT!B36&lt;&gt;"",FT!C36,"")</f>
        <v>13.805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3.23841</v>
      </c>
      <c r="G37" s="61">
        <f>IF(FT!B37&lt;&gt;"",FT!B37*100,"")</f>
        <v>37.485700000000001</v>
      </c>
      <c r="H37" s="61">
        <f t="shared" si="1"/>
        <v>1</v>
      </c>
      <c r="I37" t="str">
        <f>IF(FT!B37&lt;&gt;"",FT!E37,"")</f>
        <v>1 [14.213533]</v>
      </c>
      <c r="J37">
        <f>IF(FT!B37&lt;&gt;"",FT!C37,"")</f>
        <v>14.2135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3.2708700000000004</v>
      </c>
      <c r="G38" s="61">
        <f>IF(FT!B38&lt;&gt;"",FT!B38*100,"")</f>
        <v>37.073699999999995</v>
      </c>
      <c r="H38" s="61">
        <f t="shared" si="1"/>
        <v>1</v>
      </c>
      <c r="I38" t="str">
        <f>IF(FT!B38&lt;&gt;"",FT!E38,"")</f>
        <v>1 [14.617511]</v>
      </c>
      <c r="J38">
        <f>IF(FT!B38&lt;&gt;"",FT!C38,"")</f>
        <v>14.6175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90736</v>
      </c>
      <c r="D39" s="61">
        <f>FH!B39*1</f>
        <v>90736</v>
      </c>
      <c r="E39">
        <f t="shared" si="3"/>
        <v>37</v>
      </c>
      <c r="F39" s="61">
        <f>IF(FT!A39&lt;&gt;"",FT!A39*10,"")</f>
        <v>3.3040399999999996</v>
      </c>
      <c r="G39" s="61">
        <f>IF(FT!B39&lt;&gt;"",FT!B39*100,"")</f>
        <v>36.6997</v>
      </c>
      <c r="H39" s="61">
        <f t="shared" si="1"/>
        <v>1</v>
      </c>
      <c r="I39" t="str">
        <f>IF(FT!B39&lt;&gt;"",FT!E39,"")</f>
        <v>1 [15.023725]</v>
      </c>
      <c r="J39">
        <f>IF(FT!B39&lt;&gt;"",FT!C39,"")</f>
        <v>15.0237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3.33751</v>
      </c>
      <c r="G40" s="61">
        <f>IF(FT!B40&lt;&gt;"",FT!B40*100,"")</f>
        <v>36.398899999999998</v>
      </c>
      <c r="H40" s="61">
        <f t="shared" si="1"/>
        <v>1</v>
      </c>
      <c r="I40" t="str">
        <f>IF(FT!B40&lt;&gt;"",FT!E40,"")</f>
        <v>1 [15.432022]</v>
      </c>
      <c r="J40">
        <f>IF(FT!B40&lt;&gt;"",FT!C40,"")</f>
        <v>15.432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90937</v>
      </c>
      <c r="D41" s="61">
        <f>FH!B41*1</f>
        <v>90937</v>
      </c>
      <c r="E41">
        <f t="shared" si="3"/>
        <v>39</v>
      </c>
      <c r="F41" s="61">
        <f>IF(FT!A41&lt;&gt;"",FT!A41*10,"")</f>
        <v>3.36815</v>
      </c>
      <c r="G41" s="61">
        <f>IF(FT!B41&lt;&gt;"",FT!B41*100,"")</f>
        <v>36.0548</v>
      </c>
      <c r="H41" s="61">
        <f t="shared" si="1"/>
        <v>1</v>
      </c>
      <c r="I41" t="str">
        <f>IF(FT!B41&lt;&gt;"",FT!E41,"")</f>
        <v>1 [15.836144]</v>
      </c>
      <c r="J41">
        <f>IF(FT!B41&lt;&gt;"",FT!C41,"")</f>
        <v>15.8361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3.39595</v>
      </c>
      <c r="G42" s="61">
        <f>IF(FT!B42&lt;&gt;"",FT!B42*100,"")</f>
        <v>35.7029</v>
      </c>
      <c r="H42" s="61">
        <f t="shared" si="1"/>
        <v>1</v>
      </c>
      <c r="I42" t="str">
        <f>IF(FT!B42&lt;&gt;"",FT!E42,"")</f>
        <v>1 [16.244453]</v>
      </c>
      <c r="J42">
        <f>IF(FT!B42&lt;&gt;"",FT!C42,"")</f>
        <v>16.244499999999999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3.4214000000000002</v>
      </c>
      <c r="G43" s="61">
        <f>IF(FT!B43&lt;&gt;"",FT!B43*100,"")</f>
        <v>35.349899999999998</v>
      </c>
      <c r="H43" s="61">
        <f t="shared" si="1"/>
        <v>1</v>
      </c>
      <c r="I43" t="str">
        <f>IF(FT!B43&lt;&gt;"",FT!E43,"")</f>
        <v>1 [16.651073]</v>
      </c>
      <c r="J43">
        <f>IF(FT!B43&lt;&gt;"",FT!C43,"")</f>
        <v>16.6511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91086</v>
      </c>
      <c r="D44" s="61">
        <f>FH!B44*1</f>
        <v>91086</v>
      </c>
      <c r="E44">
        <f t="shared" si="3"/>
        <v>42</v>
      </c>
      <c r="F44" s="61">
        <f>IF(FT!A44&lt;&gt;"",FT!A44*10,"")</f>
        <v>3.4451100000000001</v>
      </c>
      <c r="G44" s="61">
        <f>IF(FT!B44&lt;&gt;"",FT!B44*100,"")</f>
        <v>35.056399999999996</v>
      </c>
      <c r="H44" s="61">
        <f t="shared" si="1"/>
        <v>1</v>
      </c>
      <c r="I44" t="str">
        <f>IF(FT!B44&lt;&gt;"",FT!E44,"")</f>
        <v>1 [17.052889]</v>
      </c>
      <c r="J44">
        <f>IF(FT!B44&lt;&gt;"",FT!C44,"")</f>
        <v>17.052900000000001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3.4654499999999997</v>
      </c>
      <c r="G45" s="61">
        <f>IF(FT!B45&lt;&gt;"",FT!B45*100,"")</f>
        <v>34.820900000000002</v>
      </c>
      <c r="H45" s="61">
        <f t="shared" si="1"/>
        <v>1</v>
      </c>
      <c r="I45" t="str">
        <f>IF(FT!B45&lt;&gt;"",FT!E45,"")</f>
        <v>1 [17.462218]</v>
      </c>
      <c r="J45">
        <f>IF(FT!B45&lt;&gt;"",FT!C45,"")</f>
        <v>17.462199999999999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94664</v>
      </c>
      <c r="D46" s="61">
        <f>FH!B46*1</f>
        <v>94664</v>
      </c>
      <c r="E46">
        <f t="shared" si="3"/>
        <v>44</v>
      </c>
      <c r="F46" s="61">
        <f>IF(FT!A46&lt;&gt;"",FT!A46*10,"")</f>
        <v>3.4808299999999996</v>
      </c>
      <c r="G46" s="61">
        <f>IF(FT!B46&lt;&gt;"",FT!B46*100,"")</f>
        <v>34.6721</v>
      </c>
      <c r="H46" s="61">
        <f t="shared" si="1"/>
        <v>1</v>
      </c>
      <c r="I46" t="str">
        <f>IF(FT!B46&lt;&gt;"",FT!E46,"")</f>
        <v>1 [17.870159]</v>
      </c>
      <c r="J46">
        <f>IF(FT!B46&lt;&gt;"",FT!C46,"")</f>
        <v>17.870200000000001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3.4915699999999998</v>
      </c>
      <c r="G47" s="61">
        <f>IF(FT!B47&lt;&gt;"",FT!B47*100,"")</f>
        <v>34.549500000000002</v>
      </c>
      <c r="H47" s="61">
        <f t="shared" si="1"/>
        <v>1</v>
      </c>
      <c r="I47" t="str">
        <f>IF(FT!B47&lt;&gt;"",FT!E47,"")</f>
        <v>1 [18.274938]</v>
      </c>
      <c r="J47">
        <f>IF(FT!B47&lt;&gt;"",FT!C47,"")</f>
        <v>18.274899999999999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3.4954400000000003</v>
      </c>
      <c r="G48" s="61">
        <f>IF(FT!B48&lt;&gt;"",FT!B48*100,"")</f>
        <v>34.4709</v>
      </c>
      <c r="H48" s="61">
        <f t="shared" si="1"/>
        <v>1</v>
      </c>
      <c r="I48" t="str">
        <f>IF(FT!B48&lt;&gt;"",FT!E48,"")</f>
        <v>1 [18.682188]</v>
      </c>
      <c r="J48">
        <f>IF(FT!B48&lt;&gt;"",FT!C48,"")</f>
        <v>18.682200000000002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95252</v>
      </c>
      <c r="D49" s="61">
        <f>FH!B49*1</f>
        <v>95252</v>
      </c>
      <c r="E49">
        <f t="shared" si="3"/>
        <v>47</v>
      </c>
      <c r="F49" s="61">
        <f>IF(FT!A49&lt;&gt;"",FT!A49*10,"")</f>
        <v>3.49634</v>
      </c>
      <c r="G49" s="61">
        <f>IF(FT!B49&lt;&gt;"",FT!B49*100,"")</f>
        <v>34.392499999999998</v>
      </c>
      <c r="H49" s="61">
        <f t="shared" si="1"/>
        <v>1</v>
      </c>
      <c r="I49" t="str">
        <f>IF(FT!B49&lt;&gt;"",FT!E49,"")</f>
        <v>1 [19.086752]</v>
      </c>
      <c r="J49">
        <f>IF(FT!B49&lt;&gt;"",FT!C49,"")</f>
        <v>19.0868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3.4941599999999999</v>
      </c>
      <c r="G50" s="61">
        <f>IF(FT!B50&lt;&gt;"",FT!B50*100,"")</f>
        <v>34.350099999999998</v>
      </c>
      <c r="H50" s="61">
        <f t="shared" si="1"/>
        <v>1</v>
      </c>
      <c r="I50" t="str">
        <f>IF(FT!B50&lt;&gt;"",FT!E50,"")</f>
        <v>1 [19.491428]</v>
      </c>
      <c r="J50">
        <f>IF(FT!B50&lt;&gt;"",FT!C50,"")</f>
        <v>19.491399999999999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98460</v>
      </c>
      <c r="D51" s="61">
        <f>FH!B51*1</f>
        <v>98460</v>
      </c>
      <c r="E51">
        <f t="shared" si="3"/>
        <v>49</v>
      </c>
      <c r="F51" s="61">
        <f>IF(FT!A51&lt;&gt;"",FT!A51*10,"")</f>
        <v>3.484</v>
      </c>
      <c r="G51" s="61">
        <f>IF(FT!B51&lt;&gt;"",FT!B51*100,"")</f>
        <v>34.322900000000004</v>
      </c>
      <c r="H51" s="61">
        <f t="shared" si="1"/>
        <v>1</v>
      </c>
      <c r="I51" t="str">
        <f>IF(FT!B51&lt;&gt;"",FT!E51,"")</f>
        <v>1 [19.899543]</v>
      </c>
      <c r="J51">
        <f>IF(FT!B51&lt;&gt;"",FT!C51,"")</f>
        <v>19.8995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3.4775200000000002</v>
      </c>
      <c r="G52" s="61">
        <f>IF(FT!B52&lt;&gt;"",FT!B52*100,"")</f>
        <v>34.296599999999998</v>
      </c>
      <c r="H52" s="61">
        <f t="shared" si="1"/>
        <v>1</v>
      </c>
      <c r="I52" t="str">
        <f>IF(FT!B52&lt;&gt;"",FT!E52,"")</f>
        <v>1 [20.307264]</v>
      </c>
      <c r="J52">
        <f>IF(FT!B52&lt;&gt;"",FT!C52,"")</f>
        <v>20.307300000000001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3.4450799999999999</v>
      </c>
      <c r="G53" s="61">
        <f>IF(FT!B53&lt;&gt;"",FT!B53*100,"")</f>
        <v>34.364699999999999</v>
      </c>
      <c r="H53" s="61">
        <f t="shared" si="1"/>
        <v>1</v>
      </c>
      <c r="I53" t="str">
        <f>IF(FT!B53&lt;&gt;"",FT!E53,"")</f>
        <v>1 [20.712129]</v>
      </c>
      <c r="J53">
        <f>IF(FT!B53&lt;&gt;"",FT!C53,"")</f>
        <v>20.7121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100350</v>
      </c>
      <c r="D54" s="61">
        <f>FH!B54*1</f>
        <v>100350</v>
      </c>
      <c r="E54">
        <f t="shared" si="3"/>
        <v>52</v>
      </c>
      <c r="F54" s="61">
        <f>IF(FT!A54&lt;&gt;"",FT!A54*10,"")</f>
        <v>3.4309699999999999</v>
      </c>
      <c r="G54" s="61">
        <f>IF(FT!B54&lt;&gt;"",FT!B54*100,"")</f>
        <v>34.434799999999996</v>
      </c>
      <c r="H54" s="61">
        <f t="shared" si="1"/>
        <v>1</v>
      </c>
      <c r="I54" t="str">
        <f>IF(FT!B54&lt;&gt;"",FT!E54,"")</f>
        <v>1 [21.114915]</v>
      </c>
      <c r="J54">
        <f>IF(FT!B54&lt;&gt;"",FT!C54,"")</f>
        <v>21.114899999999999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3.4048400000000001</v>
      </c>
      <c r="G55" s="61">
        <f>IF(FT!B55&lt;&gt;"",FT!B55*100,"")</f>
        <v>34.609899999999996</v>
      </c>
      <c r="H55" s="61">
        <f t="shared" si="1"/>
        <v>1</v>
      </c>
      <c r="I55" t="str">
        <f>IF(FT!B55&lt;&gt;"",FT!E55,"")</f>
        <v>1 [21.522892]</v>
      </c>
      <c r="J55">
        <f>IF(FT!B55&lt;&gt;"",FT!C55,"")</f>
        <v>21.5229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3.3634900000000001</v>
      </c>
      <c r="G56" s="61">
        <f>IF(FT!B56&lt;&gt;"",FT!B56*100,"")</f>
        <v>34.9467</v>
      </c>
      <c r="H56" s="61">
        <f t="shared" si="1"/>
        <v>1</v>
      </c>
      <c r="I56" t="str">
        <f>IF(FT!B56&lt;&gt;"",FT!E56,"")</f>
        <v>1 [21.932325]</v>
      </c>
      <c r="J56">
        <f>IF(FT!B56&lt;&gt;"",FT!C56,"")</f>
        <v>21.932300000000001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102322</v>
      </c>
      <c r="D57" s="61">
        <f>FH!B57*1</f>
        <v>102322</v>
      </c>
      <c r="E57">
        <f t="shared" si="3"/>
        <v>55</v>
      </c>
      <c r="F57" s="61">
        <f>IF(FT!A57&lt;&gt;"",FT!A57*10,"")</f>
        <v>3.32918</v>
      </c>
      <c r="G57" s="61">
        <f>IF(FT!B57&lt;&gt;"",FT!B57*100,"")</f>
        <v>35.246899999999997</v>
      </c>
      <c r="H57" s="61">
        <f t="shared" si="1"/>
        <v>1</v>
      </c>
      <c r="I57" t="str">
        <f>IF(FT!B57&lt;&gt;"",FT!E57,"")</f>
        <v>1 [22.339822]</v>
      </c>
      <c r="J57">
        <f>IF(FT!B57&lt;&gt;"",FT!C57,"")</f>
        <v>22.3398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3.2942300000000002</v>
      </c>
      <c r="G58" s="61">
        <f>IF(FT!B58&lt;&gt;"",FT!B58*100,"")</f>
        <v>35.529600000000002</v>
      </c>
      <c r="H58" s="61">
        <f t="shared" si="1"/>
        <v>1</v>
      </c>
      <c r="I58" t="str">
        <f>IF(FT!B58&lt;&gt;"",FT!E58,"")</f>
        <v>1 [22.746580]</v>
      </c>
      <c r="J58">
        <f>IF(FT!B58&lt;&gt;"",FT!C58,"")</f>
        <v>22.746600000000001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109726</v>
      </c>
      <c r="D59" s="61">
        <f>FH!B59*1</f>
        <v>109726</v>
      </c>
      <c r="E59">
        <f t="shared" si="3"/>
        <v>57</v>
      </c>
      <c r="F59" s="61">
        <f>IF(FT!A59&lt;&gt;"",FT!A59*10,"")</f>
        <v>3.2592400000000001</v>
      </c>
      <c r="G59" s="61">
        <f>IF(FT!B59&lt;&gt;"",FT!B59*100,"")</f>
        <v>35.672699999999999</v>
      </c>
      <c r="H59" s="61">
        <f t="shared" si="1"/>
        <v>1</v>
      </c>
      <c r="I59" t="str">
        <f>IF(FT!B59&lt;&gt;"",FT!E59,"")</f>
        <v>1 [23.151031]</v>
      </c>
      <c r="J59">
        <f>IF(FT!B59&lt;&gt;"",FT!C59,"")</f>
        <v>23.151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3.23807</v>
      </c>
      <c r="G60" s="61">
        <f>IF(FT!B60&lt;&gt;"",FT!B60*100,"")</f>
        <v>35.703800000000001</v>
      </c>
      <c r="H60" s="61">
        <f t="shared" si="1"/>
        <v>1</v>
      </c>
      <c r="I60" t="str">
        <f>IF(FT!B60&lt;&gt;"",FT!E60,"")</f>
        <v>1 [23.553275]</v>
      </c>
      <c r="J60">
        <f>IF(FT!B60&lt;&gt;"",FT!C60,"")</f>
        <v>23.5533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3.1900899999999996</v>
      </c>
      <c r="G61" s="61">
        <f>IF(FT!B61&lt;&gt;"",FT!B61*100,"")</f>
        <v>35.783200000000001</v>
      </c>
      <c r="H61" s="61">
        <f t="shared" si="1"/>
        <v>1</v>
      </c>
      <c r="I61" t="str">
        <f>IF(FT!B61&lt;&gt;"",FT!E61,"")</f>
        <v>1 [23.962137]</v>
      </c>
      <c r="J61">
        <f>IF(FT!B61&lt;&gt;"",FT!C61,"")</f>
        <v>23.9621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111034</v>
      </c>
      <c r="D62" s="61">
        <f>FH!B62*1</f>
        <v>111034</v>
      </c>
      <c r="E62">
        <f t="shared" si="3"/>
        <v>60</v>
      </c>
      <c r="F62" s="61">
        <f>IF(FT!A62&lt;&gt;"",FT!A62*10,"")</f>
        <v>3.1662699999999999</v>
      </c>
      <c r="G62" s="61">
        <f>IF(FT!B62&lt;&gt;"",FT!B62*100,"")</f>
        <v>35.884599999999999</v>
      </c>
      <c r="H62" s="61">
        <f t="shared" si="1"/>
        <v>1</v>
      </c>
      <c r="I62" t="str">
        <f>IF(FT!B62&lt;&gt;"",FT!E62,"")</f>
        <v>1 [24.370528]</v>
      </c>
      <c r="J62">
        <f>IF(FT!B62&lt;&gt;"",FT!C62,"")</f>
        <v>24.3705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3.12439</v>
      </c>
      <c r="G63" s="61">
        <f>IF(FT!B63&lt;&gt;"",FT!B63*100,"")</f>
        <v>36.174499999999995</v>
      </c>
      <c r="H63" s="61">
        <f t="shared" si="1"/>
        <v>1</v>
      </c>
      <c r="I63" t="str">
        <f>IF(FT!B63&lt;&gt;"",FT!E63,"")</f>
        <v>1 [24.776323]</v>
      </c>
      <c r="J63">
        <f>IF(FT!B63&lt;&gt;"",FT!C63,"")</f>
        <v>24.776299999999999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113525</v>
      </c>
      <c r="D64" s="61">
        <f>FH!B64*1</f>
        <v>113525</v>
      </c>
      <c r="E64">
        <f t="shared" si="3"/>
        <v>62</v>
      </c>
      <c r="F64" s="61">
        <f>IF(FT!A64&lt;&gt;"",FT!A64*10,"")</f>
        <v>3.0828199999999999</v>
      </c>
      <c r="G64" s="61">
        <f>IF(FT!B64&lt;&gt;"",FT!B64*100,"")</f>
        <v>36.5946</v>
      </c>
      <c r="H64" s="61">
        <f t="shared" si="1"/>
        <v>1</v>
      </c>
      <c r="I64" t="str">
        <f>IF(FT!B64&lt;&gt;"",FT!E64,"")</f>
        <v>1 [25.178809]</v>
      </c>
      <c r="J64">
        <f>IF(FT!B64&lt;&gt;"",FT!C64,"")</f>
        <v>25.178799999999999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3.0406300000000002</v>
      </c>
      <c r="G65" s="61">
        <f>IF(FT!B65&lt;&gt;"",FT!B65*100,"")</f>
        <v>37.064</v>
      </c>
      <c r="H65" s="61">
        <f t="shared" si="1"/>
        <v>1</v>
      </c>
      <c r="I65" t="str">
        <f>IF(FT!B65&lt;&gt;"",FT!E65,"")</f>
        <v>1 [25.585330]</v>
      </c>
      <c r="J65">
        <f>IF(FT!B65&lt;&gt;"",FT!C65,"")</f>
        <v>25.5853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2.98874</v>
      </c>
      <c r="G66" s="61">
        <f>IF(FT!B66&lt;&gt;"",FT!B66*100,"")</f>
        <v>37.680599999999998</v>
      </c>
      <c r="H66" s="61">
        <f t="shared" si="1"/>
        <v>1</v>
      </c>
      <c r="I66" t="str">
        <f>IF(FT!B66&lt;&gt;"",FT!E66,"")</f>
        <v>1 [25.994096]</v>
      </c>
      <c r="J66">
        <f>IF(FT!B66&lt;&gt;"",FT!C66,"")</f>
        <v>25.9941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118462</v>
      </c>
      <c r="D67" s="61">
        <f>FH!B67*1</f>
        <v>118462</v>
      </c>
      <c r="E67">
        <f t="shared" si="3"/>
        <v>65</v>
      </c>
      <c r="F67" s="61">
        <f>IF(FT!A67&lt;&gt;"",FT!A67*10,"")</f>
        <v>2.9492400000000001</v>
      </c>
      <c r="G67" s="61">
        <f>IF(FT!B67&lt;&gt;"",FT!B67*100,"")</f>
        <v>38.2819</v>
      </c>
      <c r="H67" s="61">
        <f t="shared" ref="H67:H130" si="9">(IF(F67&lt;&gt;"",1,""))</f>
        <v>1</v>
      </c>
      <c r="I67" t="str">
        <f>IF(FT!B67&lt;&gt;"",FT!E67,"")</f>
        <v>1 [26.400745]</v>
      </c>
      <c r="J67">
        <f>IF(FT!B67&lt;&gt;"",FT!C67,"")</f>
        <v>26.400700000000001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2.9101599999999999</v>
      </c>
      <c r="G68" s="61">
        <f>IF(FT!B68&lt;&gt;"",FT!B68*100,"")</f>
        <v>39.029299999999999</v>
      </c>
      <c r="H68" s="61">
        <f t="shared" si="9"/>
        <v>1</v>
      </c>
      <c r="I68" t="str">
        <f>IF(FT!B68&lt;&gt;"",FT!E68,"")</f>
        <v>1 [26.808430]</v>
      </c>
      <c r="J68">
        <f>IF(FT!B68&lt;&gt;"",FT!C68,"")</f>
        <v>26.808399999999999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116045</v>
      </c>
      <c r="D69" s="61">
        <f>FH!B69*1</f>
        <v>116045</v>
      </c>
      <c r="E69">
        <f t="shared" si="11"/>
        <v>67</v>
      </c>
      <c r="F69" s="61">
        <f>IF(FT!A69&lt;&gt;"",FT!A69*10,"")</f>
        <v>2.8759200000000003</v>
      </c>
      <c r="G69" s="61">
        <f>IF(FT!B69&lt;&gt;"",FT!B69*100,"")</f>
        <v>39.806100000000001</v>
      </c>
      <c r="H69" s="61">
        <f t="shared" si="9"/>
        <v>1</v>
      </c>
      <c r="I69" t="str">
        <f>IF(FT!B69&lt;&gt;"",FT!E69,"")</f>
        <v>1 [27.211369]</v>
      </c>
      <c r="J69">
        <f>IF(FT!B69&lt;&gt;"",FT!C69,"")</f>
        <v>27.211400000000001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2.8360999999999996</v>
      </c>
      <c r="G70" s="61">
        <f>IF(FT!B70&lt;&gt;"",FT!B70*100,"")</f>
        <v>40.7059</v>
      </c>
      <c r="H70" s="61">
        <f t="shared" si="9"/>
        <v>1</v>
      </c>
      <c r="I70" t="str">
        <f>IF(FT!B70&lt;&gt;"",FT!E70,"")</f>
        <v>1 [27.617366]</v>
      </c>
      <c r="J70">
        <f>IF(FT!B70&lt;&gt;"",FT!C70,"")</f>
        <v>27.6174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2.8071200000000003</v>
      </c>
      <c r="G71" s="61">
        <f>IF(FT!B71&lt;&gt;"",FT!B71*100,"")</f>
        <v>41.366300000000003</v>
      </c>
      <c r="H71" s="61">
        <f t="shared" si="9"/>
        <v>1</v>
      </c>
      <c r="I71" t="str">
        <f>IF(FT!B71&lt;&gt;"",FT!E71,"")</f>
        <v>1 [28.023269]</v>
      </c>
      <c r="J71">
        <f>IF(FT!B71&lt;&gt;"",FT!C71,"")</f>
        <v>28.023299999999999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115323</v>
      </c>
      <c r="D72" s="61">
        <f>FH!B72*1</f>
        <v>115323</v>
      </c>
      <c r="E72">
        <f t="shared" si="11"/>
        <v>70</v>
      </c>
      <c r="F72" s="61">
        <f>IF(FT!A72&lt;&gt;"",FT!A72*10,"")</f>
        <v>2.7760400000000001</v>
      </c>
      <c r="G72" s="61">
        <f>IF(FT!B72&lt;&gt;"",FT!B72*100,"")</f>
        <v>42.0655</v>
      </c>
      <c r="H72" s="61">
        <f t="shared" si="9"/>
        <v>1</v>
      </c>
      <c r="I72" t="str">
        <f>IF(FT!B72&lt;&gt;"",FT!E72,"")</f>
        <v>1 [28.434806]</v>
      </c>
      <c r="J72">
        <f>IF(FT!B72&lt;&gt;"",FT!C72,"")</f>
        <v>28.434799999999999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2.7492200000000002</v>
      </c>
      <c r="G73" s="61">
        <f>IF(FT!B73&lt;&gt;"",FT!B73*100,"")</f>
        <v>42.617399999999996</v>
      </c>
      <c r="H73" s="61">
        <f t="shared" si="9"/>
        <v>1</v>
      </c>
      <c r="I73" t="str">
        <f>IF(FT!B73&lt;&gt;"",FT!E73,"")</f>
        <v>1 [28.836741]</v>
      </c>
      <c r="J73">
        <f>IF(FT!B73&lt;&gt;"",FT!C73,"")</f>
        <v>28.8367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2.7216200000000002</v>
      </c>
      <c r="G74" s="61">
        <f>IF(FT!B74&lt;&gt;"",FT!B74*100,"")</f>
        <v>43.203499999999998</v>
      </c>
      <c r="H74" s="61">
        <f t="shared" si="9"/>
        <v>1</v>
      </c>
      <c r="I74" t="str">
        <f>IF(FT!B74&lt;&gt;"",FT!E74,"")</f>
        <v>1 [29.242920]</v>
      </c>
      <c r="J74">
        <f>IF(FT!B74&lt;&gt;"",FT!C74,"")</f>
        <v>29.242899999999999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106662</v>
      </c>
      <c r="D75" s="61">
        <f>FH!B75*1</f>
        <v>106662</v>
      </c>
      <c r="E75">
        <f t="shared" si="11"/>
        <v>73</v>
      </c>
      <c r="F75" s="61">
        <f>IF(FT!A75&lt;&gt;"",FT!A75*10,"")</f>
        <v>2.69442</v>
      </c>
      <c r="G75" s="61">
        <f>IF(FT!B75&lt;&gt;"",FT!B75*100,"")</f>
        <v>43.780299999999997</v>
      </c>
      <c r="H75" s="61">
        <f t="shared" si="9"/>
        <v>1</v>
      </c>
      <c r="I75" t="str">
        <f>IF(FT!B75&lt;&gt;"",FT!E75,"")</f>
        <v>1 [29.647706]</v>
      </c>
      <c r="J75">
        <f>IF(FT!B75&lt;&gt;"",FT!C75,"")</f>
        <v>29.6477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2.6672200000000004</v>
      </c>
      <c r="G76" s="61">
        <f>IF(FT!B76&lt;&gt;"",FT!B76*100,"")</f>
        <v>44.418900000000001</v>
      </c>
      <c r="H76" s="61">
        <f t="shared" si="9"/>
        <v>1</v>
      </c>
      <c r="I76" t="str">
        <f>IF(FT!B76&lt;&gt;"",FT!E76,"")</f>
        <v>2 [30.057893]</v>
      </c>
      <c r="J76">
        <f>IF(FT!B76&lt;&gt;"",FT!C76,"")</f>
        <v>30.0579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106152</v>
      </c>
      <c r="D77" s="61">
        <f>FH!B77*1</f>
        <v>106152</v>
      </c>
      <c r="E77">
        <f t="shared" si="11"/>
        <v>75</v>
      </c>
      <c r="F77" s="61">
        <f>IF(FT!A77&lt;&gt;"",FT!A77*10,"")</f>
        <v>2.6444000000000001</v>
      </c>
      <c r="G77" s="61">
        <f>IF(FT!B77&lt;&gt;"",FT!B77*100,"")</f>
        <v>44.998699999999999</v>
      </c>
      <c r="H77" s="61">
        <f t="shared" si="9"/>
        <v>1</v>
      </c>
      <c r="I77" t="str">
        <f>IF(FT!B77&lt;&gt;"",FT!E77,"")</f>
        <v>2 [30.528552]</v>
      </c>
      <c r="J77">
        <f>IF(FT!B77&lt;&gt;"",FT!C77,"")</f>
        <v>30.528600000000001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2.6254200000000001</v>
      </c>
      <c r="G78" s="61">
        <f>IF(FT!B78&lt;&gt;"",FT!B78*100,"")</f>
        <v>45.509899999999995</v>
      </c>
      <c r="H78" s="61">
        <f t="shared" si="9"/>
        <v>1</v>
      </c>
      <c r="I78" t="str">
        <f>IF(FT!B78&lt;&gt;"",FT!E78,"")</f>
        <v>2 [30.915069]</v>
      </c>
      <c r="J78">
        <f>IF(FT!B78&lt;&gt;"",FT!C78,"")</f>
        <v>30.915099999999999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2.6050599999999999</v>
      </c>
      <c r="G79" s="61">
        <f>IF(FT!B79&lt;&gt;"",FT!B79*100,"")</f>
        <v>46.120899999999999</v>
      </c>
      <c r="H79" s="61">
        <f t="shared" si="9"/>
        <v>1</v>
      </c>
      <c r="I79" t="str">
        <f>IF(FT!B79&lt;&gt;"",FT!E79,"")</f>
        <v>2 [31.321778]</v>
      </c>
      <c r="J79">
        <f>IF(FT!B79&lt;&gt;"",FT!C79,"")</f>
        <v>31.3218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105258</v>
      </c>
      <c r="D80" s="61">
        <f>FH!B80*1</f>
        <v>105258</v>
      </c>
      <c r="E80">
        <f t="shared" si="11"/>
        <v>78</v>
      </c>
      <c r="F80" s="61">
        <f>IF(FT!A80&lt;&gt;"",FT!A80*10,"")</f>
        <v>2.58514</v>
      </c>
      <c r="G80" s="61">
        <f>IF(FT!B80&lt;&gt;"",FT!B80*100,"")</f>
        <v>46.687200000000004</v>
      </c>
      <c r="H80" s="61">
        <f t="shared" si="9"/>
        <v>1</v>
      </c>
      <c r="I80" t="str">
        <f>IF(FT!B80&lt;&gt;"",FT!E80,"")</f>
        <v>2 [31.731538]</v>
      </c>
      <c r="J80">
        <f>IF(FT!B80&lt;&gt;"",FT!C80,"")</f>
        <v>31.7315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2.5646300000000002</v>
      </c>
      <c r="G81" s="61">
        <f>IF(FT!B81&lt;&gt;"",FT!B81*100,"")</f>
        <v>47.2607</v>
      </c>
      <c r="H81" s="61">
        <f t="shared" si="9"/>
        <v>1</v>
      </c>
      <c r="I81" t="str">
        <f>IF(FT!B81&lt;&gt;"",FT!E81,"")</f>
        <v>2 [32.135799]</v>
      </c>
      <c r="J81">
        <f>IF(FT!B81&lt;&gt;"",FT!C81,"")</f>
        <v>32.135800000000003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101988</v>
      </c>
      <c r="D82" s="61">
        <f>FH!B82*1</f>
        <v>101988</v>
      </c>
      <c r="E82">
        <f t="shared" si="11"/>
        <v>80</v>
      </c>
      <c r="F82" s="61">
        <f>IF(FT!A82&lt;&gt;"",FT!A82*10,"")</f>
        <v>2.54616</v>
      </c>
      <c r="G82" s="61">
        <f>IF(FT!B82&lt;&gt;"",FT!B82*100,"")</f>
        <v>47.762500000000003</v>
      </c>
      <c r="H82" s="61">
        <f t="shared" si="9"/>
        <v>1</v>
      </c>
      <c r="I82" t="str">
        <f>IF(FT!B82&lt;&gt;"",FT!E82,"")</f>
        <v>2 [32.539479]</v>
      </c>
      <c r="J82">
        <f>IF(FT!B82&lt;&gt;"",FT!C82,"")</f>
        <v>32.539499999999997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2.5289600000000001</v>
      </c>
      <c r="G83" s="61">
        <f>IF(FT!B83&lt;&gt;"",FT!B83*100,"")</f>
        <v>48.241399999999999</v>
      </c>
      <c r="H83" s="61">
        <f t="shared" si="9"/>
        <v>1</v>
      </c>
      <c r="I83" t="str">
        <f>IF(FT!B83&lt;&gt;"",FT!E83,"")</f>
        <v>2 [32.946228]</v>
      </c>
      <c r="J83">
        <f>IF(FT!B83&lt;&gt;"",FT!C83,"")</f>
        <v>32.946199999999997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2.5164599999999999</v>
      </c>
      <c r="G84" s="61">
        <f>IF(FT!B84&lt;&gt;"",FT!B84*100,"")</f>
        <v>48.671700000000001</v>
      </c>
      <c r="H84" s="61">
        <f t="shared" si="9"/>
        <v>1</v>
      </c>
      <c r="I84" t="str">
        <f>IF(FT!B84&lt;&gt;"",FT!E84,"")</f>
        <v>2 [33.352565]</v>
      </c>
      <c r="J84">
        <f>IF(FT!B84&lt;&gt;"",FT!C84,"")</f>
        <v>33.352600000000002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98170</v>
      </c>
      <c r="D85" s="61">
        <f>FH!B85*1</f>
        <v>98170</v>
      </c>
      <c r="E85">
        <f t="shared" si="11"/>
        <v>83</v>
      </c>
      <c r="F85" s="61">
        <f>IF(FT!A85&lt;&gt;"",FT!A85*10,"")</f>
        <v>2.5072999999999999</v>
      </c>
      <c r="G85" s="61">
        <f>IF(FT!B85&lt;&gt;"",FT!B85*100,"")</f>
        <v>49.037399999999998</v>
      </c>
      <c r="H85" s="61">
        <f t="shared" si="9"/>
        <v>1</v>
      </c>
      <c r="I85" t="str">
        <f>IF(FT!B85&lt;&gt;"",FT!E85,"")</f>
        <v>2 [33.758635]</v>
      </c>
      <c r="J85">
        <f>IF(FT!B85&lt;&gt;"",FT!C85,"")</f>
        <v>33.758600000000001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2.5019900000000002</v>
      </c>
      <c r="G86" s="61">
        <f>IF(FT!B86&lt;&gt;"",FT!B86*100,"")</f>
        <v>49.368699999999997</v>
      </c>
      <c r="H86" s="61">
        <f t="shared" si="9"/>
        <v>1</v>
      </c>
      <c r="I86" t="str">
        <f>IF(FT!B86&lt;&gt;"",FT!E86,"")</f>
        <v>2 [34.162937]</v>
      </c>
      <c r="J86">
        <f>IF(FT!B86&lt;&gt;"",FT!C86,"")</f>
        <v>34.1629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2.4968599999999999</v>
      </c>
      <c r="G87" s="61">
        <f>IF(FT!B87&lt;&gt;"",FT!B87*100,"")</f>
        <v>49.701299999999996</v>
      </c>
      <c r="H87" s="61">
        <f t="shared" si="9"/>
        <v>1</v>
      </c>
      <c r="I87" t="str">
        <f>IF(FT!B87&lt;&gt;"",FT!E87,"")</f>
        <v>2 [34.571389]</v>
      </c>
      <c r="J87">
        <f>IF(FT!B87&lt;&gt;"",FT!C87,"")</f>
        <v>34.571399999999997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87860</v>
      </c>
      <c r="D88" s="61">
        <f>FH!B88*1</f>
        <v>87860</v>
      </c>
      <c r="E88">
        <f t="shared" si="11"/>
        <v>86</v>
      </c>
      <c r="F88" s="61">
        <f>IF(FT!A88&lt;&gt;"",FT!A88*10,"")</f>
        <v>2.4917600000000002</v>
      </c>
      <c r="G88" s="61">
        <f>IF(FT!B88&lt;&gt;"",FT!B88*100,"")</f>
        <v>50.021999999999998</v>
      </c>
      <c r="H88" s="61">
        <f t="shared" si="9"/>
        <v>1</v>
      </c>
      <c r="I88" t="str">
        <f>IF(FT!B88&lt;&gt;"",FT!E88,"")</f>
        <v>2 [34.977019]</v>
      </c>
      <c r="J88">
        <f>IF(FT!B88&lt;&gt;"",FT!C88,"")</f>
        <v>34.976999999999997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2.48394</v>
      </c>
      <c r="G89" s="61">
        <f>IF(FT!B89&lt;&gt;"",FT!B89*100,"")</f>
        <v>50.393500000000003</v>
      </c>
      <c r="H89" s="61">
        <f t="shared" si="9"/>
        <v>1</v>
      </c>
      <c r="I89" t="str">
        <f>IF(FT!B89&lt;&gt;"",FT!E89,"")</f>
        <v>2 [35.386707]</v>
      </c>
      <c r="J89">
        <f>IF(FT!B89&lt;&gt;"",FT!C89,"")</f>
        <v>35.386699999999998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87742</v>
      </c>
      <c r="D90" s="61">
        <f>FH!B90*1</f>
        <v>87742</v>
      </c>
      <c r="E90">
        <f t="shared" si="11"/>
        <v>88</v>
      </c>
      <c r="F90" s="61">
        <f>IF(FT!A90&lt;&gt;"",FT!A90*10,"")</f>
        <v>2.4788999999999999</v>
      </c>
      <c r="G90" s="61">
        <f>IF(FT!B90&lt;&gt;"",FT!B90*100,"")</f>
        <v>50.731899999999996</v>
      </c>
      <c r="H90" s="61">
        <f t="shared" si="9"/>
        <v>1</v>
      </c>
      <c r="I90" t="str">
        <f>IF(FT!B90&lt;&gt;"",FT!E90,"")</f>
        <v>2 [35.788702]</v>
      </c>
      <c r="J90">
        <f>IF(FT!B90&lt;&gt;"",FT!C90,"")</f>
        <v>35.788699999999999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2.47411</v>
      </c>
      <c r="G91" s="61">
        <f>IF(FT!B91&lt;&gt;"",FT!B91*100,"")</f>
        <v>51.080400000000004</v>
      </c>
      <c r="H91" s="61">
        <f t="shared" si="9"/>
        <v>1</v>
      </c>
      <c r="I91" t="str">
        <f>IF(FT!B91&lt;&gt;"",FT!E91,"")</f>
        <v>2 [36.197353]</v>
      </c>
      <c r="J91">
        <f>IF(FT!B91&lt;&gt;"",FT!C91,"")</f>
        <v>36.197400000000002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2.4720500000000003</v>
      </c>
      <c r="G92" s="61">
        <f>IF(FT!B92&lt;&gt;"",FT!B92*100,"")</f>
        <v>51.359299999999998</v>
      </c>
      <c r="H92" s="61">
        <f t="shared" si="9"/>
        <v>1</v>
      </c>
      <c r="I92" t="str">
        <f>IF(FT!B92&lt;&gt;"",FT!E92,"")</f>
        <v>2 [36.604984]</v>
      </c>
      <c r="J92">
        <f>IF(FT!B92&lt;&gt;"",FT!C92,"")</f>
        <v>36.604999999999997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88772</v>
      </c>
      <c r="D93" s="61">
        <f>FH!B93*1</f>
        <v>88772</v>
      </c>
      <c r="E93">
        <f t="shared" si="11"/>
        <v>91</v>
      </c>
      <c r="F93" s="61">
        <f>IF(FT!A93&lt;&gt;"",FT!A93*10,"")</f>
        <v>2.4704999999999999</v>
      </c>
      <c r="G93" s="61">
        <f>IF(FT!B93&lt;&gt;"",FT!B93*100,"")</f>
        <v>51.570499999999996</v>
      </c>
      <c r="H93" s="61">
        <f t="shared" si="9"/>
        <v>1</v>
      </c>
      <c r="I93" t="str">
        <f>IF(FT!B93&lt;&gt;"",FT!E93,"")</f>
        <v>2 [37.011082]</v>
      </c>
      <c r="J93">
        <f>IF(FT!B93&lt;&gt;"",FT!C93,"")</f>
        <v>37.011099999999999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2.4679200000000003</v>
      </c>
      <c r="G94" s="61">
        <f>IF(FT!B94&lt;&gt;"",FT!B94*100,"")</f>
        <v>51.738900000000001</v>
      </c>
      <c r="H94" s="61">
        <f t="shared" si="9"/>
        <v>1</v>
      </c>
      <c r="I94" t="str">
        <f>IF(FT!B94&lt;&gt;"",FT!E94,"")</f>
        <v>2 [37.418918]</v>
      </c>
      <c r="J94">
        <f>IF(FT!B94&lt;&gt;"",FT!C94,"")</f>
        <v>37.418900000000001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78841</v>
      </c>
      <c r="D95" s="61">
        <f>FH!B95*1</f>
        <v>78841</v>
      </c>
      <c r="E95">
        <f t="shared" si="11"/>
        <v>93</v>
      </c>
      <c r="F95" s="61">
        <f>IF(FT!A95&lt;&gt;"",FT!A95*10,"")</f>
        <v>2.4614500000000001</v>
      </c>
      <c r="G95" s="61">
        <f>IF(FT!B95&lt;&gt;"",FT!B95*100,"")</f>
        <v>51.951999999999998</v>
      </c>
      <c r="H95" s="61">
        <f t="shared" si="9"/>
        <v>1</v>
      </c>
      <c r="I95" t="str">
        <f>IF(FT!B95&lt;&gt;"",FT!E95,"")</f>
        <v>2 [37.822001]</v>
      </c>
      <c r="J95">
        <f>IF(FT!B95&lt;&gt;"",FT!C95,"")</f>
        <v>37.822000000000003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2.4561299999999999</v>
      </c>
      <c r="G96" s="61">
        <f>IF(FT!B96&lt;&gt;"",FT!B96*100,"")</f>
        <v>52.137699999999995</v>
      </c>
      <c r="H96" s="61">
        <f t="shared" si="9"/>
        <v>1</v>
      </c>
      <c r="I96" t="str">
        <f>IF(FT!B96&lt;&gt;"",FT!E96,"")</f>
        <v>2 [38.227398]</v>
      </c>
      <c r="J96">
        <f>IF(FT!B96&lt;&gt;"",FT!C96,"")</f>
        <v>38.227400000000003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2.4500299999999999</v>
      </c>
      <c r="G97" s="61">
        <f>IF(FT!B97&lt;&gt;"",FT!B97*100,"")</f>
        <v>52.310400000000001</v>
      </c>
      <c r="H97" s="61">
        <f t="shared" si="9"/>
        <v>1</v>
      </c>
      <c r="I97" t="str">
        <f>IF(FT!B97&lt;&gt;"",FT!E97,"")</f>
        <v>2 [38.637010]</v>
      </c>
      <c r="J97">
        <f>IF(FT!B97&lt;&gt;"",FT!C97,"")</f>
        <v>38.637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73604</v>
      </c>
      <c r="D98" s="61">
        <f>FH!B98*1</f>
        <v>73604</v>
      </c>
      <c r="E98">
        <f t="shared" si="11"/>
        <v>96</v>
      </c>
      <c r="F98" s="61">
        <f>IF(FT!A98&lt;&gt;"",FT!A98*10,"")</f>
        <v>2.44434</v>
      </c>
      <c r="G98" s="61">
        <f>IF(FT!B98&lt;&gt;"",FT!B98*100,"")</f>
        <v>52.478199999999994</v>
      </c>
      <c r="H98" s="61">
        <f t="shared" si="9"/>
        <v>1</v>
      </c>
      <c r="I98" t="str">
        <f>IF(FT!B98&lt;&gt;"",FT!E98,"")</f>
        <v>2 [39.041371]</v>
      </c>
      <c r="J98">
        <f>IF(FT!B98&lt;&gt;"",FT!C98,"")</f>
        <v>39.041400000000003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2.4389099999999999</v>
      </c>
      <c r="G99" s="61">
        <f>IF(FT!B99&lt;&gt;"",FT!B99*100,"")</f>
        <v>52.636000000000003</v>
      </c>
      <c r="H99" s="61">
        <f t="shared" si="9"/>
        <v>1</v>
      </c>
      <c r="I99" t="str">
        <f>IF(FT!B99&lt;&gt;"",FT!E99,"")</f>
        <v>2 [39.445731]</v>
      </c>
      <c r="J99">
        <f>IF(FT!B99&lt;&gt;"",FT!C99,"")</f>
        <v>39.445700000000002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65935</v>
      </c>
      <c r="D100" s="61">
        <f>FH!B100*1</f>
        <v>65935</v>
      </c>
      <c r="E100">
        <f t="shared" si="11"/>
        <v>98</v>
      </c>
      <c r="F100" s="61">
        <f>IF(FT!A100&lt;&gt;"",FT!A100*10,"")</f>
        <v>2.43547</v>
      </c>
      <c r="G100" s="61">
        <f>IF(FT!B100&lt;&gt;"",FT!B100*100,"")</f>
        <v>52.713500000000003</v>
      </c>
      <c r="H100" s="61">
        <f t="shared" si="9"/>
        <v>1</v>
      </c>
      <c r="I100" t="str">
        <f>IF(FT!B100&lt;&gt;"",FT!E100,"")</f>
        <v>2 [39.852119]</v>
      </c>
      <c r="J100">
        <f>IF(FT!B100&lt;&gt;"",FT!C100,"")</f>
        <v>39.8521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2.4354999999999998</v>
      </c>
      <c r="G101" s="61">
        <f>IF(FT!B101&lt;&gt;"",FT!B101*100,"")</f>
        <v>52.658700000000003</v>
      </c>
      <c r="H101" s="61">
        <f t="shared" si="9"/>
        <v>1</v>
      </c>
      <c r="I101" t="str">
        <f>IF(FT!B101&lt;&gt;"",FT!E101,"")</f>
        <v>2 [40.258804]</v>
      </c>
      <c r="J101">
        <f>IF(FT!B101&lt;&gt;"",FT!C101,"")</f>
        <v>40.258800000000001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2.4368500000000002</v>
      </c>
      <c r="G102" s="61">
        <f>IF(FT!B102&lt;&gt;"",FT!B102*100,"")</f>
        <v>52.522899999999993</v>
      </c>
      <c r="H102" s="61">
        <f t="shared" si="9"/>
        <v>1</v>
      </c>
      <c r="I102" t="str">
        <f>IF(FT!B102&lt;&gt;"",FT!E102,"")</f>
        <v>2 [40.664432]</v>
      </c>
      <c r="J102">
        <f>IF(FT!B102&lt;&gt;"",FT!C102,"")</f>
        <v>40.664400000000001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65008</v>
      </c>
      <c r="D103" s="61">
        <f>FH!B103*1</f>
        <v>65008</v>
      </c>
      <c r="E103">
        <f t="shared" si="11"/>
        <v>101</v>
      </c>
      <c r="F103" s="61">
        <f>IF(FT!A103&lt;&gt;"",FT!A103*10,"")</f>
        <v>2.4403899999999998</v>
      </c>
      <c r="G103" s="61">
        <f>IF(FT!B103&lt;&gt;"",FT!B103*100,"")</f>
        <v>52.309899999999999</v>
      </c>
      <c r="H103" s="61">
        <f t="shared" si="9"/>
        <v>1</v>
      </c>
      <c r="I103" t="str">
        <f>IF(FT!B103&lt;&gt;"",FT!E103,"")</f>
        <v>2 [41.074674]</v>
      </c>
      <c r="J103">
        <f>IF(FT!B103&lt;&gt;"",FT!C103,"")</f>
        <v>41.0747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2.4453800000000001</v>
      </c>
      <c r="G104" s="61">
        <f>IF(FT!B104&lt;&gt;"",FT!B104*100,"")</f>
        <v>51.982099999999996</v>
      </c>
      <c r="H104" s="61">
        <f t="shared" si="9"/>
        <v>1</v>
      </c>
      <c r="I104" t="str">
        <f>IF(FT!B104&lt;&gt;"",FT!E104,"")</f>
        <v>2 [41.480903]</v>
      </c>
      <c r="J104">
        <f>IF(FT!B104&lt;&gt;"",FT!C104,"")</f>
        <v>41.480899999999998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2.45417</v>
      </c>
      <c r="G105" s="61">
        <f>IF(FT!B105&lt;&gt;"",FT!B105*100,"")</f>
        <v>51.518600000000006</v>
      </c>
      <c r="H105" s="61">
        <f t="shared" si="9"/>
        <v>1</v>
      </c>
      <c r="I105" t="str">
        <f>IF(FT!B105&lt;&gt;"",FT!E105,"")</f>
        <v>2 [41.885049]</v>
      </c>
      <c r="J105">
        <f>IF(FT!B105&lt;&gt;"",FT!C105,"")</f>
        <v>41.884999999999998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66048</v>
      </c>
      <c r="D106" s="61">
        <f>FH!B106*1</f>
        <v>66048</v>
      </c>
      <c r="E106">
        <f t="shared" si="11"/>
        <v>104</v>
      </c>
      <c r="F106" s="61">
        <f>IF(FT!A106&lt;&gt;"",FT!A106*10,"")</f>
        <v>2.4636800000000001</v>
      </c>
      <c r="G106" s="61">
        <f>IF(FT!B106&lt;&gt;"",FT!B106*100,"")</f>
        <v>51.047299999999993</v>
      </c>
      <c r="H106" s="61">
        <f t="shared" si="9"/>
        <v>1</v>
      </c>
      <c r="I106" t="str">
        <f>IF(FT!B106&lt;&gt;"",FT!E106,"")</f>
        <v>2 [42.288825]</v>
      </c>
      <c r="J106">
        <f>IF(FT!B106&lt;&gt;"",FT!C106,"")</f>
        <v>42.288800000000002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2.4740599999999997</v>
      </c>
      <c r="G107" s="61">
        <f>IF(FT!B107&lt;&gt;"",FT!B107*100,"")</f>
        <v>50.579900000000002</v>
      </c>
      <c r="H107" s="61">
        <f t="shared" si="9"/>
        <v>1</v>
      </c>
      <c r="I107" t="str">
        <f>IF(FT!B107&lt;&gt;"",FT!E107,"")</f>
        <v>2 [42.694610]</v>
      </c>
      <c r="J107">
        <f>IF(FT!B107&lt;&gt;"",FT!C107,"")</f>
        <v>42.694600000000001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61034</v>
      </c>
      <c r="D108" s="61">
        <f>FH!B108*1</f>
        <v>61034</v>
      </c>
      <c r="E108">
        <f t="shared" si="11"/>
        <v>106</v>
      </c>
      <c r="F108" s="61">
        <f>IF(FT!A108&lt;&gt;"",FT!A108*10,"")</f>
        <v>2.4850400000000001</v>
      </c>
      <c r="G108" s="61">
        <f>IF(FT!B108&lt;&gt;"",FT!B108*100,"")</f>
        <v>50.120600000000003</v>
      </c>
      <c r="H108" s="61">
        <f t="shared" si="9"/>
        <v>1</v>
      </c>
      <c r="I108" t="str">
        <f>IF(FT!B108&lt;&gt;"",FT!E108,"")</f>
        <v>2 [43.103886]</v>
      </c>
      <c r="J108">
        <f>IF(FT!B108&lt;&gt;"",FT!C108,"")</f>
        <v>43.103900000000003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2.4998999999999998</v>
      </c>
      <c r="G109" s="61">
        <f>IF(FT!B109&lt;&gt;"",FT!B109*100,"")</f>
        <v>49.576999999999998</v>
      </c>
      <c r="H109" s="61">
        <f t="shared" si="9"/>
        <v>1</v>
      </c>
      <c r="I109" t="str">
        <f>IF(FT!B109&lt;&gt;"",FT!E109,"")</f>
        <v>2 [43.511738]</v>
      </c>
      <c r="J109">
        <f>IF(FT!B109&lt;&gt;"",FT!C109,"")</f>
        <v>43.511699999999998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2.5155599999999998</v>
      </c>
      <c r="G110" s="61">
        <f>IF(FT!B110&lt;&gt;"",FT!B110*100,"")</f>
        <v>49.0261</v>
      </c>
      <c r="H110" s="61">
        <f t="shared" si="9"/>
        <v>1</v>
      </c>
      <c r="I110" t="str">
        <f>IF(FT!B110&lt;&gt;"",FT!E110,"")</f>
        <v>2 [43.916007]</v>
      </c>
      <c r="J110">
        <f>IF(FT!B110&lt;&gt;"",FT!C110,"")</f>
        <v>43.915999999999997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55565</v>
      </c>
      <c r="D111" s="61">
        <f>FH!B111*1</f>
        <v>55565</v>
      </c>
      <c r="E111">
        <f t="shared" si="11"/>
        <v>109</v>
      </c>
      <c r="F111" s="61">
        <f>IF(FT!A111&lt;&gt;"",FT!A111*10,"")</f>
        <v>2.53199</v>
      </c>
      <c r="G111" s="61">
        <f>IF(FT!B111&lt;&gt;"",FT!B111*100,"")</f>
        <v>48.476799999999997</v>
      </c>
      <c r="H111" s="61">
        <f t="shared" si="9"/>
        <v>1</v>
      </c>
      <c r="I111" t="str">
        <f>IF(FT!B111&lt;&gt;"",FT!E111,"")</f>
        <v>2 [44.320986]</v>
      </c>
      <c r="J111">
        <f>IF(FT!B111&lt;&gt;"",FT!C111,"")</f>
        <v>44.320999999999998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2.5486900000000001</v>
      </c>
      <c r="G112" s="61">
        <f>IF(FT!B112&lt;&gt;"",FT!B112*100,"")</f>
        <v>47.948900000000002</v>
      </c>
      <c r="H112" s="61">
        <f t="shared" si="9"/>
        <v>1</v>
      </c>
      <c r="I112" t="str">
        <f>IF(FT!B112&lt;&gt;"",FT!E112,"")</f>
        <v>2 [44.728304]</v>
      </c>
      <c r="J112">
        <f>IF(FT!B112&lt;&gt;"",FT!C112,"")</f>
        <v>44.728299999999997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51697</v>
      </c>
      <c r="D113" s="61">
        <f>FH!B113*1</f>
        <v>51697</v>
      </c>
      <c r="E113">
        <f t="shared" si="11"/>
        <v>111</v>
      </c>
      <c r="F113" s="61">
        <f>IF(FT!A113&lt;&gt;"",FT!A113*10,"")</f>
        <v>2.5639799999999999</v>
      </c>
      <c r="G113" s="61">
        <f>IF(FT!B113&lt;&gt;"",FT!B113*100,"")</f>
        <v>47.450699999999998</v>
      </c>
      <c r="H113" s="61">
        <f t="shared" si="9"/>
        <v>1</v>
      </c>
      <c r="I113" t="str">
        <f>IF(FT!B113&lt;&gt;"",FT!E113,"")</f>
        <v>2 [45.138649]</v>
      </c>
      <c r="J113">
        <f>IF(FT!B113&lt;&gt;"",FT!C113,"")</f>
        <v>45.138599999999997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2.5808300000000002</v>
      </c>
      <c r="G114" s="61">
        <f>IF(FT!B114&lt;&gt;"",FT!B114*100,"")</f>
        <v>46.903599999999997</v>
      </c>
      <c r="H114" s="61">
        <f t="shared" si="9"/>
        <v>1</v>
      </c>
      <c r="I114" t="str">
        <f>IF(FT!B114&lt;&gt;"",FT!E114,"")</f>
        <v>2 [45.541408]</v>
      </c>
      <c r="J114">
        <f>IF(FT!B114&lt;&gt;"",FT!C114,"")</f>
        <v>45.541400000000003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2.5976599999999999</v>
      </c>
      <c r="G115" s="61">
        <f>IF(FT!B115&lt;&gt;"",FT!B115*100,"")</f>
        <v>46.315300000000001</v>
      </c>
      <c r="H115" s="61">
        <f t="shared" si="9"/>
        <v>1</v>
      </c>
      <c r="I115" t="str">
        <f>IF(FT!B115&lt;&gt;"",FT!E115,"")</f>
        <v>2 [45.948080]</v>
      </c>
      <c r="J115">
        <f>IF(FT!B115&lt;&gt;"",FT!C115,"")</f>
        <v>45.948099999999997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46630</v>
      </c>
      <c r="D116" s="61">
        <f>FH!B116*1</f>
        <v>46630</v>
      </c>
      <c r="E116">
        <f t="shared" si="11"/>
        <v>114</v>
      </c>
      <c r="F116" s="61">
        <f>IF(FT!A116&lt;&gt;"",FT!A116*10,"")</f>
        <v>2.6123099999999999</v>
      </c>
      <c r="G116" s="61">
        <f>IF(FT!B116&lt;&gt;"",FT!B116*100,"")</f>
        <v>45.801600000000001</v>
      </c>
      <c r="H116" s="61">
        <f t="shared" si="9"/>
        <v>1</v>
      </c>
      <c r="I116" t="str">
        <f>IF(FT!B116&lt;&gt;"",FT!E116,"")</f>
        <v>2 [46.355233]</v>
      </c>
      <c r="J116">
        <f>IF(FT!B116&lt;&gt;"",FT!C116,"")</f>
        <v>46.355200000000004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2.6242799999999997</v>
      </c>
      <c r="G117" s="61">
        <f>IF(FT!B117&lt;&gt;"",FT!B117*100,"")</f>
        <v>45.321199999999997</v>
      </c>
      <c r="H117" s="61">
        <f t="shared" si="9"/>
        <v>1</v>
      </c>
      <c r="I117" t="str">
        <f>IF(FT!B117&lt;&gt;"",FT!E117,"")</f>
        <v>2 [46.758234]</v>
      </c>
      <c r="J117">
        <f>IF(FT!B117&lt;&gt;"",FT!C117,"")</f>
        <v>46.758200000000002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45454</v>
      </c>
      <c r="D118" s="61">
        <f>FH!B118*1</f>
        <v>45454</v>
      </c>
      <c r="E118">
        <f t="shared" si="11"/>
        <v>116</v>
      </c>
      <c r="F118" s="61">
        <f>IF(FT!A118&lt;&gt;"",FT!A118*10,"")</f>
        <v>2.63449</v>
      </c>
      <c r="G118" s="61">
        <f>IF(FT!B118&lt;&gt;"",FT!B118*100,"")</f>
        <v>44.890299999999996</v>
      </c>
      <c r="H118" s="61">
        <f t="shared" si="9"/>
        <v>1</v>
      </c>
      <c r="I118" t="str">
        <f>IF(FT!B118&lt;&gt;"",FT!E118,"")</f>
        <v>2 [47.164058]</v>
      </c>
      <c r="J118">
        <f>IF(FT!B118&lt;&gt;"",FT!C118,"")</f>
        <v>47.164099999999998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2.6459799999999998</v>
      </c>
      <c r="G119" s="61">
        <f>IF(FT!B119&lt;&gt;"",FT!B119*100,"")</f>
        <v>44.501600000000003</v>
      </c>
      <c r="H119" s="61">
        <f t="shared" si="9"/>
        <v>1</v>
      </c>
      <c r="I119" t="str">
        <f>IF(FT!B119&lt;&gt;"",FT!E119,"")</f>
        <v>2 [47.572264]</v>
      </c>
      <c r="J119">
        <f>IF(FT!B119&lt;&gt;"",FT!C119,"")</f>
        <v>47.572299999999998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2.6577899999999999</v>
      </c>
      <c r="G120" s="61">
        <f>IF(FT!B120&lt;&gt;"",FT!B120*100,"")</f>
        <v>44.148499999999999</v>
      </c>
      <c r="H120" s="61">
        <f t="shared" si="9"/>
        <v>1</v>
      </c>
      <c r="I120" t="str">
        <f>IF(FT!B120&lt;&gt;"",FT!E120,"")</f>
        <v>2 [47.979312]</v>
      </c>
      <c r="J120">
        <f>IF(FT!B120&lt;&gt;"",FT!C120,"")</f>
        <v>47.979300000000002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38669</v>
      </c>
      <c r="D121" s="61">
        <f>FH!B121*1</f>
        <v>38669</v>
      </c>
      <c r="E121">
        <f t="shared" si="11"/>
        <v>119</v>
      </c>
      <c r="F121" s="61">
        <f>IF(FT!A121&lt;&gt;"",FT!A121*10,"")</f>
        <v>2.6700400000000002</v>
      </c>
      <c r="G121" s="61">
        <f>IF(FT!B121&lt;&gt;"",FT!B121*100,"")</f>
        <v>43.768700000000003</v>
      </c>
      <c r="H121" s="61">
        <f t="shared" si="9"/>
        <v>1</v>
      </c>
      <c r="I121" t="str">
        <f>IF(FT!B121&lt;&gt;"",FT!E121,"")</f>
        <v>2 [48.382960]</v>
      </c>
      <c r="J121">
        <f>IF(FT!B121&lt;&gt;"",FT!C121,"")</f>
        <v>48.383000000000003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2.6843499999999998</v>
      </c>
      <c r="G122" s="61">
        <f>IF(FT!B122&lt;&gt;"",FT!B122*100,"")</f>
        <v>43.399500000000003</v>
      </c>
      <c r="H122" s="61">
        <f t="shared" si="9"/>
        <v>1</v>
      </c>
      <c r="I122" t="str">
        <f>IF(FT!B122&lt;&gt;"",FT!E122,"")</f>
        <v>2 [48.787673]</v>
      </c>
      <c r="J122">
        <f>IF(FT!B122&lt;&gt;"",FT!C122,"")</f>
        <v>48.787700000000001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2.7021099999999998</v>
      </c>
      <c r="G123" s="61">
        <f>IF(FT!B123&lt;&gt;"",FT!B123*100,"")</f>
        <v>42.963200000000001</v>
      </c>
      <c r="H123" s="61">
        <f t="shared" si="9"/>
        <v>1</v>
      </c>
      <c r="I123" t="str">
        <f>IF(FT!B123&lt;&gt;"",FT!E123,"")</f>
        <v>2 [49.196535]</v>
      </c>
      <c r="J123">
        <f>IF(FT!B123&lt;&gt;"",FT!C123,"")</f>
        <v>49.1965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33400</v>
      </c>
      <c r="D124" s="61">
        <f>FH!B124*1</f>
        <v>33400</v>
      </c>
      <c r="E124">
        <f t="shared" si="11"/>
        <v>122</v>
      </c>
      <c r="F124" s="61">
        <f>IF(FT!A124&lt;&gt;"",FT!A124*10,"")</f>
        <v>2.7193299999999998</v>
      </c>
      <c r="G124" s="61">
        <f>IF(FT!B124&lt;&gt;"",FT!B124*100,"")</f>
        <v>42.596400000000003</v>
      </c>
      <c r="H124" s="61">
        <f t="shared" si="9"/>
        <v>1</v>
      </c>
      <c r="I124" t="str">
        <f>IF(FT!B124&lt;&gt;"",FT!E124,"")</f>
        <v>2 [49.604559]</v>
      </c>
      <c r="J124">
        <f>IF(FT!B124&lt;&gt;"",FT!C124,"")</f>
        <v>49.604599999999998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2.7341199999999999</v>
      </c>
      <c r="G125" s="61">
        <f>IF(FT!B125&lt;&gt;"",FT!B125*100,"")</f>
        <v>42.311700000000002</v>
      </c>
      <c r="H125" s="61">
        <f t="shared" si="9"/>
        <v>1</v>
      </c>
      <c r="I125" t="str">
        <f>IF(FT!B125&lt;&gt;"",FT!E125,"")</f>
        <v>2 [50.010994]</v>
      </c>
      <c r="J125">
        <f>IF(FT!B125&lt;&gt;"",FT!C125,"")</f>
        <v>50.011000000000003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30067</v>
      </c>
      <c r="D126" s="61">
        <f>FH!B126*1</f>
        <v>30067</v>
      </c>
      <c r="E126">
        <f t="shared" si="11"/>
        <v>124</v>
      </c>
      <c r="F126" s="61">
        <f>IF(FT!A126&lt;&gt;"",FT!A126*10,"")</f>
        <v>2.7420099999999996</v>
      </c>
      <c r="G126" s="61">
        <f>IF(FT!B126&lt;&gt;"",FT!B126*100,"")</f>
        <v>42.116100000000003</v>
      </c>
      <c r="H126" s="61">
        <f t="shared" si="9"/>
        <v>1</v>
      </c>
      <c r="I126" t="str">
        <f>IF(FT!B126&lt;&gt;"",FT!E126,"")</f>
        <v>2 [50.414683]</v>
      </c>
      <c r="J126">
        <f>IF(FT!B126&lt;&gt;"",FT!C126,"")</f>
        <v>50.414700000000003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2.74959</v>
      </c>
      <c r="G127" s="61">
        <f>IF(FT!B127&lt;&gt;"",FT!B127*100,"")</f>
        <v>41.927300000000002</v>
      </c>
      <c r="H127" s="61">
        <f t="shared" si="9"/>
        <v>1</v>
      </c>
      <c r="I127" t="str">
        <f>IF(FT!B127&lt;&gt;"",FT!E127,"")</f>
        <v>2 [50.819476]</v>
      </c>
      <c r="J127">
        <f>IF(FT!B127&lt;&gt;"",FT!C127,"")</f>
        <v>50.819499999999998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2.7566200000000003</v>
      </c>
      <c r="G128" s="61">
        <f>IF(FT!B128&lt;&gt;"",FT!B128*100,"")</f>
        <v>41.737000000000002</v>
      </c>
      <c r="H128" s="61">
        <f t="shared" si="9"/>
        <v>1</v>
      </c>
      <c r="I128" t="str">
        <f>IF(FT!B128&lt;&gt;"",FT!E128,"")</f>
        <v>2 [51.227597]</v>
      </c>
      <c r="J128">
        <f>IF(FT!B128&lt;&gt;"",FT!C128,"")</f>
        <v>51.227600000000002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26603</v>
      </c>
      <c r="D129" s="61">
        <f>FH!B129*1</f>
        <v>26603</v>
      </c>
      <c r="E129">
        <f t="shared" si="11"/>
        <v>127</v>
      </c>
      <c r="F129" s="61">
        <f>IF(FT!A129&lt;&gt;"",FT!A129*10,"")</f>
        <v>2.7619899999999999</v>
      </c>
      <c r="G129" s="61">
        <f>IF(FT!B129&lt;&gt;"",FT!B129*100,"")</f>
        <v>41.578700000000005</v>
      </c>
      <c r="H129" s="61">
        <f t="shared" si="9"/>
        <v>1</v>
      </c>
      <c r="I129" t="str">
        <f>IF(FT!B129&lt;&gt;"",FT!E129,"")</f>
        <v>2 [51.631026]</v>
      </c>
      <c r="J129">
        <f>IF(FT!B129&lt;&gt;"",FT!C129,"")</f>
        <v>51.631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2.7653499999999998</v>
      </c>
      <c r="G130" s="61">
        <f>IF(FT!B130&lt;&gt;"",FT!B130*100,"")</f>
        <v>41.456400000000002</v>
      </c>
      <c r="H130" s="61">
        <f t="shared" si="9"/>
        <v>1</v>
      </c>
      <c r="I130" t="str">
        <f>IF(FT!B130&lt;&gt;"",FT!E130,"")</f>
        <v>2 [52.041382]</v>
      </c>
      <c r="J130">
        <f>IF(FT!B130&lt;&gt;"",FT!C130,"")</f>
        <v>52.041400000000003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23223</v>
      </c>
      <c r="D131" s="61">
        <f>FH!B131*1</f>
        <v>23223</v>
      </c>
      <c r="E131">
        <f t="shared" si="11"/>
        <v>129</v>
      </c>
      <c r="F131" s="61">
        <f>IF(FT!A131&lt;&gt;"",FT!A131*10,"")</f>
        <v>2.7692299999999999</v>
      </c>
      <c r="G131" s="61">
        <f>IF(FT!B131&lt;&gt;"",FT!B131*100,"")</f>
        <v>41.323999999999998</v>
      </c>
      <c r="H131" s="61">
        <f t="shared" ref="H131:H194" si="13">(IF(F131&lt;&gt;"",1,""))</f>
        <v>1</v>
      </c>
      <c r="I131" t="str">
        <f>IF(FT!B131&lt;&gt;"",FT!E131,"")</f>
        <v>2 [52.444713]</v>
      </c>
      <c r="J131">
        <f>IF(FT!B131&lt;&gt;"",FT!C131,"")</f>
        <v>52.444699999999997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2.7741400000000001</v>
      </c>
      <c r="G132" s="61">
        <f>IF(FT!B132&lt;&gt;"",FT!B132*100,"")</f>
        <v>41.163600000000002</v>
      </c>
      <c r="H132" s="61">
        <f t="shared" si="13"/>
        <v>1</v>
      </c>
      <c r="I132" t="str">
        <f>IF(FT!B132&lt;&gt;"",FT!E132,"")</f>
        <v>2 [52.851452]</v>
      </c>
      <c r="J132">
        <f>IF(FT!B132&lt;&gt;"",FT!C132,"")</f>
        <v>52.851500000000001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2.7799499999999999</v>
      </c>
      <c r="G133" s="61">
        <f>IF(FT!B133&lt;&gt;"",FT!B133*100,"")</f>
        <v>40.981200000000001</v>
      </c>
      <c r="H133" s="61">
        <f t="shared" si="13"/>
        <v>1</v>
      </c>
      <c r="I133" t="str">
        <f>IF(FT!B133&lt;&gt;"",FT!E133,"")</f>
        <v>2 [53.261158]</v>
      </c>
      <c r="J133">
        <f>IF(FT!B133&lt;&gt;"",FT!C133,"")</f>
        <v>53.261200000000002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19672</v>
      </c>
      <c r="D134" s="61">
        <f>FH!B134*1</f>
        <v>19672</v>
      </c>
      <c r="E134">
        <f t="shared" si="15"/>
        <v>132</v>
      </c>
      <c r="F134" s="61">
        <f>IF(FT!A134&lt;&gt;"",FT!A134*10,"")</f>
        <v>2.7821600000000002</v>
      </c>
      <c r="G134" s="61">
        <f>IF(FT!B134&lt;&gt;"",FT!B134*100,"")</f>
        <v>40.828399999999995</v>
      </c>
      <c r="H134" s="61">
        <f t="shared" si="13"/>
        <v>1</v>
      </c>
      <c r="I134" t="str">
        <f>IF(FT!B134&lt;&gt;"",FT!E134,"")</f>
        <v>2 [53.668412]</v>
      </c>
      <c r="J134">
        <f>IF(FT!B134&lt;&gt;"",FT!C134,"")</f>
        <v>53.668399999999998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2.7842000000000002</v>
      </c>
      <c r="G135" s="61">
        <f>IF(FT!B135&lt;&gt;"",FT!B135*100,"")</f>
        <v>40.685400000000001</v>
      </c>
      <c r="H135" s="61">
        <f t="shared" si="13"/>
        <v>1</v>
      </c>
      <c r="I135" t="str">
        <f>IF(FT!B135&lt;&gt;"",FT!E135,"")</f>
        <v>2 [54.072420]</v>
      </c>
      <c r="J135">
        <f>IF(FT!B135&lt;&gt;"",FT!C135,"")</f>
        <v>54.072400000000002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15921</v>
      </c>
      <c r="D136" s="61">
        <f>FH!B136*1</f>
        <v>15921</v>
      </c>
      <c r="E136">
        <f t="shared" si="15"/>
        <v>134</v>
      </c>
      <c r="F136" s="61">
        <f>IF(FT!A136&lt;&gt;"",FT!A136*10,"")</f>
        <v>2.7857500000000002</v>
      </c>
      <c r="G136" s="61">
        <f>IF(FT!B136&lt;&gt;"",FT!B136*100,"")</f>
        <v>40.532899999999998</v>
      </c>
      <c r="H136" s="61">
        <f t="shared" si="13"/>
        <v>1</v>
      </c>
      <c r="I136" t="str">
        <f>IF(FT!B136&lt;&gt;"",FT!E136,"")</f>
        <v>2 [54.476358]</v>
      </c>
      <c r="J136">
        <f>IF(FT!B136&lt;&gt;"",FT!C136,"")</f>
        <v>54.476399999999998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2.7870200000000001</v>
      </c>
      <c r="G137" s="61">
        <f>IF(FT!B137&lt;&gt;"",FT!B137*100,"")</f>
        <v>40.366399999999999</v>
      </c>
      <c r="H137" s="61">
        <f t="shared" si="13"/>
        <v>1</v>
      </c>
      <c r="I137" t="str">
        <f>IF(FT!B137&lt;&gt;"",FT!E137,"")</f>
        <v>2 [54.882457]</v>
      </c>
      <c r="J137">
        <f>IF(FT!B137&lt;&gt;"",FT!C137,"")</f>
        <v>54.8825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2.7902300000000002</v>
      </c>
      <c r="G138" s="61">
        <f>IF(FT!B138&lt;&gt;"",FT!B138*100,"")</f>
        <v>40.226900000000001</v>
      </c>
      <c r="H138" s="61">
        <f t="shared" si="13"/>
        <v>1</v>
      </c>
      <c r="I138" t="str">
        <f>IF(FT!B138&lt;&gt;"",FT!E138,"")</f>
        <v>2 [55.291276]</v>
      </c>
      <c r="J138">
        <f>IF(FT!B138&lt;&gt;"",FT!C138,"")</f>
        <v>55.2913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13518</v>
      </c>
      <c r="D139" s="61">
        <f>FH!B139*1</f>
        <v>13518</v>
      </c>
      <c r="E139">
        <f t="shared" si="15"/>
        <v>137</v>
      </c>
      <c r="F139" s="61">
        <f>IF(FT!A139&lt;&gt;"",FT!A139*10,"")</f>
        <v>2.7906599999999999</v>
      </c>
      <c r="G139" s="61">
        <f>IF(FT!B139&lt;&gt;"",FT!B139*100,"")</f>
        <v>40.178599999999996</v>
      </c>
      <c r="H139" s="61">
        <f t="shared" si="13"/>
        <v>1</v>
      </c>
      <c r="I139" t="str">
        <f>IF(FT!B139&lt;&gt;"",FT!E139,"")</f>
        <v>2 [55.698167]</v>
      </c>
      <c r="J139">
        <f>IF(FT!B139&lt;&gt;"",FT!C139,"")</f>
        <v>55.6982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2.78878</v>
      </c>
      <c r="G140" s="61">
        <f>IF(FT!B140&lt;&gt;"",FT!B140*100,"")</f>
        <v>40.2575</v>
      </c>
      <c r="H140" s="61">
        <f t="shared" si="13"/>
        <v>1</v>
      </c>
      <c r="I140" t="str">
        <f>IF(FT!B140&lt;&gt;"",FT!E140,"")</f>
        <v>2 [56.104029]</v>
      </c>
      <c r="J140">
        <f>IF(FT!B140&lt;&gt;"",FT!C140,"")</f>
        <v>56.103999999999999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2.7900100000000001</v>
      </c>
      <c r="G141" s="61">
        <f>IF(FT!B141&lt;&gt;"",FT!B141*100,"")</f>
        <v>40.3093</v>
      </c>
      <c r="H141" s="61">
        <f t="shared" si="13"/>
        <v>1</v>
      </c>
      <c r="I141" t="str">
        <f>IF(FT!B141&lt;&gt;"",FT!E141,"")</f>
        <v>2 [56.506750]</v>
      </c>
      <c r="J141">
        <f>IF(FT!B141&lt;&gt;"",FT!C141,"")</f>
        <v>56.506700000000002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13006</v>
      </c>
      <c r="D142" s="61">
        <f>FH!B142*1</f>
        <v>13006</v>
      </c>
      <c r="E142">
        <f t="shared" si="15"/>
        <v>140</v>
      </c>
      <c r="F142" s="61">
        <f>IF(FT!A142&lt;&gt;"",FT!A142*10,"")</f>
        <v>2.7960800000000003</v>
      </c>
      <c r="G142" s="61">
        <f>IF(FT!B142&lt;&gt;"",FT!B142*100,"")</f>
        <v>40.402700000000003</v>
      </c>
      <c r="H142" s="61">
        <f t="shared" si="13"/>
        <v>1</v>
      </c>
      <c r="I142" t="str">
        <f>IF(FT!B142&lt;&gt;"",FT!E142,"")</f>
        <v>2 [56.915099]</v>
      </c>
      <c r="J142">
        <f>IF(FT!B142&lt;&gt;"",FT!C142,"")</f>
        <v>56.915100000000002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2.8075099999999997</v>
      </c>
      <c r="G143" s="61">
        <f>IF(FT!B143&lt;&gt;"",FT!B143*100,"")</f>
        <v>40.427700000000002</v>
      </c>
      <c r="H143" s="61">
        <f t="shared" si="13"/>
        <v>1</v>
      </c>
      <c r="I143" t="str">
        <f>IF(FT!B143&lt;&gt;"",FT!E143,"")</f>
        <v>2 [57.324691]</v>
      </c>
      <c r="J143">
        <f>IF(FT!B143&lt;&gt;"",FT!C143,"")</f>
        <v>57.3247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9804</v>
      </c>
      <c r="D144" s="61">
        <f>FH!B144*1</f>
        <v>9804</v>
      </c>
      <c r="E144">
        <f t="shared" si="15"/>
        <v>142</v>
      </c>
      <c r="F144" s="61">
        <f>IF(FT!A144&lt;&gt;"",FT!A144*10,"")</f>
        <v>2.81555</v>
      </c>
      <c r="G144" s="61">
        <f>IF(FT!B144&lt;&gt;"",FT!B144*100,"")</f>
        <v>40.398000000000003</v>
      </c>
      <c r="H144" s="61">
        <f t="shared" si="13"/>
        <v>1</v>
      </c>
      <c r="I144" t="str">
        <f>IF(FT!B144&lt;&gt;"",FT!E144,"")</f>
        <v>2 [57.730833]</v>
      </c>
      <c r="J144">
        <f>IF(FT!B144&lt;&gt;"",FT!C144,"")</f>
        <v>57.730800000000002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2.8323499999999999</v>
      </c>
      <c r="G145" s="61">
        <f>IF(FT!B145&lt;&gt;"",FT!B145*100,"")</f>
        <v>40.261200000000002</v>
      </c>
      <c r="H145" s="61">
        <f t="shared" si="13"/>
        <v>1</v>
      </c>
      <c r="I145" t="str">
        <f>IF(FT!B145&lt;&gt;"",FT!E145,"")</f>
        <v>2 [58.135964]</v>
      </c>
      <c r="J145">
        <f>IF(FT!B145&lt;&gt;"",FT!C145,"")</f>
        <v>58.136000000000003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2.8485300000000002</v>
      </c>
      <c r="G146" s="61">
        <f>IF(FT!B146&lt;&gt;"",FT!B146*100,"")</f>
        <v>40.176600000000001</v>
      </c>
      <c r="H146" s="61">
        <f t="shared" si="13"/>
        <v>1</v>
      </c>
      <c r="I146" t="str">
        <f>IF(FT!B146&lt;&gt;"",FT!E146,"")</f>
        <v>2 [58.538065]</v>
      </c>
      <c r="J146">
        <f>IF(FT!B146&lt;&gt;"",FT!C146,"")</f>
        <v>58.5381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7496</v>
      </c>
      <c r="D147" s="61">
        <f>FH!B147*1</f>
        <v>7496</v>
      </c>
      <c r="E147">
        <f t="shared" si="15"/>
        <v>145</v>
      </c>
      <c r="F147" s="61">
        <f>IF(FT!A147&lt;&gt;"",FT!A147*10,"")</f>
        <v>2.8639100000000002</v>
      </c>
      <c r="G147" s="61">
        <f>IF(FT!B147&lt;&gt;"",FT!B147*100,"")</f>
        <v>40.1248</v>
      </c>
      <c r="H147" s="61">
        <f t="shared" si="13"/>
        <v>1</v>
      </c>
      <c r="I147" t="str">
        <f>IF(FT!B147&lt;&gt;"",FT!E147,"")</f>
        <v>2 [58.945418]</v>
      </c>
      <c r="J147">
        <f>IF(FT!B147&lt;&gt;"",FT!C147,"")</f>
        <v>58.945399999999999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2.8598600000000003</v>
      </c>
      <c r="G148" s="61">
        <f>IF(FT!B148&lt;&gt;"",FT!B148*100,"")</f>
        <v>40.558100000000003</v>
      </c>
      <c r="H148" s="61">
        <f t="shared" si="13"/>
        <v>1</v>
      </c>
      <c r="I148" t="str">
        <f>IF(FT!B148&lt;&gt;"",FT!E148,"")</f>
        <v>2 [59.350644]</v>
      </c>
      <c r="J148">
        <f>IF(FT!B148&lt;&gt;"",FT!C148,"")</f>
        <v>59.3506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7199</v>
      </c>
      <c r="D149" s="61">
        <f>FH!B149*1</f>
        <v>7199</v>
      </c>
      <c r="E149">
        <f t="shared" si="15"/>
        <v>147</v>
      </c>
      <c r="F149" s="61">
        <f>IF(FT!A149&lt;&gt;"",FT!A149*10,"")</f>
        <v>2.8458000000000001</v>
      </c>
      <c r="G149" s="61">
        <f>IF(FT!B149&lt;&gt;"",FT!B149*100,"")</f>
        <v>41.033799999999999</v>
      </c>
      <c r="H149" s="61">
        <f t="shared" si="13"/>
        <v>1</v>
      </c>
      <c r="I149" t="str">
        <f>IF(FT!B149&lt;&gt;"",FT!E149,"")</f>
        <v>2 [59.757481]</v>
      </c>
      <c r="J149">
        <f>IF(FT!B149&lt;&gt;"",FT!C149,"")</f>
        <v>59.7575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5210</v>
      </c>
      <c r="D152" s="61">
        <f>FH!B152*1</f>
        <v>5210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5269</v>
      </c>
      <c r="D154" s="61">
        <f>FH!B154*1</f>
        <v>5269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4116</v>
      </c>
      <c r="D157" s="61">
        <f>FH!B157*1</f>
        <v>4116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3664</v>
      </c>
      <c r="D160" s="61">
        <f>FH!B160*1</f>
        <v>3664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3596</v>
      </c>
      <c r="D162" s="61">
        <f>FH!B162*1</f>
        <v>3596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2000</v>
      </c>
      <c r="D165" s="61">
        <f>FH!B165*1</f>
        <v>2000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1384</v>
      </c>
      <c r="D167" s="61">
        <f>FH!B167*1</f>
        <v>1384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1013</v>
      </c>
      <c r="D170" s="61">
        <f>FH!B170*1</f>
        <v>1013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836</v>
      </c>
      <c r="D173" s="61">
        <f>FH!B173*1</f>
        <v>836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643</v>
      </c>
      <c r="D175" s="61">
        <f>FH!B175*1</f>
        <v>643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832</v>
      </c>
      <c r="D178" s="61">
        <f>FH!B178*1</f>
        <v>832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718</v>
      </c>
      <c r="D180" s="61">
        <f>FH!B180*1</f>
        <v>718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316</v>
      </c>
      <c r="D183" s="61">
        <f>FH!B183*1</f>
        <v>316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242</v>
      </c>
      <c r="D185" s="61">
        <f>FH!B185*1</f>
        <v>242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34.4542</v>
      </c>
      <c r="C5" s="66">
        <v>8.5060900000000004</v>
      </c>
      <c r="D5" s="66">
        <v>24.688099999999999</v>
      </c>
      <c r="E5" s="66">
        <v>20</v>
      </c>
      <c r="F5" s="66">
        <v>13.4993</v>
      </c>
      <c r="G5" s="66">
        <v>50</v>
      </c>
      <c r="H5" s="66">
        <v>49.198500000000003</v>
      </c>
    </row>
    <row r="6" spans="1:8">
      <c r="A6" s="58" t="s">
        <v>303</v>
      </c>
      <c r="B6" s="66">
        <v>30.1523</v>
      </c>
      <c r="C6" s="66">
        <v>3.1428500000000001</v>
      </c>
      <c r="D6" s="66">
        <v>10.4232</v>
      </c>
      <c r="E6" s="66">
        <v>20</v>
      </c>
      <c r="F6" s="66">
        <v>27.4085</v>
      </c>
      <c r="G6" s="66">
        <v>40</v>
      </c>
      <c r="H6" s="66">
        <v>40.147799999999997</v>
      </c>
    </row>
    <row r="7" spans="1:8">
      <c r="A7" s="58" t="s">
        <v>304</v>
      </c>
      <c r="B7" s="66">
        <v>29.710100000000001</v>
      </c>
      <c r="C7" s="66">
        <v>10.5289</v>
      </c>
      <c r="D7" s="66">
        <v>35.439</v>
      </c>
      <c r="E7" s="66">
        <v>15</v>
      </c>
      <c r="F7" s="66">
        <v>7.4857500000000003</v>
      </c>
      <c r="G7" s="66">
        <v>40</v>
      </c>
      <c r="H7" s="66">
        <v>50.284399999999998</v>
      </c>
    </row>
    <row r="8" spans="1:8">
      <c r="A8" s="58" t="s">
        <v>305</v>
      </c>
      <c r="B8" s="66">
        <v>31.3811</v>
      </c>
      <c r="C8" s="66">
        <v>4.8195699999999997</v>
      </c>
      <c r="D8" s="66">
        <v>15.3582</v>
      </c>
      <c r="E8" s="66">
        <v>20</v>
      </c>
      <c r="F8" s="66">
        <v>20.825099999999999</v>
      </c>
      <c r="G8" s="66">
        <v>50</v>
      </c>
      <c r="H8" s="66">
        <v>40.330500000000001</v>
      </c>
    </row>
    <row r="9" spans="1:8">
      <c r="A9" s="58" t="s">
        <v>306</v>
      </c>
      <c r="B9" s="66">
        <v>74.629599999999996</v>
      </c>
      <c r="C9" s="66">
        <v>5.0352499999999996</v>
      </c>
      <c r="D9" s="66">
        <v>6.7469900000000003</v>
      </c>
      <c r="E9" s="66">
        <v>50</v>
      </c>
      <c r="F9" s="66">
        <v>64.354100000000003</v>
      </c>
      <c r="G9" s="66">
        <v>100</v>
      </c>
      <c r="H9" s="66">
        <v>86.349800000000002</v>
      </c>
    </row>
    <row r="10" spans="1:8">
      <c r="A10" s="58" t="s">
        <v>307</v>
      </c>
      <c r="B10" s="66">
        <v>76.024299999999997</v>
      </c>
      <c r="C10" s="66">
        <v>5.8520099999999999</v>
      </c>
      <c r="D10" s="66">
        <v>7.6975499999999997</v>
      </c>
      <c r="E10" s="66">
        <v>40</v>
      </c>
      <c r="F10" s="66">
        <v>62.694699999999997</v>
      </c>
      <c r="G10" s="66">
        <v>100</v>
      </c>
      <c r="H10" s="66">
        <v>81.756200000000007</v>
      </c>
    </row>
    <row r="11" spans="1:8">
      <c r="A11" s="58" t="s">
        <v>308</v>
      </c>
      <c r="B11" s="66">
        <v>15.3834</v>
      </c>
      <c r="C11" s="66">
        <v>4.2276100000000003</v>
      </c>
      <c r="D11" s="66">
        <v>27.4815</v>
      </c>
      <c r="E11" s="66">
        <v>10</v>
      </c>
      <c r="F11" s="66">
        <v>6.0453799999999998</v>
      </c>
      <c r="G11" s="66">
        <v>50</v>
      </c>
      <c r="H11" s="66">
        <v>23.275099999999998</v>
      </c>
    </row>
    <row r="12" spans="1:8">
      <c r="A12" s="58" t="s">
        <v>309</v>
      </c>
      <c r="B12" s="66">
        <v>75.908600000000007</v>
      </c>
      <c r="C12" s="66">
        <v>4.0063800000000001</v>
      </c>
      <c r="D12" s="66">
        <v>5.2778999999999998</v>
      </c>
      <c r="E12" s="66">
        <v>50</v>
      </c>
      <c r="F12" s="66">
        <v>63.625</v>
      </c>
      <c r="G12" s="66">
        <v>100</v>
      </c>
      <c r="H12" s="66">
        <v>81.612499999999997</v>
      </c>
    </row>
    <row r="13" spans="1:8">
      <c r="A13" s="58" t="s">
        <v>310</v>
      </c>
      <c r="B13" s="66">
        <v>14.4978</v>
      </c>
      <c r="C13" s="66">
        <v>3.157</v>
      </c>
      <c r="D13" s="66">
        <v>21.775700000000001</v>
      </c>
      <c r="E13" s="66">
        <v>10</v>
      </c>
      <c r="F13" s="66">
        <v>11.0731</v>
      </c>
      <c r="G13" s="66">
        <v>25</v>
      </c>
      <c r="H13" s="66">
        <v>31.494900000000001</v>
      </c>
    </row>
    <row r="14" spans="1:8">
      <c r="A14" s="58" t="s">
        <v>311</v>
      </c>
      <c r="B14" s="66">
        <v>31.57</v>
      </c>
      <c r="C14" s="66">
        <v>11.4366</v>
      </c>
      <c r="D14" s="66">
        <v>36.226300000000002</v>
      </c>
      <c r="E14" s="66">
        <v>10</v>
      </c>
      <c r="F14" s="66">
        <v>0.415877</v>
      </c>
      <c r="G14" s="66">
        <v>50</v>
      </c>
      <c r="H14" s="66">
        <v>52.861699999999999</v>
      </c>
    </row>
    <row r="15" spans="1:8">
      <c r="A15" s="58" t="s">
        <v>312</v>
      </c>
      <c r="B15" s="66">
        <v>6.33494E-2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8.3347400000000002E-2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19.111499999999999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0.46400400000000003</v>
      </c>
      <c r="C18" s="66">
        <v>7.3680899999999994E-2</v>
      </c>
      <c r="D18" s="66">
        <v>0.15879399999999999</v>
      </c>
      <c r="E18" s="66">
        <v>0</v>
      </c>
      <c r="F18" s="66">
        <v>0.39032299999999998</v>
      </c>
      <c r="G18" s="66">
        <v>0</v>
      </c>
      <c r="H18" s="66">
        <v>0.53768499999999997</v>
      </c>
    </row>
    <row r="19" spans="1:8">
      <c r="A19" s="58" t="s">
        <v>316</v>
      </c>
      <c r="B19" s="66">
        <v>0.73708600000000002</v>
      </c>
      <c r="C19" s="66">
        <v>9.6247100000000002E-2</v>
      </c>
      <c r="D19" s="66">
        <v>0.130578</v>
      </c>
      <c r="E19" s="66">
        <v>0</v>
      </c>
      <c r="F19" s="66">
        <v>0.64083900000000005</v>
      </c>
      <c r="G19" s="66">
        <v>0</v>
      </c>
      <c r="H19" s="66">
        <v>0.83333299999999999</v>
      </c>
    </row>
    <row r="20" spans="1:8">
      <c r="A20" s="58" t="s">
        <v>317</v>
      </c>
      <c r="B20" s="66">
        <v>1.2280599999999999E-4</v>
      </c>
      <c r="C20" s="66">
        <v>1.2923799999999999E-2</v>
      </c>
      <c r="D20" s="66">
        <v>105.23699999999999</v>
      </c>
      <c r="E20" s="66">
        <v>0</v>
      </c>
      <c r="F20" s="66">
        <v>0</v>
      </c>
      <c r="G20" s="66">
        <v>0</v>
      </c>
      <c r="H20" s="66">
        <v>0.15953999999999999</v>
      </c>
    </row>
    <row r="21" spans="1:8">
      <c r="A21" s="58" t="s">
        <v>318</v>
      </c>
      <c r="B21" s="66">
        <v>1.9476899999999998E-2</v>
      </c>
      <c r="C21" s="66">
        <v>0.218727</v>
      </c>
      <c r="D21" s="66">
        <v>11.2301</v>
      </c>
      <c r="E21" s="66">
        <v>0</v>
      </c>
      <c r="F21" s="113">
        <v>1.7463199999999999E-5</v>
      </c>
      <c r="G21" s="66">
        <v>0</v>
      </c>
      <c r="H21" s="66">
        <v>2.1567400000000001</v>
      </c>
    </row>
    <row r="22" spans="1:8">
      <c r="A22" s="58" t="s">
        <v>319</v>
      </c>
      <c r="B22" s="66">
        <v>25.892299999999999</v>
      </c>
      <c r="C22" s="66">
        <v>12.771000000000001</v>
      </c>
      <c r="D22" s="66">
        <v>0.49323499999999998</v>
      </c>
      <c r="E22" s="66">
        <v>0</v>
      </c>
      <c r="F22" s="66">
        <v>14.841699999999999</v>
      </c>
      <c r="G22" s="66">
        <v>0</v>
      </c>
      <c r="H22" s="66">
        <v>76.064300000000003</v>
      </c>
    </row>
    <row r="23" spans="1:8">
      <c r="A23" s="58" t="s">
        <v>320</v>
      </c>
      <c r="B23" s="66">
        <v>11.0564</v>
      </c>
      <c r="C23" s="66">
        <v>2.2494700000000001</v>
      </c>
      <c r="D23" s="66">
        <v>0.20345299999999999</v>
      </c>
      <c r="E23" s="66">
        <v>0</v>
      </c>
      <c r="F23" s="66">
        <v>6.4502100000000002</v>
      </c>
      <c r="G23" s="66">
        <v>0</v>
      </c>
      <c r="H23" s="66">
        <v>15.131600000000001</v>
      </c>
    </row>
    <row r="24" spans="1:8">
      <c r="A24" s="58" t="s">
        <v>321</v>
      </c>
      <c r="B24" s="66">
        <v>1.3729200000000001E-4</v>
      </c>
      <c r="C24" s="66">
        <v>9.1677000000000008E-3</v>
      </c>
      <c r="D24" s="66">
        <v>66.775400000000005</v>
      </c>
      <c r="E24" s="66">
        <v>0</v>
      </c>
      <c r="F24" s="113">
        <v>2.51277E-5</v>
      </c>
      <c r="G24" s="66">
        <v>0</v>
      </c>
      <c r="H24" s="66">
        <v>8.6181900000000006E-2</v>
      </c>
    </row>
    <row r="25" spans="1:8">
      <c r="A25" s="58" t="s">
        <v>322</v>
      </c>
      <c r="B25" s="66">
        <v>4.3719399999999999E-2</v>
      </c>
      <c r="C25" s="66">
        <v>0.14659800000000001</v>
      </c>
      <c r="D25" s="66">
        <v>3.3531499999999999</v>
      </c>
      <c r="E25" s="66">
        <v>0</v>
      </c>
      <c r="F25" s="66">
        <v>5.93955E-3</v>
      </c>
      <c r="G25" s="66">
        <v>0</v>
      </c>
      <c r="H25" s="66">
        <v>0.92173400000000005</v>
      </c>
    </row>
    <row r="26" spans="1:8">
      <c r="A26" s="58" t="s">
        <v>323</v>
      </c>
      <c r="B26" s="113">
        <v>2.62605E-5</v>
      </c>
      <c r="C26" s="66">
        <v>1.3061699999999999E-3</v>
      </c>
      <c r="D26" s="66">
        <v>49.738999999999997</v>
      </c>
      <c r="E26" s="66">
        <v>0</v>
      </c>
      <c r="F26" s="66">
        <v>0</v>
      </c>
      <c r="G26" s="66">
        <v>0</v>
      </c>
      <c r="H26" s="66">
        <v>1.9170199999999998E-2</v>
      </c>
    </row>
    <row r="27" spans="1:8">
      <c r="A27" s="58" t="s">
        <v>324</v>
      </c>
      <c r="B27" s="66">
        <v>0</v>
      </c>
      <c r="C27" s="66">
        <v>5.6623700000000003E-4</v>
      </c>
      <c r="D27" s="66">
        <v>0</v>
      </c>
      <c r="E27" s="66">
        <v>0</v>
      </c>
      <c r="F27" s="66">
        <v>-5.8495300000000004E-3</v>
      </c>
      <c r="G27" s="66">
        <v>0</v>
      </c>
      <c r="H27" s="66">
        <v>6.3484800000000001E-3</v>
      </c>
    </row>
    <row r="28" spans="1:8">
      <c r="A28" s="58" t="s">
        <v>325</v>
      </c>
      <c r="B28" s="66">
        <v>3.7858100000000001E-3</v>
      </c>
      <c r="C28" s="66">
        <v>1.8615699999999999E-2</v>
      </c>
      <c r="D28" s="66">
        <v>4.9172399999999996</v>
      </c>
      <c r="E28" s="66">
        <v>0</v>
      </c>
      <c r="F28" s="113">
        <v>3.25521E-6</v>
      </c>
      <c r="G28" s="66">
        <v>0</v>
      </c>
      <c r="H28" s="66">
        <v>0.155726</v>
      </c>
    </row>
    <row r="29" spans="1:8">
      <c r="A29" s="58" t="s">
        <v>326</v>
      </c>
      <c r="B29" s="66">
        <v>59.475900000000003</v>
      </c>
      <c r="C29" s="66">
        <v>9.5080600000000004</v>
      </c>
      <c r="D29" s="66">
        <v>0.15986400000000001</v>
      </c>
      <c r="E29" s="66">
        <v>0</v>
      </c>
      <c r="F29" s="66">
        <v>41.863599999999998</v>
      </c>
      <c r="G29" s="66">
        <v>0</v>
      </c>
      <c r="H29" s="66">
        <v>94.517600000000002</v>
      </c>
    </row>
    <row r="30" spans="1:8">
      <c r="A30" s="58" t="s">
        <v>327</v>
      </c>
      <c r="B30" s="66">
        <v>14.328200000000001</v>
      </c>
      <c r="C30" s="66">
        <v>3.6625000000000001</v>
      </c>
      <c r="D30" s="66">
        <v>0.25561400000000001</v>
      </c>
      <c r="E30" s="66">
        <v>0</v>
      </c>
      <c r="F30" s="66">
        <v>9.7492199999999993</v>
      </c>
      <c r="G30" s="66">
        <v>0</v>
      </c>
      <c r="H30" s="66">
        <v>23.202100000000002</v>
      </c>
    </row>
    <row r="31" spans="1:8">
      <c r="A31" s="58" t="s">
        <v>328</v>
      </c>
      <c r="B31" s="66">
        <v>76.316400000000002</v>
      </c>
      <c r="C31" s="66">
        <v>23.728999999999999</v>
      </c>
      <c r="D31" s="66">
        <v>0.31092900000000001</v>
      </c>
      <c r="E31" s="66">
        <v>0</v>
      </c>
      <c r="F31" s="66">
        <v>22.5425</v>
      </c>
      <c r="G31" s="66">
        <v>0</v>
      </c>
      <c r="H31" s="66">
        <v>116.042</v>
      </c>
    </row>
    <row r="32" spans="1:8">
      <c r="A32" s="58" t="s">
        <v>329</v>
      </c>
      <c r="B32" s="66">
        <v>0.297101</v>
      </c>
      <c r="C32" s="66">
        <v>0.10528899999999999</v>
      </c>
      <c r="D32" s="66">
        <v>0.35438999999999998</v>
      </c>
      <c r="E32" s="66">
        <v>0.15</v>
      </c>
      <c r="F32" s="66">
        <v>7.4857499999999993E-2</v>
      </c>
      <c r="G32" s="66">
        <v>0.4</v>
      </c>
      <c r="H32" s="66">
        <v>0.50284399999999996</v>
      </c>
    </row>
    <row r="33" spans="1:8">
      <c r="A33" s="58" t="s">
        <v>330</v>
      </c>
      <c r="B33" s="66">
        <v>0.48644300000000001</v>
      </c>
      <c r="C33" s="66">
        <v>0.142647</v>
      </c>
      <c r="D33" s="66">
        <v>0.293244</v>
      </c>
      <c r="E33" s="66">
        <v>0</v>
      </c>
      <c r="F33" s="66">
        <v>0.19200700000000001</v>
      </c>
      <c r="G33" s="66">
        <v>0</v>
      </c>
      <c r="H33" s="66">
        <v>0.52834599999999998</v>
      </c>
    </row>
    <row r="34" spans="1:8">
      <c r="A34" s="58" t="s">
        <v>331</v>
      </c>
      <c r="B34" s="66">
        <v>0.144978</v>
      </c>
      <c r="C34" s="66">
        <v>3.1570000000000001E-2</v>
      </c>
      <c r="D34" s="66">
        <v>0.21775700000000001</v>
      </c>
      <c r="E34" s="66">
        <v>0.1</v>
      </c>
      <c r="F34" s="66">
        <v>0.110731</v>
      </c>
      <c r="G34" s="66">
        <v>0.25</v>
      </c>
      <c r="H34" s="66">
        <v>0.31494899999999998</v>
      </c>
    </row>
    <row r="35" spans="1:8">
      <c r="A35" s="58" t="s">
        <v>332</v>
      </c>
      <c r="B35" s="66">
        <v>6.1010399999999999E-2</v>
      </c>
      <c r="C35" s="66">
        <v>2.85487E-2</v>
      </c>
      <c r="D35" s="66">
        <v>0.46793200000000001</v>
      </c>
      <c r="E35" s="66">
        <v>0</v>
      </c>
      <c r="F35" s="66">
        <v>1.6739400000000002E-2</v>
      </c>
      <c r="G35" s="66">
        <v>0</v>
      </c>
      <c r="H35" s="66">
        <v>0.15654199999999999</v>
      </c>
    </row>
    <row r="36" spans="1:8">
      <c r="A36" s="58" t="s">
        <v>333</v>
      </c>
      <c r="B36" s="66">
        <v>0.115883</v>
      </c>
      <c r="C36" s="66">
        <v>7.8619099999999997E-2</v>
      </c>
      <c r="D36" s="66">
        <v>0.67843600000000004</v>
      </c>
      <c r="E36" s="66">
        <v>0</v>
      </c>
      <c r="F36" s="66">
        <v>3.4988999999999999E-2</v>
      </c>
      <c r="G36" s="66">
        <v>0</v>
      </c>
      <c r="H36" s="66">
        <v>0.52944199999999997</v>
      </c>
    </row>
    <row r="37" spans="1:8">
      <c r="A37" s="58" t="s">
        <v>334</v>
      </c>
      <c r="B37" s="66">
        <v>0.31569999999999998</v>
      </c>
      <c r="C37" s="66">
        <v>0.114366</v>
      </c>
      <c r="D37" s="66">
        <v>0.362263</v>
      </c>
      <c r="E37" s="66">
        <v>0.1</v>
      </c>
      <c r="F37" s="66">
        <v>4.15877E-3</v>
      </c>
      <c r="G37" s="66">
        <v>0.5</v>
      </c>
      <c r="H37" s="66">
        <v>0.528617</v>
      </c>
    </row>
    <row r="38" spans="1:8">
      <c r="A38" s="58" t="s">
        <v>335</v>
      </c>
      <c r="B38" s="66">
        <v>0</v>
      </c>
      <c r="C38" s="66">
        <v>32.273800000000001</v>
      </c>
      <c r="D38" s="66">
        <v>0</v>
      </c>
      <c r="E38" s="66">
        <v>0</v>
      </c>
      <c r="F38" s="66">
        <v>-110.884</v>
      </c>
      <c r="G38" s="66">
        <v>0</v>
      </c>
      <c r="H38" s="66">
        <v>99.135300000000001</v>
      </c>
    </row>
    <row r="39" spans="1:8">
      <c r="A39" s="58" t="s">
        <v>336</v>
      </c>
      <c r="B39" s="66">
        <v>-3.4735200000000002</v>
      </c>
      <c r="C39" s="66">
        <v>2.9304399999999999</v>
      </c>
      <c r="D39" s="66">
        <v>-0.84365000000000001</v>
      </c>
      <c r="E39" s="66">
        <v>0</v>
      </c>
      <c r="F39" s="66">
        <v>-10.544700000000001</v>
      </c>
      <c r="G39" s="66">
        <v>0</v>
      </c>
      <c r="H39" s="66">
        <v>3.7565499999999998</v>
      </c>
    </row>
    <row r="40" spans="1:8">
      <c r="A40" s="58" t="s">
        <v>337</v>
      </c>
      <c r="B40" s="66">
        <v>-1.2765500000000001</v>
      </c>
      <c r="C40" s="66">
        <v>0.56774599999999997</v>
      </c>
      <c r="D40" s="66">
        <v>-0.44474900000000001</v>
      </c>
      <c r="E40" s="66">
        <v>0</v>
      </c>
      <c r="F40" s="66">
        <v>-2.0039099999999999</v>
      </c>
      <c r="G40" s="66">
        <v>0</v>
      </c>
      <c r="H40" s="66">
        <v>0.16073200000000001</v>
      </c>
    </row>
    <row r="41" spans="1:8">
      <c r="A41" s="58" t="s">
        <v>338</v>
      </c>
      <c r="B41" s="66">
        <v>-2.7636299999999999E-2</v>
      </c>
      <c r="C41" s="66">
        <v>0.40657799999999999</v>
      </c>
      <c r="D41" s="66">
        <v>-14.7117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-0.129993</v>
      </c>
      <c r="C42" s="66">
        <v>9.3469099999999999E-2</v>
      </c>
      <c r="D42" s="66">
        <v>-0.71903300000000003</v>
      </c>
      <c r="E42" s="66">
        <v>0</v>
      </c>
      <c r="F42" s="66">
        <v>-0.43673499999999998</v>
      </c>
      <c r="G42" s="66">
        <v>0</v>
      </c>
      <c r="H42" s="66">
        <v>7.1523199999999995E-2</v>
      </c>
    </row>
    <row r="43" spans="1:8">
      <c r="A43" s="58" t="s">
        <v>340</v>
      </c>
      <c r="B43" s="66">
        <v>-0.11394899999999999</v>
      </c>
      <c r="C43" s="66">
        <v>2.9637699999999999E-2</v>
      </c>
      <c r="D43" s="66">
        <v>-0.26009599999999999</v>
      </c>
      <c r="E43" s="66">
        <v>0</v>
      </c>
      <c r="F43" s="66">
        <v>-0.22608600000000001</v>
      </c>
      <c r="G43" s="66">
        <v>0</v>
      </c>
      <c r="H43" s="66">
        <v>-6.7156999999999998E-3</v>
      </c>
    </row>
    <row r="44" spans="1:8">
      <c r="A44" s="58" t="s">
        <v>341</v>
      </c>
      <c r="B44" s="66">
        <v>-1.89819</v>
      </c>
      <c r="C44" s="66">
        <v>9.8662799999999997</v>
      </c>
      <c r="D44" s="66">
        <v>-5.1977200000000003</v>
      </c>
      <c r="E44" s="66">
        <v>0</v>
      </c>
      <c r="F44" s="66">
        <v>-25.6736</v>
      </c>
      <c r="G44" s="66">
        <v>0</v>
      </c>
      <c r="H44" s="66">
        <v>14.9916</v>
      </c>
    </row>
    <row r="45" spans="1:8">
      <c r="A45" s="58" t="s">
        <v>342</v>
      </c>
      <c r="B45" s="66">
        <v>49.451700000000002</v>
      </c>
      <c r="C45" s="66">
        <v>7.5564400000000003</v>
      </c>
      <c r="D45" s="66">
        <v>0.152804</v>
      </c>
      <c r="E45" s="66">
        <v>0</v>
      </c>
      <c r="F45" s="66">
        <v>33.201799999999999</v>
      </c>
      <c r="G45" s="66">
        <v>0</v>
      </c>
      <c r="H45" s="66">
        <v>73.970399999999998</v>
      </c>
    </row>
    <row r="46" spans="1:8">
      <c r="A46" s="58" t="s">
        <v>343</v>
      </c>
      <c r="B46" s="66">
        <v>28.106100000000001</v>
      </c>
      <c r="C46" s="66">
        <v>7.3432899999999997</v>
      </c>
      <c r="D46" s="66">
        <v>0.26127</v>
      </c>
      <c r="E46" s="66">
        <v>0</v>
      </c>
      <c r="F46" s="66">
        <v>11.348699999999999</v>
      </c>
      <c r="G46" s="66">
        <v>0</v>
      </c>
      <c r="H46" s="66">
        <v>38.638100000000001</v>
      </c>
    </row>
    <row r="47" spans="1:8">
      <c r="A47" s="58" t="s">
        <v>344</v>
      </c>
      <c r="B47" s="66">
        <v>0.58062100000000005</v>
      </c>
      <c r="C47" s="66">
        <v>0.585978</v>
      </c>
      <c r="D47" s="66">
        <v>1.0092300000000001</v>
      </c>
      <c r="E47" s="66">
        <v>0</v>
      </c>
      <c r="F47" s="66">
        <v>0.19445799999999999</v>
      </c>
      <c r="G47" s="66">
        <v>0</v>
      </c>
      <c r="H47" s="66">
        <v>5.5704500000000001</v>
      </c>
    </row>
    <row r="48" spans="1:8">
      <c r="A48" s="58" t="s">
        <v>345</v>
      </c>
      <c r="B48" s="66">
        <v>0.73858999999999997</v>
      </c>
      <c r="C48" s="66">
        <v>8.9602100000000004E-2</v>
      </c>
      <c r="D48" s="66">
        <v>0.12131500000000001</v>
      </c>
      <c r="E48" s="66">
        <v>0</v>
      </c>
      <c r="F48" s="66">
        <v>0.50972099999999998</v>
      </c>
      <c r="G48" s="66">
        <v>0</v>
      </c>
      <c r="H48" s="66">
        <v>0.98557399999999995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-1.5275999999999996</v>
      </c>
      <c r="C5" s="66">
        <f>'M2'!C5-'M1'!C5</f>
        <v>-8.4936099999999985</v>
      </c>
      <c r="D5" s="66">
        <f>'M2'!D5-'M1'!D5</f>
        <v>-23.37575</v>
      </c>
      <c r="E5" s="66">
        <f>'M2'!E5-'M1'!E5</f>
        <v>0</v>
      </c>
      <c r="F5" s="66">
        <f>'M2'!F5-'M1'!F5</f>
        <v>15.011899999999999</v>
      </c>
      <c r="G5" s="66">
        <f>'M2'!G5-'M1'!G5</f>
        <v>0</v>
      </c>
      <c r="H5" s="66">
        <f>'M2'!H5-'M1'!H5</f>
        <v>-6.4931000000000054</v>
      </c>
    </row>
    <row r="6" spans="1:8">
      <c r="A6" s="66" t="s">
        <v>244</v>
      </c>
      <c r="B6" s="66">
        <f>'M2'!B6-'M1'!B6</f>
        <v>-0.19450000000000145</v>
      </c>
      <c r="C6" s="66">
        <f>'M2'!C6-'M1'!C6</f>
        <v>2.1956700000000002</v>
      </c>
      <c r="D6" s="66">
        <f>'M2'!D6-'M1'!D6</f>
        <v>7.3358499999999998</v>
      </c>
      <c r="E6" s="66">
        <f>'M2'!E6-'M1'!E6</f>
        <v>0</v>
      </c>
      <c r="F6" s="66">
        <f>'M2'!F6-'M1'!F6</f>
        <v>0.29609999999999914</v>
      </c>
      <c r="G6" s="66">
        <f>'M2'!G6-'M1'!G6</f>
        <v>0</v>
      </c>
      <c r="H6" s="66">
        <f>'M2'!H6-'M1'!H6</f>
        <v>4.6441999999999979</v>
      </c>
    </row>
    <row r="7" spans="1:8">
      <c r="A7" s="66" t="s">
        <v>245</v>
      </c>
      <c r="B7" s="66">
        <f>'M2'!B7-'M1'!B7</f>
        <v>4.7720999999999982</v>
      </c>
      <c r="C7" s="66">
        <f>'M2'!C7-'M1'!C7</f>
        <v>0.57160000000000011</v>
      </c>
      <c r="D7" s="66">
        <f>'M2'!D7-'M1'!D7</f>
        <v>-4.0437999999999974</v>
      </c>
      <c r="E7" s="66">
        <f>'M2'!E7-'M1'!E7</f>
        <v>0</v>
      </c>
      <c r="F7" s="66">
        <f>'M2'!F7-'M1'!F7</f>
        <v>0.22244999999999937</v>
      </c>
      <c r="G7" s="66">
        <f>'M2'!G7-'M1'!G7</f>
        <v>0</v>
      </c>
      <c r="H7" s="66">
        <f>'M2'!H7-'M1'!H7</f>
        <v>0.33599999999999852</v>
      </c>
    </row>
    <row r="8" spans="1:8">
      <c r="A8" s="66" t="s">
        <v>246</v>
      </c>
      <c r="B8" s="66">
        <f>'M2'!B8-'M1'!B8</f>
        <v>4.2130999999999972</v>
      </c>
      <c r="C8" s="66">
        <f>'M2'!C8-'M1'!C8</f>
        <v>-0.94056999999999924</v>
      </c>
      <c r="D8" s="66">
        <f>'M2'!D8-'M1'!D8</f>
        <v>-5.1119999999999983</v>
      </c>
      <c r="E8" s="66">
        <f>'M2'!E8-'M1'!E8</f>
        <v>0</v>
      </c>
      <c r="F8" s="66">
        <f>'M2'!F8-'M1'!F8</f>
        <v>3.2711000000000006</v>
      </c>
      <c r="G8" s="66">
        <f>'M2'!G8-'M1'!G8</f>
        <v>0</v>
      </c>
      <c r="H8" s="66">
        <f>'M2'!H8-'M1'!H8</f>
        <v>-0.50030000000000285</v>
      </c>
    </row>
    <row r="9" spans="1:8">
      <c r="A9" s="66" t="s">
        <v>247</v>
      </c>
      <c r="B9" s="66">
        <f>'M2'!B9-'M1'!B9</f>
        <v>-6.2355000000000018</v>
      </c>
      <c r="C9" s="66">
        <f>'M2'!C9-'M1'!C9</f>
        <v>-0.89269000000000043</v>
      </c>
      <c r="D9" s="66">
        <f>'M2'!D9-'M1'!D9</f>
        <v>-0.78482999999999947</v>
      </c>
      <c r="E9" s="66">
        <f>'M2'!E9-'M1'!E9</f>
        <v>0</v>
      </c>
      <c r="F9" s="66">
        <f>'M2'!F9-'M1'!F9</f>
        <v>-6.2223000000000042</v>
      </c>
      <c r="G9" s="66">
        <f>'M2'!G9-'M1'!G9</f>
        <v>0</v>
      </c>
      <c r="H9" s="66">
        <f>'M2'!H9-'M1'!H9</f>
        <v>-8.520300000000006</v>
      </c>
    </row>
    <row r="10" spans="1:8">
      <c r="A10" s="66" t="s">
        <v>248</v>
      </c>
      <c r="B10" s="66">
        <f>'M2'!B10-'M1'!B10</f>
        <v>4.0923000000000087</v>
      </c>
      <c r="C10" s="66">
        <f>'M2'!C10-'M1'!C10</f>
        <v>3.9724500000000003</v>
      </c>
      <c r="D10" s="66">
        <f>'M2'!D10-'M1'!D10</f>
        <v>4.7768600000000001</v>
      </c>
      <c r="E10" s="66">
        <f>'M2'!E10-'M1'!E10</f>
        <v>0</v>
      </c>
      <c r="F10" s="66">
        <f>'M2'!F10-'M1'!F10</f>
        <v>-0.13650000000000517</v>
      </c>
      <c r="G10" s="66">
        <f>'M2'!G10-'M1'!G10</f>
        <v>0</v>
      </c>
      <c r="H10" s="66">
        <f>'M2'!H10-'M1'!H10</f>
        <v>1.5958000000000112</v>
      </c>
    </row>
    <row r="11" spans="1:8">
      <c r="A11" s="66" t="s">
        <v>249</v>
      </c>
      <c r="B11" s="66">
        <f>'M2'!B11-'M1'!B11</f>
        <v>-1.7651000000000003</v>
      </c>
      <c r="C11" s="66">
        <f>'M2'!C11-'M1'!C11</f>
        <v>-5.0313869999999996</v>
      </c>
      <c r="D11" s="66">
        <f>'M2'!D11-'M1'!D11</f>
        <v>-28.948950000000004</v>
      </c>
      <c r="E11" s="66">
        <f>'M2'!E11-'M1'!E11</f>
        <v>0</v>
      </c>
      <c r="F11" s="66">
        <f>'M2'!F11-'M1'!F11</f>
        <v>7.7326200000000007</v>
      </c>
      <c r="G11" s="66">
        <f>'M2'!G11-'M1'!G11</f>
        <v>0</v>
      </c>
      <c r="H11" s="66">
        <f>'M2'!H11-'M1'!H11</f>
        <v>-4.9534999999999982</v>
      </c>
    </row>
    <row r="12" spans="1:8">
      <c r="A12" s="66" t="s">
        <v>250</v>
      </c>
      <c r="B12" s="66">
        <f>'M2'!B12-'M1'!B12</f>
        <v>-2.2821999999999889</v>
      </c>
      <c r="C12" s="66">
        <f>'M2'!C12-'M1'!C12</f>
        <v>1.6375699999999997</v>
      </c>
      <c r="D12" s="66">
        <f>'M2'!D12-'M1'!D12</f>
        <v>2.3052699999999997</v>
      </c>
      <c r="E12" s="66">
        <f>'M2'!E12-'M1'!E12</f>
        <v>0</v>
      </c>
      <c r="F12" s="66">
        <f>'M2'!F12-'M1'!F12</f>
        <v>-3.6680000000000064</v>
      </c>
      <c r="G12" s="66">
        <f>'M2'!G12-'M1'!G12</f>
        <v>0</v>
      </c>
      <c r="H12" s="66">
        <f>'M2'!H12-'M1'!H12</f>
        <v>-1.9572000000000003</v>
      </c>
    </row>
    <row r="13" spans="1:8">
      <c r="A13" s="66" t="s">
        <v>251</v>
      </c>
      <c r="B13" s="66">
        <f>'M2'!B13-'M1'!B13</f>
        <v>-1.7599</v>
      </c>
      <c r="C13" s="66">
        <f>'M2'!C13-'M1'!C13</f>
        <v>1.2503000000000002</v>
      </c>
      <c r="D13" s="66">
        <f>'M2'!D13-'M1'!D13</f>
        <v>11.627099999999999</v>
      </c>
      <c r="E13" s="66">
        <f>'M2'!E13-'M1'!E13</f>
        <v>0</v>
      </c>
      <c r="F13" s="66">
        <f>'M2'!F13-'M1'!F13</f>
        <v>-0.83259999999999934</v>
      </c>
      <c r="G13" s="66">
        <f>'M2'!G13-'M1'!G13</f>
        <v>0</v>
      </c>
      <c r="H13" s="66">
        <f>'M2'!H13-'M1'!H13</f>
        <v>8.0753000000000021</v>
      </c>
    </row>
    <row r="14" spans="1:8">
      <c r="A14" s="66" t="s">
        <v>252</v>
      </c>
      <c r="B14" s="66">
        <f>'M2'!B14-'M1'!B14</f>
        <v>12.502999999999997</v>
      </c>
      <c r="C14" s="66">
        <f>'M2'!C14-'M1'!C14</f>
        <v>3.8574900000000003</v>
      </c>
      <c r="D14" s="66">
        <f>'M2'!D14-'M1'!D14</f>
        <v>-2.3792000000000044</v>
      </c>
      <c r="E14" s="66">
        <f>'M2'!E14-'M1'!E14</f>
        <v>0</v>
      </c>
      <c r="F14" s="66">
        <f>'M2'!F14-'M1'!F14</f>
        <v>0.54018900000000003</v>
      </c>
      <c r="G14" s="66">
        <f>'M2'!G14-'M1'!G14</f>
        <v>0</v>
      </c>
      <c r="H14" s="66">
        <f>'M2'!H14-'M1'!H14</f>
        <v>16.065399999999997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-0.11036399999999996</v>
      </c>
      <c r="C18" s="66">
        <f>'M2'!C18-'M1'!C18</f>
        <v>7.3680899999999994E-2</v>
      </c>
      <c r="D18" s="66">
        <f>'M2'!D18-'M1'!D18</f>
        <v>0.15879399999999999</v>
      </c>
      <c r="E18" s="66">
        <f>'M2'!E18-'M1'!E18</f>
        <v>0</v>
      </c>
      <c r="F18" s="66">
        <f>'M2'!F18-'M1'!F18</f>
        <v>0.39032299999999998</v>
      </c>
      <c r="G18" s="66">
        <f>'M2'!G18-'M1'!G18</f>
        <v>0</v>
      </c>
      <c r="H18" s="66">
        <f>'M2'!H18-'M1'!H18</f>
        <v>0.53768499999999997</v>
      </c>
    </row>
    <row r="19" spans="1:8">
      <c r="A19" s="66" t="s">
        <v>256</v>
      </c>
      <c r="B19" s="66">
        <f>'M2'!B19-'M1'!B19</f>
        <v>6.5231000000000039E-2</v>
      </c>
      <c r="C19" s="66">
        <f>'M2'!C19-'M1'!C19</f>
        <v>9.6247100000000002E-2</v>
      </c>
      <c r="D19" s="66">
        <f>'M2'!D19-'M1'!D19</f>
        <v>0.130578</v>
      </c>
      <c r="E19" s="66">
        <f>'M2'!E19-'M1'!E19</f>
        <v>0</v>
      </c>
      <c r="F19" s="66">
        <f>'M2'!F19-'M1'!F19</f>
        <v>0.64083900000000005</v>
      </c>
      <c r="G19" s="66">
        <f>'M2'!G19-'M1'!G19</f>
        <v>0</v>
      </c>
      <c r="H19" s="66">
        <f>'M2'!H19-'M1'!H19</f>
        <v>0.83333299999999999</v>
      </c>
    </row>
    <row r="20" spans="1:8">
      <c r="A20" s="66" t="s">
        <v>63</v>
      </c>
      <c r="B20" s="66">
        <f>'M2'!B20-'M1'!B20</f>
        <v>-1.2693000000000009E-5</v>
      </c>
      <c r="C20" s="66">
        <f>'M2'!C20-'M1'!C20</f>
        <v>5.6803900000000004E-3</v>
      </c>
      <c r="D20" s="66">
        <f>'M2'!D20-'M1'!D20</f>
        <v>56.442600000000013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1.7868999999999996E-2</v>
      </c>
    </row>
    <row r="21" spans="1:8">
      <c r="A21" s="66" t="s">
        <v>64</v>
      </c>
      <c r="B21" s="66">
        <f>'M2'!B21-'M1'!B21</f>
        <v>-1.4367399999999999E-2</v>
      </c>
      <c r="C21" s="66">
        <f>'M2'!C21-'M1'!C21</f>
        <v>0.15437199999999998</v>
      </c>
      <c r="D21" s="66">
        <f>'M2'!D21-'M1'!D21</f>
        <v>15.839670000000002</v>
      </c>
      <c r="E21" s="66">
        <f>'M2'!E21-'M1'!E21</f>
        <v>0</v>
      </c>
      <c r="F21" s="66">
        <f>'M2'!F21-'M1'!F21</f>
        <v>4.6760100000000007E-5</v>
      </c>
      <c r="G21" s="66">
        <f>'M2'!G21-'M1'!G21</f>
        <v>0</v>
      </c>
      <c r="H21" s="66">
        <f>'M2'!H21-'M1'!H21</f>
        <v>1.1280300000000001</v>
      </c>
    </row>
    <row r="22" spans="1:8">
      <c r="A22" s="66" t="s">
        <v>65</v>
      </c>
      <c r="B22" s="66">
        <f>'M2'!B22-'M1'!B22</f>
        <v>-1.9848999999999997</v>
      </c>
      <c r="C22" s="66">
        <f>'M2'!C22-'M1'!C22</f>
        <v>2.8120000000000012</v>
      </c>
      <c r="D22" s="66">
        <f>'M2'!D22-'M1'!D22</f>
        <v>0.14494099999999999</v>
      </c>
      <c r="E22" s="66">
        <f>'M2'!E22-'M1'!E22</f>
        <v>0</v>
      </c>
      <c r="F22" s="66">
        <f>'M2'!F22-'M1'!F22</f>
        <v>-1.214100000000002</v>
      </c>
      <c r="G22" s="66">
        <f>'M2'!G22-'M1'!G22</f>
        <v>0</v>
      </c>
      <c r="H22" s="66">
        <f>'M2'!H22-'M1'!H22</f>
        <v>11.742800000000003</v>
      </c>
    </row>
    <row r="23" spans="1:8">
      <c r="A23" s="66" t="s">
        <v>66</v>
      </c>
      <c r="B23" s="66">
        <f>'M2'!B23-'M1'!B23</f>
        <v>-0.52970000000000006</v>
      </c>
      <c r="C23" s="66">
        <f>'M2'!C23-'M1'!C23</f>
        <v>-1.4196899999999999</v>
      </c>
      <c r="D23" s="66">
        <f>'M2'!D23-'M1'!D23</f>
        <v>-0.11715300000000001</v>
      </c>
      <c r="E23" s="66">
        <f>'M2'!E23-'M1'!E23</f>
        <v>0</v>
      </c>
      <c r="F23" s="66">
        <f>'M2'!F23-'M1'!F23</f>
        <v>3.2499099999999999</v>
      </c>
      <c r="G23" s="66">
        <f>'M2'!G23-'M1'!G23</f>
        <v>0</v>
      </c>
      <c r="H23" s="66">
        <f>'M2'!H23-'M1'!H23</f>
        <v>0.43780000000000108</v>
      </c>
    </row>
    <row r="24" spans="1:8">
      <c r="A24" s="66" t="s">
        <v>67</v>
      </c>
      <c r="B24" s="66">
        <f>'M2'!B24-'M1'!B24</f>
        <v>-3.0424000000000006E-5</v>
      </c>
      <c r="C24" s="66">
        <f>'M2'!C24-'M1'!C24</f>
        <v>5.1318700000000002E-3</v>
      </c>
      <c r="D24" s="66">
        <f>'M2'!D24-'M1'!D24</f>
        <v>50.73</v>
      </c>
      <c r="E24" s="66">
        <f>'M2'!E24-'M1'!E24</f>
        <v>0</v>
      </c>
      <c r="F24" s="66">
        <f>'M2'!F24-'M1'!F24</f>
        <v>-1.7921800000000002E-5</v>
      </c>
      <c r="G24" s="66">
        <f>'M2'!G24-'M1'!G24</f>
        <v>0</v>
      </c>
      <c r="H24" s="66">
        <f>'M2'!H24-'M1'!H24</f>
        <v>3.9875300000000002E-2</v>
      </c>
    </row>
    <row r="25" spans="1:8">
      <c r="A25" s="66" t="s">
        <v>68</v>
      </c>
      <c r="B25" s="66">
        <f>'M2'!B25-'M1'!B25</f>
        <v>-1.7412699999999996E-2</v>
      </c>
      <c r="C25" s="66">
        <f>'M2'!C25-'M1'!C25</f>
        <v>0.14100570000000001</v>
      </c>
      <c r="D25" s="66">
        <f>'M2'!D25-'M1'!D25</f>
        <v>4.5330200000000005</v>
      </c>
      <c r="E25" s="66">
        <f>'M2'!E25-'M1'!E25</f>
        <v>0</v>
      </c>
      <c r="F25" s="66">
        <f>'M2'!F25-'M1'!F25</f>
        <v>-4.4477500000000003E-3</v>
      </c>
      <c r="G25" s="66">
        <f>'M2'!G25-'M1'!G25</f>
        <v>0</v>
      </c>
      <c r="H25" s="66">
        <f>'M2'!H25-'M1'!H25</f>
        <v>0.62304900000000007</v>
      </c>
    </row>
    <row r="26" spans="1:8">
      <c r="A26" s="66" t="s">
        <v>69</v>
      </c>
      <c r="B26" s="66">
        <f>'M2'!B26-'M1'!B26</f>
        <v>-3.2826000000000014E-6</v>
      </c>
      <c r="C26" s="66">
        <f>'M2'!C26-'M1'!C26</f>
        <v>1.023403E-3</v>
      </c>
      <c r="D26" s="66">
        <f>'M2'!D26-'M1'!D26</f>
        <v>48.267099999999999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1.2086429999999999E-2</v>
      </c>
    </row>
    <row r="27" spans="1:8">
      <c r="A27" s="66" t="s">
        <v>70</v>
      </c>
      <c r="B27" s="66">
        <f>'M2'!B27-'M1'!B27</f>
        <v>0</v>
      </c>
      <c r="C27" s="66">
        <f>'M2'!C27-'M1'!C27</f>
        <v>2.2310899999999998E-4</v>
      </c>
      <c r="D27" s="66">
        <f>'M2'!D27-'M1'!D27</f>
        <v>0</v>
      </c>
      <c r="E27" s="66">
        <f>'M2'!E27-'M1'!E27</f>
        <v>0</v>
      </c>
      <c r="F27" s="66">
        <f>'M2'!F27-'M1'!F27</f>
        <v>-6.532300000000003E-4</v>
      </c>
      <c r="G27" s="66">
        <f>'M2'!G27-'M1'!G27</f>
        <v>0</v>
      </c>
      <c r="H27" s="66">
        <f>'M2'!H27-'M1'!H27</f>
        <v>1.2178300000000005E-3</v>
      </c>
    </row>
    <row r="28" spans="1:8">
      <c r="A28" s="66" t="s">
        <v>71</v>
      </c>
      <c r="B28" s="66">
        <f>'M2'!B28-'M1'!B28</f>
        <v>-1.9628899999999997E-3</v>
      </c>
      <c r="C28" s="66">
        <f>'M2'!C28-'M1'!C28</f>
        <v>1.0015200000000002E-2</v>
      </c>
      <c r="D28" s="66">
        <f>'M2'!D28-'M1'!D28</f>
        <v>5.1215499999999992</v>
      </c>
      <c r="E28" s="66">
        <f>'M2'!E28-'M1'!E28</f>
        <v>0</v>
      </c>
      <c r="F28" s="66">
        <f>'M2'!F28-'M1'!F28</f>
        <v>1.6275990000000001E-5</v>
      </c>
      <c r="G28" s="66">
        <f>'M2'!G28-'M1'!G28</f>
        <v>0</v>
      </c>
      <c r="H28" s="66">
        <f>'M2'!H28-'M1'!H28</f>
        <v>6.0289800000000004E-2</v>
      </c>
    </row>
    <row r="29" spans="1:8">
      <c r="A29" s="66" t="s">
        <v>72</v>
      </c>
      <c r="B29" s="66">
        <f>'M2'!B29-'M1'!B29</f>
        <v>-2.9328999999999965</v>
      </c>
      <c r="C29" s="66">
        <f>'M2'!C29-'M1'!C29</f>
        <v>-2.8525</v>
      </c>
      <c r="D29" s="66">
        <f>'M2'!D29-'M1'!D29</f>
        <v>-4.0140000000000009E-2</v>
      </c>
      <c r="E29" s="66">
        <f>'M2'!E29-'M1'!E29</f>
        <v>0</v>
      </c>
      <c r="F29" s="66">
        <f>'M2'!F29-'M1'!F29</f>
        <v>2.7831000000000046</v>
      </c>
      <c r="G29" s="66">
        <f>'M2'!G29-'M1'!G29</f>
        <v>0</v>
      </c>
      <c r="H29" s="66">
        <f>'M2'!H29-'M1'!H29</f>
        <v>-11.242000000000004</v>
      </c>
    </row>
    <row r="30" spans="1:8">
      <c r="A30" s="66" t="s">
        <v>73</v>
      </c>
      <c r="B30" s="66">
        <f>'M2'!B30-'M1'!B30</f>
        <v>-3.2634000000000007</v>
      </c>
      <c r="C30" s="66">
        <f>'M2'!C30-'M1'!C30</f>
        <v>-0.81094000000000044</v>
      </c>
      <c r="D30" s="66">
        <f>'M2'!D30-'M1'!D30</f>
        <v>-3.0840000000000034E-3</v>
      </c>
      <c r="E30" s="66">
        <f>'M2'!E30-'M1'!E30</f>
        <v>0</v>
      </c>
      <c r="F30" s="66">
        <f>'M2'!F30-'M1'!F30</f>
        <v>2.60548</v>
      </c>
      <c r="G30" s="66">
        <f>'M2'!G30-'M1'!G30</f>
        <v>0</v>
      </c>
      <c r="H30" s="66">
        <f>'M2'!H30-'M1'!H30</f>
        <v>-0.50030000000000285</v>
      </c>
    </row>
    <row r="31" spans="1:8">
      <c r="A31" s="66" t="s">
        <v>74</v>
      </c>
      <c r="B31" s="66">
        <f>'M2'!B31-'M1'!B31</f>
        <v>28.4238</v>
      </c>
      <c r="C31" s="66">
        <f>'M2'!C31-'M1'!C31</f>
        <v>-2.1117999999999988</v>
      </c>
      <c r="D31" s="66">
        <f>'M2'!D31-'M1'!D31</f>
        <v>-0.10363999999999998</v>
      </c>
      <c r="E31" s="66">
        <f>'M2'!E31-'M1'!E31</f>
        <v>0</v>
      </c>
      <c r="F31" s="66">
        <f>'M2'!F31-'M1'!F31</f>
        <v>33.356399999999994</v>
      </c>
      <c r="G31" s="66">
        <f>'M2'!G31-'M1'!G31</f>
        <v>0</v>
      </c>
      <c r="H31" s="66">
        <f>'M2'!H31-'M1'!H31</f>
        <v>34.322000000000003</v>
      </c>
    </row>
    <row r="32" spans="1:8">
      <c r="A32" s="66" t="s">
        <v>75</v>
      </c>
      <c r="B32" s="66">
        <f>'M2'!B32-'M1'!B32</f>
        <v>4.7721000000000013E-2</v>
      </c>
      <c r="C32" s="66">
        <f>'M2'!C32-'M1'!C32</f>
        <v>5.7159999999999989E-3</v>
      </c>
      <c r="D32" s="66">
        <f>'M2'!D32-'M1'!D32</f>
        <v>-4.0437999999999974E-2</v>
      </c>
      <c r="E32" s="66">
        <f>'M2'!E32-'M1'!E32</f>
        <v>0</v>
      </c>
      <c r="F32" s="66">
        <f>'M2'!F32-'M1'!F32</f>
        <v>2.2245000000000043E-3</v>
      </c>
      <c r="G32" s="66">
        <f>'M2'!G32-'M1'!G32</f>
        <v>0</v>
      </c>
      <c r="H32" s="66">
        <f>'M2'!H32-'M1'!H32</f>
        <v>3.3599999999999741E-3</v>
      </c>
    </row>
    <row r="33" spans="1:8">
      <c r="A33" s="66" t="s">
        <v>76</v>
      </c>
      <c r="B33" s="66">
        <f>'M2'!B33-'M1'!B33</f>
        <v>-0.29751500000000003</v>
      </c>
      <c r="C33" s="66">
        <f>'M2'!C33-'M1'!C33</f>
        <v>0.10264400000000001</v>
      </c>
      <c r="D33" s="66">
        <f>'M2'!D33-'M1'!D33</f>
        <v>0.5438674</v>
      </c>
      <c r="E33" s="66">
        <f>'M2'!E33-'M1'!E33</f>
        <v>0</v>
      </c>
      <c r="F33" s="66">
        <f>'M2'!F33-'M1'!F33</f>
        <v>-0.26641999999999999</v>
      </c>
      <c r="G33" s="66">
        <f>'M2'!G33-'M1'!G33</f>
        <v>0</v>
      </c>
      <c r="H33" s="66">
        <f>'M2'!H33-'M1'!H33</f>
        <v>5.5349999999999566E-3</v>
      </c>
    </row>
    <row r="34" spans="1:8">
      <c r="A34" s="66" t="s">
        <v>77</v>
      </c>
      <c r="B34" s="66">
        <f>'M2'!B34-'M1'!B34</f>
        <v>-1.7599000000000004E-2</v>
      </c>
      <c r="C34" s="66">
        <f>'M2'!C34-'M1'!C34</f>
        <v>1.2503000000000004E-2</v>
      </c>
      <c r="D34" s="66">
        <f>'M2'!D34-'M1'!D34</f>
        <v>0.11627100000000001</v>
      </c>
      <c r="E34" s="66">
        <f>'M2'!E34-'M1'!E34</f>
        <v>0</v>
      </c>
      <c r="F34" s="66">
        <f>'M2'!F34-'M1'!F34</f>
        <v>-8.3260000000000001E-3</v>
      </c>
      <c r="G34" s="66">
        <f>'M2'!G34-'M1'!G34</f>
        <v>0</v>
      </c>
      <c r="H34" s="66">
        <f>'M2'!H34-'M1'!H34</f>
        <v>8.0752999999999991E-2</v>
      </c>
    </row>
    <row r="35" spans="1:8">
      <c r="A35" s="66" t="s">
        <v>78</v>
      </c>
      <c r="B35" s="66">
        <f>'M2'!B35-'M1'!B35</f>
        <v>-6.3674999999999982E-3</v>
      </c>
      <c r="C35" s="66">
        <f>'M2'!C35-'M1'!C35</f>
        <v>7.413999999999997E-4</v>
      </c>
      <c r="D35" s="66">
        <f>'M2'!D35-'M1'!D35</f>
        <v>6.0968999999999995E-2</v>
      </c>
      <c r="E35" s="66">
        <f>'M2'!E35-'M1'!E35</f>
        <v>0</v>
      </c>
      <c r="F35" s="66">
        <f>'M2'!F35-'M1'!F35</f>
        <v>-8.0302999999999972E-3</v>
      </c>
      <c r="G35" s="66">
        <f>'M2'!G35-'M1'!G35</f>
        <v>0</v>
      </c>
      <c r="H35" s="66">
        <f>'M2'!H35-'M1'!H35</f>
        <v>-1.1185999999999974E-2</v>
      </c>
    </row>
    <row r="36" spans="1:8">
      <c r="A36" s="66" t="s">
        <v>79</v>
      </c>
      <c r="B36" s="66">
        <f>'M2'!B36-'M1'!B36</f>
        <v>-7.859999999999992E-3</v>
      </c>
      <c r="C36" s="66">
        <f>'M2'!C36-'M1'!C36</f>
        <v>-6.5086999999999923E-3</v>
      </c>
      <c r="D36" s="66">
        <f>'M2'!D36-'M1'!D36</f>
        <v>-1.0615000000000041E-2</v>
      </c>
      <c r="E36" s="66">
        <f>'M2'!E36-'M1'!E36</f>
        <v>0</v>
      </c>
      <c r="F36" s="66">
        <f>'M2'!F36-'M1'!F36</f>
        <v>-2.5213000000000041E-3</v>
      </c>
      <c r="G36" s="66">
        <f>'M2'!G36-'M1'!G36</f>
        <v>0</v>
      </c>
      <c r="H36" s="66">
        <f>'M2'!H36-'M1'!H36</f>
        <v>-9.212999999999999E-2</v>
      </c>
    </row>
    <row r="37" spans="1:8">
      <c r="A37" s="66" t="s">
        <v>80</v>
      </c>
      <c r="B37" s="66">
        <f>'M2'!B37-'M1'!B37</f>
        <v>0.12502999999999997</v>
      </c>
      <c r="C37" s="66">
        <f>'M2'!C37-'M1'!C37</f>
        <v>3.8574899999999981E-2</v>
      </c>
      <c r="D37" s="66">
        <f>'M2'!D37-'M1'!D37</f>
        <v>-2.3792000000000035E-2</v>
      </c>
      <c r="E37" s="66">
        <f>'M2'!E37-'M1'!E37</f>
        <v>0</v>
      </c>
      <c r="F37" s="66">
        <f>'M2'!F37-'M1'!F37</f>
        <v>5.4018900000000003E-3</v>
      </c>
      <c r="G37" s="66">
        <f>'M2'!G37-'M1'!G37</f>
        <v>0</v>
      </c>
      <c r="H37" s="66">
        <f>'M2'!H37-'M1'!H37</f>
        <v>0.16065400000000002</v>
      </c>
    </row>
    <row r="38" spans="1:8">
      <c r="A38" s="66" t="s">
        <v>81</v>
      </c>
      <c r="B38" s="66">
        <f>'M2'!B38-'M1'!B38</f>
        <v>3.5234000000000001</v>
      </c>
      <c r="C38" s="66">
        <f>'M2'!C38-'M1'!C38</f>
        <v>-2.9885000000000019</v>
      </c>
      <c r="D38" s="66">
        <f>'M2'!D38-'M1'!D38</f>
        <v>9.5861099999999997</v>
      </c>
      <c r="E38" s="66">
        <f>'M2'!E38-'M1'!E38</f>
        <v>0</v>
      </c>
      <c r="F38" s="66">
        <f>'M2'!F38-'M1'!F38</f>
        <v>37.359200000000001</v>
      </c>
      <c r="G38" s="66">
        <f>'M2'!G38-'M1'!G38</f>
        <v>0</v>
      </c>
      <c r="H38" s="66">
        <f>'M2'!H38-'M1'!H38</f>
        <v>-13.976500000000001</v>
      </c>
    </row>
    <row r="39" spans="1:8">
      <c r="A39" s="66" t="s">
        <v>82</v>
      </c>
      <c r="B39" s="66">
        <f>'M2'!B39-'M1'!B39</f>
        <v>-2.0393599999999998</v>
      </c>
      <c r="C39" s="66">
        <f>'M2'!C39-'M1'!C39</f>
        <v>0.10602</v>
      </c>
      <c r="D39" s="66">
        <f>'M2'!D39-'M1'!D39</f>
        <v>0.38907400000000003</v>
      </c>
      <c r="E39" s="66">
        <f>'M2'!E39-'M1'!E39</f>
        <v>0</v>
      </c>
      <c r="F39" s="66">
        <f>'M2'!F39-'M1'!F39</f>
        <v>-0.86227000000000054</v>
      </c>
      <c r="G39" s="66">
        <f>'M2'!G39-'M1'!G39</f>
        <v>0</v>
      </c>
      <c r="H39" s="66">
        <f>'M2'!H39-'M1'!H39</f>
        <v>-0.83831999999999995</v>
      </c>
    </row>
    <row r="40" spans="1:8">
      <c r="A40" s="66" t="s">
        <v>83</v>
      </c>
      <c r="B40" s="66">
        <f>'M2'!B40-'M1'!B40</f>
        <v>-0.89747100000000002</v>
      </c>
      <c r="C40" s="66">
        <f>'M2'!C40-'M1'!C40</f>
        <v>-0.19908999999999999</v>
      </c>
      <c r="D40" s="66">
        <f>'M2'!D40-'M1'!D40</f>
        <v>0.39374599999999993</v>
      </c>
      <c r="E40" s="66">
        <f>'M2'!E40-'M1'!E40</f>
        <v>0</v>
      </c>
      <c r="F40" s="66">
        <f>'M2'!F40-'M1'!F40</f>
        <v>-0.65624999999999978</v>
      </c>
      <c r="G40" s="66">
        <f>'M2'!G40-'M1'!G40</f>
        <v>0</v>
      </c>
      <c r="H40" s="66">
        <f>'M2'!H40-'M1'!H40</f>
        <v>-1.142379</v>
      </c>
    </row>
    <row r="41" spans="1:8">
      <c r="A41" s="66" t="s">
        <v>84</v>
      </c>
      <c r="B41" s="66">
        <f>'M2'!B41-'M1'!B41</f>
        <v>5.88773E-2</v>
      </c>
      <c r="C41" s="66">
        <f>'M2'!C41-'M1'!C41</f>
        <v>-1.5546999999999978E-2</v>
      </c>
      <c r="D41" s="66">
        <f>'M2'!D41-'M1'!D41</f>
        <v>7.0444000000000004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-5.1275000000000001E-2</v>
      </c>
      <c r="C42" s="66">
        <f>'M2'!C42-'M1'!C42</f>
        <v>6.6130000000000355E-4</v>
      </c>
      <c r="D42" s="66">
        <f>'M2'!D42-'M1'!D42</f>
        <v>0.25156800000000001</v>
      </c>
      <c r="E42" s="66">
        <f>'M2'!E42-'M1'!E42</f>
        <v>0</v>
      </c>
      <c r="F42" s="66">
        <f>'M2'!F42-'M1'!F42</f>
        <v>3.0939999999999857E-3</v>
      </c>
      <c r="G42" s="66">
        <f>'M2'!G42-'M1'!G42</f>
        <v>0</v>
      </c>
      <c r="H42" s="66">
        <f>'M2'!H42-'M1'!H42</f>
        <v>1.6540399999999997E-2</v>
      </c>
    </row>
    <row r="43" spans="1:8">
      <c r="A43" s="66" t="s">
        <v>86</v>
      </c>
      <c r="B43" s="66">
        <f>'M2'!B43-'M1'!B43</f>
        <v>-1.2569999999999942E-3</v>
      </c>
      <c r="C43" s="66">
        <f>'M2'!C43-'M1'!C43</f>
        <v>8.9510000000000006E-3</v>
      </c>
      <c r="D43" s="66">
        <f>'M2'!D43-'M1'!D43</f>
        <v>-7.6162000000000007E-2</v>
      </c>
      <c r="E43" s="66">
        <f>'M2'!E43-'M1'!E43</f>
        <v>0</v>
      </c>
      <c r="F43" s="66">
        <f>'M2'!F43-'M1'!F43</f>
        <v>-9.9881999999999999E-2</v>
      </c>
      <c r="G43" s="66">
        <f>'M2'!G43-'M1'!G43</f>
        <v>0</v>
      </c>
      <c r="H43" s="66">
        <f>'M2'!H43-'M1'!H43</f>
        <v>-6.6903199999999996E-2</v>
      </c>
    </row>
    <row r="44" spans="1:8">
      <c r="A44" s="66" t="s">
        <v>87</v>
      </c>
      <c r="B44" s="66">
        <f>'M2'!B44-'M1'!B44</f>
        <v>-16.230060000000002</v>
      </c>
      <c r="C44" s="66">
        <f>'M2'!C44-'M1'!C44</f>
        <v>0.95978999999999992</v>
      </c>
      <c r="D44" s="66">
        <f>'M2'!D44-'M1'!D44</f>
        <v>-1.4045259999999999</v>
      </c>
      <c r="E44" s="66">
        <f>'M2'!E44-'M1'!E44</f>
        <v>0</v>
      </c>
      <c r="F44" s="66">
        <f>'M2'!F44-'M1'!F44</f>
        <v>-18.044060000000002</v>
      </c>
      <c r="G44" s="66">
        <f>'M2'!G44-'M1'!G44</f>
        <v>0</v>
      </c>
      <c r="H44" s="66">
        <f>'M2'!H44-'M1'!H44</f>
        <v>-11.287749999999999</v>
      </c>
    </row>
    <row r="45" spans="1:8">
      <c r="A45" s="66" t="s">
        <v>88</v>
      </c>
      <c r="B45" s="66">
        <f>'M2'!B45-'M1'!B45</f>
        <v>-3.5093999999999994</v>
      </c>
      <c r="C45" s="66">
        <f>'M2'!C45-'M1'!C45</f>
        <v>-1.3341599999999998</v>
      </c>
      <c r="D45" s="66">
        <f>'M2'!D45-'M1'!D45</f>
        <v>-1.6686000000000006E-2</v>
      </c>
      <c r="E45" s="66">
        <f>'M2'!E45-'M1'!E45</f>
        <v>0</v>
      </c>
      <c r="F45" s="66">
        <f>'M2'!F45-'M1'!F45</f>
        <v>-2.6833999999999989</v>
      </c>
      <c r="G45" s="66">
        <f>'M2'!G45-'M1'!G45</f>
        <v>0</v>
      </c>
      <c r="H45" s="66">
        <f>'M2'!H45-'M1'!H45</f>
        <v>-6.0006999999999948</v>
      </c>
    </row>
    <row r="46" spans="1:8">
      <c r="A46" s="66" t="s">
        <v>89</v>
      </c>
      <c r="B46" s="66">
        <f>'M2'!B46-'M1'!B46</f>
        <v>0.26170000000000115</v>
      </c>
      <c r="C46" s="66">
        <f>'M2'!C46-'M1'!C46</f>
        <v>-6.00244</v>
      </c>
      <c r="D46" s="66">
        <f>'M2'!D46-'M1'!D46</f>
        <v>-0.21612699999999999</v>
      </c>
      <c r="E46" s="66">
        <f>'M2'!E46-'M1'!E46</f>
        <v>0</v>
      </c>
      <c r="F46" s="66">
        <f>'M2'!F46-'M1'!F46</f>
        <v>10.744999999999999</v>
      </c>
      <c r="G46" s="66">
        <f>'M2'!G46-'M1'!G46</f>
        <v>0</v>
      </c>
      <c r="H46" s="66">
        <f>'M2'!H46-'M1'!H46</f>
        <v>-3.8864999999999981</v>
      </c>
    </row>
    <row r="47" spans="1:8">
      <c r="A47" s="66" t="s">
        <v>90</v>
      </c>
      <c r="B47" s="66">
        <f>'M2'!B47-'M1'!B47</f>
        <v>-0.17838900000000002</v>
      </c>
      <c r="C47" s="66">
        <f>'M2'!C47-'M1'!C47</f>
        <v>0.40482499999999999</v>
      </c>
      <c r="D47" s="66">
        <f>'M2'!D47-'M1'!D47</f>
        <v>0.92931800000000009</v>
      </c>
      <c r="E47" s="66">
        <f>'M2'!E47-'M1'!E47</f>
        <v>0</v>
      </c>
      <c r="F47" s="66">
        <f>'M2'!F47-'M1'!F47</f>
        <v>-4.2249000000000009E-2</v>
      </c>
      <c r="G47" s="66">
        <f>'M2'!G47-'M1'!G47</f>
        <v>0</v>
      </c>
      <c r="H47" s="66">
        <f>'M2'!H47-'M1'!H47</f>
        <v>3.6813500000000001</v>
      </c>
    </row>
    <row r="48" spans="1:8">
      <c r="A48" s="66" t="s">
        <v>91</v>
      </c>
      <c r="B48" s="66">
        <f>'M2'!B48-'M1'!B48</f>
        <v>-3.2983999999999902E-2</v>
      </c>
      <c r="C48" s="66">
        <f>'M2'!C48-'M1'!C48</f>
        <v>-4.9043700000000003E-2</v>
      </c>
      <c r="D48" s="66">
        <f>'M2'!D48-'M1'!D48</f>
        <v>-6.08046E-2</v>
      </c>
      <c r="E48" s="66">
        <f>'M2'!E48-'M1'!E48</f>
        <v>0</v>
      </c>
      <c r="F48" s="66">
        <f>'M2'!F48-'M1'!F48</f>
        <v>8.3559999999999968E-2</v>
      </c>
      <c r="G48" s="66">
        <f>'M2'!G48-'M1'!G48</f>
        <v>0</v>
      </c>
      <c r="H48" s="66">
        <f>'M2'!H48-'M1'!H48</f>
        <v>-0.128776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35.7637</v>
      </c>
      <c r="C5" s="66">
        <v>11.487399999999999</v>
      </c>
      <c r="D5" s="66">
        <v>32.1203</v>
      </c>
      <c r="E5" s="66">
        <v>20</v>
      </c>
      <c r="F5" s="66">
        <v>13.4993</v>
      </c>
      <c r="G5" s="66">
        <v>50</v>
      </c>
      <c r="H5" s="66">
        <v>49.198500000000003</v>
      </c>
    </row>
    <row r="6" spans="1:8">
      <c r="A6" s="66" t="s">
        <v>358</v>
      </c>
      <c r="B6" s="66">
        <v>30.2774</v>
      </c>
      <c r="C6" s="66">
        <v>1.7380599999999999</v>
      </c>
      <c r="D6" s="66">
        <v>5.7404500000000001</v>
      </c>
      <c r="E6" s="66">
        <v>20</v>
      </c>
      <c r="F6" s="66">
        <v>27.4085</v>
      </c>
      <c r="G6" s="66">
        <v>40</v>
      </c>
      <c r="H6" s="66">
        <v>35.503599999999999</v>
      </c>
    </row>
    <row r="7" spans="1:8">
      <c r="A7" s="66" t="s">
        <v>359</v>
      </c>
      <c r="B7" s="66">
        <v>26.3565</v>
      </c>
      <c r="C7" s="66">
        <v>10.1088</v>
      </c>
      <c r="D7" s="66">
        <v>38.354199999999999</v>
      </c>
      <c r="E7" s="66">
        <v>15</v>
      </c>
      <c r="F7" s="66">
        <v>7.4857500000000003</v>
      </c>
      <c r="G7" s="66">
        <v>40</v>
      </c>
      <c r="H7" s="66">
        <v>49.948399999999999</v>
      </c>
    </row>
    <row r="8" spans="1:8">
      <c r="A8" s="66" t="s">
        <v>360</v>
      </c>
      <c r="B8" s="66">
        <v>28.735900000000001</v>
      </c>
      <c r="C8" s="66">
        <v>5.0731599999999997</v>
      </c>
      <c r="D8" s="66">
        <v>17.654399999999999</v>
      </c>
      <c r="E8" s="66">
        <v>20</v>
      </c>
      <c r="F8" s="66">
        <v>20.825099999999999</v>
      </c>
      <c r="G8" s="66">
        <v>50</v>
      </c>
      <c r="H8" s="66">
        <v>40.330500000000001</v>
      </c>
    </row>
    <row r="9" spans="1:8">
      <c r="A9" s="66" t="s">
        <v>361</v>
      </c>
      <c r="B9" s="66">
        <v>78.202500000000001</v>
      </c>
      <c r="C9" s="66">
        <v>4.1120200000000002</v>
      </c>
      <c r="D9" s="66">
        <v>5.2581699999999998</v>
      </c>
      <c r="E9" s="66">
        <v>50</v>
      </c>
      <c r="F9" s="66">
        <v>70.576400000000007</v>
      </c>
      <c r="G9" s="66">
        <v>100</v>
      </c>
      <c r="H9" s="66">
        <v>86.349800000000002</v>
      </c>
    </row>
    <row r="10" spans="1:8">
      <c r="A10" s="66" t="s">
        <v>362</v>
      </c>
      <c r="B10" s="66">
        <v>75.072699999999998</v>
      </c>
      <c r="C10" s="66">
        <v>3.5008699999999999</v>
      </c>
      <c r="D10" s="66">
        <v>4.6633100000000001</v>
      </c>
      <c r="E10" s="66">
        <v>40</v>
      </c>
      <c r="F10" s="66">
        <v>62.831200000000003</v>
      </c>
      <c r="G10" s="66">
        <v>100</v>
      </c>
      <c r="H10" s="66">
        <v>80.160399999999996</v>
      </c>
    </row>
    <row r="11" spans="1:8">
      <c r="A11" s="66" t="s">
        <v>363</v>
      </c>
      <c r="B11" s="66">
        <v>17.028700000000001</v>
      </c>
      <c r="C11" s="66">
        <v>5.9111599999999997</v>
      </c>
      <c r="D11" s="66">
        <v>34.712800000000001</v>
      </c>
      <c r="E11" s="66">
        <v>10</v>
      </c>
      <c r="F11" s="66">
        <v>6.0453799999999998</v>
      </c>
      <c r="G11" s="66">
        <v>50</v>
      </c>
      <c r="H11" s="66">
        <v>23.275099999999998</v>
      </c>
    </row>
    <row r="12" spans="1:8">
      <c r="A12" s="66" t="s">
        <v>364</v>
      </c>
      <c r="B12" s="66">
        <v>76.844899999999996</v>
      </c>
      <c r="C12" s="66">
        <v>2.7375500000000001</v>
      </c>
      <c r="D12" s="66">
        <v>3.5624400000000001</v>
      </c>
      <c r="E12" s="66">
        <v>50</v>
      </c>
      <c r="F12" s="66">
        <v>67.293000000000006</v>
      </c>
      <c r="G12" s="66">
        <v>100</v>
      </c>
      <c r="H12" s="66">
        <v>81.612499999999997</v>
      </c>
    </row>
    <row r="13" spans="1:8">
      <c r="A13" s="66" t="s">
        <v>365</v>
      </c>
      <c r="B13" s="66">
        <v>14.9389</v>
      </c>
      <c r="C13" s="66">
        <v>2.3940199999999998</v>
      </c>
      <c r="D13" s="66">
        <v>16.025400000000001</v>
      </c>
      <c r="E13" s="66">
        <v>10</v>
      </c>
      <c r="F13" s="66">
        <v>11.9057</v>
      </c>
      <c r="G13" s="66">
        <v>25</v>
      </c>
      <c r="H13" s="66">
        <v>23.419599999999999</v>
      </c>
    </row>
    <row r="14" spans="1:8">
      <c r="A14" s="66" t="s">
        <v>366</v>
      </c>
      <c r="B14" s="66">
        <v>23.940200000000001</v>
      </c>
      <c r="C14" s="66">
        <v>9.0464099999999998</v>
      </c>
      <c r="D14" s="66">
        <v>37.787500000000001</v>
      </c>
      <c r="E14" s="66">
        <v>10</v>
      </c>
      <c r="F14" s="66">
        <v>0.415877</v>
      </c>
      <c r="G14" s="66">
        <v>50</v>
      </c>
      <c r="H14" s="66">
        <v>36.796300000000002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0.57436799999999999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0.67185499999999998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1.3017000000000001E-4</v>
      </c>
      <c r="C20" s="66">
        <v>9.7465099999999999E-3</v>
      </c>
      <c r="D20" s="66">
        <v>74.875399999999999</v>
      </c>
      <c r="E20" s="66">
        <v>0</v>
      </c>
      <c r="F20" s="66">
        <v>0</v>
      </c>
      <c r="G20" s="66">
        <v>0</v>
      </c>
      <c r="H20" s="66">
        <v>0.14167099999999999</v>
      </c>
    </row>
    <row r="21" spans="1:8">
      <c r="A21" s="66" t="s">
        <v>373</v>
      </c>
      <c r="B21" s="66">
        <v>2.8208899999999999E-2</v>
      </c>
      <c r="C21" s="66">
        <v>0.12737000000000001</v>
      </c>
      <c r="D21" s="66">
        <v>4.5152299999999999</v>
      </c>
      <c r="E21" s="66">
        <v>0</v>
      </c>
      <c r="F21" s="113">
        <v>1.7463199999999999E-5</v>
      </c>
      <c r="G21" s="66">
        <v>0</v>
      </c>
      <c r="H21" s="66">
        <v>1.02871</v>
      </c>
    </row>
    <row r="22" spans="1:8">
      <c r="A22" s="66" t="s">
        <v>374</v>
      </c>
      <c r="B22" s="66">
        <v>27.092099999999999</v>
      </c>
      <c r="C22" s="66">
        <v>11.289199999999999</v>
      </c>
      <c r="D22" s="66">
        <v>0.41669800000000001</v>
      </c>
      <c r="E22" s="66">
        <v>0</v>
      </c>
      <c r="F22" s="66">
        <v>16.055800000000001</v>
      </c>
      <c r="G22" s="66">
        <v>0</v>
      </c>
      <c r="H22" s="66">
        <v>64.3215</v>
      </c>
    </row>
    <row r="23" spans="1:8">
      <c r="A23" s="66" t="s">
        <v>375</v>
      </c>
      <c r="B23" s="66">
        <v>11.5395</v>
      </c>
      <c r="C23" s="66">
        <v>2.8286699999999998</v>
      </c>
      <c r="D23" s="66">
        <v>0.24512800000000001</v>
      </c>
      <c r="E23" s="66">
        <v>0</v>
      </c>
      <c r="F23" s="66">
        <v>6.4502100000000002</v>
      </c>
      <c r="G23" s="66">
        <v>0</v>
      </c>
      <c r="H23" s="66">
        <v>14.6938</v>
      </c>
    </row>
    <row r="24" spans="1:8">
      <c r="A24" s="66" t="s">
        <v>376</v>
      </c>
      <c r="B24" s="66">
        <v>1.5549100000000001E-4</v>
      </c>
      <c r="C24" s="66">
        <v>6.1983300000000002E-3</v>
      </c>
      <c r="D24" s="66">
        <v>39.862900000000003</v>
      </c>
      <c r="E24" s="66">
        <v>0</v>
      </c>
      <c r="F24" s="113">
        <v>4.3049500000000002E-5</v>
      </c>
      <c r="G24" s="66">
        <v>0</v>
      </c>
      <c r="H24" s="66">
        <v>4.6306600000000003E-2</v>
      </c>
    </row>
    <row r="25" spans="1:8">
      <c r="A25" s="66" t="s">
        <v>377</v>
      </c>
      <c r="B25" s="66">
        <v>5.2694199999999997E-2</v>
      </c>
      <c r="C25" s="66">
        <v>5.7276300000000002E-2</v>
      </c>
      <c r="D25" s="66">
        <v>1.0869599999999999</v>
      </c>
      <c r="E25" s="66">
        <v>0</v>
      </c>
      <c r="F25" s="66">
        <v>1.03873E-2</v>
      </c>
      <c r="G25" s="66">
        <v>0</v>
      </c>
      <c r="H25" s="66">
        <v>0.29868499999999998</v>
      </c>
    </row>
    <row r="26" spans="1:8">
      <c r="A26" s="66" t="s">
        <v>378</v>
      </c>
      <c r="B26" s="113">
        <v>2.62605E-5</v>
      </c>
      <c r="C26" s="66">
        <v>6.8544700000000005E-4</v>
      </c>
      <c r="D26" s="66">
        <v>26.101800000000001</v>
      </c>
      <c r="E26" s="66">
        <v>0</v>
      </c>
      <c r="F26" s="66">
        <v>0</v>
      </c>
      <c r="G26" s="66">
        <v>0</v>
      </c>
      <c r="H26" s="66">
        <v>7.0837699999999997E-3</v>
      </c>
    </row>
    <row r="27" spans="1:8">
      <c r="A27" s="66" t="s">
        <v>379</v>
      </c>
      <c r="B27" s="66">
        <v>0</v>
      </c>
      <c r="C27" s="66">
        <v>4.44251E-4</v>
      </c>
      <c r="D27" s="66">
        <v>0</v>
      </c>
      <c r="E27" s="66">
        <v>0</v>
      </c>
      <c r="F27" s="66">
        <v>-5.1963000000000001E-3</v>
      </c>
      <c r="G27" s="66">
        <v>0</v>
      </c>
      <c r="H27" s="66">
        <v>5.1306499999999996E-3</v>
      </c>
    </row>
    <row r="28" spans="1:8">
      <c r="A28" s="66" t="s">
        <v>380</v>
      </c>
      <c r="B28" s="66">
        <v>4.9251299999999998E-3</v>
      </c>
      <c r="C28" s="66">
        <v>1.2937199999999999E-2</v>
      </c>
      <c r="D28" s="66">
        <v>2.62677</v>
      </c>
      <c r="E28" s="66">
        <v>0</v>
      </c>
      <c r="F28" s="113">
        <v>3.25521E-6</v>
      </c>
      <c r="G28" s="66">
        <v>0</v>
      </c>
      <c r="H28" s="66">
        <v>9.5436199999999999E-2</v>
      </c>
    </row>
    <row r="29" spans="1:8">
      <c r="A29" s="66" t="s">
        <v>381</v>
      </c>
      <c r="B29" s="66">
        <v>61.244199999999999</v>
      </c>
      <c r="C29" s="66">
        <v>10.6899</v>
      </c>
      <c r="D29" s="66">
        <v>0.17454600000000001</v>
      </c>
      <c r="E29" s="66">
        <v>0</v>
      </c>
      <c r="F29" s="66">
        <v>41.863599999999998</v>
      </c>
      <c r="G29" s="66">
        <v>0</v>
      </c>
      <c r="H29" s="66">
        <v>94.517600000000002</v>
      </c>
    </row>
    <row r="30" spans="1:8">
      <c r="A30" s="66" t="s">
        <v>382</v>
      </c>
      <c r="B30" s="66">
        <v>17.0335</v>
      </c>
      <c r="C30" s="66">
        <v>4.0110900000000003</v>
      </c>
      <c r="D30" s="66">
        <v>0.235483</v>
      </c>
      <c r="E30" s="66">
        <v>0</v>
      </c>
      <c r="F30" s="66">
        <v>9.7492199999999993</v>
      </c>
      <c r="G30" s="66">
        <v>0</v>
      </c>
      <c r="H30" s="66">
        <v>23.202100000000002</v>
      </c>
    </row>
    <row r="31" spans="1:8">
      <c r="A31" s="66" t="s">
        <v>383</v>
      </c>
      <c r="B31" s="66">
        <v>67.687700000000007</v>
      </c>
      <c r="C31" s="66">
        <v>18.6922</v>
      </c>
      <c r="D31" s="66">
        <v>0.27615299999999998</v>
      </c>
      <c r="E31" s="66">
        <v>0</v>
      </c>
      <c r="F31" s="66">
        <v>22.5425</v>
      </c>
      <c r="G31" s="66">
        <v>0</v>
      </c>
      <c r="H31" s="66">
        <v>81.72</v>
      </c>
    </row>
    <row r="32" spans="1:8">
      <c r="A32" s="66" t="s">
        <v>384</v>
      </c>
      <c r="B32" s="66">
        <v>0.26356499999999999</v>
      </c>
      <c r="C32" s="66">
        <v>0.101088</v>
      </c>
      <c r="D32" s="66">
        <v>0.38354199999999999</v>
      </c>
      <c r="E32" s="66">
        <v>0.15</v>
      </c>
      <c r="F32" s="66">
        <v>7.4857499999999993E-2</v>
      </c>
      <c r="G32" s="66">
        <v>0.4</v>
      </c>
      <c r="H32" s="66">
        <v>0.49948399999999998</v>
      </c>
    </row>
    <row r="33" spans="1:8">
      <c r="A33" s="66" t="s">
        <v>385</v>
      </c>
      <c r="B33" s="66">
        <v>0.50134800000000002</v>
      </c>
      <c r="C33" s="66">
        <v>1.3842E-2</v>
      </c>
      <c r="D33" s="66">
        <v>2.7609600000000002E-2</v>
      </c>
      <c r="E33" s="66">
        <v>0</v>
      </c>
      <c r="F33" s="66">
        <v>0.45842699999999997</v>
      </c>
      <c r="G33" s="66">
        <v>0</v>
      </c>
      <c r="H33" s="66">
        <v>0.52281100000000003</v>
      </c>
    </row>
    <row r="34" spans="1:8">
      <c r="A34" s="66" t="s">
        <v>386</v>
      </c>
      <c r="B34" s="66">
        <v>0.14938899999999999</v>
      </c>
      <c r="C34" s="66">
        <v>2.3940199999999998E-2</v>
      </c>
      <c r="D34" s="66">
        <v>0.16025400000000001</v>
      </c>
      <c r="E34" s="66">
        <v>0.1</v>
      </c>
      <c r="F34" s="66">
        <v>0.119057</v>
      </c>
      <c r="G34" s="66">
        <v>0.25</v>
      </c>
      <c r="H34" s="66">
        <v>0.23419599999999999</v>
      </c>
    </row>
    <row r="35" spans="1:8">
      <c r="A35" s="66" t="s">
        <v>387</v>
      </c>
      <c r="B35" s="66">
        <v>6.3880199999999998E-2</v>
      </c>
      <c r="C35" s="66">
        <v>2.7740000000000001E-2</v>
      </c>
      <c r="D35" s="66">
        <v>0.43425000000000002</v>
      </c>
      <c r="E35" s="66">
        <v>0</v>
      </c>
      <c r="F35" s="66">
        <v>2.4769699999999999E-2</v>
      </c>
      <c r="G35" s="66">
        <v>0</v>
      </c>
      <c r="H35" s="66">
        <v>0.15654199999999999</v>
      </c>
    </row>
    <row r="36" spans="1:8">
      <c r="A36" s="66" t="s">
        <v>388</v>
      </c>
      <c r="B36" s="66">
        <v>0.120889</v>
      </c>
      <c r="C36" s="66">
        <v>8.1647499999999998E-2</v>
      </c>
      <c r="D36" s="66">
        <v>0.67539300000000002</v>
      </c>
      <c r="E36" s="66">
        <v>0</v>
      </c>
      <c r="F36" s="66">
        <v>3.7510300000000003E-2</v>
      </c>
      <c r="G36" s="66">
        <v>0</v>
      </c>
      <c r="H36" s="66">
        <v>0.52944199999999997</v>
      </c>
    </row>
    <row r="37" spans="1:8">
      <c r="A37" s="66" t="s">
        <v>389</v>
      </c>
      <c r="B37" s="66">
        <v>0.239402</v>
      </c>
      <c r="C37" s="66">
        <v>9.0464100000000006E-2</v>
      </c>
      <c r="D37" s="66">
        <v>0.37787500000000002</v>
      </c>
      <c r="E37" s="66">
        <v>0.1</v>
      </c>
      <c r="F37" s="66">
        <v>4.15877E-3</v>
      </c>
      <c r="G37" s="66">
        <v>0.5</v>
      </c>
      <c r="H37" s="66">
        <v>0.36796299999999998</v>
      </c>
    </row>
    <row r="38" spans="1:8">
      <c r="A38" s="66" t="s">
        <v>390</v>
      </c>
      <c r="B38" s="66">
        <v>-3.5234000000000001</v>
      </c>
      <c r="C38" s="66">
        <v>33.775700000000001</v>
      </c>
      <c r="D38" s="66">
        <v>-9.5861099999999997</v>
      </c>
      <c r="E38" s="66">
        <v>0</v>
      </c>
      <c r="F38" s="66">
        <v>-110.884</v>
      </c>
      <c r="G38" s="66">
        <v>0</v>
      </c>
      <c r="H38" s="66">
        <v>99.135300000000001</v>
      </c>
    </row>
    <row r="39" spans="1:8">
      <c r="A39" s="66" t="s">
        <v>391</v>
      </c>
      <c r="B39" s="66">
        <v>-2.8169200000000001</v>
      </c>
      <c r="C39" s="66">
        <v>2.75631</v>
      </c>
      <c r="D39" s="66">
        <v>-0.97848299999999999</v>
      </c>
      <c r="E39" s="66">
        <v>0</v>
      </c>
      <c r="F39" s="66">
        <v>-9.6824300000000001</v>
      </c>
      <c r="G39" s="66">
        <v>0</v>
      </c>
      <c r="H39" s="66">
        <v>3.7565499999999998</v>
      </c>
    </row>
    <row r="40" spans="1:8">
      <c r="A40" s="66" t="s">
        <v>392</v>
      </c>
      <c r="B40" s="66">
        <v>-0.84019900000000003</v>
      </c>
      <c r="C40" s="66">
        <v>0.454152</v>
      </c>
      <c r="D40" s="66">
        <v>-0.54052999999999995</v>
      </c>
      <c r="E40" s="66">
        <v>0</v>
      </c>
      <c r="F40" s="66">
        <v>-1.3476600000000001</v>
      </c>
      <c r="G40" s="66">
        <v>0</v>
      </c>
      <c r="H40" s="66">
        <v>0.16073200000000001</v>
      </c>
    </row>
    <row r="41" spans="1:8">
      <c r="A41" s="66" t="s">
        <v>393</v>
      </c>
      <c r="B41" s="66">
        <v>-5.88773E-2</v>
      </c>
      <c r="C41" s="66">
        <v>0.41475499999999998</v>
      </c>
      <c r="D41" s="66">
        <v>-7.0444000000000004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-0.111414</v>
      </c>
      <c r="C42" s="66">
        <v>9.0367400000000001E-2</v>
      </c>
      <c r="D42" s="66">
        <v>-0.81109399999999998</v>
      </c>
      <c r="E42" s="66">
        <v>0</v>
      </c>
      <c r="F42" s="66">
        <v>-0.43673499999999998</v>
      </c>
      <c r="G42" s="66">
        <v>0</v>
      </c>
      <c r="H42" s="66">
        <v>5.4982799999999998E-2</v>
      </c>
    </row>
    <row r="43" spans="1:8">
      <c r="A43" s="66" t="s">
        <v>395</v>
      </c>
      <c r="B43" s="66">
        <v>-0.113027</v>
      </c>
      <c r="C43" s="66">
        <v>2.2203000000000001E-2</v>
      </c>
      <c r="D43" s="66">
        <v>-0.19644</v>
      </c>
      <c r="E43" s="66">
        <v>0</v>
      </c>
      <c r="F43" s="66">
        <v>-0.12620400000000001</v>
      </c>
      <c r="G43" s="66">
        <v>0</v>
      </c>
      <c r="H43" s="66">
        <v>-6.7156999999999998E-3</v>
      </c>
    </row>
    <row r="44" spans="1:8">
      <c r="A44" s="66" t="s">
        <v>396</v>
      </c>
      <c r="B44" s="66">
        <v>7.41343</v>
      </c>
      <c r="C44" s="66">
        <v>5.2178800000000001</v>
      </c>
      <c r="D44" s="66">
        <v>0.70384199999999997</v>
      </c>
      <c r="E44" s="66">
        <v>0</v>
      </c>
      <c r="F44" s="66">
        <v>-7.6295400000000004</v>
      </c>
      <c r="G44" s="66">
        <v>0</v>
      </c>
      <c r="H44" s="66">
        <v>14.9916</v>
      </c>
    </row>
    <row r="45" spans="1:8">
      <c r="A45" s="66" t="s">
        <v>397</v>
      </c>
      <c r="B45" s="66">
        <v>51.683599999999998</v>
      </c>
      <c r="C45" s="66">
        <v>7.8102499999999999</v>
      </c>
      <c r="D45" s="66">
        <v>0.151117</v>
      </c>
      <c r="E45" s="66">
        <v>0</v>
      </c>
      <c r="F45" s="66">
        <v>35.885199999999998</v>
      </c>
      <c r="G45" s="66">
        <v>0</v>
      </c>
      <c r="H45" s="66">
        <v>73.970399999999998</v>
      </c>
    </row>
    <row r="46" spans="1:8">
      <c r="A46" s="66" t="s">
        <v>398</v>
      </c>
      <c r="B46" s="66">
        <v>27.9298</v>
      </c>
      <c r="C46" s="66">
        <v>9.6557200000000005</v>
      </c>
      <c r="D46" s="66">
        <v>0.34571499999999999</v>
      </c>
      <c r="E46" s="66">
        <v>0</v>
      </c>
      <c r="F46" s="66">
        <v>11.348699999999999</v>
      </c>
      <c r="G46" s="66">
        <v>0</v>
      </c>
      <c r="H46" s="66">
        <v>38.638100000000001</v>
      </c>
    </row>
    <row r="47" spans="1:8">
      <c r="A47" s="66" t="s">
        <v>399</v>
      </c>
      <c r="B47" s="66">
        <v>0.70817799999999997</v>
      </c>
      <c r="C47" s="66">
        <v>0.34742600000000001</v>
      </c>
      <c r="D47" s="66">
        <v>0.49059199999999997</v>
      </c>
      <c r="E47" s="66">
        <v>0</v>
      </c>
      <c r="F47" s="66">
        <v>0.236707</v>
      </c>
      <c r="G47" s="66">
        <v>0</v>
      </c>
      <c r="H47" s="66">
        <v>1.8891</v>
      </c>
    </row>
    <row r="48" spans="1:8">
      <c r="A48" s="66" t="s">
        <v>400</v>
      </c>
      <c r="B48" s="66">
        <v>0.76135699999999995</v>
      </c>
      <c r="C48" s="66">
        <v>0.109751</v>
      </c>
      <c r="D48" s="66">
        <v>0.144151</v>
      </c>
      <c r="E48" s="66">
        <v>0</v>
      </c>
      <c r="F48" s="66">
        <v>0.50972099999999998</v>
      </c>
      <c r="G48" s="66">
        <v>0</v>
      </c>
      <c r="H48" s="66">
        <v>0.98557399999999995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34.2361</v>
      </c>
      <c r="C5" s="66">
        <v>2.9937900000000002</v>
      </c>
      <c r="D5" s="66">
        <v>8.7445500000000003</v>
      </c>
      <c r="E5" s="66">
        <v>20</v>
      </c>
      <c r="F5" s="66">
        <v>28.511199999999999</v>
      </c>
      <c r="G5" s="66">
        <v>50</v>
      </c>
      <c r="H5" s="66">
        <v>42.705399999999997</v>
      </c>
    </row>
    <row r="6" spans="1:8">
      <c r="A6" s="66" t="s">
        <v>358</v>
      </c>
      <c r="B6" s="66">
        <v>30.082899999999999</v>
      </c>
      <c r="C6" s="66">
        <v>3.9337300000000002</v>
      </c>
      <c r="D6" s="66">
        <v>13.0763</v>
      </c>
      <c r="E6" s="66">
        <v>20</v>
      </c>
      <c r="F6" s="66">
        <v>27.704599999999999</v>
      </c>
      <c r="G6" s="66">
        <v>40</v>
      </c>
      <c r="H6" s="66">
        <v>40.147799999999997</v>
      </c>
    </row>
    <row r="7" spans="1:8">
      <c r="A7" s="66" t="s">
        <v>359</v>
      </c>
      <c r="B7" s="66">
        <v>31.128599999999999</v>
      </c>
      <c r="C7" s="66">
        <v>10.680400000000001</v>
      </c>
      <c r="D7" s="66">
        <v>34.310400000000001</v>
      </c>
      <c r="E7" s="66">
        <v>15</v>
      </c>
      <c r="F7" s="66">
        <v>7.7081999999999997</v>
      </c>
      <c r="G7" s="66">
        <v>40</v>
      </c>
      <c r="H7" s="66">
        <v>50.284399999999998</v>
      </c>
    </row>
    <row r="8" spans="1:8">
      <c r="A8" s="66" t="s">
        <v>360</v>
      </c>
      <c r="B8" s="66">
        <v>32.948999999999998</v>
      </c>
      <c r="C8" s="66">
        <v>4.1325900000000004</v>
      </c>
      <c r="D8" s="66">
        <v>12.542400000000001</v>
      </c>
      <c r="E8" s="66">
        <v>20</v>
      </c>
      <c r="F8" s="66">
        <v>24.0962</v>
      </c>
      <c r="G8" s="66">
        <v>50</v>
      </c>
      <c r="H8" s="66">
        <v>39.830199999999998</v>
      </c>
    </row>
    <row r="9" spans="1:8">
      <c r="A9" s="66" t="s">
        <v>361</v>
      </c>
      <c r="B9" s="66">
        <v>71.966999999999999</v>
      </c>
      <c r="C9" s="66">
        <v>3.2193299999999998</v>
      </c>
      <c r="D9" s="66">
        <v>4.4733400000000003</v>
      </c>
      <c r="E9" s="66">
        <v>50</v>
      </c>
      <c r="F9" s="66">
        <v>64.354100000000003</v>
      </c>
      <c r="G9" s="66">
        <v>100</v>
      </c>
      <c r="H9" s="66">
        <v>77.829499999999996</v>
      </c>
    </row>
    <row r="10" spans="1:8">
      <c r="A10" s="66" t="s">
        <v>362</v>
      </c>
      <c r="B10" s="66">
        <v>79.165000000000006</v>
      </c>
      <c r="C10" s="66">
        <v>7.4733200000000002</v>
      </c>
      <c r="D10" s="66">
        <v>9.4401700000000002</v>
      </c>
      <c r="E10" s="66">
        <v>40</v>
      </c>
      <c r="F10" s="66">
        <v>62.694699999999997</v>
      </c>
      <c r="G10" s="66">
        <v>100</v>
      </c>
      <c r="H10" s="66">
        <v>81.756200000000007</v>
      </c>
    </row>
    <row r="11" spans="1:8">
      <c r="A11" s="66" t="s">
        <v>363</v>
      </c>
      <c r="B11" s="66">
        <v>15.2636</v>
      </c>
      <c r="C11" s="66">
        <v>0.87977300000000003</v>
      </c>
      <c r="D11" s="66">
        <v>5.7638499999999997</v>
      </c>
      <c r="E11" s="66">
        <v>10</v>
      </c>
      <c r="F11" s="66">
        <v>13.778</v>
      </c>
      <c r="G11" s="66">
        <v>50</v>
      </c>
      <c r="H11" s="66">
        <v>18.3216</v>
      </c>
    </row>
    <row r="12" spans="1:8">
      <c r="A12" s="66" t="s">
        <v>364</v>
      </c>
      <c r="B12" s="66">
        <v>74.562700000000007</v>
      </c>
      <c r="C12" s="66">
        <v>4.3751199999999999</v>
      </c>
      <c r="D12" s="66">
        <v>5.8677099999999998</v>
      </c>
      <c r="E12" s="66">
        <v>50</v>
      </c>
      <c r="F12" s="66">
        <v>63.625</v>
      </c>
      <c r="G12" s="66">
        <v>100</v>
      </c>
      <c r="H12" s="66">
        <v>79.655299999999997</v>
      </c>
    </row>
    <row r="13" spans="1:8">
      <c r="A13" s="66" t="s">
        <v>365</v>
      </c>
      <c r="B13" s="66">
        <v>13.179</v>
      </c>
      <c r="C13" s="66">
        <v>3.64432</v>
      </c>
      <c r="D13" s="66">
        <v>27.6525</v>
      </c>
      <c r="E13" s="66">
        <v>10</v>
      </c>
      <c r="F13" s="66">
        <v>11.0731</v>
      </c>
      <c r="G13" s="66">
        <v>25</v>
      </c>
      <c r="H13" s="66">
        <v>31.494900000000001</v>
      </c>
    </row>
    <row r="14" spans="1:8">
      <c r="A14" s="66" t="s">
        <v>366</v>
      </c>
      <c r="B14" s="66">
        <v>36.443199999999997</v>
      </c>
      <c r="C14" s="66">
        <v>12.9039</v>
      </c>
      <c r="D14" s="66">
        <v>35.408299999999997</v>
      </c>
      <c r="E14" s="66">
        <v>10</v>
      </c>
      <c r="F14" s="66">
        <v>0.95606599999999997</v>
      </c>
      <c r="G14" s="66">
        <v>50</v>
      </c>
      <c r="H14" s="66">
        <v>52.861699999999999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0.46400400000000003</v>
      </c>
      <c r="C18" s="66">
        <v>7.3680899999999994E-2</v>
      </c>
      <c r="D18" s="66">
        <v>0.15879399999999999</v>
      </c>
      <c r="E18" s="66">
        <v>0</v>
      </c>
      <c r="F18" s="66">
        <v>0.39032299999999998</v>
      </c>
      <c r="G18" s="66">
        <v>0</v>
      </c>
      <c r="H18" s="66">
        <v>0.53768499999999997</v>
      </c>
    </row>
    <row r="19" spans="1:8">
      <c r="A19" s="66" t="s">
        <v>371</v>
      </c>
      <c r="B19" s="66">
        <v>0.73708600000000002</v>
      </c>
      <c r="C19" s="66">
        <v>9.6247100000000002E-2</v>
      </c>
      <c r="D19" s="66">
        <v>0.130578</v>
      </c>
      <c r="E19" s="66">
        <v>0</v>
      </c>
      <c r="F19" s="66">
        <v>0.64083900000000005</v>
      </c>
      <c r="G19" s="66">
        <v>0</v>
      </c>
      <c r="H19" s="66">
        <v>0.83333299999999999</v>
      </c>
    </row>
    <row r="20" spans="1:8">
      <c r="A20" s="66" t="s">
        <v>372</v>
      </c>
      <c r="B20" s="66">
        <v>1.17477E-4</v>
      </c>
      <c r="C20" s="66">
        <v>1.54269E-2</v>
      </c>
      <c r="D20" s="66">
        <v>131.31800000000001</v>
      </c>
      <c r="E20" s="66">
        <v>0</v>
      </c>
      <c r="F20" s="66">
        <v>0</v>
      </c>
      <c r="G20" s="66">
        <v>0</v>
      </c>
      <c r="H20" s="66">
        <v>0.15953999999999999</v>
      </c>
    </row>
    <row r="21" spans="1:8">
      <c r="A21" s="66" t="s">
        <v>373</v>
      </c>
      <c r="B21" s="66">
        <v>1.38415E-2</v>
      </c>
      <c r="C21" s="66">
        <v>0.28174199999999999</v>
      </c>
      <c r="D21" s="66">
        <v>20.354900000000001</v>
      </c>
      <c r="E21" s="66">
        <v>0</v>
      </c>
      <c r="F21" s="113">
        <v>6.4223300000000006E-5</v>
      </c>
      <c r="G21" s="66">
        <v>0</v>
      </c>
      <c r="H21" s="66">
        <v>2.1567400000000001</v>
      </c>
    </row>
    <row r="22" spans="1:8">
      <c r="A22" s="66" t="s">
        <v>374</v>
      </c>
      <c r="B22" s="66">
        <v>25.107199999999999</v>
      </c>
      <c r="C22" s="66">
        <v>14.1012</v>
      </c>
      <c r="D22" s="66">
        <v>0.561639</v>
      </c>
      <c r="E22" s="66">
        <v>0</v>
      </c>
      <c r="F22" s="66">
        <v>14.841699999999999</v>
      </c>
      <c r="G22" s="66">
        <v>0</v>
      </c>
      <c r="H22" s="66">
        <v>76.064300000000003</v>
      </c>
    </row>
    <row r="23" spans="1:8">
      <c r="A23" s="66" t="s">
        <v>375</v>
      </c>
      <c r="B23" s="66">
        <v>11.0098</v>
      </c>
      <c r="C23" s="66">
        <v>1.4089799999999999</v>
      </c>
      <c r="D23" s="66">
        <v>0.12797500000000001</v>
      </c>
      <c r="E23" s="66">
        <v>0</v>
      </c>
      <c r="F23" s="66">
        <v>9.7001200000000001</v>
      </c>
      <c r="G23" s="66">
        <v>0</v>
      </c>
      <c r="H23" s="66">
        <v>15.131600000000001</v>
      </c>
    </row>
    <row r="24" spans="1:8">
      <c r="A24" s="66" t="s">
        <v>376</v>
      </c>
      <c r="B24" s="66">
        <v>1.25067E-4</v>
      </c>
      <c r="C24" s="66">
        <v>1.13302E-2</v>
      </c>
      <c r="D24" s="66">
        <v>90.5929</v>
      </c>
      <c r="E24" s="66">
        <v>0</v>
      </c>
      <c r="F24" s="113">
        <v>2.51277E-5</v>
      </c>
      <c r="G24" s="66">
        <v>0</v>
      </c>
      <c r="H24" s="66">
        <v>8.6181900000000006E-2</v>
      </c>
    </row>
    <row r="25" spans="1:8">
      <c r="A25" s="66" t="s">
        <v>377</v>
      </c>
      <c r="B25" s="66">
        <v>3.52815E-2</v>
      </c>
      <c r="C25" s="66">
        <v>0.19828200000000001</v>
      </c>
      <c r="D25" s="66">
        <v>5.61998</v>
      </c>
      <c r="E25" s="66">
        <v>0</v>
      </c>
      <c r="F25" s="66">
        <v>5.93955E-3</v>
      </c>
      <c r="G25" s="66">
        <v>0</v>
      </c>
      <c r="H25" s="66">
        <v>0.92173400000000005</v>
      </c>
    </row>
    <row r="26" spans="1:8">
      <c r="A26" s="66" t="s">
        <v>378</v>
      </c>
      <c r="B26" s="113">
        <v>2.2977899999999999E-5</v>
      </c>
      <c r="C26" s="66">
        <v>1.70885E-3</v>
      </c>
      <c r="D26" s="66">
        <v>74.368899999999996</v>
      </c>
      <c r="E26" s="66">
        <v>0</v>
      </c>
      <c r="F26" s="66">
        <v>0</v>
      </c>
      <c r="G26" s="66">
        <v>0</v>
      </c>
      <c r="H26" s="66">
        <v>1.9170199999999998E-2</v>
      </c>
    </row>
    <row r="27" spans="1:8">
      <c r="A27" s="66" t="s">
        <v>379</v>
      </c>
      <c r="B27" s="66">
        <v>0</v>
      </c>
      <c r="C27" s="66">
        <v>6.6735999999999998E-4</v>
      </c>
      <c r="D27" s="66">
        <v>0</v>
      </c>
      <c r="E27" s="66">
        <v>0</v>
      </c>
      <c r="F27" s="66">
        <v>-5.8495300000000004E-3</v>
      </c>
      <c r="G27" s="66">
        <v>0</v>
      </c>
      <c r="H27" s="66">
        <v>6.3484800000000001E-3</v>
      </c>
    </row>
    <row r="28" spans="1:8">
      <c r="A28" s="66" t="s">
        <v>380</v>
      </c>
      <c r="B28" s="66">
        <v>2.9622400000000001E-3</v>
      </c>
      <c r="C28" s="66">
        <v>2.2952400000000001E-2</v>
      </c>
      <c r="D28" s="66">
        <v>7.7483199999999997</v>
      </c>
      <c r="E28" s="66">
        <v>0</v>
      </c>
      <c r="F28" s="113">
        <v>1.95312E-5</v>
      </c>
      <c r="G28" s="66">
        <v>0</v>
      </c>
      <c r="H28" s="66">
        <v>0.155726</v>
      </c>
    </row>
    <row r="29" spans="1:8">
      <c r="A29" s="66" t="s">
        <v>381</v>
      </c>
      <c r="B29" s="66">
        <v>58.311300000000003</v>
      </c>
      <c r="C29" s="66">
        <v>7.8373999999999997</v>
      </c>
      <c r="D29" s="66">
        <v>0.134406</v>
      </c>
      <c r="E29" s="66">
        <v>0</v>
      </c>
      <c r="F29" s="66">
        <v>44.646700000000003</v>
      </c>
      <c r="G29" s="66">
        <v>0</v>
      </c>
      <c r="H29" s="66">
        <v>83.275599999999997</v>
      </c>
    </row>
    <row r="30" spans="1:8">
      <c r="A30" s="66" t="s">
        <v>382</v>
      </c>
      <c r="B30" s="66">
        <v>13.770099999999999</v>
      </c>
      <c r="C30" s="66">
        <v>3.2001499999999998</v>
      </c>
      <c r="D30" s="66">
        <v>0.23239899999999999</v>
      </c>
      <c r="E30" s="66">
        <v>0</v>
      </c>
      <c r="F30" s="66">
        <v>12.354699999999999</v>
      </c>
      <c r="G30" s="66">
        <v>0</v>
      </c>
      <c r="H30" s="66">
        <v>22.701799999999999</v>
      </c>
    </row>
    <row r="31" spans="1:8">
      <c r="A31" s="66" t="s">
        <v>383</v>
      </c>
      <c r="B31" s="66">
        <v>96.111500000000007</v>
      </c>
      <c r="C31" s="66">
        <v>16.580400000000001</v>
      </c>
      <c r="D31" s="66">
        <v>0.172513</v>
      </c>
      <c r="E31" s="66">
        <v>0</v>
      </c>
      <c r="F31" s="66">
        <v>55.898899999999998</v>
      </c>
      <c r="G31" s="66">
        <v>0</v>
      </c>
      <c r="H31" s="66">
        <v>116.042</v>
      </c>
    </row>
    <row r="32" spans="1:8">
      <c r="A32" s="66" t="s">
        <v>384</v>
      </c>
      <c r="B32" s="66">
        <v>0.31128600000000001</v>
      </c>
      <c r="C32" s="66">
        <v>0.106804</v>
      </c>
      <c r="D32" s="66">
        <v>0.34310400000000002</v>
      </c>
      <c r="E32" s="66">
        <v>0.15</v>
      </c>
      <c r="F32" s="66">
        <v>7.7081999999999998E-2</v>
      </c>
      <c r="G32" s="66">
        <v>0.4</v>
      </c>
      <c r="H32" s="66">
        <v>0.50284399999999996</v>
      </c>
    </row>
    <row r="33" spans="1:8">
      <c r="A33" s="66" t="s">
        <v>385</v>
      </c>
      <c r="B33" s="66">
        <v>0.20383299999999999</v>
      </c>
      <c r="C33" s="66">
        <v>0.11648600000000001</v>
      </c>
      <c r="D33" s="66">
        <v>0.57147700000000001</v>
      </c>
      <c r="E33" s="66">
        <v>0</v>
      </c>
      <c r="F33" s="66">
        <v>0.19200700000000001</v>
      </c>
      <c r="G33" s="66">
        <v>0</v>
      </c>
      <c r="H33" s="66">
        <v>0.52834599999999998</v>
      </c>
    </row>
    <row r="34" spans="1:8">
      <c r="A34" s="66" t="s">
        <v>386</v>
      </c>
      <c r="B34" s="66">
        <v>0.13178999999999999</v>
      </c>
      <c r="C34" s="66">
        <v>3.6443200000000002E-2</v>
      </c>
      <c r="D34" s="66">
        <v>0.27652500000000002</v>
      </c>
      <c r="E34" s="66">
        <v>0.1</v>
      </c>
      <c r="F34" s="66">
        <v>0.110731</v>
      </c>
      <c r="G34" s="66">
        <v>0.25</v>
      </c>
      <c r="H34" s="66">
        <v>0.31494899999999998</v>
      </c>
    </row>
    <row r="35" spans="1:8">
      <c r="A35" s="66" t="s">
        <v>387</v>
      </c>
      <c r="B35" s="66">
        <v>5.75127E-2</v>
      </c>
      <c r="C35" s="66">
        <v>2.84814E-2</v>
      </c>
      <c r="D35" s="66">
        <v>0.49521900000000002</v>
      </c>
      <c r="E35" s="66">
        <v>0</v>
      </c>
      <c r="F35" s="66">
        <v>1.6739400000000002E-2</v>
      </c>
      <c r="G35" s="66">
        <v>0</v>
      </c>
      <c r="H35" s="66">
        <v>0.14535600000000001</v>
      </c>
    </row>
    <row r="36" spans="1:8">
      <c r="A36" s="66" t="s">
        <v>388</v>
      </c>
      <c r="B36" s="66">
        <v>0.113029</v>
      </c>
      <c r="C36" s="66">
        <v>7.5138800000000006E-2</v>
      </c>
      <c r="D36" s="66">
        <v>0.66477799999999998</v>
      </c>
      <c r="E36" s="66">
        <v>0</v>
      </c>
      <c r="F36" s="66">
        <v>3.4988999999999999E-2</v>
      </c>
      <c r="G36" s="66">
        <v>0</v>
      </c>
      <c r="H36" s="66">
        <v>0.43731199999999998</v>
      </c>
    </row>
    <row r="37" spans="1:8">
      <c r="A37" s="66" t="s">
        <v>389</v>
      </c>
      <c r="B37" s="66">
        <v>0.36443199999999998</v>
      </c>
      <c r="C37" s="66">
        <v>0.12903899999999999</v>
      </c>
      <c r="D37" s="66">
        <v>0.35408299999999998</v>
      </c>
      <c r="E37" s="66">
        <v>0.1</v>
      </c>
      <c r="F37" s="66">
        <v>9.5606600000000003E-3</v>
      </c>
      <c r="G37" s="66">
        <v>0.5</v>
      </c>
      <c r="H37" s="66">
        <v>0.528617</v>
      </c>
    </row>
    <row r="38" spans="1:8">
      <c r="A38" s="66" t="s">
        <v>390</v>
      </c>
      <c r="B38" s="66">
        <v>0</v>
      </c>
      <c r="C38" s="66">
        <v>30.787199999999999</v>
      </c>
      <c r="D38" s="66">
        <v>0</v>
      </c>
      <c r="E38" s="66">
        <v>0</v>
      </c>
      <c r="F38" s="66">
        <v>-73.524799999999999</v>
      </c>
      <c r="G38" s="66">
        <v>0</v>
      </c>
      <c r="H38" s="66">
        <v>85.158799999999999</v>
      </c>
    </row>
    <row r="39" spans="1:8">
      <c r="A39" s="66" t="s">
        <v>391</v>
      </c>
      <c r="B39" s="66">
        <v>-4.8562799999999999</v>
      </c>
      <c r="C39" s="66">
        <v>2.86233</v>
      </c>
      <c r="D39" s="66">
        <v>-0.58940899999999996</v>
      </c>
      <c r="E39" s="66">
        <v>0</v>
      </c>
      <c r="F39" s="66">
        <v>-10.544700000000001</v>
      </c>
      <c r="G39" s="66">
        <v>0</v>
      </c>
      <c r="H39" s="66">
        <v>2.9182299999999999</v>
      </c>
    </row>
    <row r="40" spans="1:8">
      <c r="A40" s="66" t="s">
        <v>392</v>
      </c>
      <c r="B40" s="66">
        <v>-1.73767</v>
      </c>
      <c r="C40" s="66">
        <v>0.25506200000000001</v>
      </c>
      <c r="D40" s="66">
        <v>-0.146784</v>
      </c>
      <c r="E40" s="66">
        <v>0</v>
      </c>
      <c r="F40" s="66">
        <v>-2.0039099999999999</v>
      </c>
      <c r="G40" s="66">
        <v>0</v>
      </c>
      <c r="H40" s="66">
        <v>-0.98164700000000005</v>
      </c>
    </row>
    <row r="41" spans="1:8">
      <c r="A41" s="66" t="s">
        <v>393</v>
      </c>
      <c r="B41" s="66">
        <v>0</v>
      </c>
      <c r="C41" s="66">
        <v>0.39920800000000001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-0.162689</v>
      </c>
      <c r="C42" s="66">
        <v>9.1028700000000004E-2</v>
      </c>
      <c r="D42" s="66">
        <v>-0.55952599999999997</v>
      </c>
      <c r="E42" s="66">
        <v>0</v>
      </c>
      <c r="F42" s="66">
        <v>-0.433641</v>
      </c>
      <c r="G42" s="66">
        <v>0</v>
      </c>
      <c r="H42" s="66">
        <v>7.1523199999999995E-2</v>
      </c>
    </row>
    <row r="43" spans="1:8">
      <c r="A43" s="66" t="s">
        <v>395</v>
      </c>
      <c r="B43" s="66">
        <v>-0.114284</v>
      </c>
      <c r="C43" s="66">
        <v>3.1154000000000001E-2</v>
      </c>
      <c r="D43" s="66">
        <v>-0.27260200000000001</v>
      </c>
      <c r="E43" s="66">
        <v>0</v>
      </c>
      <c r="F43" s="66">
        <v>-0.22608600000000001</v>
      </c>
      <c r="G43" s="66">
        <v>0</v>
      </c>
      <c r="H43" s="66">
        <v>-7.3618900000000001E-2</v>
      </c>
    </row>
    <row r="44" spans="1:8">
      <c r="A44" s="66" t="s">
        <v>396</v>
      </c>
      <c r="B44" s="66">
        <v>-8.81663</v>
      </c>
      <c r="C44" s="66">
        <v>6.17767</v>
      </c>
      <c r="D44" s="66">
        <v>-0.70068399999999997</v>
      </c>
      <c r="E44" s="66">
        <v>0</v>
      </c>
      <c r="F44" s="66">
        <v>-25.6736</v>
      </c>
      <c r="G44" s="66">
        <v>0</v>
      </c>
      <c r="H44" s="66">
        <v>3.7038500000000001</v>
      </c>
    </row>
    <row r="45" spans="1:8">
      <c r="A45" s="66" t="s">
        <v>397</v>
      </c>
      <c r="B45" s="66">
        <v>48.174199999999999</v>
      </c>
      <c r="C45" s="66">
        <v>6.4760900000000001</v>
      </c>
      <c r="D45" s="66">
        <v>0.13443099999999999</v>
      </c>
      <c r="E45" s="66">
        <v>0</v>
      </c>
      <c r="F45" s="66">
        <v>33.201799999999999</v>
      </c>
      <c r="G45" s="66">
        <v>0</v>
      </c>
      <c r="H45" s="66">
        <v>67.969700000000003</v>
      </c>
    </row>
    <row r="46" spans="1:8">
      <c r="A46" s="66" t="s">
        <v>398</v>
      </c>
      <c r="B46" s="66">
        <v>28.191500000000001</v>
      </c>
      <c r="C46" s="66">
        <v>3.6532800000000001</v>
      </c>
      <c r="D46" s="66">
        <v>0.12958800000000001</v>
      </c>
      <c r="E46" s="66">
        <v>0</v>
      </c>
      <c r="F46" s="66">
        <v>22.093699999999998</v>
      </c>
      <c r="G46" s="66">
        <v>0</v>
      </c>
      <c r="H46" s="66">
        <v>34.751600000000003</v>
      </c>
    </row>
    <row r="47" spans="1:8">
      <c r="A47" s="66" t="s">
        <v>399</v>
      </c>
      <c r="B47" s="66">
        <v>0.52978899999999995</v>
      </c>
      <c r="C47" s="66">
        <v>0.752251</v>
      </c>
      <c r="D47" s="66">
        <v>1.41991</v>
      </c>
      <c r="E47" s="66">
        <v>0</v>
      </c>
      <c r="F47" s="66">
        <v>0.19445799999999999</v>
      </c>
      <c r="G47" s="66">
        <v>0</v>
      </c>
      <c r="H47" s="66">
        <v>5.5704500000000001</v>
      </c>
    </row>
    <row r="48" spans="1:8">
      <c r="A48" s="66" t="s">
        <v>400</v>
      </c>
      <c r="B48" s="66">
        <v>0.72837300000000005</v>
      </c>
      <c r="C48" s="66">
        <v>6.0707299999999999E-2</v>
      </c>
      <c r="D48" s="66">
        <v>8.3346400000000001E-2</v>
      </c>
      <c r="E48" s="66">
        <v>0</v>
      </c>
      <c r="F48" s="66">
        <v>0.59328099999999995</v>
      </c>
      <c r="G48" s="66">
        <v>0</v>
      </c>
      <c r="H48" s="66">
        <v>0.85679799999999995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68.457289302056438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1.3217384420495593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0.6122567706949128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7802</v>
      </c>
      <c r="B8" s="66">
        <v>7802</v>
      </c>
      <c r="D8">
        <f t="shared" si="0"/>
        <v>6.5860782360588205E-2</v>
      </c>
      <c r="E8">
        <f t="shared" si="0"/>
        <v>6.5860782360588205E-2</v>
      </c>
      <c r="G8">
        <f t="shared" ca="1" si="1"/>
        <v>6</v>
      </c>
      <c r="H8">
        <f t="shared" ca="1" si="2"/>
        <v>0.39516469416352923</v>
      </c>
      <c r="I8">
        <f t="shared" ca="1" si="3"/>
        <v>256.91718124181557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13722</v>
      </c>
      <c r="B10" s="66">
        <v>13722</v>
      </c>
      <c r="D10">
        <f t="shared" si="0"/>
        <v>0.11583461363137547</v>
      </c>
      <c r="E10">
        <f t="shared" si="0"/>
        <v>0.11583461363137547</v>
      </c>
      <c r="G10">
        <f t="shared" ca="1" si="1"/>
        <v>8</v>
      </c>
      <c r="H10">
        <f t="shared" ca="1" si="2"/>
        <v>0.92667690905100375</v>
      </c>
      <c r="I10">
        <f t="shared" ca="1" si="3"/>
        <v>423.38522320967456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20241</v>
      </c>
      <c r="B13" s="66">
        <v>20241</v>
      </c>
      <c r="D13">
        <f t="shared" si="0"/>
        <v>0.17086491870810894</v>
      </c>
      <c r="E13">
        <f t="shared" si="0"/>
        <v>0.17086491870810894</v>
      </c>
      <c r="G13">
        <f t="shared" ca="1" si="1"/>
        <v>11</v>
      </c>
      <c r="H13">
        <f t="shared" ca="1" si="2"/>
        <v>1.8795141057891982</v>
      </c>
      <c r="I13">
        <f t="shared" ca="1" si="3"/>
        <v>564.08320677891459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28213</v>
      </c>
      <c r="B15" s="66">
        <v>28213</v>
      </c>
      <c r="D15">
        <f t="shared" si="0"/>
        <v>0.23816076041262177</v>
      </c>
      <c r="E15">
        <f t="shared" si="0"/>
        <v>0.23816076041262177</v>
      </c>
      <c r="G15">
        <f t="shared" ca="1" si="1"/>
        <v>13</v>
      </c>
      <c r="H15">
        <f t="shared" ca="1" si="2"/>
        <v>3.096089885364083</v>
      </c>
      <c r="I15">
        <f t="shared" ca="1" si="3"/>
        <v>732.46602334942384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42802</v>
      </c>
      <c r="B18" s="66">
        <v>42802</v>
      </c>
      <c r="D18">
        <f t="shared" si="0"/>
        <v>0.36131417669801286</v>
      </c>
      <c r="E18">
        <f t="shared" si="0"/>
        <v>0.36131417669801286</v>
      </c>
      <c r="G18">
        <f t="shared" ca="1" si="1"/>
        <v>16</v>
      </c>
      <c r="H18">
        <f t="shared" ca="1" si="2"/>
        <v>5.7810268271682057</v>
      </c>
      <c r="I18">
        <f t="shared" ca="1" si="3"/>
        <v>994.25250066487683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51757</v>
      </c>
      <c r="B21" s="66">
        <v>51757</v>
      </c>
      <c r="D21">
        <f t="shared" si="0"/>
        <v>0.43690803802063111</v>
      </c>
      <c r="E21">
        <f t="shared" si="0"/>
        <v>0.43690803802063111</v>
      </c>
      <c r="G21">
        <f t="shared" ca="1" si="1"/>
        <v>19</v>
      </c>
      <c r="H21">
        <f t="shared" ca="1" si="2"/>
        <v>8.3012527223919914</v>
      </c>
      <c r="I21">
        <f t="shared" ca="1" si="3"/>
        <v>1068.6873130924587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59624</v>
      </c>
      <c r="B23" s="66">
        <v>59624</v>
      </c>
      <c r="D23">
        <f t="shared" si="0"/>
        <v>0.50331751954213166</v>
      </c>
      <c r="E23">
        <f t="shared" si="0"/>
        <v>0.50331751954213166</v>
      </c>
      <c r="G23">
        <f t="shared" ca="1" si="1"/>
        <v>21</v>
      </c>
      <c r="H23">
        <f t="shared" ca="1" si="2"/>
        <v>10.569667910384766</v>
      </c>
      <c r="I23">
        <f t="shared" ca="1" si="3"/>
        <v>1133.5688525786729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64951</v>
      </c>
      <c r="B26" s="66">
        <v>64951</v>
      </c>
      <c r="D26">
        <f t="shared" si="0"/>
        <v>0.5482855261602877</v>
      </c>
      <c r="E26">
        <f t="shared" si="0"/>
        <v>0.5482855261602877</v>
      </c>
      <c r="G26">
        <f t="shared" ca="1" si="1"/>
        <v>24</v>
      </c>
      <c r="H26">
        <f t="shared" ca="1" si="2"/>
        <v>13.158852627846905</v>
      </c>
      <c r="I26">
        <f t="shared" ca="1" si="3"/>
        <v>1083.6592418463808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78611</v>
      </c>
      <c r="B28" s="66">
        <v>78611</v>
      </c>
      <c r="D28">
        <f t="shared" si="0"/>
        <v>0.66359676520740829</v>
      </c>
      <c r="E28">
        <f t="shared" si="0"/>
        <v>0.66359676520740829</v>
      </c>
      <c r="G28">
        <f t="shared" ca="1" si="1"/>
        <v>26</v>
      </c>
      <c r="H28">
        <f t="shared" ca="1" si="2"/>
        <v>17.253515895392617</v>
      </c>
      <c r="I28">
        <f t="shared" ca="1" si="3"/>
        <v>1196.2137398069849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88571</v>
      </c>
      <c r="B31" s="66">
        <v>88571</v>
      </c>
      <c r="D31">
        <f t="shared" si="0"/>
        <v>0.74767435971028684</v>
      </c>
      <c r="E31">
        <f t="shared" si="0"/>
        <v>0.74767435971028684</v>
      </c>
      <c r="G31">
        <f t="shared" ca="1" si="1"/>
        <v>29</v>
      </c>
      <c r="H31">
        <f t="shared" ca="1" si="2"/>
        <v>21.682556431598318</v>
      </c>
      <c r="I31">
        <f t="shared" ca="1" si="3"/>
        <v>1164.0375218430418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90740</v>
      </c>
      <c r="B33" s="66">
        <v>90740</v>
      </c>
      <c r="D33">
        <f t="shared" si="0"/>
        <v>0.76598402863365467</v>
      </c>
      <c r="E33">
        <f t="shared" si="0"/>
        <v>0.76598402863365467</v>
      </c>
      <c r="G33">
        <f t="shared" ca="1" si="1"/>
        <v>31</v>
      </c>
      <c r="H33">
        <f t="shared" ca="1" si="2"/>
        <v>23.745504887643296</v>
      </c>
      <c r="I33">
        <f t="shared" ca="1" si="3"/>
        <v>1074.7127591412482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91301</v>
      </c>
      <c r="B36" s="66">
        <v>91301</v>
      </c>
      <c r="D36">
        <f t="shared" si="0"/>
        <v>0.77071972446860593</v>
      </c>
      <c r="E36">
        <f t="shared" si="0"/>
        <v>0.77071972446860593</v>
      </c>
      <c r="G36">
        <f t="shared" ca="1" si="1"/>
        <v>34</v>
      </c>
      <c r="H36">
        <f t="shared" ca="1" si="2"/>
        <v>26.204470631932601</v>
      </c>
      <c r="I36">
        <f t="shared" ca="1" si="3"/>
        <v>915.07921756133203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90736</v>
      </c>
      <c r="B39" s="66">
        <v>90736</v>
      </c>
      <c r="D39">
        <f t="shared" si="0"/>
        <v>0.76595026253144471</v>
      </c>
      <c r="E39">
        <f t="shared" si="0"/>
        <v>0.76595026253144471</v>
      </c>
      <c r="G39">
        <f t="shared" ca="1" si="1"/>
        <v>37</v>
      </c>
      <c r="H39">
        <f t="shared" ca="1" si="2"/>
        <v>28.340159713663454</v>
      </c>
      <c r="I39">
        <f t="shared" ca="1" si="3"/>
        <v>757.9545462170687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90937</v>
      </c>
      <c r="B41" s="66">
        <v>90937</v>
      </c>
      <c r="D41">
        <f t="shared" si="0"/>
        <v>0.76764700916749673</v>
      </c>
      <c r="E41">
        <f t="shared" si="0"/>
        <v>0.76764700916749673</v>
      </c>
      <c r="G41">
        <f t="shared" ca="1" si="1"/>
        <v>39</v>
      </c>
      <c r="H41">
        <f t="shared" ca="1" si="2"/>
        <v>29.938233357532372</v>
      </c>
      <c r="I41">
        <f t="shared" ca="1" si="3"/>
        <v>666.11179243992876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91086</v>
      </c>
      <c r="B44" s="66">
        <v>91086</v>
      </c>
      <c r="D44">
        <f t="shared" si="0"/>
        <v>0.76890479647481891</v>
      </c>
      <c r="E44">
        <f t="shared" si="0"/>
        <v>0.76890479647481891</v>
      </c>
      <c r="G44">
        <f t="shared" ca="1" si="1"/>
        <v>42</v>
      </c>
      <c r="H44">
        <f t="shared" ca="1" si="2"/>
        <v>32.294001451942393</v>
      </c>
      <c r="I44">
        <f t="shared" ca="1" si="3"/>
        <v>538.22425155642236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94664</v>
      </c>
      <c r="B46" s="66">
        <v>94664</v>
      </c>
      <c r="D46">
        <f t="shared" si="0"/>
        <v>0.79910857490165621</v>
      </c>
      <c r="E46">
        <f t="shared" si="0"/>
        <v>0.79910857490165621</v>
      </c>
      <c r="G46">
        <f t="shared" ca="1" si="1"/>
        <v>44</v>
      </c>
      <c r="H46">
        <f t="shared" ca="1" si="2"/>
        <v>35.160777295672872</v>
      </c>
      <c r="I46">
        <f t="shared" ca="1" si="3"/>
        <v>477.99398605818317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95252</v>
      </c>
      <c r="B49" s="66">
        <v>95252</v>
      </c>
      <c r="D49">
        <f t="shared" si="0"/>
        <v>0.80407219192652502</v>
      </c>
      <c r="E49">
        <f t="shared" si="0"/>
        <v>0.80407219192652502</v>
      </c>
      <c r="G49">
        <f t="shared" ca="1" si="1"/>
        <v>47</v>
      </c>
      <c r="H49">
        <f t="shared" ca="1" si="2"/>
        <v>37.791393020546678</v>
      </c>
      <c r="I49">
        <f t="shared" ca="1" si="3"/>
        <v>370.20711067540867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98460</v>
      </c>
      <c r="B51" s="66">
        <v>98460</v>
      </c>
      <c r="D51">
        <f t="shared" si="0"/>
        <v>0.83115260589893802</v>
      </c>
      <c r="E51">
        <f t="shared" si="0"/>
        <v>0.83115260589893802</v>
      </c>
      <c r="G51">
        <f t="shared" ca="1" si="1"/>
        <v>49</v>
      </c>
      <c r="H51">
        <f t="shared" ca="1" si="2"/>
        <v>40.726477689047961</v>
      </c>
      <c r="I51">
        <f t="shared" ca="1" si="3"/>
        <v>314.66282937681922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100350</v>
      </c>
      <c r="B54" s="66">
        <v>100350</v>
      </c>
      <c r="D54">
        <f t="shared" si="0"/>
        <v>0.84710708919315902</v>
      </c>
      <c r="E54">
        <f t="shared" si="0"/>
        <v>0.84710708919315902</v>
      </c>
      <c r="G54">
        <f t="shared" ca="1" si="1"/>
        <v>52</v>
      </c>
      <c r="H54">
        <f t="shared" ca="1" si="2"/>
        <v>44.049568638044271</v>
      </c>
      <c r="I54">
        <f t="shared" ca="1" si="3"/>
        <v>229.43249267333141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102322</v>
      </c>
      <c r="B57" s="66">
        <v>102322</v>
      </c>
      <c r="D57">
        <f t="shared" si="0"/>
        <v>0.86375377758268479</v>
      </c>
      <c r="E57">
        <f t="shared" si="0"/>
        <v>0.86375377758268479</v>
      </c>
      <c r="G57">
        <f t="shared" ca="1" si="1"/>
        <v>55</v>
      </c>
      <c r="H57">
        <f t="shared" ca="1" si="2"/>
        <v>47.506457767047664</v>
      </c>
      <c r="I57">
        <f t="shared" ca="1" si="3"/>
        <v>156.42463040661502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109726</v>
      </c>
      <c r="B59" s="66">
        <v>109726</v>
      </c>
      <c r="D59">
        <f t="shared" si="0"/>
        <v>0.92625483277337883</v>
      </c>
      <c r="E59">
        <f t="shared" si="0"/>
        <v>0.92625483277337883</v>
      </c>
      <c r="G59">
        <f t="shared" ca="1" si="1"/>
        <v>57</v>
      </c>
      <c r="H59">
        <f t="shared" ca="1" si="2"/>
        <v>52.796525468082592</v>
      </c>
      <c r="I59">
        <f t="shared" ca="1" si="3"/>
        <v>121.58898853301886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111034</v>
      </c>
      <c r="B62" s="66">
        <v>111034</v>
      </c>
      <c r="D62">
        <f t="shared" si="0"/>
        <v>0.93729634819604601</v>
      </c>
      <c r="E62">
        <f t="shared" si="0"/>
        <v>0.93729634819604601</v>
      </c>
      <c r="G62">
        <f t="shared" ca="1" si="1"/>
        <v>60</v>
      </c>
      <c r="H62">
        <f t="shared" ca="1" si="2"/>
        <v>56.23778089176276</v>
      </c>
      <c r="I62">
        <f t="shared" ca="1" si="3"/>
        <v>67.040817096054454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113525</v>
      </c>
      <c r="B64" s="66">
        <v>113525</v>
      </c>
      <c r="D64">
        <f t="shared" si="0"/>
        <v>0.95832418834731814</v>
      </c>
      <c r="E64">
        <f t="shared" si="0"/>
        <v>0.95832418834731814</v>
      </c>
      <c r="G64">
        <f t="shared" ca="1" si="1"/>
        <v>62</v>
      </c>
      <c r="H64">
        <f t="shared" ca="1" si="2"/>
        <v>59.416099677533722</v>
      </c>
      <c r="I64">
        <f t="shared" ca="1" si="3"/>
        <v>39.958846101995768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118462</v>
      </c>
      <c r="B67" s="66">
        <v>118462</v>
      </c>
      <c r="D67">
        <f t="shared" ref="D67:E130" si="4">IFERROR( A67/MAX(A$2:A$257), 0 )</f>
        <v>1</v>
      </c>
      <c r="E67">
        <f t="shared" si="4"/>
        <v>1</v>
      </c>
      <c r="G67">
        <f t="shared" ref="G67:G130" ca="1" si="5">CELL("row",D67)-2</f>
        <v>65</v>
      </c>
      <c r="H67">
        <f t="shared" ref="H67:H130" ca="1" si="6">D67*G67</f>
        <v>65</v>
      </c>
      <c r="I67">
        <f t="shared" ref="I67:I130" ca="1" si="7">D67*((G67-$L$1)^2)</f>
        <v>11.952849318113891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116045</v>
      </c>
      <c r="B69" s="66">
        <v>116045</v>
      </c>
      <c r="D69">
        <f t="shared" si="4"/>
        <v>0.97959683273961273</v>
      </c>
      <c r="E69">
        <f t="shared" si="4"/>
        <v>0.97959683273961273</v>
      </c>
      <c r="G69">
        <f t="shared" ca="1" si="5"/>
        <v>67</v>
      </c>
      <c r="H69">
        <f t="shared" ca="1" si="6"/>
        <v>65.632987793554051</v>
      </c>
      <c r="I69">
        <f t="shared" ca="1" si="7"/>
        <v>2.0803620645605276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115323</v>
      </c>
      <c r="B72" s="66">
        <v>115323</v>
      </c>
      <c r="D72">
        <f t="shared" si="4"/>
        <v>0.97350205129070921</v>
      </c>
      <c r="E72">
        <f t="shared" si="4"/>
        <v>0.97350205129070921</v>
      </c>
      <c r="G72">
        <f t="shared" ca="1" si="5"/>
        <v>70</v>
      </c>
      <c r="H72">
        <f t="shared" ca="1" si="6"/>
        <v>68.145143590349647</v>
      </c>
      <c r="I72">
        <f t="shared" ca="1" si="7"/>
        <v>2.3168923376466921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106662</v>
      </c>
      <c r="B75" s="66">
        <v>106662</v>
      </c>
      <c r="D75">
        <f t="shared" si="4"/>
        <v>0.90038999848052537</v>
      </c>
      <c r="E75">
        <f t="shared" si="4"/>
        <v>0.90038999848052537</v>
      </c>
      <c r="G75">
        <f t="shared" ca="1" si="5"/>
        <v>73</v>
      </c>
      <c r="H75">
        <f t="shared" ca="1" si="6"/>
        <v>65.728469889078355</v>
      </c>
      <c r="I75">
        <f t="shared" ca="1" si="7"/>
        <v>18.580646531322813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106152</v>
      </c>
      <c r="B77" s="66">
        <v>106152</v>
      </c>
      <c r="D77">
        <f t="shared" si="4"/>
        <v>0.89608482044875148</v>
      </c>
      <c r="E77">
        <f t="shared" si="4"/>
        <v>0.89608482044875148</v>
      </c>
      <c r="G77">
        <f t="shared" ca="1" si="5"/>
        <v>75</v>
      </c>
      <c r="H77">
        <f t="shared" ca="1" si="6"/>
        <v>67.206361533656363</v>
      </c>
      <c r="I77">
        <f t="shared" ca="1" si="7"/>
        <v>38.358759610495568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105258</v>
      </c>
      <c r="B80" s="66">
        <v>105258</v>
      </c>
      <c r="D80">
        <f t="shared" si="4"/>
        <v>0.88853809660481842</v>
      </c>
      <c r="E80">
        <f t="shared" si="4"/>
        <v>0.88853809660481842</v>
      </c>
      <c r="G80">
        <f t="shared" ca="1" si="5"/>
        <v>78</v>
      </c>
      <c r="H80">
        <f t="shared" ca="1" si="6"/>
        <v>69.305971535175843</v>
      </c>
      <c r="I80">
        <f t="shared" ca="1" si="7"/>
        <v>80.913235655938294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101988</v>
      </c>
      <c r="B82" s="66">
        <v>101988</v>
      </c>
      <c r="D82">
        <f t="shared" si="4"/>
        <v>0.86093430804815041</v>
      </c>
      <c r="E82">
        <f t="shared" si="4"/>
        <v>0.86093430804815041</v>
      </c>
      <c r="G82">
        <f t="shared" ca="1" si="5"/>
        <v>80</v>
      </c>
      <c r="H82">
        <f t="shared" ca="1" si="6"/>
        <v>68.87474464385204</v>
      </c>
      <c r="I82">
        <f t="shared" ca="1" si="7"/>
        <v>114.70586817808106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98170</v>
      </c>
      <c r="B85" s="66">
        <v>98170</v>
      </c>
      <c r="D85">
        <f t="shared" si="4"/>
        <v>0.82870456348871369</v>
      </c>
      <c r="E85">
        <f t="shared" si="4"/>
        <v>0.82870456348871369</v>
      </c>
      <c r="G85">
        <f t="shared" ca="1" si="5"/>
        <v>83</v>
      </c>
      <c r="H85">
        <f t="shared" ca="1" si="6"/>
        <v>68.782478769563241</v>
      </c>
      <c r="I85">
        <f t="shared" ca="1" si="7"/>
        <v>175.2630881580215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87860</v>
      </c>
      <c r="B88" s="66">
        <v>87860</v>
      </c>
      <c r="D88">
        <f t="shared" si="4"/>
        <v>0.74167243504246083</v>
      </c>
      <c r="E88">
        <f t="shared" si="4"/>
        <v>0.74167243504246083</v>
      </c>
      <c r="G88">
        <f t="shared" ca="1" si="5"/>
        <v>86</v>
      </c>
      <c r="H88">
        <f t="shared" ca="1" si="6"/>
        <v>63.783829413651631</v>
      </c>
      <c r="I88">
        <f t="shared" ca="1" si="7"/>
        <v>228.24724335048356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87742</v>
      </c>
      <c r="B90" s="66">
        <v>87742</v>
      </c>
      <c r="D90">
        <f t="shared" si="4"/>
        <v>0.74067633502726615</v>
      </c>
      <c r="E90">
        <f t="shared" si="4"/>
        <v>0.74067633502726615</v>
      </c>
      <c r="G90">
        <f t="shared" ca="1" si="5"/>
        <v>88</v>
      </c>
      <c r="H90">
        <f t="shared" ca="1" si="6"/>
        <v>65.179517482399419</v>
      </c>
      <c r="I90">
        <f t="shared" ca="1" si="7"/>
        <v>282.87728486419525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88772</v>
      </c>
      <c r="B93" s="66">
        <v>88772</v>
      </c>
      <c r="D93">
        <f t="shared" si="4"/>
        <v>0.74937110634633886</v>
      </c>
      <c r="E93">
        <f t="shared" si="4"/>
        <v>0.74937110634633886</v>
      </c>
      <c r="G93">
        <f t="shared" ca="1" si="5"/>
        <v>91</v>
      </c>
      <c r="H93">
        <f t="shared" ca="1" si="6"/>
        <v>68.192770677516833</v>
      </c>
      <c r="I93">
        <f t="shared" ca="1" si="7"/>
        <v>380.81076692707865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78841</v>
      </c>
      <c r="B95" s="66">
        <v>78841</v>
      </c>
      <c r="D95">
        <f t="shared" si="4"/>
        <v>0.66553831608448277</v>
      </c>
      <c r="E95">
        <f t="shared" si="4"/>
        <v>0.66553831608448277</v>
      </c>
      <c r="G95">
        <f t="shared" ca="1" si="5"/>
        <v>93</v>
      </c>
      <c r="H95">
        <f t="shared" ca="1" si="6"/>
        <v>61.895063395856894</v>
      </c>
      <c r="I95">
        <f t="shared" ca="1" si="7"/>
        <v>400.8834430006014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73604</v>
      </c>
      <c r="B98" s="66">
        <v>73604</v>
      </c>
      <c r="D98">
        <f t="shared" si="4"/>
        <v>0.62133004676605152</v>
      </c>
      <c r="E98">
        <f t="shared" si="4"/>
        <v>0.62133004676605152</v>
      </c>
      <c r="G98">
        <f t="shared" ca="1" si="5"/>
        <v>96</v>
      </c>
      <c r="H98">
        <f t="shared" ca="1" si="6"/>
        <v>59.64768448954095</v>
      </c>
      <c r="I98">
        <f t="shared" ca="1" si="7"/>
        <v>471.34154049669598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65935</v>
      </c>
      <c r="B100" s="66">
        <v>65935</v>
      </c>
      <c r="D100">
        <f t="shared" si="4"/>
        <v>0.55659198730394555</v>
      </c>
      <c r="E100">
        <f t="shared" si="4"/>
        <v>0.55659198730394555</v>
      </c>
      <c r="G100">
        <f t="shared" ca="1" si="5"/>
        <v>98</v>
      </c>
      <c r="H100">
        <f t="shared" ca="1" si="6"/>
        <v>54.546014755786665</v>
      </c>
      <c r="I100">
        <f t="shared" ca="1" si="7"/>
        <v>485.77776579103693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65008</v>
      </c>
      <c r="B103" s="66">
        <v>65008</v>
      </c>
      <c r="D103">
        <f t="shared" si="4"/>
        <v>0.54876669311678006</v>
      </c>
      <c r="E103">
        <f t="shared" si="4"/>
        <v>0.54876669311678006</v>
      </c>
      <c r="G103">
        <f t="shared" ca="1" si="5"/>
        <v>101</v>
      </c>
      <c r="H103">
        <f t="shared" ca="1" si="6"/>
        <v>55.425436004794783</v>
      </c>
      <c r="I103">
        <f t="shared" ca="1" si="7"/>
        <v>581.15930421746918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66048</v>
      </c>
      <c r="B106" s="66">
        <v>66048</v>
      </c>
      <c r="D106">
        <f t="shared" si="4"/>
        <v>0.55754587969137781</v>
      </c>
      <c r="E106">
        <f t="shared" si="4"/>
        <v>0.55754587969137781</v>
      </c>
      <c r="G106">
        <f t="shared" ca="1" si="5"/>
        <v>104</v>
      </c>
      <c r="H106">
        <f t="shared" ca="1" si="6"/>
        <v>57.984771487903295</v>
      </c>
      <c r="I106">
        <f t="shared" ca="1" si="7"/>
        <v>704.33894728798555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61034</v>
      </c>
      <c r="B108" s="66">
        <v>61034</v>
      </c>
      <c r="D108">
        <f t="shared" si="4"/>
        <v>0.5152200705711536</v>
      </c>
      <c r="E108">
        <f t="shared" si="4"/>
        <v>0.5152200705711536</v>
      </c>
      <c r="G108">
        <f t="shared" ca="1" si="5"/>
        <v>106</v>
      </c>
      <c r="H108">
        <f t="shared" ca="1" si="6"/>
        <v>54.613327480542281</v>
      </c>
      <c r="I108">
        <f t="shared" ca="1" si="7"/>
        <v>726.1795697677004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55565</v>
      </c>
      <c r="B111" s="66">
        <v>55565</v>
      </c>
      <c r="D111">
        <f t="shared" si="4"/>
        <v>0.46905336732454289</v>
      </c>
      <c r="E111">
        <f t="shared" si="4"/>
        <v>0.46905336732454289</v>
      </c>
      <c r="G111">
        <f t="shared" ca="1" si="5"/>
        <v>109</v>
      </c>
      <c r="H111">
        <f t="shared" ca="1" si="6"/>
        <v>51.126817038375172</v>
      </c>
      <c r="I111">
        <f t="shared" ca="1" si="7"/>
        <v>770.98836273496647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51697</v>
      </c>
      <c r="B113" s="66">
        <v>51697</v>
      </c>
      <c r="D113">
        <f t="shared" si="4"/>
        <v>0.4364015464874812</v>
      </c>
      <c r="E113">
        <f t="shared" si="4"/>
        <v>0.4364015464874812</v>
      </c>
      <c r="G113">
        <f t="shared" ca="1" si="5"/>
        <v>111</v>
      </c>
      <c r="H113">
        <f t="shared" ca="1" si="6"/>
        <v>48.440571660110415</v>
      </c>
      <c r="I113">
        <f t="shared" ca="1" si="7"/>
        <v>789.83540567223804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46630</v>
      </c>
      <c r="B116" s="66">
        <v>46630</v>
      </c>
      <c r="D116">
        <f t="shared" si="4"/>
        <v>0.39362833651297463</v>
      </c>
      <c r="E116">
        <f t="shared" si="4"/>
        <v>0.39362833651297463</v>
      </c>
      <c r="G116">
        <f t="shared" ca="1" si="5"/>
        <v>114</v>
      </c>
      <c r="H116">
        <f t="shared" ca="1" si="6"/>
        <v>44.873630362479105</v>
      </c>
      <c r="I116">
        <f t="shared" ca="1" si="7"/>
        <v>816.43968655369883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45454</v>
      </c>
      <c r="B118" s="66">
        <v>45454</v>
      </c>
      <c r="D118">
        <f t="shared" si="4"/>
        <v>0.38370110246323713</v>
      </c>
      <c r="E118">
        <f t="shared" si="4"/>
        <v>0.38370110246323713</v>
      </c>
      <c r="G118">
        <f t="shared" ca="1" si="5"/>
        <v>116</v>
      </c>
      <c r="H118">
        <f t="shared" ca="1" si="6"/>
        <v>44.509327885735509</v>
      </c>
      <c r="I118">
        <f t="shared" ca="1" si="7"/>
        <v>867.2831858610092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38669</v>
      </c>
      <c r="B121" s="66">
        <v>38669</v>
      </c>
      <c r="D121">
        <f t="shared" si="4"/>
        <v>0.32642535158953928</v>
      </c>
      <c r="E121">
        <f t="shared" si="4"/>
        <v>0.32642535158953928</v>
      </c>
      <c r="G121">
        <f t="shared" ca="1" si="5"/>
        <v>119</v>
      </c>
      <c r="H121">
        <f t="shared" ca="1" si="6"/>
        <v>38.844616839155172</v>
      </c>
      <c r="I121">
        <f t="shared" ca="1" si="7"/>
        <v>833.8749756714418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33400</v>
      </c>
      <c r="B124" s="66">
        <v>33400</v>
      </c>
      <c r="D124">
        <f t="shared" si="4"/>
        <v>0.28194695345342813</v>
      </c>
      <c r="E124">
        <f t="shared" si="4"/>
        <v>0.28194695345342813</v>
      </c>
      <c r="G124">
        <f t="shared" ca="1" si="5"/>
        <v>122</v>
      </c>
      <c r="H124">
        <f t="shared" ca="1" si="6"/>
        <v>34.397528321318234</v>
      </c>
      <c r="I124">
        <f t="shared" ca="1" si="7"/>
        <v>808.29169202541675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30067</v>
      </c>
      <c r="B126" s="66">
        <v>30067</v>
      </c>
      <c r="D126">
        <f t="shared" si="4"/>
        <v>0.25381134878695277</v>
      </c>
      <c r="E126">
        <f t="shared" si="4"/>
        <v>0.25381134878695277</v>
      </c>
      <c r="G126">
        <f t="shared" ca="1" si="5"/>
        <v>124</v>
      </c>
      <c r="H126">
        <f t="shared" ca="1" si="6"/>
        <v>31.472607249582143</v>
      </c>
      <c r="I126">
        <f t="shared" ca="1" si="7"/>
        <v>783.00616114826596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26603</v>
      </c>
      <c r="B129" s="66">
        <v>26603</v>
      </c>
      <c r="D129">
        <f t="shared" si="4"/>
        <v>0.22456990427310022</v>
      </c>
      <c r="E129">
        <f t="shared" si="4"/>
        <v>0.22456990427310022</v>
      </c>
      <c r="G129">
        <f t="shared" ca="1" si="5"/>
        <v>127</v>
      </c>
      <c r="H129">
        <f t="shared" ca="1" si="6"/>
        <v>28.520377842683729</v>
      </c>
      <c r="I129">
        <f t="shared" ca="1" si="7"/>
        <v>769.65697442966064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23223</v>
      </c>
      <c r="B131" s="66">
        <v>23223</v>
      </c>
      <c r="D131">
        <f t="shared" ref="D131:E194" si="8">IFERROR( A131/MAX(A$2:A$257), 0 )</f>
        <v>0.1960375479056575</v>
      </c>
      <c r="E131">
        <f t="shared" si="8"/>
        <v>0.1960375479056575</v>
      </c>
      <c r="G131">
        <f t="shared" ref="G131:G194" ca="1" si="9">CELL("row",D131)-2</f>
        <v>129</v>
      </c>
      <c r="H131">
        <f t="shared" ref="H131:H194" ca="1" si="10">D131*G131</f>
        <v>25.288843679829817</v>
      </c>
      <c r="I131">
        <f t="shared" ref="I131:I194" ca="1" si="11">D131*((G131-$L$1)^2)</f>
        <v>718.5599132939044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19672</v>
      </c>
      <c r="B134" s="66">
        <v>19672</v>
      </c>
      <c r="D134">
        <f t="shared" si="8"/>
        <v>0.16606169066873766</v>
      </c>
      <c r="E134">
        <f t="shared" si="8"/>
        <v>0.16606169066873766</v>
      </c>
      <c r="G134">
        <f t="shared" ca="1" si="9"/>
        <v>132</v>
      </c>
      <c r="H134">
        <f t="shared" ca="1" si="10"/>
        <v>21.92014316827337</v>
      </c>
      <c r="I134">
        <f t="shared" ca="1" si="11"/>
        <v>670.50331668956017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15921</v>
      </c>
      <c r="B136" s="66">
        <v>15921</v>
      </c>
      <c r="D136">
        <f t="shared" si="8"/>
        <v>0.13439752832131824</v>
      </c>
      <c r="E136">
        <f t="shared" si="8"/>
        <v>0.13439752832131824</v>
      </c>
      <c r="G136">
        <f t="shared" ca="1" si="9"/>
        <v>134</v>
      </c>
      <c r="H136">
        <f t="shared" ca="1" si="10"/>
        <v>18.009268795056645</v>
      </c>
      <c r="I136">
        <f t="shared" ca="1" si="11"/>
        <v>577.35120885198705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13518</v>
      </c>
      <c r="B139" s="66">
        <v>13518</v>
      </c>
      <c r="D139">
        <f t="shared" si="8"/>
        <v>0.1141125424186659</v>
      </c>
      <c r="E139">
        <f t="shared" si="8"/>
        <v>0.1141125424186659</v>
      </c>
      <c r="G139">
        <f t="shared" ca="1" si="9"/>
        <v>137</v>
      </c>
      <c r="H139">
        <f t="shared" ca="1" si="10"/>
        <v>15.633418311357229</v>
      </c>
      <c r="I139">
        <f t="shared" ca="1" si="11"/>
        <v>536.11249953583115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13006</v>
      </c>
      <c r="B142" s="66">
        <v>13006</v>
      </c>
      <c r="D142">
        <f t="shared" si="8"/>
        <v>0.109790481335787</v>
      </c>
      <c r="E142">
        <f t="shared" si="8"/>
        <v>0.109790481335787</v>
      </c>
      <c r="G142">
        <f t="shared" ca="1" si="9"/>
        <v>140</v>
      </c>
      <c r="H142">
        <f t="shared" ca="1" si="10"/>
        <v>15.370667387010181</v>
      </c>
      <c r="I142">
        <f t="shared" ca="1" si="11"/>
        <v>561.94714810529524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9804</v>
      </c>
      <c r="B144" s="66">
        <v>9804</v>
      </c>
      <c r="D144">
        <f t="shared" si="8"/>
        <v>8.2760716516688898E-2</v>
      </c>
      <c r="E144">
        <f t="shared" si="8"/>
        <v>8.2760716516688898E-2</v>
      </c>
      <c r="G144">
        <f t="shared" ca="1" si="9"/>
        <v>142</v>
      </c>
      <c r="H144">
        <f t="shared" ca="1" si="10"/>
        <v>11.752021745369824</v>
      </c>
      <c r="I144">
        <f t="shared" ca="1" si="11"/>
        <v>447.61384266550579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7496</v>
      </c>
      <c r="B147" s="66">
        <v>7496</v>
      </c>
      <c r="D147">
        <f t="shared" si="8"/>
        <v>6.3277675541523859E-2</v>
      </c>
      <c r="E147">
        <f t="shared" si="8"/>
        <v>6.3277675541523859E-2</v>
      </c>
      <c r="G147">
        <f t="shared" ca="1" si="9"/>
        <v>145</v>
      </c>
      <c r="H147">
        <f t="shared" ca="1" si="10"/>
        <v>9.17526295352096</v>
      </c>
      <c r="I147">
        <f t="shared" ca="1" si="11"/>
        <v>370.73039507330765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7199</v>
      </c>
      <c r="B149" s="66">
        <v>7199</v>
      </c>
      <c r="D149">
        <f t="shared" si="8"/>
        <v>6.0770542452432005E-2</v>
      </c>
      <c r="E149">
        <f t="shared" si="8"/>
        <v>6.0770542452432005E-2</v>
      </c>
      <c r="G149">
        <f t="shared" ca="1" si="9"/>
        <v>147</v>
      </c>
      <c r="H149">
        <f t="shared" ca="1" si="10"/>
        <v>8.9332697405075052</v>
      </c>
      <c r="I149">
        <f t="shared" ca="1" si="11"/>
        <v>374.89088779370934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5210</v>
      </c>
      <c r="B152" s="66">
        <v>5210</v>
      </c>
      <c r="D152">
        <f t="shared" si="8"/>
        <v>4.3980348128513785E-2</v>
      </c>
      <c r="E152">
        <f t="shared" si="8"/>
        <v>4.3980348128513785E-2</v>
      </c>
      <c r="G152">
        <f t="shared" ca="1" si="9"/>
        <v>150</v>
      </c>
      <c r="H152">
        <f t="shared" ca="1" si="10"/>
        <v>6.5970522192770682</v>
      </c>
      <c r="I152">
        <f t="shared" ca="1" si="11"/>
        <v>292.43473189812755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5269</v>
      </c>
      <c r="B154" s="66">
        <v>5269</v>
      </c>
      <c r="D154">
        <f t="shared" si="8"/>
        <v>4.4478398136111159E-2</v>
      </c>
      <c r="E154">
        <f t="shared" si="8"/>
        <v>4.4478398136111159E-2</v>
      </c>
      <c r="G154">
        <f t="shared" ca="1" si="9"/>
        <v>152</v>
      </c>
      <c r="H154">
        <f t="shared" ca="1" si="10"/>
        <v>6.7607165166888965</v>
      </c>
      <c r="I154">
        <f t="shared" ca="1" si="11"/>
        <v>310.43184301460377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4116</v>
      </c>
      <c r="B157" s="66">
        <v>4116</v>
      </c>
      <c r="D157">
        <f t="shared" si="8"/>
        <v>3.4745319174081142E-2</v>
      </c>
      <c r="E157">
        <f t="shared" si="8"/>
        <v>3.4745319174081142E-2</v>
      </c>
      <c r="G157">
        <f t="shared" ca="1" si="9"/>
        <v>155</v>
      </c>
      <c r="H157">
        <f t="shared" ca="1" si="10"/>
        <v>5.3855244719825768</v>
      </c>
      <c r="I157">
        <f t="shared" ca="1" si="11"/>
        <v>260.22995922477912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3664</v>
      </c>
      <c r="B160" s="66">
        <v>3664</v>
      </c>
      <c r="D160">
        <f t="shared" si="8"/>
        <v>3.0929749624352115E-2</v>
      </c>
      <c r="E160">
        <f t="shared" si="8"/>
        <v>3.0929749624352115E-2</v>
      </c>
      <c r="G160">
        <f t="shared" ca="1" si="9"/>
        <v>158</v>
      </c>
      <c r="H160">
        <f t="shared" ca="1" si="10"/>
        <v>4.8869004406476337</v>
      </c>
      <c r="I160">
        <f t="shared" ca="1" si="11"/>
        <v>247.99154793429875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3596</v>
      </c>
      <c r="B162" s="66">
        <v>3596</v>
      </c>
      <c r="D162">
        <f t="shared" si="8"/>
        <v>3.0355725886782259E-2</v>
      </c>
      <c r="E162">
        <f t="shared" si="8"/>
        <v>3.0355725886782259E-2</v>
      </c>
      <c r="G162">
        <f t="shared" ca="1" si="9"/>
        <v>160</v>
      </c>
      <c r="H162">
        <f t="shared" ca="1" si="10"/>
        <v>4.8569161418851614</v>
      </c>
      <c r="I162">
        <f t="shared" ca="1" si="11"/>
        <v>254.38304353641587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2000</v>
      </c>
      <c r="B165" s="66">
        <v>2000</v>
      </c>
      <c r="D165">
        <f t="shared" si="8"/>
        <v>1.6883051104995696E-2</v>
      </c>
      <c r="E165">
        <f t="shared" si="8"/>
        <v>1.6883051104995696E-2</v>
      </c>
      <c r="G165">
        <f t="shared" ca="1" si="9"/>
        <v>163</v>
      </c>
      <c r="H165">
        <f t="shared" ca="1" si="10"/>
        <v>2.7519373301142984</v>
      </c>
      <c r="I165">
        <f t="shared" ca="1" si="11"/>
        <v>150.90618335187744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1384</v>
      </c>
      <c r="B167" s="66">
        <v>1384</v>
      </c>
      <c r="D167">
        <f t="shared" si="8"/>
        <v>1.1683071364657021E-2</v>
      </c>
      <c r="E167">
        <f t="shared" si="8"/>
        <v>1.1683071364657021E-2</v>
      </c>
      <c r="G167">
        <f t="shared" ca="1" si="9"/>
        <v>165</v>
      </c>
      <c r="H167">
        <f t="shared" ca="1" si="10"/>
        <v>1.9277067751684085</v>
      </c>
      <c r="I167">
        <f t="shared" ca="1" si="11"/>
        <v>108.89200810932661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1013</v>
      </c>
      <c r="B170" s="66">
        <v>1013</v>
      </c>
      <c r="D170">
        <f t="shared" si="8"/>
        <v>8.5512653846803195E-3</v>
      </c>
      <c r="E170">
        <f t="shared" si="8"/>
        <v>8.5512653846803195E-3</v>
      </c>
      <c r="G170">
        <f t="shared" ca="1" si="9"/>
        <v>168</v>
      </c>
      <c r="H170">
        <f t="shared" ca="1" si="10"/>
        <v>1.4366125846262936</v>
      </c>
      <c r="I170">
        <f t="shared" ca="1" si="11"/>
        <v>84.732361595994632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836</v>
      </c>
      <c r="B173" s="66">
        <v>836</v>
      </c>
      <c r="D173">
        <f t="shared" si="8"/>
        <v>7.0571153618882001E-3</v>
      </c>
      <c r="E173">
        <f t="shared" si="8"/>
        <v>7.0571153618882001E-3</v>
      </c>
      <c r="G173">
        <f t="shared" ca="1" si="9"/>
        <v>171</v>
      </c>
      <c r="H173">
        <f t="shared" ca="1" si="10"/>
        <v>1.2067667268828821</v>
      </c>
      <c r="I173">
        <f t="shared" ca="1" si="11"/>
        <v>74.20562108058175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643</v>
      </c>
      <c r="B175" s="66">
        <v>643</v>
      </c>
      <c r="D175">
        <f t="shared" si="8"/>
        <v>5.4279009302561155E-3</v>
      </c>
      <c r="E175">
        <f t="shared" si="8"/>
        <v>5.4279009302561155E-3</v>
      </c>
      <c r="G175">
        <f t="shared" ca="1" si="9"/>
        <v>173</v>
      </c>
      <c r="H175">
        <f t="shared" ca="1" si="10"/>
        <v>0.93902686093430798</v>
      </c>
      <c r="I175">
        <f t="shared" ca="1" si="11"/>
        <v>59.322497387580256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832</v>
      </c>
      <c r="B178" s="66">
        <v>832</v>
      </c>
      <c r="D178">
        <f t="shared" si="8"/>
        <v>7.0233492596782094E-3</v>
      </c>
      <c r="E178">
        <f t="shared" si="8"/>
        <v>7.0233492596782094E-3</v>
      </c>
      <c r="G178">
        <f t="shared" ca="1" si="9"/>
        <v>176</v>
      </c>
      <c r="H178">
        <f t="shared" ca="1" si="10"/>
        <v>1.2361094697033648</v>
      </c>
      <c r="I178">
        <f t="shared" ca="1" si="11"/>
        <v>81.228086706164333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718</v>
      </c>
      <c r="B180" s="66">
        <v>718</v>
      </c>
      <c r="D180">
        <f t="shared" si="8"/>
        <v>6.0610153466934547E-3</v>
      </c>
      <c r="E180">
        <f t="shared" si="8"/>
        <v>6.0610153466934547E-3</v>
      </c>
      <c r="G180">
        <f t="shared" ca="1" si="9"/>
        <v>178</v>
      </c>
      <c r="H180">
        <f t="shared" ca="1" si="10"/>
        <v>1.0788607317114349</v>
      </c>
      <c r="I180">
        <f t="shared" ca="1" si="11"/>
        <v>72.729792890077093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316</v>
      </c>
      <c r="B183" s="66">
        <v>316</v>
      </c>
      <c r="D183">
        <f t="shared" si="8"/>
        <v>2.6675220745893198E-3</v>
      </c>
      <c r="E183">
        <f t="shared" si="8"/>
        <v>2.6675220745893198E-3</v>
      </c>
      <c r="G183">
        <f t="shared" ca="1" si="9"/>
        <v>181</v>
      </c>
      <c r="H183">
        <f t="shared" ca="1" si="10"/>
        <v>0.48282149550066689</v>
      </c>
      <c r="I183">
        <f t="shared" ca="1" si="11"/>
        <v>33.786465761781521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242</v>
      </c>
      <c r="B185" s="66">
        <v>242</v>
      </c>
      <c r="D185">
        <f t="shared" si="8"/>
        <v>2.0428491837044789E-3</v>
      </c>
      <c r="E185">
        <f t="shared" si="8"/>
        <v>2.0428491837044789E-3</v>
      </c>
      <c r="G185">
        <f t="shared" ca="1" si="9"/>
        <v>183</v>
      </c>
      <c r="H185">
        <f t="shared" ca="1" si="10"/>
        <v>0.37384140061791965</v>
      </c>
      <c r="I185">
        <f t="shared" ca="1" si="11"/>
        <v>26.802247834039068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70.021966679206187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1.351948435168904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0.67616378382453468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5057</v>
      </c>
      <c r="B8" s="66">
        <v>5057</v>
      </c>
      <c r="D8">
        <f t="shared" si="0"/>
        <v>9.796021153361874</v>
      </c>
      <c r="E8">
        <f t="shared" si="1"/>
        <v>9.796021153361874</v>
      </c>
      <c r="G8">
        <f t="shared" ca="1" si="2"/>
        <v>6</v>
      </c>
      <c r="H8">
        <f t="shared" ca="1" si="3"/>
        <v>58.776126920171244</v>
      </c>
      <c r="I8">
        <f t="shared" ca="1" si="4"/>
        <v>40152.051186027391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7724</v>
      </c>
      <c r="B10" s="66">
        <v>7724</v>
      </c>
      <c r="D10">
        <f t="shared" si="0"/>
        <v>14.962322995563992</v>
      </c>
      <c r="E10">
        <f t="shared" si="1"/>
        <v>14.962322995563992</v>
      </c>
      <c r="G10">
        <f t="shared" ca="1" si="2"/>
        <v>8</v>
      </c>
      <c r="H10">
        <f t="shared" ca="1" si="3"/>
        <v>119.69858396451194</v>
      </c>
      <c r="I10">
        <f t="shared" ca="1" si="4"/>
        <v>57555.932210920888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13201</v>
      </c>
      <c r="B13" s="66">
        <v>13201</v>
      </c>
      <c r="D13">
        <f t="shared" si="0"/>
        <v>25.571934990217539</v>
      </c>
      <c r="E13">
        <f t="shared" si="1"/>
        <v>25.571934990217539</v>
      </c>
      <c r="G13">
        <f t="shared" ca="1" si="2"/>
        <v>11</v>
      </c>
      <c r="H13">
        <f t="shared" ca="1" si="3"/>
        <v>281.29128489239292</v>
      </c>
      <c r="I13">
        <f t="shared" ca="1" si="4"/>
        <v>89082.202238428959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21605</v>
      </c>
      <c r="B15" s="66">
        <v>21605</v>
      </c>
      <c r="D15">
        <f t="shared" si="0"/>
        <v>41.851500300253761</v>
      </c>
      <c r="E15">
        <f t="shared" si="1"/>
        <v>41.851500300253761</v>
      </c>
      <c r="G15">
        <f t="shared" ca="1" si="2"/>
        <v>13</v>
      </c>
      <c r="H15">
        <f t="shared" ca="1" si="3"/>
        <v>544.06950390329894</v>
      </c>
      <c r="I15">
        <f t="shared" ca="1" si="4"/>
        <v>136080.34925721682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31050</v>
      </c>
      <c r="B18" s="66">
        <v>31050</v>
      </c>
      <c r="D18">
        <f t="shared" si="0"/>
        <v>60.147608624062919</v>
      </c>
      <c r="E18">
        <f t="shared" si="1"/>
        <v>60.147608624062919</v>
      </c>
      <c r="G18">
        <f t="shared" ca="1" si="2"/>
        <v>16</v>
      </c>
      <c r="H18">
        <f t="shared" ca="1" si="3"/>
        <v>962.3617379850067</v>
      </c>
      <c r="I18">
        <f t="shared" ca="1" si="4"/>
        <v>175533.15003924925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32870</v>
      </c>
      <c r="B21" s="66">
        <v>32870</v>
      </c>
      <c r="D21">
        <f t="shared" si="0"/>
        <v>63.673168936326832</v>
      </c>
      <c r="E21">
        <f t="shared" si="1"/>
        <v>63.673168936326832</v>
      </c>
      <c r="G21">
        <f t="shared" ca="1" si="2"/>
        <v>19</v>
      </c>
      <c r="H21">
        <f t="shared" ca="1" si="3"/>
        <v>1209.7902097902097</v>
      </c>
      <c r="I21">
        <f t="shared" ca="1" si="4"/>
        <v>165756.60931167705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37442</v>
      </c>
      <c r="B23" s="66">
        <v>37442</v>
      </c>
      <c r="D23">
        <f t="shared" si="0"/>
        <v>72.529686380101893</v>
      </c>
      <c r="E23">
        <f t="shared" si="1"/>
        <v>72.529686380101893</v>
      </c>
      <c r="G23">
        <f t="shared" ca="1" si="2"/>
        <v>21</v>
      </c>
      <c r="H23">
        <f t="shared" ca="1" si="3"/>
        <v>1523.1234139821397</v>
      </c>
      <c r="I23">
        <f t="shared" ca="1" si="4"/>
        <v>174299.94915939297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35254</v>
      </c>
      <c r="B26" s="66">
        <v>35254</v>
      </c>
      <c r="D26">
        <f t="shared" si="0"/>
        <v>68.291265521182424</v>
      </c>
      <c r="E26">
        <f t="shared" si="1"/>
        <v>68.291265521182424</v>
      </c>
      <c r="G26">
        <f t="shared" ca="1" si="2"/>
        <v>24</v>
      </c>
      <c r="H26">
        <f t="shared" ca="1" si="3"/>
        <v>1638.9903725083782</v>
      </c>
      <c r="I26">
        <f t="shared" ca="1" si="4"/>
        <v>144642.36296939803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42752</v>
      </c>
      <c r="B28" s="66">
        <v>42752</v>
      </c>
      <c r="D28">
        <f t="shared" si="0"/>
        <v>82.815799159289469</v>
      </c>
      <c r="E28">
        <f t="shared" si="1"/>
        <v>82.815799159289469</v>
      </c>
      <c r="G28">
        <f t="shared" ca="1" si="2"/>
        <v>26</v>
      </c>
      <c r="H28">
        <f t="shared" ca="1" si="3"/>
        <v>2153.2107781415261</v>
      </c>
      <c r="I28">
        <f t="shared" ca="1" si="4"/>
        <v>160491.51568611924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45489</v>
      </c>
      <c r="B31" s="66">
        <v>45489</v>
      </c>
      <c r="D31">
        <f t="shared" si="0"/>
        <v>88.117699475040197</v>
      </c>
      <c r="E31">
        <f t="shared" si="1"/>
        <v>88.117699475040197</v>
      </c>
      <c r="G31">
        <f t="shared" ca="1" si="2"/>
        <v>29</v>
      </c>
      <c r="H31">
        <f t="shared" ca="1" si="3"/>
        <v>2555.4132847761657</v>
      </c>
      <c r="I31">
        <f t="shared" ca="1" si="4"/>
        <v>148284.6189028302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47654</v>
      </c>
      <c r="B33" s="66">
        <v>47654</v>
      </c>
      <c r="D33">
        <f t="shared" si="0"/>
        <v>92.311566549793696</v>
      </c>
      <c r="E33">
        <f t="shared" si="1"/>
        <v>92.311566549793696</v>
      </c>
      <c r="G33">
        <f t="shared" ca="1" si="2"/>
        <v>31</v>
      </c>
      <c r="H33">
        <f t="shared" ca="1" si="3"/>
        <v>2861.6585630436048</v>
      </c>
      <c r="I33">
        <f t="shared" ca="1" si="4"/>
        <v>140564.10399421229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51623</v>
      </c>
      <c r="B36" s="66">
        <v>51623</v>
      </c>
      <c r="D36">
        <f t="shared" si="0"/>
        <v>100</v>
      </c>
      <c r="E36">
        <f t="shared" si="1"/>
        <v>100</v>
      </c>
      <c r="G36">
        <f t="shared" ca="1" si="2"/>
        <v>34</v>
      </c>
      <c r="H36">
        <f t="shared" ca="1" si="3"/>
        <v>3400</v>
      </c>
      <c r="I36">
        <f t="shared" ca="1" si="4"/>
        <v>129758.20834378408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49450</v>
      </c>
      <c r="B39" s="66">
        <v>49450</v>
      </c>
      <c r="D39">
        <f t="shared" si="0"/>
        <v>95.790635956840944</v>
      </c>
      <c r="E39">
        <f t="shared" si="1"/>
        <v>95.790635956840944</v>
      </c>
      <c r="G39">
        <f t="shared" ca="1" si="2"/>
        <v>37</v>
      </c>
      <c r="H39">
        <f t="shared" ca="1" si="3"/>
        <v>3544.2535304031148</v>
      </c>
      <c r="I39">
        <f t="shared" ca="1" si="4"/>
        <v>104454.92612262121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49315</v>
      </c>
      <c r="B41" s="66">
        <v>49315</v>
      </c>
      <c r="D41">
        <f t="shared" si="0"/>
        <v>95.529124614997187</v>
      </c>
      <c r="E41">
        <f t="shared" si="1"/>
        <v>95.529124614997187</v>
      </c>
      <c r="G41">
        <f t="shared" ca="1" si="2"/>
        <v>39</v>
      </c>
      <c r="H41">
        <f t="shared" ca="1" si="3"/>
        <v>3725.6358599848904</v>
      </c>
      <c r="I41">
        <f t="shared" ca="1" si="4"/>
        <v>91933.639224544459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48810</v>
      </c>
      <c r="B44" s="66">
        <v>48810</v>
      </c>
      <c r="D44">
        <f t="shared" si="0"/>
        <v>94.550878484396492</v>
      </c>
      <c r="E44">
        <f t="shared" si="1"/>
        <v>94.550878484396492</v>
      </c>
      <c r="G44">
        <f t="shared" ca="1" si="2"/>
        <v>42</v>
      </c>
      <c r="H44">
        <f t="shared" ca="1" si="3"/>
        <v>3971.1368963446525</v>
      </c>
      <c r="I44">
        <f t="shared" ca="1" si="4"/>
        <v>74244.244609589034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50270</v>
      </c>
      <c r="B46" s="66">
        <v>50270</v>
      </c>
      <c r="D46">
        <f t="shared" si="0"/>
        <v>97.379075218410392</v>
      </c>
      <c r="E46">
        <f t="shared" si="1"/>
        <v>97.379075218410392</v>
      </c>
      <c r="G46">
        <f t="shared" ca="1" si="2"/>
        <v>44</v>
      </c>
      <c r="H46">
        <f t="shared" ca="1" si="3"/>
        <v>4284.6793096100573</v>
      </c>
      <c r="I46">
        <f t="shared" ca="1" si="4"/>
        <v>65939.53477160637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47292</v>
      </c>
      <c r="B49" s="66">
        <v>47292</v>
      </c>
      <c r="D49">
        <f t="shared" si="0"/>
        <v>91.610328729442301</v>
      </c>
      <c r="E49">
        <f t="shared" si="1"/>
        <v>91.610328729442301</v>
      </c>
      <c r="G49">
        <f t="shared" ca="1" si="2"/>
        <v>47</v>
      </c>
      <c r="H49">
        <f t="shared" ca="1" si="3"/>
        <v>4305.6854502837878</v>
      </c>
      <c r="I49">
        <f t="shared" ca="1" si="4"/>
        <v>48554.477339410478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46344</v>
      </c>
      <c r="B51" s="66">
        <v>46344</v>
      </c>
      <c r="D51">
        <f t="shared" si="0"/>
        <v>89.773937973383951</v>
      </c>
      <c r="E51">
        <f t="shared" si="1"/>
        <v>89.773937973383951</v>
      </c>
      <c r="G51">
        <f t="shared" ca="1" si="2"/>
        <v>49</v>
      </c>
      <c r="H51">
        <f t="shared" ca="1" si="3"/>
        <v>4398.9229606958133</v>
      </c>
      <c r="I51">
        <f t="shared" ca="1" si="4"/>
        <v>39673.175447783644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44648</v>
      </c>
      <c r="B54" s="66">
        <v>44648</v>
      </c>
      <c r="D54">
        <f t="shared" si="0"/>
        <v>86.488580671406154</v>
      </c>
      <c r="E54">
        <f t="shared" si="1"/>
        <v>86.488580671406154</v>
      </c>
      <c r="G54">
        <f t="shared" ca="1" si="2"/>
        <v>52</v>
      </c>
      <c r="H54">
        <f t="shared" ca="1" si="3"/>
        <v>4497.4061949131201</v>
      </c>
      <c r="I54">
        <f t="shared" ca="1" si="4"/>
        <v>28090.737079940325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46639</v>
      </c>
      <c r="B57" s="66">
        <v>46639</v>
      </c>
      <c r="D57">
        <f t="shared" si="0"/>
        <v>90.345388683338825</v>
      </c>
      <c r="E57">
        <f t="shared" si="1"/>
        <v>90.345388683338825</v>
      </c>
      <c r="G57">
        <f t="shared" ca="1" si="2"/>
        <v>55</v>
      </c>
      <c r="H57">
        <f t="shared" ca="1" si="3"/>
        <v>4968.996377583635</v>
      </c>
      <c r="I57">
        <f t="shared" ca="1" si="4"/>
        <v>20387.2936936919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45848</v>
      </c>
      <c r="B59" s="66">
        <v>45848</v>
      </c>
      <c r="D59">
        <f t="shared" si="0"/>
        <v>88.813125932239501</v>
      </c>
      <c r="E59">
        <f t="shared" si="1"/>
        <v>88.813125932239501</v>
      </c>
      <c r="G59">
        <f t="shared" ca="1" si="2"/>
        <v>57</v>
      </c>
      <c r="H59">
        <f t="shared" ca="1" si="3"/>
        <v>5062.3481781376513</v>
      </c>
      <c r="I59">
        <f t="shared" ca="1" si="4"/>
        <v>15060.185303602741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49253</v>
      </c>
      <c r="B62" s="66">
        <v>49253</v>
      </c>
      <c r="D62">
        <f t="shared" si="0"/>
        <v>95.409023109854132</v>
      </c>
      <c r="E62">
        <f t="shared" si="1"/>
        <v>95.409023109854132</v>
      </c>
      <c r="G62">
        <f t="shared" ca="1" si="2"/>
        <v>60</v>
      </c>
      <c r="H62">
        <f t="shared" ca="1" si="3"/>
        <v>5724.5413865912478</v>
      </c>
      <c r="I62">
        <f t="shared" ca="1" si="4"/>
        <v>9582.8647372585328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45380</v>
      </c>
      <c r="B64" s="66">
        <v>45380</v>
      </c>
      <c r="D64">
        <f t="shared" si="0"/>
        <v>87.906553280514501</v>
      </c>
      <c r="E64">
        <f t="shared" si="1"/>
        <v>87.906553280514501</v>
      </c>
      <c r="G64">
        <f t="shared" ca="1" si="2"/>
        <v>62</v>
      </c>
      <c r="H64">
        <f t="shared" ca="1" si="3"/>
        <v>5450.2063033918994</v>
      </c>
      <c r="I64">
        <f t="shared" ca="1" si="4"/>
        <v>5656.9580688377609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50076</v>
      </c>
      <c r="B67" s="66">
        <v>50076</v>
      </c>
      <c r="D67">
        <f t="shared" ref="D67:D130" si="5">IFERROR( 100*A67/MAX(A$2:A$257), 0 )</f>
        <v>97.003273734575671</v>
      </c>
      <c r="E67">
        <f t="shared" ref="E67:E130" si="6">IFERROR( 100*B67/MAX(B$2:B$257), 0 )</f>
        <v>97.003273734575671</v>
      </c>
      <c r="G67">
        <f t="shared" ref="G67:G130" ca="1" si="7">CELL("row",D67)-2</f>
        <v>65</v>
      </c>
      <c r="H67">
        <f t="shared" ref="H67:H130" ca="1" si="8">D67*G67</f>
        <v>6305.2127927474185</v>
      </c>
      <c r="I67">
        <f t="shared" ref="I67:I130" ca="1" si="9">D67*((G67-$L$1)^2)</f>
        <v>2446.4370487994061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49459</v>
      </c>
      <c r="B69" s="66">
        <v>49459</v>
      </c>
      <c r="D69">
        <f t="shared" si="5"/>
        <v>95.808070046297189</v>
      </c>
      <c r="E69">
        <f t="shared" si="6"/>
        <v>95.808070046297189</v>
      </c>
      <c r="G69">
        <f t="shared" ca="1" si="7"/>
        <v>67</v>
      </c>
      <c r="H69">
        <f t="shared" ca="1" si="8"/>
        <v>6419.1406931019119</v>
      </c>
      <c r="I69">
        <f t="shared" ca="1" si="9"/>
        <v>874.94637200373427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46642</v>
      </c>
      <c r="B72" s="66">
        <v>46642</v>
      </c>
      <c r="D72">
        <f t="shared" si="5"/>
        <v>90.351200046490902</v>
      </c>
      <c r="E72">
        <f t="shared" si="6"/>
        <v>90.351200046490902</v>
      </c>
      <c r="G72">
        <f t="shared" ca="1" si="7"/>
        <v>70</v>
      </c>
      <c r="H72">
        <f t="shared" ca="1" si="8"/>
        <v>6324.5840032543629</v>
      </c>
      <c r="I72">
        <f t="shared" ca="1" si="9"/>
        <v>4.3597615894077971E-2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44360</v>
      </c>
      <c r="B75" s="66">
        <v>44360</v>
      </c>
      <c r="D75">
        <f t="shared" si="5"/>
        <v>85.93068980880615</v>
      </c>
      <c r="E75">
        <f t="shared" si="6"/>
        <v>85.93068980880615</v>
      </c>
      <c r="G75">
        <f t="shared" ca="1" si="7"/>
        <v>73</v>
      </c>
      <c r="H75">
        <f t="shared" ca="1" si="8"/>
        <v>6272.9403560428491</v>
      </c>
      <c r="I75">
        <f t="shared" ca="1" si="9"/>
        <v>762.09200146228386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44981</v>
      </c>
      <c r="B77" s="66">
        <v>44981</v>
      </c>
      <c r="D77">
        <f t="shared" si="5"/>
        <v>87.133641981287411</v>
      </c>
      <c r="E77">
        <f t="shared" si="6"/>
        <v>87.133641981287411</v>
      </c>
      <c r="G77">
        <f t="shared" ca="1" si="7"/>
        <v>75</v>
      </c>
      <c r="H77">
        <f t="shared" ca="1" si="8"/>
        <v>6535.023148596556</v>
      </c>
      <c r="I77">
        <f t="shared" ca="1" si="9"/>
        <v>2159.2427269490163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46402</v>
      </c>
      <c r="B80" s="66">
        <v>46402</v>
      </c>
      <c r="D80">
        <f t="shared" si="5"/>
        <v>89.886290994324241</v>
      </c>
      <c r="E80">
        <f t="shared" si="6"/>
        <v>89.886290994324241</v>
      </c>
      <c r="G80">
        <f t="shared" ca="1" si="7"/>
        <v>78</v>
      </c>
      <c r="H80">
        <f t="shared" ca="1" si="8"/>
        <v>7011.1306975572907</v>
      </c>
      <c r="I80">
        <f t="shared" ca="1" si="9"/>
        <v>5721.1739438088571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47510</v>
      </c>
      <c r="B82" s="66">
        <v>47510</v>
      </c>
      <c r="D82">
        <f t="shared" si="5"/>
        <v>92.032621118493694</v>
      </c>
      <c r="E82">
        <f t="shared" si="6"/>
        <v>92.032621118493694</v>
      </c>
      <c r="G82">
        <f t="shared" ca="1" si="7"/>
        <v>80</v>
      </c>
      <c r="H82">
        <f t="shared" ca="1" si="8"/>
        <v>7362.6096894794955</v>
      </c>
      <c r="I82">
        <f t="shared" ca="1" si="9"/>
        <v>9162.8734995174818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48470</v>
      </c>
      <c r="B85" s="66">
        <v>48470</v>
      </c>
      <c r="D85">
        <f t="shared" si="5"/>
        <v>93.89225732716038</v>
      </c>
      <c r="E85">
        <f t="shared" si="6"/>
        <v>93.89225732716038</v>
      </c>
      <c r="G85">
        <f t="shared" ca="1" si="7"/>
        <v>83</v>
      </c>
      <c r="H85">
        <f t="shared" ca="1" si="8"/>
        <v>7793.0573581543113</v>
      </c>
      <c r="I85">
        <f t="shared" ca="1" si="9"/>
        <v>15814.211766077144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42538</v>
      </c>
      <c r="B88" s="66">
        <v>42538</v>
      </c>
      <c r="D88">
        <f t="shared" si="5"/>
        <v>82.401255254440855</v>
      </c>
      <c r="E88">
        <f t="shared" si="6"/>
        <v>82.401255254440855</v>
      </c>
      <c r="G88">
        <f t="shared" ca="1" si="7"/>
        <v>86</v>
      </c>
      <c r="H88">
        <f t="shared" ca="1" si="8"/>
        <v>7086.5079518819139</v>
      </c>
      <c r="I88">
        <f t="shared" ca="1" si="9"/>
        <v>21036.838484534612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44598</v>
      </c>
      <c r="B90" s="66">
        <v>44598</v>
      </c>
      <c r="D90">
        <f t="shared" si="5"/>
        <v>86.391724618871436</v>
      </c>
      <c r="E90">
        <f t="shared" si="6"/>
        <v>86.391724618871436</v>
      </c>
      <c r="G90">
        <f t="shared" ca="1" si="7"/>
        <v>88</v>
      </c>
      <c r="H90">
        <f t="shared" ca="1" si="8"/>
        <v>7602.471766460686</v>
      </c>
      <c r="I90">
        <f t="shared" ca="1" si="9"/>
        <v>27922.64184871699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47384</v>
      </c>
      <c r="B93" s="66">
        <v>47384</v>
      </c>
      <c r="D93">
        <f t="shared" si="5"/>
        <v>91.788543866106195</v>
      </c>
      <c r="E93">
        <f t="shared" si="6"/>
        <v>91.788543866106195</v>
      </c>
      <c r="G93">
        <f t="shared" ca="1" si="7"/>
        <v>91</v>
      </c>
      <c r="H93">
        <f t="shared" ca="1" si="8"/>
        <v>8352.7574918156643</v>
      </c>
      <c r="I93">
        <f t="shared" ca="1" si="9"/>
        <v>40394.107977225212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41010</v>
      </c>
      <c r="B95" s="66">
        <v>41010</v>
      </c>
      <c r="D95">
        <f t="shared" si="5"/>
        <v>79.441334288979718</v>
      </c>
      <c r="E95">
        <f t="shared" si="6"/>
        <v>79.441334288979718</v>
      </c>
      <c r="G95">
        <f t="shared" ca="1" si="7"/>
        <v>93</v>
      </c>
      <c r="H95">
        <f t="shared" ca="1" si="8"/>
        <v>7388.0440888751136</v>
      </c>
      <c r="I95">
        <f t="shared" ca="1" si="9"/>
        <v>41944.231306016416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39272</v>
      </c>
      <c r="B98" s="66">
        <v>39272</v>
      </c>
      <c r="D98">
        <f t="shared" si="5"/>
        <v>76.074617902872745</v>
      </c>
      <c r="E98">
        <f t="shared" si="6"/>
        <v>76.074617902872745</v>
      </c>
      <c r="G98">
        <f t="shared" ca="1" si="7"/>
        <v>96</v>
      </c>
      <c r="H98">
        <f t="shared" ca="1" si="8"/>
        <v>7303.1633186757836</v>
      </c>
      <c r="I98">
        <f t="shared" ca="1" si="9"/>
        <v>51339.580861192677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34589</v>
      </c>
      <c r="B100" s="66">
        <v>34589</v>
      </c>
      <c r="D100">
        <f t="shared" si="5"/>
        <v>67.003080022470598</v>
      </c>
      <c r="E100">
        <f t="shared" si="6"/>
        <v>67.003080022470598</v>
      </c>
      <c r="G100">
        <f t="shared" ca="1" si="7"/>
        <v>98</v>
      </c>
      <c r="H100">
        <f t="shared" ca="1" si="8"/>
        <v>6566.3018422021187</v>
      </c>
      <c r="I100">
        <f t="shared" ca="1" si="9"/>
        <v>52448.024299725774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34979</v>
      </c>
      <c r="B103" s="66">
        <v>34979</v>
      </c>
      <c r="D103">
        <f t="shared" si="5"/>
        <v>67.758557232241444</v>
      </c>
      <c r="E103">
        <f t="shared" si="6"/>
        <v>67.758557232241444</v>
      </c>
      <c r="G103">
        <f t="shared" ca="1" si="7"/>
        <v>101</v>
      </c>
      <c r="H103">
        <f t="shared" ca="1" si="8"/>
        <v>6843.614280456386</v>
      </c>
      <c r="I103">
        <f t="shared" ca="1" si="9"/>
        <v>65023.723505667054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34463</v>
      </c>
      <c r="B106" s="66">
        <v>34463</v>
      </c>
      <c r="D106">
        <f t="shared" si="5"/>
        <v>66.7590027700831</v>
      </c>
      <c r="E106">
        <f t="shared" si="6"/>
        <v>66.7590027700831</v>
      </c>
      <c r="G106">
        <f t="shared" ca="1" si="7"/>
        <v>104</v>
      </c>
      <c r="H106">
        <f t="shared" ca="1" si="8"/>
        <v>6942.936288088642</v>
      </c>
      <c r="I106">
        <f t="shared" ca="1" si="9"/>
        <v>77073.719211108837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32648</v>
      </c>
      <c r="B108" s="66">
        <v>32648</v>
      </c>
      <c r="D108">
        <f t="shared" si="5"/>
        <v>63.24312806307266</v>
      </c>
      <c r="E108">
        <f t="shared" si="6"/>
        <v>63.24312806307266</v>
      </c>
      <c r="G108">
        <f t="shared" ca="1" si="7"/>
        <v>106</v>
      </c>
      <c r="H108">
        <f t="shared" ca="1" si="8"/>
        <v>6703.771574685702</v>
      </c>
      <c r="I108">
        <f t="shared" ca="1" si="9"/>
        <v>81863.099098321341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27416</v>
      </c>
      <c r="B111" s="66">
        <v>27416</v>
      </c>
      <c r="D111">
        <f t="shared" si="5"/>
        <v>53.108110725839261</v>
      </c>
      <c r="E111">
        <f t="shared" si="6"/>
        <v>53.108110725839261</v>
      </c>
      <c r="G111">
        <f t="shared" ca="1" si="7"/>
        <v>109</v>
      </c>
      <c r="H111">
        <f t="shared" ca="1" si="8"/>
        <v>5788.7840691164793</v>
      </c>
      <c r="I111">
        <f t="shared" ca="1" si="9"/>
        <v>80686.466551661695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28163</v>
      </c>
      <c r="B113" s="66">
        <v>28163</v>
      </c>
      <c r="D113">
        <f t="shared" si="5"/>
        <v>54.55514015070802</v>
      </c>
      <c r="E113">
        <f t="shared" si="6"/>
        <v>54.55514015070802</v>
      </c>
      <c r="G113">
        <f t="shared" ca="1" si="7"/>
        <v>111</v>
      </c>
      <c r="H113">
        <f t="shared" ca="1" si="8"/>
        <v>6055.6205567285906</v>
      </c>
      <c r="I113">
        <f t="shared" ca="1" si="9"/>
        <v>91608.948506559871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26785</v>
      </c>
      <c r="B116" s="66">
        <v>26785</v>
      </c>
      <c r="D116">
        <f t="shared" si="5"/>
        <v>51.885787342851053</v>
      </c>
      <c r="E116">
        <f t="shared" si="6"/>
        <v>51.885787342851053</v>
      </c>
      <c r="G116">
        <f t="shared" ca="1" si="7"/>
        <v>114</v>
      </c>
      <c r="H116">
        <f t="shared" ca="1" si="8"/>
        <v>5914.9797570850196</v>
      </c>
      <c r="I116">
        <f t="shared" ca="1" si="9"/>
        <v>100350.61058922675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29253</v>
      </c>
      <c r="B118" s="66">
        <v>29253</v>
      </c>
      <c r="D118">
        <f t="shared" si="5"/>
        <v>56.666602095964976</v>
      </c>
      <c r="E118">
        <f t="shared" si="6"/>
        <v>56.666602095964976</v>
      </c>
      <c r="G118">
        <f t="shared" ca="1" si="7"/>
        <v>116</v>
      </c>
      <c r="H118">
        <f t="shared" ca="1" si="8"/>
        <v>6573.3258431319373</v>
      </c>
      <c r="I118">
        <f t="shared" ca="1" si="9"/>
        <v>119792.03788824537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26724</v>
      </c>
      <c r="B121" s="66">
        <v>26724</v>
      </c>
      <c r="D121">
        <f t="shared" si="5"/>
        <v>51.767622958758693</v>
      </c>
      <c r="E121">
        <f t="shared" si="6"/>
        <v>51.767622958758693</v>
      </c>
      <c r="G121">
        <f t="shared" ca="1" si="7"/>
        <v>119</v>
      </c>
      <c r="H121">
        <f t="shared" ca="1" si="8"/>
        <v>6160.3471320922845</v>
      </c>
      <c r="I121">
        <f t="shared" ca="1" si="9"/>
        <v>124182.64575252273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23884</v>
      </c>
      <c r="B124" s="66">
        <v>23884</v>
      </c>
      <c r="D124">
        <f t="shared" si="5"/>
        <v>46.266199174786429</v>
      </c>
      <c r="E124">
        <f t="shared" si="6"/>
        <v>46.266199174786429</v>
      </c>
      <c r="G124">
        <f t="shared" ca="1" si="7"/>
        <v>122</v>
      </c>
      <c r="H124">
        <f t="shared" ca="1" si="8"/>
        <v>5644.4762993239447</v>
      </c>
      <c r="I124">
        <f t="shared" ca="1" si="9"/>
        <v>124998.12815912504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21888</v>
      </c>
      <c r="B126" s="66">
        <v>21888</v>
      </c>
      <c r="D126">
        <f t="shared" si="5"/>
        <v>42.399705557600292</v>
      </c>
      <c r="E126">
        <f t="shared" si="6"/>
        <v>42.399705557600292</v>
      </c>
      <c r="G126">
        <f t="shared" ca="1" si="7"/>
        <v>124</v>
      </c>
      <c r="H126">
        <f t="shared" ca="1" si="8"/>
        <v>5257.5634891424361</v>
      </c>
      <c r="I126">
        <f t="shared" ca="1" si="9"/>
        <v>123536.97274641876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19740</v>
      </c>
      <c r="B129" s="66">
        <v>19740</v>
      </c>
      <c r="D129">
        <f t="shared" si="5"/>
        <v>38.238769540708596</v>
      </c>
      <c r="E129">
        <f t="shared" si="6"/>
        <v>38.238769540708596</v>
      </c>
      <c r="G129">
        <f t="shared" ca="1" si="7"/>
        <v>127</v>
      </c>
      <c r="H129">
        <f t="shared" ca="1" si="8"/>
        <v>4856.3237316699915</v>
      </c>
      <c r="I129">
        <f t="shared" ca="1" si="9"/>
        <v>124142.02310796035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17108</v>
      </c>
      <c r="B131" s="66">
        <v>17108</v>
      </c>
      <c r="D131">
        <f t="shared" ref="D131:D194" si="10">IFERROR( 100*A131/MAX(A$2:A$257), 0 )</f>
        <v>33.140266935280785</v>
      </c>
      <c r="E131">
        <f t="shared" ref="E131:E194" si="11">IFERROR( 100*B131/MAX(B$2:B$257), 0 )</f>
        <v>33.140266935280785</v>
      </c>
      <c r="G131">
        <f t="shared" ref="G131:G194" ca="1" si="12">CELL("row",D131)-2</f>
        <v>129</v>
      </c>
      <c r="H131">
        <f t="shared" ref="H131:H194" ca="1" si="13">D131*G131</f>
        <v>4275.0944346512215</v>
      </c>
      <c r="I131">
        <f t="shared" ref="I131:I194" ca="1" si="14">D131*((G131-$L$1)^2)</f>
        <v>115275.38336276714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14720</v>
      </c>
      <c r="B134" s="66">
        <v>14720</v>
      </c>
      <c r="D134">
        <f t="shared" si="10"/>
        <v>28.51442186622242</v>
      </c>
      <c r="E134">
        <f t="shared" si="11"/>
        <v>28.51442186622242</v>
      </c>
      <c r="G134">
        <f t="shared" ca="1" si="12"/>
        <v>132</v>
      </c>
      <c r="H134">
        <f t="shared" ca="1" si="13"/>
        <v>3763.9036863413594</v>
      </c>
      <c r="I134">
        <f t="shared" ca="1" si="14"/>
        <v>109531.78188538764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12228</v>
      </c>
      <c r="B136" s="66">
        <v>12228</v>
      </c>
      <c r="D136">
        <f t="shared" si="10"/>
        <v>23.68711620789183</v>
      </c>
      <c r="E136">
        <f t="shared" si="11"/>
        <v>23.68711620789183</v>
      </c>
      <c r="G136">
        <f t="shared" ca="1" si="12"/>
        <v>134</v>
      </c>
      <c r="H136">
        <f t="shared" ca="1" si="13"/>
        <v>3174.0735718575052</v>
      </c>
      <c r="I136">
        <f t="shared" ca="1" si="14"/>
        <v>96955.837525155963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9721</v>
      </c>
      <c r="B139" s="66">
        <v>9721</v>
      </c>
      <c r="D139">
        <f t="shared" si="10"/>
        <v>18.830753733800826</v>
      </c>
      <c r="E139">
        <f t="shared" si="11"/>
        <v>18.830753733800826</v>
      </c>
      <c r="G139">
        <f t="shared" ca="1" si="12"/>
        <v>137</v>
      </c>
      <c r="H139">
        <f t="shared" ca="1" si="13"/>
        <v>2579.8132615307131</v>
      </c>
      <c r="I139">
        <f t="shared" ca="1" si="14"/>
        <v>84475.833614581104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9348</v>
      </c>
      <c r="B142" s="66">
        <v>9348</v>
      </c>
      <c r="D142">
        <f t="shared" si="10"/>
        <v>18.108207581891794</v>
      </c>
      <c r="E142">
        <f t="shared" si="11"/>
        <v>18.108207581891794</v>
      </c>
      <c r="G142">
        <f t="shared" ca="1" si="12"/>
        <v>140</v>
      </c>
      <c r="H142">
        <f t="shared" ca="1" si="13"/>
        <v>2535.149061464851</v>
      </c>
      <c r="I142">
        <f t="shared" ca="1" si="14"/>
        <v>88674.537082940587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6935</v>
      </c>
      <c r="B144" s="66">
        <v>6935</v>
      </c>
      <c r="D144">
        <f t="shared" si="10"/>
        <v>13.433934486566066</v>
      </c>
      <c r="E144">
        <f t="shared" si="11"/>
        <v>13.433934486566066</v>
      </c>
      <c r="G144">
        <f t="shared" ca="1" si="12"/>
        <v>142</v>
      </c>
      <c r="H144">
        <f t="shared" ca="1" si="13"/>
        <v>1907.6186970923814</v>
      </c>
      <c r="I144">
        <f t="shared" ca="1" si="14"/>
        <v>69599.028614876559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6024</v>
      </c>
      <c r="B147" s="66">
        <v>6024</v>
      </c>
      <c r="D147">
        <f t="shared" si="10"/>
        <v>11.669217209383415</v>
      </c>
      <c r="E147">
        <f t="shared" si="11"/>
        <v>11.669217209383415</v>
      </c>
      <c r="G147">
        <f t="shared" ca="1" si="12"/>
        <v>145</v>
      </c>
      <c r="H147">
        <f t="shared" ca="1" si="13"/>
        <v>1692.0364953605952</v>
      </c>
      <c r="I147">
        <f t="shared" ca="1" si="14"/>
        <v>65600.902340933506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6892</v>
      </c>
      <c r="B149" s="66">
        <v>6892</v>
      </c>
      <c r="D149">
        <f t="shared" si="10"/>
        <v>13.350638281386203</v>
      </c>
      <c r="E149">
        <f t="shared" si="11"/>
        <v>13.350638281386203</v>
      </c>
      <c r="G149">
        <f t="shared" ca="1" si="12"/>
        <v>147</v>
      </c>
      <c r="H149">
        <f t="shared" ca="1" si="13"/>
        <v>1962.5438273637719</v>
      </c>
      <c r="I149">
        <f t="shared" ca="1" si="14"/>
        <v>79110.777357486921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4820</v>
      </c>
      <c r="B152" s="66">
        <v>4820</v>
      </c>
      <c r="D152">
        <f t="shared" si="10"/>
        <v>9.3369234643472865</v>
      </c>
      <c r="E152">
        <f t="shared" si="11"/>
        <v>9.3369234643472865</v>
      </c>
      <c r="G152">
        <f t="shared" ca="1" si="12"/>
        <v>150</v>
      </c>
      <c r="H152">
        <f t="shared" ca="1" si="13"/>
        <v>1400.5385196520929</v>
      </c>
      <c r="I152">
        <f t="shared" ca="1" si="14"/>
        <v>59723.498484812713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5170</v>
      </c>
      <c r="B154" s="66">
        <v>5170</v>
      </c>
      <c r="D154">
        <f t="shared" si="10"/>
        <v>10.014915832090347</v>
      </c>
      <c r="E154">
        <f t="shared" si="11"/>
        <v>10.014915832090347</v>
      </c>
      <c r="G154">
        <f t="shared" ca="1" si="12"/>
        <v>152</v>
      </c>
      <c r="H154">
        <f t="shared" ca="1" si="13"/>
        <v>1522.2672064777328</v>
      </c>
      <c r="I154">
        <f t="shared" ca="1" si="14"/>
        <v>67304.21979881174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4116</v>
      </c>
      <c r="B157" s="66">
        <v>4116</v>
      </c>
      <c r="D157">
        <f t="shared" si="10"/>
        <v>7.9731902446583884</v>
      </c>
      <c r="E157">
        <f t="shared" si="11"/>
        <v>7.9731902446583884</v>
      </c>
      <c r="G157">
        <f t="shared" ca="1" si="12"/>
        <v>155</v>
      </c>
      <c r="H157">
        <f t="shared" ca="1" si="13"/>
        <v>1235.8444879220501</v>
      </c>
      <c r="I157">
        <f t="shared" ca="1" si="14"/>
        <v>57576.52879789994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3664</v>
      </c>
      <c r="B160" s="66">
        <v>3664</v>
      </c>
      <c r="D160">
        <f t="shared" si="10"/>
        <v>7.0976115297444942</v>
      </c>
      <c r="E160">
        <f t="shared" si="11"/>
        <v>7.0976115297444942</v>
      </c>
      <c r="G160">
        <f t="shared" ca="1" si="12"/>
        <v>158</v>
      </c>
      <c r="H160">
        <f t="shared" ca="1" si="13"/>
        <v>1121.4226216996301</v>
      </c>
      <c r="I160">
        <f t="shared" ca="1" si="14"/>
        <v>54936.466783000993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3596</v>
      </c>
      <c r="B162" s="66">
        <v>3596</v>
      </c>
      <c r="D162">
        <f t="shared" si="10"/>
        <v>6.9658872982972708</v>
      </c>
      <c r="E162">
        <f t="shared" si="11"/>
        <v>6.9658872982972708</v>
      </c>
      <c r="G162">
        <f t="shared" ca="1" si="12"/>
        <v>160</v>
      </c>
      <c r="H162">
        <f t="shared" ca="1" si="13"/>
        <v>1114.5419677275634</v>
      </c>
      <c r="I162">
        <f t="shared" ca="1" si="14"/>
        <v>56396.147343392018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2000</v>
      </c>
      <c r="B165" s="66">
        <v>2000</v>
      </c>
      <c r="D165">
        <f t="shared" si="10"/>
        <v>3.8742421013889157</v>
      </c>
      <c r="E165">
        <f t="shared" si="11"/>
        <v>3.8742421013889157</v>
      </c>
      <c r="G165">
        <f t="shared" ca="1" si="12"/>
        <v>163</v>
      </c>
      <c r="H165">
        <f t="shared" ca="1" si="13"/>
        <v>631.5014625263932</v>
      </c>
      <c r="I165">
        <f t="shared" ca="1" si="14"/>
        <v>33492.492416956178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1384</v>
      </c>
      <c r="B167" s="66">
        <v>1384</v>
      </c>
      <c r="D167">
        <f t="shared" si="10"/>
        <v>2.6809755341611297</v>
      </c>
      <c r="E167">
        <f t="shared" si="11"/>
        <v>2.6809755341611297</v>
      </c>
      <c r="G167">
        <f t="shared" ca="1" si="12"/>
        <v>165</v>
      </c>
      <c r="H167">
        <f t="shared" ca="1" si="13"/>
        <v>442.36096313658641</v>
      </c>
      <c r="I167">
        <f t="shared" ca="1" si="14"/>
        <v>24184.615984860186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1013</v>
      </c>
      <c r="B170" s="66">
        <v>1013</v>
      </c>
      <c r="D170">
        <f t="shared" si="10"/>
        <v>1.9623036243534859</v>
      </c>
      <c r="E170">
        <f t="shared" si="11"/>
        <v>1.9623036243534859</v>
      </c>
      <c r="G170">
        <f t="shared" ca="1" si="12"/>
        <v>168</v>
      </c>
      <c r="H170">
        <f t="shared" ca="1" si="13"/>
        <v>329.66700889138565</v>
      </c>
      <c r="I170">
        <f t="shared" ca="1" si="14"/>
        <v>18837.516317503672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836</v>
      </c>
      <c r="B173" s="66">
        <v>836</v>
      </c>
      <c r="D173">
        <f t="shared" si="10"/>
        <v>1.6194331983805668</v>
      </c>
      <c r="E173">
        <f t="shared" si="11"/>
        <v>1.6194331983805668</v>
      </c>
      <c r="G173">
        <f t="shared" ca="1" si="12"/>
        <v>171</v>
      </c>
      <c r="H173">
        <f t="shared" ca="1" si="13"/>
        <v>276.92307692307691</v>
      </c>
      <c r="I173">
        <f t="shared" ca="1" si="14"/>
        <v>16512.652977061287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643</v>
      </c>
      <c r="B175" s="66">
        <v>643</v>
      </c>
      <c r="D175">
        <f t="shared" si="10"/>
        <v>1.2455688355965364</v>
      </c>
      <c r="E175">
        <f t="shared" si="11"/>
        <v>1.2455688355965364</v>
      </c>
      <c r="G175">
        <f t="shared" ca="1" si="12"/>
        <v>173</v>
      </c>
      <c r="H175">
        <f t="shared" ca="1" si="13"/>
        <v>215.48340855820081</v>
      </c>
      <c r="I175">
        <f t="shared" ca="1" si="14"/>
        <v>13208.604009599809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832</v>
      </c>
      <c r="B178" s="66">
        <v>832</v>
      </c>
      <c r="D178">
        <f t="shared" si="10"/>
        <v>1.611684714177789</v>
      </c>
      <c r="E178">
        <f t="shared" si="11"/>
        <v>1.611684714177789</v>
      </c>
      <c r="G178">
        <f t="shared" ca="1" si="12"/>
        <v>176</v>
      </c>
      <c r="H178">
        <f t="shared" ca="1" si="13"/>
        <v>283.65650969529088</v>
      </c>
      <c r="I178">
        <f t="shared" ca="1" si="14"/>
        <v>18101.384713643165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718</v>
      </c>
      <c r="B180" s="66">
        <v>718</v>
      </c>
      <c r="D180">
        <f t="shared" si="10"/>
        <v>1.3908529143986208</v>
      </c>
      <c r="E180">
        <f t="shared" si="11"/>
        <v>1.3908529143986208</v>
      </c>
      <c r="G180">
        <f t="shared" ca="1" si="12"/>
        <v>178</v>
      </c>
      <c r="H180">
        <f t="shared" ca="1" si="13"/>
        <v>247.57181876295451</v>
      </c>
      <c r="I180">
        <f t="shared" ca="1" si="14"/>
        <v>16216.309742005304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316</v>
      </c>
      <c r="B183" s="66">
        <v>316</v>
      </c>
      <c r="D183">
        <f t="shared" si="10"/>
        <v>0.61213025201944871</v>
      </c>
      <c r="E183">
        <f t="shared" si="11"/>
        <v>0.61213025201944871</v>
      </c>
      <c r="G183">
        <f t="shared" ca="1" si="12"/>
        <v>181</v>
      </c>
      <c r="H183">
        <f t="shared" ca="1" si="13"/>
        <v>110.79557561552022</v>
      </c>
      <c r="I183">
        <f t="shared" ca="1" si="14"/>
        <v>7539.0720144148654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242</v>
      </c>
      <c r="B185" s="66">
        <v>242</v>
      </c>
      <c r="D185">
        <f t="shared" si="10"/>
        <v>0.46878329426805881</v>
      </c>
      <c r="E185">
        <f t="shared" si="11"/>
        <v>0.46878329426805881</v>
      </c>
      <c r="G185">
        <f t="shared" ca="1" si="12"/>
        <v>183</v>
      </c>
      <c r="H185">
        <f t="shared" ca="1" si="13"/>
        <v>85.78734285105476</v>
      </c>
      <c r="I185">
        <f t="shared" ca="1" si="14"/>
        <v>5983.566850346404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67.243885239248215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1.2983106550030081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0.5376227188672944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2911</v>
      </c>
      <c r="B8" s="66">
        <v>2911</v>
      </c>
      <c r="D8">
        <f t="shared" si="0"/>
        <v>4.0832643671711715</v>
      </c>
      <c r="E8">
        <f t="shared" si="1"/>
        <v>4.0832643671711715</v>
      </c>
      <c r="G8">
        <f t="shared" ca="1" si="2"/>
        <v>6</v>
      </c>
      <c r="H8">
        <f t="shared" ca="1" si="3"/>
        <v>24.499586203027029</v>
      </c>
      <c r="I8">
        <f t="shared" ca="1" si="4"/>
        <v>15315.56302751536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6294</v>
      </c>
      <c r="B10" s="66">
        <v>6294</v>
      </c>
      <c r="D10">
        <f t="shared" si="0"/>
        <v>8.8286038910942484</v>
      </c>
      <c r="E10">
        <f t="shared" si="1"/>
        <v>8.8286038910942484</v>
      </c>
      <c r="G10">
        <f t="shared" ca="1" si="2"/>
        <v>8</v>
      </c>
      <c r="H10">
        <f t="shared" ca="1" si="3"/>
        <v>70.628831128753987</v>
      </c>
      <c r="I10">
        <f t="shared" ca="1" si="4"/>
        <v>30986.968878666583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7310</v>
      </c>
      <c r="B13" s="66">
        <v>7310</v>
      </c>
      <c r="D13">
        <f t="shared" si="0"/>
        <v>10.253748720034787</v>
      </c>
      <c r="E13">
        <f t="shared" si="1"/>
        <v>10.253748720034787</v>
      </c>
      <c r="G13">
        <f t="shared" ca="1" si="2"/>
        <v>11</v>
      </c>
      <c r="H13">
        <f t="shared" ca="1" si="3"/>
        <v>112.79123592038266</v>
      </c>
      <c r="I13">
        <f t="shared" ca="1" si="4"/>
        <v>32436.448530599704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6774</v>
      </c>
      <c r="B15" s="66">
        <v>6774</v>
      </c>
      <c r="D15">
        <f t="shared" si="0"/>
        <v>9.5019006606724545</v>
      </c>
      <c r="E15">
        <f t="shared" si="1"/>
        <v>9.5019006606724545</v>
      </c>
      <c r="G15">
        <f t="shared" ca="1" si="2"/>
        <v>13</v>
      </c>
      <c r="H15">
        <f t="shared" ca="1" si="3"/>
        <v>123.5247085887419</v>
      </c>
      <c r="I15">
        <f t="shared" ca="1" si="4"/>
        <v>27958.383817788079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12155</v>
      </c>
      <c r="B18" s="66">
        <v>12155</v>
      </c>
      <c r="D18">
        <f t="shared" si="0"/>
        <v>17.049837987964821</v>
      </c>
      <c r="E18">
        <f t="shared" si="1"/>
        <v>17.049837987964821</v>
      </c>
      <c r="G18">
        <f t="shared" ca="1" si="2"/>
        <v>16</v>
      </c>
      <c r="H18">
        <f t="shared" ca="1" si="3"/>
        <v>272.79740780743714</v>
      </c>
      <c r="I18">
        <f t="shared" ca="1" si="4"/>
        <v>44771.779520546705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19213</v>
      </c>
      <c r="B21" s="66">
        <v>19213</v>
      </c>
      <c r="D21">
        <f t="shared" si="0"/>
        <v>26.95010590397105</v>
      </c>
      <c r="E21">
        <f t="shared" si="1"/>
        <v>26.95010590397105</v>
      </c>
      <c r="G21">
        <f t="shared" ca="1" si="2"/>
        <v>19</v>
      </c>
      <c r="H21">
        <f t="shared" ca="1" si="3"/>
        <v>512.05201217544993</v>
      </c>
      <c r="I21">
        <f t="shared" ca="1" si="4"/>
        <v>62725.629365826746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22522</v>
      </c>
      <c r="B23" s="66">
        <v>22522</v>
      </c>
      <c r="D23">
        <f t="shared" si="0"/>
        <v>31.591645509250817</v>
      </c>
      <c r="E23">
        <f t="shared" si="1"/>
        <v>31.591645509250817</v>
      </c>
      <c r="G23">
        <f t="shared" ca="1" si="2"/>
        <v>21</v>
      </c>
      <c r="H23">
        <f t="shared" ca="1" si="3"/>
        <v>663.42455569426716</v>
      </c>
      <c r="I23">
        <f t="shared" ca="1" si="4"/>
        <v>67558.636683103803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30045</v>
      </c>
      <c r="B26" s="66">
        <v>30045</v>
      </c>
      <c r="D26">
        <f t="shared" si="0"/>
        <v>42.144169670785935</v>
      </c>
      <c r="E26">
        <f t="shared" si="1"/>
        <v>42.144169670785935</v>
      </c>
      <c r="G26">
        <f t="shared" ca="1" si="2"/>
        <v>24</v>
      </c>
      <c r="H26">
        <f t="shared" ca="1" si="3"/>
        <v>1011.4600720988624</v>
      </c>
      <c r="I26">
        <f t="shared" ca="1" si="4"/>
        <v>78811.013774578038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36352</v>
      </c>
      <c r="B28" s="66">
        <v>36352</v>
      </c>
      <c r="D28">
        <f t="shared" si="0"/>
        <v>50.991008682722928</v>
      </c>
      <c r="E28">
        <f t="shared" si="1"/>
        <v>50.991008682722928</v>
      </c>
      <c r="G28">
        <f t="shared" ca="1" si="2"/>
        <v>26</v>
      </c>
      <c r="H28">
        <f t="shared" ca="1" si="3"/>
        <v>1325.7662257507961</v>
      </c>
      <c r="I28">
        <f t="shared" ca="1" si="4"/>
        <v>86738.666798231367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43717</v>
      </c>
      <c r="B31" s="66">
        <v>43717</v>
      </c>
      <c r="D31">
        <f t="shared" si="0"/>
        <v>61.321905990938546</v>
      </c>
      <c r="E31">
        <f t="shared" si="1"/>
        <v>61.321905990938546</v>
      </c>
      <c r="G31">
        <f t="shared" ca="1" si="2"/>
        <v>29</v>
      </c>
      <c r="H31">
        <f t="shared" ca="1" si="3"/>
        <v>1778.3352737372179</v>
      </c>
      <c r="I31">
        <f t="shared" ca="1" si="4"/>
        <v>89689.098264737608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43800</v>
      </c>
      <c r="B33" s="66">
        <v>43800</v>
      </c>
      <c r="D33">
        <f t="shared" si="0"/>
        <v>61.438330224011445</v>
      </c>
      <c r="E33">
        <f t="shared" si="1"/>
        <v>61.438330224011445</v>
      </c>
      <c r="G33">
        <f t="shared" ca="1" si="2"/>
        <v>31</v>
      </c>
      <c r="H33">
        <f t="shared" ca="1" si="3"/>
        <v>1904.5882369443548</v>
      </c>
      <c r="I33">
        <f t="shared" ca="1" si="4"/>
        <v>80706.571257140182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40747</v>
      </c>
      <c r="B36" s="66">
        <v>40747</v>
      </c>
      <c r="D36">
        <f t="shared" si="0"/>
        <v>57.155882229173386</v>
      </c>
      <c r="E36">
        <f t="shared" si="1"/>
        <v>57.155882229173386</v>
      </c>
      <c r="G36">
        <f t="shared" ca="1" si="2"/>
        <v>34</v>
      </c>
      <c r="H36">
        <f t="shared" ca="1" si="3"/>
        <v>1943.2999957918951</v>
      </c>
      <c r="I36">
        <f t="shared" ca="1" si="4"/>
        <v>63166.160796797689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42507</v>
      </c>
      <c r="B39" s="66">
        <v>42507</v>
      </c>
      <c r="D39">
        <f t="shared" si="0"/>
        <v>59.624637050960146</v>
      </c>
      <c r="E39">
        <f t="shared" si="1"/>
        <v>59.624637050960146</v>
      </c>
      <c r="G39">
        <f t="shared" ca="1" si="2"/>
        <v>37</v>
      </c>
      <c r="H39">
        <f t="shared" ca="1" si="3"/>
        <v>2206.1115708855255</v>
      </c>
      <c r="I39">
        <f t="shared" ca="1" si="4"/>
        <v>54538.213952203274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43144</v>
      </c>
      <c r="B41" s="66">
        <v>43144</v>
      </c>
      <c r="D41">
        <f t="shared" si="0"/>
        <v>60.518157972254564</v>
      </c>
      <c r="E41">
        <f t="shared" si="1"/>
        <v>60.518157972254564</v>
      </c>
      <c r="G41">
        <f t="shared" ca="1" si="2"/>
        <v>39</v>
      </c>
      <c r="H41">
        <f t="shared" ca="1" si="3"/>
        <v>2360.2081609179281</v>
      </c>
      <c r="I41">
        <f t="shared" ca="1" si="4"/>
        <v>48276.366655296071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43663</v>
      </c>
      <c r="B44" s="66">
        <v>43663</v>
      </c>
      <c r="D44">
        <f t="shared" si="0"/>
        <v>61.246160104360996</v>
      </c>
      <c r="E44">
        <f t="shared" si="1"/>
        <v>61.246160104360996</v>
      </c>
      <c r="G44">
        <f t="shared" ca="1" si="2"/>
        <v>42</v>
      </c>
      <c r="H44">
        <f t="shared" ca="1" si="3"/>
        <v>2572.3387243831617</v>
      </c>
      <c r="I44">
        <f t="shared" ca="1" si="4"/>
        <v>39029.344707940712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45720</v>
      </c>
      <c r="B46" s="66">
        <v>45720</v>
      </c>
      <c r="D46">
        <f t="shared" si="0"/>
        <v>64.131517302324283</v>
      </c>
      <c r="E46">
        <f t="shared" si="1"/>
        <v>64.131517302324283</v>
      </c>
      <c r="G46">
        <f t="shared" ca="1" si="2"/>
        <v>44</v>
      </c>
      <c r="H46">
        <f t="shared" ca="1" si="3"/>
        <v>2821.7867613022686</v>
      </c>
      <c r="I46">
        <f t="shared" ca="1" si="4"/>
        <v>34648.860796483976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49327</v>
      </c>
      <c r="B49" s="66">
        <v>49327</v>
      </c>
      <c r="D49">
        <f t="shared" si="0"/>
        <v>69.191061985383854</v>
      </c>
      <c r="E49">
        <f t="shared" si="1"/>
        <v>69.191061985383854</v>
      </c>
      <c r="G49">
        <f t="shared" ca="1" si="2"/>
        <v>47</v>
      </c>
      <c r="H49">
        <f t="shared" ca="1" si="3"/>
        <v>3251.9799133130409</v>
      </c>
      <c r="I49">
        <f t="shared" ca="1" si="4"/>
        <v>28355.527427452762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53895</v>
      </c>
      <c r="B51" s="66">
        <v>53895</v>
      </c>
      <c r="D51">
        <f t="shared" si="0"/>
        <v>75.598602909203123</v>
      </c>
      <c r="E51">
        <f t="shared" si="1"/>
        <v>75.598602909203123</v>
      </c>
      <c r="G51">
        <f t="shared" ca="1" si="2"/>
        <v>49</v>
      </c>
      <c r="H51">
        <f t="shared" ca="1" si="3"/>
        <v>3704.3315425509531</v>
      </c>
      <c r="I51">
        <f t="shared" ca="1" si="4"/>
        <v>25162.189749097332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57416</v>
      </c>
      <c r="B54" s="66">
        <v>57416</v>
      </c>
      <c r="D54">
        <f t="shared" si="0"/>
        <v>80.53751525437994</v>
      </c>
      <c r="E54">
        <f t="shared" si="1"/>
        <v>80.53751525437994</v>
      </c>
      <c r="G54">
        <f t="shared" ca="1" si="2"/>
        <v>52</v>
      </c>
      <c r="H54">
        <f t="shared" ca="1" si="3"/>
        <v>4187.9507932277565</v>
      </c>
      <c r="I54">
        <f t="shared" ca="1" si="4"/>
        <v>18714.988639730142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57021</v>
      </c>
      <c r="B57" s="66">
        <v>57021</v>
      </c>
      <c r="D57">
        <f t="shared" si="0"/>
        <v>79.983448121081196</v>
      </c>
      <c r="E57">
        <f t="shared" si="1"/>
        <v>79.983448121081196</v>
      </c>
      <c r="G57">
        <f t="shared" ca="1" si="2"/>
        <v>55</v>
      </c>
      <c r="H57">
        <f t="shared" ca="1" si="3"/>
        <v>4399.0896466594659</v>
      </c>
      <c r="I57">
        <f t="shared" ca="1" si="4"/>
        <v>11990.536722865392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65032</v>
      </c>
      <c r="B59" s="66">
        <v>65032</v>
      </c>
      <c r="D59">
        <f t="shared" si="0"/>
        <v>91.220490665020833</v>
      </c>
      <c r="E59">
        <f t="shared" si="1"/>
        <v>91.220490665020833</v>
      </c>
      <c r="G59">
        <f t="shared" ca="1" si="2"/>
        <v>57</v>
      </c>
      <c r="H59">
        <f t="shared" ca="1" si="3"/>
        <v>5199.5679679061877</v>
      </c>
      <c r="I59">
        <f t="shared" ca="1" si="4"/>
        <v>9572.4214859955973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63341</v>
      </c>
      <c r="B62" s="66">
        <v>63341</v>
      </c>
      <c r="D62">
        <f t="shared" si="0"/>
        <v>88.848522253860935</v>
      </c>
      <c r="E62">
        <f t="shared" si="1"/>
        <v>88.848522253860935</v>
      </c>
      <c r="G62">
        <f t="shared" ca="1" si="2"/>
        <v>60</v>
      </c>
      <c r="H62">
        <f t="shared" ca="1" si="3"/>
        <v>5330.9113352316563</v>
      </c>
      <c r="I62">
        <f t="shared" ca="1" si="4"/>
        <v>4662.2261049187682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70000</v>
      </c>
      <c r="B64" s="66">
        <v>70000</v>
      </c>
      <c r="D64">
        <f t="shared" si="0"/>
        <v>98.189112230155274</v>
      </c>
      <c r="E64">
        <f t="shared" si="1"/>
        <v>98.189112230155274</v>
      </c>
      <c r="G64">
        <f t="shared" ca="1" si="2"/>
        <v>62</v>
      </c>
      <c r="H64">
        <f t="shared" ca="1" si="3"/>
        <v>6087.7249582696268</v>
      </c>
      <c r="I64">
        <f t="shared" ca="1" si="4"/>
        <v>2700.0368464018898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70843</v>
      </c>
      <c r="B67" s="66">
        <v>70843</v>
      </c>
      <c r="D67">
        <f t="shared" ref="D67:D130" si="5">IFERROR(100*A67/MAX(A$2:A$257), 0 )</f>
        <v>99.371589681727002</v>
      </c>
      <c r="E67">
        <f t="shared" ref="E67:E130" si="6">IFERROR(100*B67/MAX(B$2:B$257), 0 )</f>
        <v>99.371589681727002</v>
      </c>
      <c r="G67">
        <f t="shared" ref="G67:G130" ca="1" si="7">CELL("row",D67)-2</f>
        <v>65</v>
      </c>
      <c r="H67">
        <f t="shared" ref="H67:H130" ca="1" si="8">D67*G67</f>
        <v>6459.1533293122548</v>
      </c>
      <c r="I67">
        <f t="shared" ref="I67:I130" ca="1" si="9">D67*((G67-$L$1)^2)</f>
        <v>500.33803756327086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69518</v>
      </c>
      <c r="B69" s="66">
        <v>69518</v>
      </c>
      <c r="D69">
        <f t="shared" si="5"/>
        <v>97.513010057370494</v>
      </c>
      <c r="E69">
        <f t="shared" si="6"/>
        <v>97.513010057370494</v>
      </c>
      <c r="G69">
        <f t="shared" ca="1" si="7"/>
        <v>67</v>
      </c>
      <c r="H69">
        <f t="shared" ca="1" si="8"/>
        <v>6533.3716738438234</v>
      </c>
      <c r="I69">
        <f t="shared" ca="1" si="9"/>
        <v>5.8000748058494933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71291</v>
      </c>
      <c r="B72" s="66">
        <v>71291</v>
      </c>
      <c r="D72">
        <f t="shared" si="5"/>
        <v>100</v>
      </c>
      <c r="E72">
        <f t="shared" si="6"/>
        <v>100</v>
      </c>
      <c r="G72">
        <f t="shared" ca="1" si="7"/>
        <v>70</v>
      </c>
      <c r="H72">
        <f t="shared" ca="1" si="8"/>
        <v>7000</v>
      </c>
      <c r="I72">
        <f t="shared" ca="1" si="9"/>
        <v>759.61685744338706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65240</v>
      </c>
      <c r="B75" s="66">
        <v>65240</v>
      </c>
      <c r="D75">
        <f t="shared" si="5"/>
        <v>91.512252598504716</v>
      </c>
      <c r="E75">
        <f t="shared" si="6"/>
        <v>91.512252598504716</v>
      </c>
      <c r="G75">
        <f t="shared" ca="1" si="7"/>
        <v>73</v>
      </c>
      <c r="H75">
        <f t="shared" ca="1" si="8"/>
        <v>6680.3944396908446</v>
      </c>
      <c r="I75">
        <f t="shared" ca="1" si="9"/>
        <v>3032.0623918092665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63566</v>
      </c>
      <c r="B77" s="66">
        <v>63566</v>
      </c>
      <c r="D77">
        <f t="shared" si="5"/>
        <v>89.164130114600724</v>
      </c>
      <c r="E77">
        <f t="shared" si="6"/>
        <v>89.164130114600724</v>
      </c>
      <c r="G77">
        <f t="shared" ca="1" si="7"/>
        <v>75</v>
      </c>
      <c r="H77">
        <f t="shared" ca="1" si="8"/>
        <v>6687.3097585950545</v>
      </c>
      <c r="I77">
        <f t="shared" ca="1" si="9"/>
        <v>5363.8747673927191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60691</v>
      </c>
      <c r="B80" s="66">
        <v>60691</v>
      </c>
      <c r="D80">
        <f t="shared" si="5"/>
        <v>85.131363005147918</v>
      </c>
      <c r="E80">
        <f t="shared" si="6"/>
        <v>85.131363005147918</v>
      </c>
      <c r="G80">
        <f t="shared" ca="1" si="7"/>
        <v>78</v>
      </c>
      <c r="H80">
        <f t="shared" ca="1" si="8"/>
        <v>6640.2463144015373</v>
      </c>
      <c r="I80">
        <f t="shared" ca="1" si="9"/>
        <v>9849.1883155903997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56415</v>
      </c>
      <c r="B82" s="66">
        <v>56415</v>
      </c>
      <c r="D82">
        <f t="shared" si="5"/>
        <v>79.13341094948872</v>
      </c>
      <c r="E82">
        <f t="shared" si="6"/>
        <v>79.13341094948872</v>
      </c>
      <c r="G82">
        <f t="shared" ca="1" si="7"/>
        <v>80</v>
      </c>
      <c r="H82">
        <f t="shared" ca="1" si="8"/>
        <v>6330.6728759590978</v>
      </c>
      <c r="I82">
        <f t="shared" ca="1" si="9"/>
        <v>12876.467064121596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51659</v>
      </c>
      <c r="B85" s="66">
        <v>51659</v>
      </c>
      <c r="D85">
        <f t="shared" si="5"/>
        <v>72.462162124251307</v>
      </c>
      <c r="E85">
        <f t="shared" si="6"/>
        <v>72.462162124251307</v>
      </c>
      <c r="G85">
        <f t="shared" ca="1" si="7"/>
        <v>83</v>
      </c>
      <c r="H85">
        <f t="shared" ca="1" si="8"/>
        <v>6014.3594563128581</v>
      </c>
      <c r="I85">
        <f t="shared" ca="1" si="9"/>
        <v>17989.105098054828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47706</v>
      </c>
      <c r="B88" s="66">
        <v>47706</v>
      </c>
      <c r="D88">
        <f t="shared" si="5"/>
        <v>66.917282686454115</v>
      </c>
      <c r="E88">
        <f t="shared" si="6"/>
        <v>66.917282686454115</v>
      </c>
      <c r="G88">
        <f t="shared" ca="1" si="7"/>
        <v>86</v>
      </c>
      <c r="H88">
        <f t="shared" ca="1" si="8"/>
        <v>5754.886311035054</v>
      </c>
      <c r="I88">
        <f t="shared" ca="1" si="9"/>
        <v>23540.954065530757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45383</v>
      </c>
      <c r="B90" s="66">
        <v>45383</v>
      </c>
      <c r="D90">
        <f t="shared" si="5"/>
        <v>63.658806862016242</v>
      </c>
      <c r="E90">
        <f t="shared" si="6"/>
        <v>63.658806862016242</v>
      </c>
      <c r="G90">
        <f t="shared" ca="1" si="7"/>
        <v>88</v>
      </c>
      <c r="H90">
        <f t="shared" ca="1" si="8"/>
        <v>5601.9750038574293</v>
      </c>
      <c r="I90">
        <f t="shared" ca="1" si="9"/>
        <v>27425.251632257467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43437</v>
      </c>
      <c r="B93" s="66">
        <v>43437</v>
      </c>
      <c r="D93">
        <f t="shared" si="5"/>
        <v>60.929149542017925</v>
      </c>
      <c r="E93">
        <f t="shared" si="6"/>
        <v>60.929149542017925</v>
      </c>
      <c r="G93">
        <f t="shared" ca="1" si="7"/>
        <v>91</v>
      </c>
      <c r="H93">
        <f t="shared" ca="1" si="8"/>
        <v>5544.5526083236309</v>
      </c>
      <c r="I93">
        <f t="shared" ca="1" si="9"/>
        <v>34385.547632385918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39853</v>
      </c>
      <c r="B95" s="66">
        <v>39853</v>
      </c>
      <c r="D95">
        <f t="shared" si="5"/>
        <v>55.901866995833977</v>
      </c>
      <c r="E95">
        <f t="shared" si="6"/>
        <v>55.901866995833977</v>
      </c>
      <c r="G95">
        <f t="shared" ca="1" si="7"/>
        <v>93</v>
      </c>
      <c r="H95">
        <f t="shared" ca="1" si="8"/>
        <v>5198.8736306125602</v>
      </c>
      <c r="I95">
        <f t="shared" ca="1" si="9"/>
        <v>37084.037842038961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36106</v>
      </c>
      <c r="B98" s="66">
        <v>36106</v>
      </c>
      <c r="D98">
        <f t="shared" si="5"/>
        <v>50.645944088314096</v>
      </c>
      <c r="E98">
        <f t="shared" si="6"/>
        <v>50.645944088314096</v>
      </c>
      <c r="G98">
        <f t="shared" ca="1" si="7"/>
        <v>96</v>
      </c>
      <c r="H98">
        <f t="shared" ca="1" si="8"/>
        <v>4862.0106324781536</v>
      </c>
      <c r="I98">
        <f t="shared" ca="1" si="9"/>
        <v>41879.847104455141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32790</v>
      </c>
      <c r="B100" s="66">
        <v>32790</v>
      </c>
      <c r="D100">
        <f t="shared" si="5"/>
        <v>45.994585571811307</v>
      </c>
      <c r="E100">
        <f t="shared" si="6"/>
        <v>45.994585571811307</v>
      </c>
      <c r="G100">
        <f t="shared" ca="1" si="7"/>
        <v>98</v>
      </c>
      <c r="H100">
        <f t="shared" ca="1" si="8"/>
        <v>4507.4693860375082</v>
      </c>
      <c r="I100">
        <f t="shared" ca="1" si="9"/>
        <v>43508.053661526057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31667</v>
      </c>
      <c r="B103" s="66">
        <v>31667</v>
      </c>
      <c r="D103">
        <f t="shared" si="5"/>
        <v>44.419351671318964</v>
      </c>
      <c r="E103">
        <f t="shared" si="6"/>
        <v>44.419351671318964</v>
      </c>
      <c r="G103">
        <f t="shared" ca="1" si="7"/>
        <v>101</v>
      </c>
      <c r="H103">
        <f t="shared" ca="1" si="8"/>
        <v>4486.3545188032149</v>
      </c>
      <c r="I103">
        <f t="shared" ca="1" si="9"/>
        <v>50614.753349269413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33199</v>
      </c>
      <c r="B106" s="66">
        <v>33199</v>
      </c>
      <c r="D106">
        <f t="shared" si="5"/>
        <v>46.568290527556073</v>
      </c>
      <c r="E106">
        <f t="shared" si="6"/>
        <v>46.568290527556073</v>
      </c>
      <c r="G106">
        <f t="shared" ca="1" si="7"/>
        <v>104</v>
      </c>
      <c r="H106">
        <f t="shared" ca="1" si="8"/>
        <v>4843.1022148658312</v>
      </c>
      <c r="I106">
        <f t="shared" ca="1" si="9"/>
        <v>62914.318032531635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30416</v>
      </c>
      <c r="B108" s="66">
        <v>30416</v>
      </c>
      <c r="D108">
        <f t="shared" si="5"/>
        <v>42.664571965605759</v>
      </c>
      <c r="E108">
        <f t="shared" si="6"/>
        <v>42.664571965605759</v>
      </c>
      <c r="G108">
        <f t="shared" ca="1" si="7"/>
        <v>106</v>
      </c>
      <c r="H108">
        <f t="shared" ca="1" si="8"/>
        <v>4522.4446283542102</v>
      </c>
      <c r="I108">
        <f t="shared" ca="1" si="9"/>
        <v>64083.7414202324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29372</v>
      </c>
      <c r="B111" s="66">
        <v>29372</v>
      </c>
      <c r="D111">
        <f t="shared" si="5"/>
        <v>41.200151491773155</v>
      </c>
      <c r="E111">
        <f t="shared" si="6"/>
        <v>41.200151491773155</v>
      </c>
      <c r="G111">
        <f t="shared" ca="1" si="7"/>
        <v>109</v>
      </c>
      <c r="H111">
        <f t="shared" ca="1" si="8"/>
        <v>4490.8165126032736</v>
      </c>
      <c r="I111">
        <f t="shared" ca="1" si="9"/>
        <v>71835.47667740217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24539</v>
      </c>
      <c r="B113" s="66">
        <v>24539</v>
      </c>
      <c r="D113">
        <f t="shared" si="5"/>
        <v>34.420894643082576</v>
      </c>
      <c r="E113">
        <f t="shared" si="6"/>
        <v>34.420894643082576</v>
      </c>
      <c r="G113">
        <f t="shared" ca="1" si="7"/>
        <v>111</v>
      </c>
      <c r="H113">
        <f t="shared" ca="1" si="8"/>
        <v>3820.7193053821661</v>
      </c>
      <c r="I113">
        <f t="shared" ca="1" si="9"/>
        <v>65902.161549148208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21245</v>
      </c>
      <c r="B116" s="66">
        <v>21245</v>
      </c>
      <c r="D116">
        <f t="shared" si="5"/>
        <v>29.800395561852127</v>
      </c>
      <c r="E116">
        <f t="shared" si="6"/>
        <v>29.800395561852127</v>
      </c>
      <c r="G116">
        <f t="shared" ca="1" si="7"/>
        <v>114</v>
      </c>
      <c r="H116">
        <f t="shared" ca="1" si="8"/>
        <v>3397.2450940511426</v>
      </c>
      <c r="I116">
        <f t="shared" ca="1" si="9"/>
        <v>65147.665923433473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17470</v>
      </c>
      <c r="B118" s="66">
        <v>17470</v>
      </c>
      <c r="D118">
        <f t="shared" si="5"/>
        <v>24.505197009440181</v>
      </c>
      <c r="E118">
        <f t="shared" si="6"/>
        <v>24.505197009440181</v>
      </c>
      <c r="G118">
        <f t="shared" ca="1" si="7"/>
        <v>116</v>
      </c>
      <c r="H118">
        <f t="shared" ca="1" si="8"/>
        <v>2842.6028530950612</v>
      </c>
      <c r="I118">
        <f t="shared" ca="1" si="9"/>
        <v>58252.742917150914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13439</v>
      </c>
      <c r="B121" s="66">
        <v>13439</v>
      </c>
      <c r="D121">
        <f t="shared" si="5"/>
        <v>18.850906846586525</v>
      </c>
      <c r="E121">
        <f t="shared" si="6"/>
        <v>18.850906846586525</v>
      </c>
      <c r="G121">
        <f t="shared" ca="1" si="7"/>
        <v>119</v>
      </c>
      <c r="H121">
        <f t="shared" ca="1" si="8"/>
        <v>2243.2579147437964</v>
      </c>
      <c r="I121">
        <f t="shared" ca="1" si="9"/>
        <v>50495.837740958399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10509</v>
      </c>
      <c r="B124" s="66">
        <v>10509</v>
      </c>
      <c r="D124">
        <f t="shared" si="5"/>
        <v>14.740991148952883</v>
      </c>
      <c r="E124">
        <f t="shared" si="6"/>
        <v>14.740991148952883</v>
      </c>
      <c r="G124">
        <f t="shared" ca="1" si="7"/>
        <v>122</v>
      </c>
      <c r="H124">
        <f t="shared" ca="1" si="8"/>
        <v>1798.4009201722517</v>
      </c>
      <c r="I124">
        <f t="shared" ca="1" si="9"/>
        <v>44196.912903039287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8902</v>
      </c>
      <c r="B126" s="66">
        <v>8902</v>
      </c>
      <c r="D126">
        <f t="shared" si="5"/>
        <v>12.486849672469175</v>
      </c>
      <c r="E126">
        <f t="shared" si="6"/>
        <v>12.486849672469175</v>
      </c>
      <c r="G126">
        <f t="shared" ca="1" si="7"/>
        <v>124</v>
      </c>
      <c r="H126">
        <f t="shared" ca="1" si="8"/>
        <v>1548.3693593861776</v>
      </c>
      <c r="I126">
        <f t="shared" ca="1" si="9"/>
        <v>40223.34645533454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7759</v>
      </c>
      <c r="B129" s="66">
        <v>7759</v>
      </c>
      <c r="D129">
        <f t="shared" si="5"/>
        <v>10.88356173991107</v>
      </c>
      <c r="E129">
        <f t="shared" si="6"/>
        <v>10.88356173991107</v>
      </c>
      <c r="G129">
        <f t="shared" ca="1" si="7"/>
        <v>127</v>
      </c>
      <c r="H129">
        <f t="shared" ca="1" si="8"/>
        <v>1382.2123409687058</v>
      </c>
      <c r="I129">
        <f t="shared" ca="1" si="9"/>
        <v>38862.948810982831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6980</v>
      </c>
      <c r="B131" s="66">
        <v>6980</v>
      </c>
      <c r="D131">
        <f t="shared" ref="D131:D194" si="10">IFERROR(100*A131/MAX(A$2:A$257), 0 )</f>
        <v>9.7908571909497688</v>
      </c>
      <c r="E131">
        <f t="shared" ref="E131:E194" si="11">IFERROR(100*B131/MAX(B$2:B$257), 0 )</f>
        <v>9.7908571909497688</v>
      </c>
      <c r="G131">
        <f t="shared" ref="G131:G194" ca="1" si="12">CELL("row",D131)-2</f>
        <v>129</v>
      </c>
      <c r="H131">
        <f t="shared" ref="H131:H194" ca="1" si="13">D131*G131</f>
        <v>1263.0205776325201</v>
      </c>
      <c r="I131">
        <f t="shared" ref="I131:I194" ca="1" si="14">D131*((G131-$L$1)^2)</f>
        <v>37340.544554284759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5572</v>
      </c>
      <c r="B134" s="66">
        <v>5572</v>
      </c>
      <c r="D134">
        <f t="shared" si="10"/>
        <v>7.8158533335203604</v>
      </c>
      <c r="E134">
        <f t="shared" si="11"/>
        <v>7.8158533335203604</v>
      </c>
      <c r="G134">
        <f t="shared" ca="1" si="12"/>
        <v>132</v>
      </c>
      <c r="H134">
        <f t="shared" ca="1" si="13"/>
        <v>1031.6926400246875</v>
      </c>
      <c r="I134">
        <f t="shared" ca="1" si="14"/>
        <v>32774.642957334661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4039</v>
      </c>
      <c r="B136" s="66">
        <v>4039</v>
      </c>
      <c r="D136">
        <f t="shared" si="10"/>
        <v>5.6655117756799598</v>
      </c>
      <c r="E136">
        <f t="shared" si="11"/>
        <v>5.6655117756799598</v>
      </c>
      <c r="G136">
        <f t="shared" ca="1" si="12"/>
        <v>134</v>
      </c>
      <c r="H136">
        <f t="shared" ca="1" si="13"/>
        <v>759.17857794111455</v>
      </c>
      <c r="I136">
        <f t="shared" ca="1" si="14"/>
        <v>25247.666896610692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3963</v>
      </c>
      <c r="B139" s="66">
        <v>3963</v>
      </c>
      <c r="D139">
        <f t="shared" si="10"/>
        <v>5.558906453830077</v>
      </c>
      <c r="E139">
        <f t="shared" si="11"/>
        <v>5.558906453830077</v>
      </c>
      <c r="G139">
        <f t="shared" ca="1" si="12"/>
        <v>137</v>
      </c>
      <c r="H139">
        <f t="shared" ca="1" si="13"/>
        <v>761.57018417472057</v>
      </c>
      <c r="I139">
        <f t="shared" ca="1" si="14"/>
        <v>27049.169335315302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3935</v>
      </c>
      <c r="B142" s="66">
        <v>3935</v>
      </c>
      <c r="D142">
        <f t="shared" si="10"/>
        <v>5.5196308089380146</v>
      </c>
      <c r="E142">
        <f t="shared" si="11"/>
        <v>5.5196308089380146</v>
      </c>
      <c r="G142">
        <f t="shared" ca="1" si="12"/>
        <v>140</v>
      </c>
      <c r="H142">
        <f t="shared" ca="1" si="13"/>
        <v>772.74831325132209</v>
      </c>
      <c r="I142">
        <f t="shared" ca="1" si="14"/>
        <v>29217.902042387617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3183</v>
      </c>
      <c r="B144" s="66">
        <v>3183</v>
      </c>
      <c r="D144">
        <f t="shared" si="10"/>
        <v>4.4647992032654891</v>
      </c>
      <c r="E144">
        <f t="shared" si="11"/>
        <v>4.4647992032654891</v>
      </c>
      <c r="G144">
        <f t="shared" ca="1" si="12"/>
        <v>142</v>
      </c>
      <c r="H144">
        <f t="shared" ca="1" si="13"/>
        <v>634.00148686369948</v>
      </c>
      <c r="I144">
        <f t="shared" ca="1" si="14"/>
        <v>24951.426291386742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1650</v>
      </c>
      <c r="B147" s="66">
        <v>1650</v>
      </c>
      <c r="D147">
        <f t="shared" si="10"/>
        <v>2.3144576454250889</v>
      </c>
      <c r="E147">
        <f t="shared" si="11"/>
        <v>2.3144576454250889</v>
      </c>
      <c r="G147">
        <f t="shared" ca="1" si="12"/>
        <v>145</v>
      </c>
      <c r="H147">
        <f t="shared" ca="1" si="13"/>
        <v>335.5963585866379</v>
      </c>
      <c r="I147">
        <f t="shared" ca="1" si="14"/>
        <v>13993.241897902797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642</v>
      </c>
      <c r="B149" s="66">
        <v>642</v>
      </c>
      <c r="D149">
        <f t="shared" si="10"/>
        <v>0.9005344293108527</v>
      </c>
      <c r="E149">
        <f t="shared" si="11"/>
        <v>0.9005344293108527</v>
      </c>
      <c r="G149">
        <f t="shared" ca="1" si="12"/>
        <v>147</v>
      </c>
      <c r="H149">
        <f t="shared" ca="1" si="13"/>
        <v>132.37856110869535</v>
      </c>
      <c r="I149">
        <f t="shared" ca="1" si="14"/>
        <v>5728.3335826272523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854</v>
      </c>
      <c r="B152" s="66">
        <v>854</v>
      </c>
      <c r="D152">
        <f t="shared" si="10"/>
        <v>1.1979071692078944</v>
      </c>
      <c r="E152">
        <f t="shared" si="11"/>
        <v>1.1979071692078944</v>
      </c>
      <c r="G152">
        <f t="shared" ca="1" si="12"/>
        <v>150</v>
      </c>
      <c r="H152">
        <f t="shared" ca="1" si="13"/>
        <v>179.68607538118417</v>
      </c>
      <c r="I152">
        <f t="shared" ca="1" si="14"/>
        <v>8203.9565286946327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323</v>
      </c>
      <c r="B154" s="66">
        <v>323</v>
      </c>
      <c r="D154">
        <f t="shared" si="10"/>
        <v>0.4530726178620022</v>
      </c>
      <c r="E154">
        <f t="shared" si="11"/>
        <v>0.4530726178620022</v>
      </c>
      <c r="G154">
        <f t="shared" ca="1" si="12"/>
        <v>152</v>
      </c>
      <c r="H154">
        <f t="shared" ca="1" si="13"/>
        <v>68.867037915024341</v>
      </c>
      <c r="I154">
        <f t="shared" ca="1" si="14"/>
        <v>3254.691999770077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239</v>
      </c>
      <c r="B157" s="66">
        <v>239</v>
      </c>
      <c r="D157">
        <f t="shared" si="10"/>
        <v>0.33524568318581588</v>
      </c>
      <c r="E157">
        <f t="shared" si="11"/>
        <v>0.33524568318581588</v>
      </c>
      <c r="G157">
        <f t="shared" ca="1" si="12"/>
        <v>155</v>
      </c>
      <c r="H157">
        <f t="shared" ca="1" si="13"/>
        <v>51.963080893801461</v>
      </c>
      <c r="I157">
        <f t="shared" ca="1" si="14"/>
        <v>2581.772491644997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173</v>
      </c>
      <c r="B160" s="66">
        <v>173</v>
      </c>
      <c r="D160">
        <f t="shared" si="10"/>
        <v>0.24266737736881233</v>
      </c>
      <c r="E160">
        <f t="shared" si="11"/>
        <v>0.24266737736881233</v>
      </c>
      <c r="G160">
        <f t="shared" ca="1" si="12"/>
        <v>158</v>
      </c>
      <c r="H160">
        <f t="shared" ca="1" si="13"/>
        <v>38.341445624272346</v>
      </c>
      <c r="I160">
        <f t="shared" ca="1" si="14"/>
        <v>1998.7716814166547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32</v>
      </c>
      <c r="B162" s="66">
        <v>32</v>
      </c>
      <c r="D162">
        <f t="shared" si="10"/>
        <v>4.4886451305213841E-2</v>
      </c>
      <c r="E162">
        <f t="shared" si="11"/>
        <v>4.4886451305213841E-2</v>
      </c>
      <c r="G162">
        <f t="shared" ca="1" si="12"/>
        <v>160</v>
      </c>
      <c r="H162">
        <f t="shared" ca="1" si="13"/>
        <v>7.1818322088342148</v>
      </c>
      <c r="I162">
        <f t="shared" ca="1" si="14"/>
        <v>386.18941860306649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0.13870299999999999</v>
      </c>
      <c r="B2" s="68">
        <v>0.68847100000000006</v>
      </c>
      <c r="C2" s="68">
        <v>0</v>
      </c>
      <c r="D2" s="68">
        <v>1</v>
      </c>
      <c r="E2" s="68" t="s">
        <v>408</v>
      </c>
    </row>
    <row r="3" spans="1:5">
      <c r="A3" s="68">
        <v>0.143511</v>
      </c>
      <c r="B3" s="68">
        <v>0.67450600000000005</v>
      </c>
      <c r="C3" s="68">
        <v>0.401113</v>
      </c>
      <c r="D3" s="89">
        <v>1</v>
      </c>
      <c r="E3" s="68" t="s">
        <v>409</v>
      </c>
    </row>
    <row r="4" spans="1:5">
      <c r="A4" s="68">
        <v>0.14821200000000001</v>
      </c>
      <c r="B4" s="68">
        <v>0.66161700000000001</v>
      </c>
      <c r="C4" s="68">
        <v>0.80696400000000001</v>
      </c>
      <c r="D4" s="89">
        <v>1</v>
      </c>
      <c r="E4" s="68" t="s">
        <v>410</v>
      </c>
    </row>
    <row r="5" spans="1:5">
      <c r="A5" s="89">
        <v>0.15284700000000001</v>
      </c>
      <c r="B5" s="89">
        <v>0.64998299999999998</v>
      </c>
      <c r="C5" s="89">
        <v>1.2140599999999999</v>
      </c>
      <c r="D5" s="89">
        <v>1</v>
      </c>
      <c r="E5" s="68" t="s">
        <v>411</v>
      </c>
    </row>
    <row r="6" spans="1:5">
      <c r="A6" s="68">
        <v>0.15757399999999999</v>
      </c>
      <c r="B6" s="68">
        <v>0.63834999999999997</v>
      </c>
      <c r="C6" s="68">
        <v>1.61711</v>
      </c>
      <c r="D6" s="68">
        <v>1</v>
      </c>
      <c r="E6" s="68" t="s">
        <v>412</v>
      </c>
    </row>
    <row r="7" spans="1:5">
      <c r="A7" s="68">
        <v>0.162277</v>
      </c>
      <c r="B7" s="68">
        <v>0.62735399999999997</v>
      </c>
      <c r="C7" s="68">
        <v>2.0244300000000002</v>
      </c>
      <c r="D7" s="68">
        <v>1</v>
      </c>
      <c r="E7" s="68" t="s">
        <v>413</v>
      </c>
    </row>
    <row r="8" spans="1:5">
      <c r="A8" s="68">
        <v>0.16719400000000001</v>
      </c>
      <c r="B8" s="68">
        <v>0.61595100000000003</v>
      </c>
      <c r="C8" s="68">
        <v>2.4312399999999998</v>
      </c>
      <c r="D8" s="68">
        <v>1</v>
      </c>
      <c r="E8" s="68" t="s">
        <v>414</v>
      </c>
    </row>
    <row r="9" spans="1:5">
      <c r="A9" s="68">
        <v>0.17261299999999999</v>
      </c>
      <c r="B9" s="68">
        <v>0.60316400000000003</v>
      </c>
      <c r="C9" s="68">
        <v>2.8379599999999998</v>
      </c>
      <c r="D9" s="68">
        <v>1</v>
      </c>
      <c r="E9" s="68" t="s">
        <v>415</v>
      </c>
    </row>
    <row r="10" spans="1:5">
      <c r="A10" s="68">
        <v>0.17854700000000001</v>
      </c>
      <c r="B10" s="68">
        <v>0.58855599999999997</v>
      </c>
      <c r="C10" s="68">
        <v>3.2435100000000001</v>
      </c>
      <c r="D10" s="68">
        <v>1</v>
      </c>
      <c r="E10" s="68" t="s">
        <v>416</v>
      </c>
    </row>
    <row r="11" spans="1:5">
      <c r="A11" s="68">
        <v>0.18476300000000001</v>
      </c>
      <c r="B11" s="68">
        <v>0.57222799999999996</v>
      </c>
      <c r="C11" s="68">
        <v>3.6523500000000002</v>
      </c>
      <c r="D11" s="68">
        <v>1</v>
      </c>
      <c r="E11" s="68" t="s">
        <v>417</v>
      </c>
    </row>
    <row r="12" spans="1:5">
      <c r="A12" s="68">
        <v>0.19097700000000001</v>
      </c>
      <c r="B12" s="68">
        <v>0.55771599999999999</v>
      </c>
      <c r="C12" s="68">
        <v>4.0542400000000001</v>
      </c>
      <c r="D12" s="68">
        <v>1</v>
      </c>
      <c r="E12" s="68" t="s">
        <v>418</v>
      </c>
    </row>
    <row r="13" spans="1:5">
      <c r="A13" s="68">
        <v>0.196961</v>
      </c>
      <c r="B13" s="68">
        <v>0.545825</v>
      </c>
      <c r="C13" s="68">
        <v>4.4640500000000003</v>
      </c>
      <c r="D13" s="68">
        <v>1</v>
      </c>
      <c r="E13" s="68" t="s">
        <v>419</v>
      </c>
    </row>
    <row r="14" spans="1:5">
      <c r="A14" s="68">
        <v>0.20249600000000001</v>
      </c>
      <c r="B14" s="68">
        <v>0.53710400000000003</v>
      </c>
      <c r="C14" s="68">
        <v>4.86937</v>
      </c>
      <c r="D14" s="68">
        <v>1</v>
      </c>
      <c r="E14" s="68" t="s">
        <v>420</v>
      </c>
    </row>
    <row r="15" spans="1:5">
      <c r="A15" s="68">
        <v>0.207846</v>
      </c>
      <c r="B15" s="68">
        <v>0.53004899999999999</v>
      </c>
      <c r="C15" s="68">
        <v>5.2776899999999998</v>
      </c>
      <c r="D15" s="68">
        <v>1</v>
      </c>
      <c r="E15" s="68" t="s">
        <v>421</v>
      </c>
    </row>
    <row r="16" spans="1:5">
      <c r="A16" s="68">
        <v>0.21363199999999999</v>
      </c>
      <c r="B16" s="68">
        <v>0.52255200000000002</v>
      </c>
      <c r="C16" s="68">
        <v>5.6795400000000003</v>
      </c>
      <c r="D16" s="68">
        <v>1</v>
      </c>
      <c r="E16" s="68" t="s">
        <v>422</v>
      </c>
    </row>
    <row r="17" spans="1:5">
      <c r="A17" s="68">
        <v>0.219691</v>
      </c>
      <c r="B17" s="68">
        <v>0.51448300000000002</v>
      </c>
      <c r="C17" s="68">
        <v>6.0892799999999996</v>
      </c>
      <c r="D17" s="68">
        <v>1</v>
      </c>
      <c r="E17" s="68" t="s">
        <v>423</v>
      </c>
    </row>
    <row r="18" spans="1:5">
      <c r="A18" s="68">
        <v>0.225992</v>
      </c>
      <c r="B18" s="68">
        <v>0.50595800000000002</v>
      </c>
      <c r="C18" s="68">
        <v>6.4953700000000003</v>
      </c>
      <c r="D18" s="68">
        <v>1</v>
      </c>
      <c r="E18" s="68" t="s">
        <v>424</v>
      </c>
    </row>
    <row r="19" spans="1:5">
      <c r="A19" s="68">
        <v>0.23208799999999999</v>
      </c>
      <c r="B19" s="68">
        <v>0.499027</v>
      </c>
      <c r="C19" s="68">
        <v>6.8986700000000001</v>
      </c>
      <c r="D19" s="68">
        <v>1</v>
      </c>
      <c r="E19" s="68" t="s">
        <v>425</v>
      </c>
    </row>
    <row r="20" spans="1:5">
      <c r="A20" s="68">
        <v>0.237901</v>
      </c>
      <c r="B20" s="68">
        <v>0.494033</v>
      </c>
      <c r="C20" s="68">
        <v>7.30715</v>
      </c>
      <c r="D20" s="68">
        <v>1</v>
      </c>
      <c r="E20" s="68" t="s">
        <v>426</v>
      </c>
    </row>
    <row r="21" spans="1:5">
      <c r="A21" s="68">
        <v>0.243529</v>
      </c>
      <c r="B21" s="68">
        <v>0.48954700000000001</v>
      </c>
      <c r="C21" s="68">
        <v>7.7099099999999998</v>
      </c>
      <c r="D21" s="68">
        <v>1</v>
      </c>
      <c r="E21" s="68" t="s">
        <v>427</v>
      </c>
    </row>
    <row r="22" spans="1:5">
      <c r="A22" s="68">
        <v>0.249054</v>
      </c>
      <c r="B22" s="68">
        <v>0.48454700000000001</v>
      </c>
      <c r="C22" s="68">
        <v>8.1181900000000002</v>
      </c>
      <c r="D22" s="68">
        <v>1</v>
      </c>
      <c r="E22" s="68" t="s">
        <v>428</v>
      </c>
    </row>
    <row r="23" spans="1:5">
      <c r="A23" s="68">
        <v>0.25450899999999999</v>
      </c>
      <c r="B23" s="68">
        <v>0.47913499999999998</v>
      </c>
      <c r="C23" s="68">
        <v>8.5268499999999996</v>
      </c>
      <c r="D23" s="68">
        <v>1</v>
      </c>
      <c r="E23" s="68" t="s">
        <v>429</v>
      </c>
    </row>
    <row r="24" spans="1:5">
      <c r="A24" s="68">
        <v>0.25975100000000001</v>
      </c>
      <c r="B24" s="68">
        <v>0.47352100000000003</v>
      </c>
      <c r="C24" s="68">
        <v>8.9315499999999997</v>
      </c>
      <c r="D24" s="68">
        <v>1</v>
      </c>
      <c r="E24" s="68" t="s">
        <v>430</v>
      </c>
    </row>
    <row r="25" spans="1:5">
      <c r="A25" s="68">
        <v>0.26498500000000003</v>
      </c>
      <c r="B25" s="68">
        <v>0.46679700000000002</v>
      </c>
      <c r="C25" s="68">
        <v>9.3388399999999994</v>
      </c>
      <c r="D25" s="68">
        <v>1</v>
      </c>
      <c r="E25" s="68" t="s">
        <v>431</v>
      </c>
    </row>
    <row r="26" spans="1:5">
      <c r="A26" s="68">
        <v>0.27052500000000002</v>
      </c>
      <c r="B26" s="68">
        <v>0.45829799999999998</v>
      </c>
      <c r="C26" s="68">
        <v>9.7425800000000002</v>
      </c>
      <c r="D26" s="68">
        <v>1</v>
      </c>
      <c r="E26" s="68" t="s">
        <v>432</v>
      </c>
    </row>
    <row r="27" spans="1:5">
      <c r="A27" s="68">
        <v>0.27618999999999999</v>
      </c>
      <c r="B27" s="68">
        <v>0.44787300000000002</v>
      </c>
      <c r="C27" s="68">
        <v>10.1469</v>
      </c>
      <c r="D27" s="68">
        <v>1</v>
      </c>
      <c r="E27" s="68" t="s">
        <v>433</v>
      </c>
    </row>
    <row r="28" spans="1:5">
      <c r="A28" s="68">
        <v>0.28186800000000001</v>
      </c>
      <c r="B28" s="68">
        <v>0.43679099999999998</v>
      </c>
      <c r="C28" s="68">
        <v>10.557600000000001</v>
      </c>
      <c r="D28" s="68">
        <v>1</v>
      </c>
      <c r="E28" s="68" t="s">
        <v>434</v>
      </c>
    </row>
    <row r="29" spans="1:5">
      <c r="A29" s="68">
        <v>0.28758699999999998</v>
      </c>
      <c r="B29" s="68">
        <v>0.42593999999999999</v>
      </c>
      <c r="C29" s="68">
        <v>10.962199999999999</v>
      </c>
      <c r="D29" s="68">
        <v>1</v>
      </c>
      <c r="E29" s="68" t="s">
        <v>435</v>
      </c>
    </row>
    <row r="30" spans="1:5">
      <c r="A30" s="68">
        <v>0.29328300000000002</v>
      </c>
      <c r="B30" s="68">
        <v>0.41579500000000003</v>
      </c>
      <c r="C30" s="68">
        <v>11.367100000000001</v>
      </c>
      <c r="D30" s="68">
        <v>1</v>
      </c>
      <c r="E30" s="68" t="s">
        <v>436</v>
      </c>
    </row>
    <row r="31" spans="1:5">
      <c r="A31" s="68">
        <v>0.29914800000000003</v>
      </c>
      <c r="B31" s="68">
        <v>0.40562700000000002</v>
      </c>
      <c r="C31" s="68">
        <v>11.7746</v>
      </c>
      <c r="D31" s="68">
        <v>1</v>
      </c>
      <c r="E31" s="68" t="s">
        <v>437</v>
      </c>
    </row>
    <row r="32" spans="1:5">
      <c r="A32" s="68">
        <v>0.304865</v>
      </c>
      <c r="B32" s="68">
        <v>0.39704699999999998</v>
      </c>
      <c r="C32" s="68">
        <v>12.180999999999999</v>
      </c>
      <c r="D32" s="68">
        <v>1</v>
      </c>
      <c r="E32" s="68" t="s">
        <v>438</v>
      </c>
    </row>
    <row r="33" spans="1:5">
      <c r="A33" s="68">
        <v>0.31012800000000001</v>
      </c>
      <c r="B33" s="68">
        <v>0.39022299999999999</v>
      </c>
      <c r="C33" s="68">
        <v>12.587300000000001</v>
      </c>
      <c r="D33" s="68">
        <v>1</v>
      </c>
      <c r="E33" s="68" t="s">
        <v>439</v>
      </c>
    </row>
    <row r="34" spans="1:5">
      <c r="A34" s="68">
        <v>0.31454100000000002</v>
      </c>
      <c r="B34" s="68">
        <v>0.38523000000000002</v>
      </c>
      <c r="C34" s="68">
        <v>12.994999999999999</v>
      </c>
      <c r="D34" s="68">
        <v>1</v>
      </c>
      <c r="E34" s="68" t="s">
        <v>440</v>
      </c>
    </row>
    <row r="35" spans="1:5">
      <c r="A35" s="68">
        <v>0.31803700000000001</v>
      </c>
      <c r="B35" s="68">
        <v>0.38175199999999998</v>
      </c>
      <c r="C35" s="68">
        <v>13.3978</v>
      </c>
      <c r="D35" s="68">
        <v>1</v>
      </c>
      <c r="E35" s="68" t="s">
        <v>441</v>
      </c>
    </row>
    <row r="36" spans="1:5">
      <c r="A36" s="68">
        <v>0.320992</v>
      </c>
      <c r="B36" s="68">
        <v>0.37836700000000001</v>
      </c>
      <c r="C36" s="68">
        <v>13.805</v>
      </c>
      <c r="D36" s="68">
        <v>1</v>
      </c>
      <c r="E36" s="68" t="s">
        <v>442</v>
      </c>
    </row>
    <row r="37" spans="1:5">
      <c r="A37" s="68">
        <v>0.32384099999999999</v>
      </c>
      <c r="B37" s="68">
        <v>0.374857</v>
      </c>
      <c r="C37" s="68">
        <v>14.2135</v>
      </c>
      <c r="D37" s="68">
        <v>1</v>
      </c>
      <c r="E37" s="68" t="s">
        <v>443</v>
      </c>
    </row>
    <row r="38" spans="1:5">
      <c r="A38" s="68">
        <v>0.32708700000000002</v>
      </c>
      <c r="B38" s="68">
        <v>0.37073699999999998</v>
      </c>
      <c r="C38" s="68">
        <v>14.6175</v>
      </c>
      <c r="D38" s="68">
        <v>1</v>
      </c>
      <c r="E38" s="68" t="s">
        <v>444</v>
      </c>
    </row>
    <row r="39" spans="1:5">
      <c r="A39" s="68">
        <v>0.33040399999999998</v>
      </c>
      <c r="B39" s="68">
        <v>0.36699700000000002</v>
      </c>
      <c r="C39" s="68">
        <v>15.0237</v>
      </c>
      <c r="D39" s="68">
        <v>1</v>
      </c>
      <c r="E39" s="68" t="s">
        <v>445</v>
      </c>
    </row>
    <row r="40" spans="1:5">
      <c r="A40" s="68">
        <v>0.33375100000000002</v>
      </c>
      <c r="B40" s="68">
        <v>0.36398900000000001</v>
      </c>
      <c r="C40" s="68">
        <v>15.432</v>
      </c>
      <c r="D40" s="68">
        <v>1</v>
      </c>
      <c r="E40" s="68" t="s">
        <v>446</v>
      </c>
    </row>
    <row r="41" spans="1:5">
      <c r="A41" s="68">
        <v>0.33681499999999998</v>
      </c>
      <c r="B41" s="68">
        <v>0.36054799999999998</v>
      </c>
      <c r="C41" s="68">
        <v>15.8361</v>
      </c>
      <c r="D41" s="68">
        <v>1</v>
      </c>
      <c r="E41" s="68" t="s">
        <v>447</v>
      </c>
    </row>
    <row r="42" spans="1:5">
      <c r="A42" s="68">
        <v>0.33959499999999998</v>
      </c>
      <c r="B42" s="68">
        <v>0.35702899999999999</v>
      </c>
      <c r="C42" s="68">
        <v>16.244499999999999</v>
      </c>
      <c r="D42" s="68">
        <v>1</v>
      </c>
      <c r="E42" s="68" t="s">
        <v>448</v>
      </c>
    </row>
    <row r="43" spans="1:5">
      <c r="A43" s="68">
        <v>0.34214</v>
      </c>
      <c r="B43" s="68">
        <v>0.35349900000000001</v>
      </c>
      <c r="C43" s="68">
        <v>16.6511</v>
      </c>
      <c r="D43" s="68">
        <v>1</v>
      </c>
      <c r="E43" s="68" t="s">
        <v>449</v>
      </c>
    </row>
    <row r="44" spans="1:5">
      <c r="A44" s="68">
        <v>0.34451100000000001</v>
      </c>
      <c r="B44" s="68">
        <v>0.35056399999999999</v>
      </c>
      <c r="C44" s="68">
        <v>17.052900000000001</v>
      </c>
      <c r="D44" s="68">
        <v>1</v>
      </c>
      <c r="E44" s="68" t="s">
        <v>450</v>
      </c>
    </row>
    <row r="45" spans="1:5">
      <c r="A45" s="68">
        <v>0.34654499999999999</v>
      </c>
      <c r="B45" s="68">
        <v>0.34820899999999999</v>
      </c>
      <c r="C45" s="68">
        <v>17.462199999999999</v>
      </c>
      <c r="D45" s="68">
        <v>1</v>
      </c>
      <c r="E45" s="68" t="s">
        <v>451</v>
      </c>
    </row>
    <row r="46" spans="1:5">
      <c r="A46" s="68">
        <v>0.34808299999999998</v>
      </c>
      <c r="B46" s="68">
        <v>0.346721</v>
      </c>
      <c r="C46" s="68">
        <v>17.870200000000001</v>
      </c>
      <c r="D46" s="68">
        <v>1</v>
      </c>
      <c r="E46" s="68" t="s">
        <v>452</v>
      </c>
    </row>
    <row r="47" spans="1:5">
      <c r="A47" s="68">
        <v>0.349157</v>
      </c>
      <c r="B47" s="68">
        <v>0.345495</v>
      </c>
      <c r="C47" s="68">
        <v>18.274899999999999</v>
      </c>
      <c r="D47" s="68">
        <v>1</v>
      </c>
      <c r="E47" s="68" t="s">
        <v>453</v>
      </c>
    </row>
    <row r="48" spans="1:5">
      <c r="A48" s="68">
        <v>0.34954400000000002</v>
      </c>
      <c r="B48" s="68">
        <v>0.34470899999999999</v>
      </c>
      <c r="C48" s="68">
        <v>18.682200000000002</v>
      </c>
      <c r="D48" s="68">
        <v>1</v>
      </c>
      <c r="E48" s="68" t="s">
        <v>454</v>
      </c>
    </row>
    <row r="49" spans="1:5">
      <c r="A49" s="68">
        <v>0.349634</v>
      </c>
      <c r="B49" s="68">
        <v>0.34392499999999998</v>
      </c>
      <c r="C49" s="68">
        <v>19.0868</v>
      </c>
      <c r="D49" s="68">
        <v>1</v>
      </c>
      <c r="E49" s="68" t="s">
        <v>455</v>
      </c>
    </row>
    <row r="50" spans="1:5">
      <c r="A50" s="68">
        <v>0.349416</v>
      </c>
      <c r="B50" s="68">
        <v>0.343501</v>
      </c>
      <c r="C50" s="68">
        <v>19.491399999999999</v>
      </c>
      <c r="D50" s="68">
        <v>1</v>
      </c>
      <c r="E50" s="68" t="s">
        <v>456</v>
      </c>
    </row>
    <row r="51" spans="1:5">
      <c r="A51" s="68">
        <v>0.34839999999999999</v>
      </c>
      <c r="B51" s="68">
        <v>0.34322900000000001</v>
      </c>
      <c r="C51" s="68">
        <v>19.8995</v>
      </c>
      <c r="D51" s="68">
        <v>1</v>
      </c>
      <c r="E51" s="68" t="s">
        <v>457</v>
      </c>
    </row>
    <row r="52" spans="1:5">
      <c r="A52" s="68">
        <v>0.34775200000000001</v>
      </c>
      <c r="B52" s="68">
        <v>0.34296599999999999</v>
      </c>
      <c r="C52" s="68">
        <v>20.307300000000001</v>
      </c>
      <c r="D52" s="68">
        <v>1</v>
      </c>
      <c r="E52" s="68" t="s">
        <v>458</v>
      </c>
    </row>
    <row r="53" spans="1:5">
      <c r="A53" s="68">
        <v>0.34450799999999998</v>
      </c>
      <c r="B53" s="68">
        <v>0.34364699999999998</v>
      </c>
      <c r="C53" s="68">
        <v>20.7121</v>
      </c>
      <c r="D53" s="68">
        <v>1</v>
      </c>
      <c r="E53" s="68" t="s">
        <v>459</v>
      </c>
    </row>
    <row r="54" spans="1:5">
      <c r="A54" s="68">
        <v>0.34309699999999999</v>
      </c>
      <c r="B54" s="68">
        <v>0.34434799999999999</v>
      </c>
      <c r="C54" s="68">
        <v>21.114899999999999</v>
      </c>
      <c r="D54" s="68">
        <v>1</v>
      </c>
      <c r="E54" s="68" t="s">
        <v>460</v>
      </c>
    </row>
    <row r="55" spans="1:5">
      <c r="A55" s="68">
        <v>0.34048400000000001</v>
      </c>
      <c r="B55" s="68">
        <v>0.34609899999999999</v>
      </c>
      <c r="C55" s="68">
        <v>21.5229</v>
      </c>
      <c r="D55" s="68">
        <v>1</v>
      </c>
      <c r="E55" s="68" t="s">
        <v>461</v>
      </c>
    </row>
    <row r="56" spans="1:5">
      <c r="A56" s="68">
        <v>0.33634900000000001</v>
      </c>
      <c r="B56" s="68">
        <v>0.34946700000000003</v>
      </c>
      <c r="C56" s="68">
        <v>21.932300000000001</v>
      </c>
      <c r="D56" s="68">
        <v>1</v>
      </c>
      <c r="E56" s="68" t="s">
        <v>462</v>
      </c>
    </row>
    <row r="57" spans="1:5">
      <c r="A57" s="68">
        <v>0.33291799999999999</v>
      </c>
      <c r="B57" s="68">
        <v>0.35246899999999998</v>
      </c>
      <c r="C57" s="68">
        <v>22.3398</v>
      </c>
      <c r="D57" s="68">
        <v>1</v>
      </c>
      <c r="E57" s="68" t="s">
        <v>463</v>
      </c>
    </row>
    <row r="58" spans="1:5">
      <c r="A58" s="68">
        <v>0.32942300000000002</v>
      </c>
      <c r="B58" s="68">
        <v>0.355296</v>
      </c>
      <c r="C58" s="68">
        <v>22.746600000000001</v>
      </c>
      <c r="D58" s="68">
        <v>1</v>
      </c>
      <c r="E58" s="68" t="s">
        <v>464</v>
      </c>
    </row>
    <row r="59" spans="1:5">
      <c r="A59" s="68">
        <v>0.32592399999999999</v>
      </c>
      <c r="B59" s="68">
        <v>0.35672700000000002</v>
      </c>
      <c r="C59" s="68">
        <v>23.151</v>
      </c>
      <c r="D59" s="68">
        <v>1</v>
      </c>
      <c r="E59" s="68" t="s">
        <v>465</v>
      </c>
    </row>
    <row r="60" spans="1:5">
      <c r="A60" s="68">
        <v>0.32380700000000001</v>
      </c>
      <c r="B60" s="68">
        <v>0.35703800000000002</v>
      </c>
      <c r="C60" s="68">
        <v>23.5533</v>
      </c>
      <c r="D60" s="68">
        <v>1</v>
      </c>
      <c r="E60" s="68" t="s">
        <v>466</v>
      </c>
    </row>
    <row r="61" spans="1:5">
      <c r="A61" s="68">
        <v>0.31900899999999999</v>
      </c>
      <c r="B61" s="68">
        <v>0.35783199999999998</v>
      </c>
      <c r="C61" s="68">
        <v>23.9621</v>
      </c>
      <c r="D61" s="68">
        <v>1</v>
      </c>
      <c r="E61" s="68" t="s">
        <v>467</v>
      </c>
    </row>
    <row r="62" spans="1:5">
      <c r="A62" s="68">
        <v>0.31662699999999999</v>
      </c>
      <c r="B62" s="68">
        <v>0.358846</v>
      </c>
      <c r="C62" s="68">
        <v>24.3705</v>
      </c>
      <c r="D62" s="68">
        <v>1</v>
      </c>
      <c r="E62" s="68" t="s">
        <v>468</v>
      </c>
    </row>
    <row r="63" spans="1:5">
      <c r="A63" s="68">
        <v>0.31243900000000002</v>
      </c>
      <c r="B63" s="68">
        <v>0.36174499999999998</v>
      </c>
      <c r="C63" s="68">
        <v>24.776299999999999</v>
      </c>
      <c r="D63" s="68">
        <v>1</v>
      </c>
      <c r="E63" s="68" t="s">
        <v>469</v>
      </c>
    </row>
    <row r="64" spans="1:5">
      <c r="A64" s="68">
        <v>0.308282</v>
      </c>
      <c r="B64" s="68">
        <v>0.36594599999999999</v>
      </c>
      <c r="C64" s="68">
        <v>25.178799999999999</v>
      </c>
      <c r="D64" s="68">
        <v>1</v>
      </c>
      <c r="E64" s="68" t="s">
        <v>470</v>
      </c>
    </row>
    <row r="65" spans="1:5">
      <c r="A65" s="68">
        <v>0.30406300000000003</v>
      </c>
      <c r="B65" s="68">
        <v>0.37064000000000002</v>
      </c>
      <c r="C65" s="68">
        <v>25.5853</v>
      </c>
      <c r="D65" s="68">
        <v>1</v>
      </c>
      <c r="E65" s="68" t="s">
        <v>471</v>
      </c>
    </row>
    <row r="66" spans="1:5">
      <c r="A66" s="68">
        <v>0.29887399999999997</v>
      </c>
      <c r="B66" s="68">
        <v>0.37680599999999997</v>
      </c>
      <c r="C66" s="68">
        <v>25.9941</v>
      </c>
      <c r="D66" s="68">
        <v>1</v>
      </c>
      <c r="E66" s="68" t="s">
        <v>472</v>
      </c>
    </row>
    <row r="67" spans="1:5">
      <c r="A67" s="68">
        <v>0.29492400000000002</v>
      </c>
      <c r="B67" s="68">
        <v>0.38281900000000002</v>
      </c>
      <c r="C67" s="68">
        <v>26.400700000000001</v>
      </c>
      <c r="D67" s="68">
        <v>1</v>
      </c>
      <c r="E67" s="68" t="s">
        <v>473</v>
      </c>
    </row>
    <row r="68" spans="1:5">
      <c r="A68" s="68">
        <v>0.291016</v>
      </c>
      <c r="B68" s="68">
        <v>0.390293</v>
      </c>
      <c r="C68" s="68">
        <v>26.808399999999999</v>
      </c>
      <c r="D68" s="68">
        <v>1</v>
      </c>
      <c r="E68" s="68" t="s">
        <v>474</v>
      </c>
    </row>
    <row r="69" spans="1:5">
      <c r="A69" s="68">
        <v>0.28759200000000001</v>
      </c>
      <c r="B69" s="68">
        <v>0.398061</v>
      </c>
      <c r="C69" s="68">
        <v>27.211400000000001</v>
      </c>
      <c r="D69" s="68">
        <v>1</v>
      </c>
      <c r="E69" s="68" t="s">
        <v>475</v>
      </c>
    </row>
    <row r="70" spans="1:5">
      <c r="A70" s="68">
        <v>0.28360999999999997</v>
      </c>
      <c r="B70" s="68">
        <v>0.407059</v>
      </c>
      <c r="C70" s="68">
        <v>27.6174</v>
      </c>
      <c r="D70" s="68">
        <v>1</v>
      </c>
      <c r="E70" s="68" t="s">
        <v>476</v>
      </c>
    </row>
    <row r="71" spans="1:5">
      <c r="A71" s="68">
        <v>0.28071200000000002</v>
      </c>
      <c r="B71" s="68">
        <v>0.413663</v>
      </c>
      <c r="C71" s="68">
        <v>28.023299999999999</v>
      </c>
      <c r="D71" s="68">
        <v>1</v>
      </c>
      <c r="E71" s="68" t="s">
        <v>477</v>
      </c>
    </row>
    <row r="72" spans="1:5">
      <c r="A72" s="68">
        <v>0.27760400000000002</v>
      </c>
      <c r="B72" s="68">
        <v>0.420655</v>
      </c>
      <c r="C72" s="68">
        <v>28.434799999999999</v>
      </c>
      <c r="D72" s="68">
        <v>1</v>
      </c>
      <c r="E72" s="68" t="s">
        <v>478</v>
      </c>
    </row>
    <row r="73" spans="1:5">
      <c r="A73" s="68">
        <v>0.274922</v>
      </c>
      <c r="B73" s="68">
        <v>0.426174</v>
      </c>
      <c r="C73" s="68">
        <v>28.8367</v>
      </c>
      <c r="D73" s="68">
        <v>1</v>
      </c>
      <c r="E73" s="68" t="s">
        <v>479</v>
      </c>
    </row>
    <row r="74" spans="1:5">
      <c r="A74" s="68">
        <v>0.27216200000000002</v>
      </c>
      <c r="B74" s="68">
        <v>0.432035</v>
      </c>
      <c r="C74" s="68">
        <v>29.242899999999999</v>
      </c>
      <c r="D74" s="68">
        <v>1</v>
      </c>
      <c r="E74" s="68" t="s">
        <v>480</v>
      </c>
    </row>
    <row r="75" spans="1:5">
      <c r="A75" s="68">
        <v>0.26944200000000001</v>
      </c>
      <c r="B75" s="68">
        <v>0.437803</v>
      </c>
      <c r="C75" s="68">
        <v>29.6477</v>
      </c>
      <c r="D75" s="68">
        <v>1</v>
      </c>
      <c r="E75" s="68" t="s">
        <v>481</v>
      </c>
    </row>
    <row r="76" spans="1:5">
      <c r="A76" s="68">
        <v>0.26672200000000001</v>
      </c>
      <c r="B76" s="68">
        <v>0.444189</v>
      </c>
      <c r="C76" s="68">
        <v>30.0579</v>
      </c>
      <c r="D76" s="68">
        <v>2</v>
      </c>
      <c r="E76" s="68" t="s">
        <v>482</v>
      </c>
    </row>
    <row r="77" spans="1:5">
      <c r="A77" s="68">
        <v>0.26444000000000001</v>
      </c>
      <c r="B77" s="68">
        <v>0.44998700000000003</v>
      </c>
      <c r="C77" s="68">
        <v>30.528600000000001</v>
      </c>
      <c r="D77" s="68">
        <v>2</v>
      </c>
      <c r="E77" s="68" t="s">
        <v>483</v>
      </c>
    </row>
    <row r="78" spans="1:5">
      <c r="A78" s="68">
        <v>0.262542</v>
      </c>
      <c r="B78" s="68">
        <v>0.45509899999999998</v>
      </c>
      <c r="C78" s="68">
        <v>30.915099999999999</v>
      </c>
      <c r="D78" s="68">
        <v>2</v>
      </c>
      <c r="E78" s="68" t="s">
        <v>484</v>
      </c>
    </row>
    <row r="79" spans="1:5">
      <c r="A79" s="68">
        <v>0.26050600000000002</v>
      </c>
      <c r="B79" s="68">
        <v>0.46120899999999998</v>
      </c>
      <c r="C79" s="68">
        <v>31.3218</v>
      </c>
      <c r="D79" s="68">
        <v>2</v>
      </c>
      <c r="E79" s="68" t="s">
        <v>485</v>
      </c>
    </row>
    <row r="80" spans="1:5">
      <c r="A80" s="68">
        <v>0.25851400000000002</v>
      </c>
      <c r="B80" s="68">
        <v>0.46687200000000001</v>
      </c>
      <c r="C80" s="68">
        <v>31.7315</v>
      </c>
      <c r="D80" s="68">
        <v>2</v>
      </c>
      <c r="E80" s="68" t="s">
        <v>486</v>
      </c>
    </row>
    <row r="81" spans="1:5">
      <c r="A81" s="68">
        <v>0.256463</v>
      </c>
      <c r="B81" s="68">
        <v>0.472607</v>
      </c>
      <c r="C81" s="68">
        <v>32.135800000000003</v>
      </c>
      <c r="D81" s="68">
        <v>2</v>
      </c>
      <c r="E81" s="68" t="s">
        <v>487</v>
      </c>
    </row>
    <row r="82" spans="1:5">
      <c r="A82" s="68">
        <v>0.25461600000000001</v>
      </c>
      <c r="B82" s="68">
        <v>0.47762500000000002</v>
      </c>
      <c r="C82" s="68">
        <v>32.539499999999997</v>
      </c>
      <c r="D82" s="68">
        <v>2</v>
      </c>
      <c r="E82" s="68" t="s">
        <v>488</v>
      </c>
    </row>
    <row r="83" spans="1:5">
      <c r="A83" s="68">
        <v>0.25289600000000001</v>
      </c>
      <c r="B83" s="68">
        <v>0.48241400000000001</v>
      </c>
      <c r="C83" s="68">
        <v>32.946199999999997</v>
      </c>
      <c r="D83" s="68">
        <v>2</v>
      </c>
      <c r="E83" s="68" t="s">
        <v>489</v>
      </c>
    </row>
    <row r="84" spans="1:5">
      <c r="A84" s="68">
        <v>0.25164599999999998</v>
      </c>
      <c r="B84" s="68">
        <v>0.48671700000000001</v>
      </c>
      <c r="C84" s="68">
        <v>33.352600000000002</v>
      </c>
      <c r="D84" s="68">
        <v>2</v>
      </c>
      <c r="E84" s="68" t="s">
        <v>490</v>
      </c>
    </row>
    <row r="85" spans="1:5">
      <c r="A85" s="68">
        <v>0.25073000000000001</v>
      </c>
      <c r="B85" s="68">
        <v>0.49037399999999998</v>
      </c>
      <c r="C85" s="68">
        <v>33.758600000000001</v>
      </c>
      <c r="D85" s="68">
        <v>2</v>
      </c>
      <c r="E85" s="68" t="s">
        <v>491</v>
      </c>
    </row>
    <row r="86" spans="1:5">
      <c r="A86" s="68">
        <v>0.250199</v>
      </c>
      <c r="B86" s="68">
        <v>0.49368699999999999</v>
      </c>
      <c r="C86" s="68">
        <v>34.1629</v>
      </c>
      <c r="D86" s="68">
        <v>2</v>
      </c>
      <c r="E86" s="68" t="s">
        <v>492</v>
      </c>
    </row>
    <row r="87" spans="1:5">
      <c r="A87" s="68">
        <v>0.24968599999999999</v>
      </c>
      <c r="B87" s="68">
        <v>0.49701299999999998</v>
      </c>
      <c r="C87" s="68">
        <v>34.571399999999997</v>
      </c>
      <c r="D87" s="68">
        <v>2</v>
      </c>
      <c r="E87" s="68" t="s">
        <v>493</v>
      </c>
    </row>
    <row r="88" spans="1:5">
      <c r="A88" s="68">
        <v>0.24917600000000001</v>
      </c>
      <c r="B88" s="68">
        <v>0.50022</v>
      </c>
      <c r="C88" s="68">
        <v>34.976999999999997</v>
      </c>
      <c r="D88" s="68">
        <v>2</v>
      </c>
      <c r="E88" s="68" t="s">
        <v>494</v>
      </c>
    </row>
    <row r="89" spans="1:5">
      <c r="A89" s="68">
        <v>0.248394</v>
      </c>
      <c r="B89" s="68">
        <v>0.50393500000000002</v>
      </c>
      <c r="C89" s="68">
        <v>35.386699999999998</v>
      </c>
      <c r="D89" s="68">
        <v>2</v>
      </c>
      <c r="E89" s="68" t="s">
        <v>495</v>
      </c>
    </row>
    <row r="90" spans="1:5">
      <c r="A90" s="68">
        <v>0.24789</v>
      </c>
      <c r="B90" s="68">
        <v>0.50731899999999996</v>
      </c>
      <c r="C90" s="68">
        <v>35.788699999999999</v>
      </c>
      <c r="D90" s="68">
        <v>2</v>
      </c>
      <c r="E90" s="68" t="s">
        <v>496</v>
      </c>
    </row>
    <row r="91" spans="1:5">
      <c r="A91" s="68">
        <v>0.24741099999999999</v>
      </c>
      <c r="B91" s="68">
        <v>0.51080400000000004</v>
      </c>
      <c r="C91" s="68">
        <v>36.197400000000002</v>
      </c>
      <c r="D91" s="68">
        <v>2</v>
      </c>
      <c r="E91" s="68" t="s">
        <v>497</v>
      </c>
    </row>
    <row r="92" spans="1:5">
      <c r="A92" s="68">
        <v>0.24720500000000001</v>
      </c>
      <c r="B92" s="68">
        <v>0.51359299999999997</v>
      </c>
      <c r="C92" s="68">
        <v>36.604999999999997</v>
      </c>
      <c r="D92" s="68">
        <v>2</v>
      </c>
      <c r="E92" s="68" t="s">
        <v>498</v>
      </c>
    </row>
    <row r="93" spans="1:5">
      <c r="A93" s="68">
        <v>0.24704999999999999</v>
      </c>
      <c r="B93" s="68">
        <v>0.51570499999999997</v>
      </c>
      <c r="C93" s="68">
        <v>37.011099999999999</v>
      </c>
      <c r="D93" s="68">
        <v>2</v>
      </c>
      <c r="E93" s="68" t="s">
        <v>499</v>
      </c>
    </row>
    <row r="94" spans="1:5">
      <c r="A94" s="68">
        <v>0.24679200000000001</v>
      </c>
      <c r="B94" s="68">
        <v>0.51738899999999999</v>
      </c>
      <c r="C94" s="68">
        <v>37.418900000000001</v>
      </c>
      <c r="D94" s="68">
        <v>2</v>
      </c>
      <c r="E94" s="68" t="s">
        <v>500</v>
      </c>
    </row>
    <row r="95" spans="1:5">
      <c r="A95" s="68">
        <v>0.246145</v>
      </c>
      <c r="B95" s="68">
        <v>0.51951999999999998</v>
      </c>
      <c r="C95" s="68">
        <v>37.822000000000003</v>
      </c>
      <c r="D95" s="68">
        <v>2</v>
      </c>
      <c r="E95" s="68" t="s">
        <v>501</v>
      </c>
    </row>
    <row r="96" spans="1:5">
      <c r="A96" s="68">
        <v>0.245613</v>
      </c>
      <c r="B96" s="68">
        <v>0.52137699999999998</v>
      </c>
      <c r="C96" s="68">
        <v>38.227400000000003</v>
      </c>
      <c r="D96" s="68">
        <v>2</v>
      </c>
      <c r="E96" s="68" t="s">
        <v>502</v>
      </c>
    </row>
    <row r="97" spans="1:5">
      <c r="A97" s="68">
        <v>0.245003</v>
      </c>
      <c r="B97" s="68">
        <v>0.52310400000000001</v>
      </c>
      <c r="C97" s="68">
        <v>38.637</v>
      </c>
      <c r="D97" s="68">
        <v>2</v>
      </c>
      <c r="E97" s="68" t="s">
        <v>503</v>
      </c>
    </row>
    <row r="98" spans="1:5">
      <c r="A98" s="68">
        <v>0.24443400000000001</v>
      </c>
      <c r="B98" s="68">
        <v>0.52478199999999997</v>
      </c>
      <c r="C98" s="68">
        <v>39.041400000000003</v>
      </c>
      <c r="D98" s="68">
        <v>2</v>
      </c>
      <c r="E98" s="68" t="s">
        <v>504</v>
      </c>
    </row>
    <row r="99" spans="1:5">
      <c r="A99" s="68">
        <v>0.243891</v>
      </c>
      <c r="B99" s="68">
        <v>0.52636000000000005</v>
      </c>
      <c r="C99" s="68">
        <v>39.445700000000002</v>
      </c>
      <c r="D99" s="68">
        <v>2</v>
      </c>
      <c r="E99" s="68" t="s">
        <v>505</v>
      </c>
    </row>
    <row r="100" spans="1:5">
      <c r="A100" s="68">
        <v>0.24354700000000001</v>
      </c>
      <c r="B100" s="68">
        <v>0.52713500000000002</v>
      </c>
      <c r="C100" s="68">
        <v>39.8521</v>
      </c>
      <c r="D100" s="68">
        <v>2</v>
      </c>
      <c r="E100" s="68" t="s">
        <v>506</v>
      </c>
    </row>
    <row r="101" spans="1:5">
      <c r="A101" s="68">
        <v>0.24354999999999999</v>
      </c>
      <c r="B101" s="68">
        <v>0.52658700000000003</v>
      </c>
      <c r="C101" s="68">
        <v>40.258800000000001</v>
      </c>
      <c r="D101" s="68">
        <v>2</v>
      </c>
      <c r="E101" s="68" t="s">
        <v>507</v>
      </c>
    </row>
    <row r="102" spans="1:5">
      <c r="A102" s="68">
        <v>0.24368500000000001</v>
      </c>
      <c r="B102" s="68">
        <v>0.52522899999999995</v>
      </c>
      <c r="C102" s="68">
        <v>40.664400000000001</v>
      </c>
      <c r="D102" s="68">
        <v>2</v>
      </c>
      <c r="E102" s="68" t="s">
        <v>508</v>
      </c>
    </row>
    <row r="103" spans="1:5">
      <c r="A103" s="68">
        <v>0.24403900000000001</v>
      </c>
      <c r="B103" s="68">
        <v>0.52309899999999998</v>
      </c>
      <c r="C103" s="68">
        <v>41.0747</v>
      </c>
      <c r="D103" s="68">
        <v>2</v>
      </c>
      <c r="E103" s="68" t="s">
        <v>509</v>
      </c>
    </row>
    <row r="104" spans="1:5">
      <c r="A104" s="68">
        <v>0.24453800000000001</v>
      </c>
      <c r="B104" s="68">
        <v>0.51982099999999998</v>
      </c>
      <c r="C104" s="68">
        <v>41.480899999999998</v>
      </c>
      <c r="D104" s="68">
        <v>2</v>
      </c>
      <c r="E104" s="68" t="s">
        <v>510</v>
      </c>
    </row>
    <row r="105" spans="1:5">
      <c r="A105" s="68">
        <v>0.245417</v>
      </c>
      <c r="B105" s="68">
        <v>0.51518600000000003</v>
      </c>
      <c r="C105" s="68">
        <v>41.884999999999998</v>
      </c>
      <c r="D105" s="68">
        <v>2</v>
      </c>
      <c r="E105" s="68" t="s">
        <v>511</v>
      </c>
    </row>
    <row r="106" spans="1:5">
      <c r="A106" s="68">
        <v>0.246368</v>
      </c>
      <c r="B106" s="68">
        <v>0.51047299999999995</v>
      </c>
      <c r="C106" s="68">
        <v>42.288800000000002</v>
      </c>
      <c r="D106" s="68">
        <v>2</v>
      </c>
      <c r="E106" s="68" t="s">
        <v>512</v>
      </c>
    </row>
    <row r="107" spans="1:5">
      <c r="A107" s="68">
        <v>0.24740599999999999</v>
      </c>
      <c r="B107" s="68">
        <v>0.505799</v>
      </c>
      <c r="C107" s="68">
        <v>42.694600000000001</v>
      </c>
      <c r="D107" s="68">
        <v>2</v>
      </c>
      <c r="E107" s="68" t="s">
        <v>513</v>
      </c>
    </row>
    <row r="108" spans="1:5">
      <c r="A108" s="68">
        <v>0.248504</v>
      </c>
      <c r="B108" s="68">
        <v>0.50120600000000004</v>
      </c>
      <c r="C108" s="68">
        <v>43.103900000000003</v>
      </c>
      <c r="D108" s="68">
        <v>2</v>
      </c>
      <c r="E108" s="68" t="s">
        <v>514</v>
      </c>
    </row>
    <row r="109" spans="1:5">
      <c r="A109" s="68">
        <v>0.24998999999999999</v>
      </c>
      <c r="B109" s="68">
        <v>0.49576999999999999</v>
      </c>
      <c r="C109" s="68">
        <v>43.511699999999998</v>
      </c>
      <c r="D109" s="68">
        <v>2</v>
      </c>
      <c r="E109" s="68" t="s">
        <v>515</v>
      </c>
    </row>
    <row r="110" spans="1:5">
      <c r="A110" s="68">
        <v>0.251556</v>
      </c>
      <c r="B110" s="68">
        <v>0.490261</v>
      </c>
      <c r="C110" s="68">
        <v>43.915999999999997</v>
      </c>
      <c r="D110" s="68">
        <v>2</v>
      </c>
      <c r="E110" s="68" t="s">
        <v>516</v>
      </c>
    </row>
    <row r="111" spans="1:5">
      <c r="A111" s="68">
        <v>0.25319900000000001</v>
      </c>
      <c r="B111" s="68">
        <v>0.48476799999999998</v>
      </c>
      <c r="C111" s="68">
        <v>44.320999999999998</v>
      </c>
      <c r="D111" s="68">
        <v>2</v>
      </c>
      <c r="E111" s="68" t="s">
        <v>517</v>
      </c>
    </row>
    <row r="112" spans="1:5">
      <c r="A112" s="68">
        <v>0.25486900000000001</v>
      </c>
      <c r="B112" s="68">
        <v>0.479489</v>
      </c>
      <c r="C112" s="68">
        <v>44.728299999999997</v>
      </c>
      <c r="D112" s="68">
        <v>2</v>
      </c>
      <c r="E112" s="68" t="s">
        <v>518</v>
      </c>
    </row>
    <row r="113" spans="1:5">
      <c r="A113" s="68">
        <v>0.25639800000000001</v>
      </c>
      <c r="B113" s="68">
        <v>0.47450700000000001</v>
      </c>
      <c r="C113" s="68">
        <v>45.138599999999997</v>
      </c>
      <c r="D113" s="68">
        <v>2</v>
      </c>
      <c r="E113" s="68" t="s">
        <v>519</v>
      </c>
    </row>
    <row r="114" spans="1:5">
      <c r="A114" s="68">
        <v>0.25808300000000001</v>
      </c>
      <c r="B114" s="68">
        <v>0.46903600000000001</v>
      </c>
      <c r="C114" s="68">
        <v>45.541400000000003</v>
      </c>
      <c r="D114" s="68">
        <v>2</v>
      </c>
      <c r="E114" s="68" t="s">
        <v>520</v>
      </c>
    </row>
    <row r="115" spans="1:5">
      <c r="A115" s="68">
        <v>0.259766</v>
      </c>
      <c r="B115" s="68">
        <v>0.46315299999999998</v>
      </c>
      <c r="C115" s="68">
        <v>45.948099999999997</v>
      </c>
      <c r="D115" s="68">
        <v>2</v>
      </c>
      <c r="E115" s="68" t="s">
        <v>521</v>
      </c>
    </row>
    <row r="116" spans="1:5">
      <c r="A116" s="68">
        <v>0.26123099999999999</v>
      </c>
      <c r="B116" s="68">
        <v>0.45801599999999998</v>
      </c>
      <c r="C116" s="68">
        <v>46.355200000000004</v>
      </c>
      <c r="D116" s="68">
        <v>2</v>
      </c>
      <c r="E116" s="68" t="s">
        <v>522</v>
      </c>
    </row>
    <row r="117" spans="1:5">
      <c r="A117" s="68">
        <v>0.26242799999999999</v>
      </c>
      <c r="B117" s="68">
        <v>0.453212</v>
      </c>
      <c r="C117" s="68">
        <v>46.758200000000002</v>
      </c>
      <c r="D117" s="68">
        <v>2</v>
      </c>
      <c r="E117" s="68" t="s">
        <v>523</v>
      </c>
    </row>
    <row r="118" spans="1:5">
      <c r="A118" s="68">
        <v>0.26344899999999999</v>
      </c>
      <c r="B118" s="68">
        <v>0.448903</v>
      </c>
      <c r="C118" s="68">
        <v>47.164099999999998</v>
      </c>
      <c r="D118" s="68">
        <v>2</v>
      </c>
      <c r="E118" s="68" t="s">
        <v>524</v>
      </c>
    </row>
    <row r="119" spans="1:5">
      <c r="A119" s="68">
        <v>0.264598</v>
      </c>
      <c r="B119" s="68">
        <v>0.44501600000000002</v>
      </c>
      <c r="C119" s="68">
        <v>47.572299999999998</v>
      </c>
      <c r="D119" s="68">
        <v>2</v>
      </c>
      <c r="E119" s="68" t="s">
        <v>525</v>
      </c>
    </row>
    <row r="120" spans="1:5">
      <c r="A120" s="68">
        <v>0.26577899999999999</v>
      </c>
      <c r="B120" s="68">
        <v>0.44148500000000002</v>
      </c>
      <c r="C120" s="68">
        <v>47.979300000000002</v>
      </c>
      <c r="D120" s="68">
        <v>2</v>
      </c>
      <c r="E120" s="68" t="s">
        <v>526</v>
      </c>
    </row>
    <row r="121" spans="1:5">
      <c r="A121" s="68">
        <v>0.26700400000000002</v>
      </c>
      <c r="B121" s="68">
        <v>0.43768699999999999</v>
      </c>
      <c r="C121" s="68">
        <v>48.383000000000003</v>
      </c>
      <c r="D121" s="68">
        <v>2</v>
      </c>
      <c r="E121" s="68" t="s">
        <v>527</v>
      </c>
    </row>
    <row r="122" spans="1:5">
      <c r="A122" s="68">
        <v>0.26843499999999998</v>
      </c>
      <c r="B122" s="68">
        <v>0.43399500000000002</v>
      </c>
      <c r="C122" s="68">
        <v>48.787700000000001</v>
      </c>
      <c r="D122" s="68">
        <v>2</v>
      </c>
      <c r="E122" s="68" t="s">
        <v>528</v>
      </c>
    </row>
    <row r="123" spans="1:5">
      <c r="A123" s="68">
        <v>0.27021099999999998</v>
      </c>
      <c r="B123" s="68">
        <v>0.42963200000000001</v>
      </c>
      <c r="C123" s="68">
        <v>49.1965</v>
      </c>
      <c r="D123" s="68">
        <v>2</v>
      </c>
      <c r="E123" s="68" t="s">
        <v>529</v>
      </c>
    </row>
    <row r="124" spans="1:5">
      <c r="A124" s="68">
        <v>0.27193299999999998</v>
      </c>
      <c r="B124" s="68">
        <v>0.42596400000000001</v>
      </c>
      <c r="C124" s="68">
        <v>49.604599999999998</v>
      </c>
      <c r="D124" s="68">
        <v>2</v>
      </c>
      <c r="E124" s="68" t="s">
        <v>530</v>
      </c>
    </row>
    <row r="125" spans="1:5">
      <c r="A125" s="68">
        <v>0.27341199999999999</v>
      </c>
      <c r="B125" s="68">
        <v>0.42311700000000002</v>
      </c>
      <c r="C125" s="68">
        <v>50.011000000000003</v>
      </c>
      <c r="D125" s="68">
        <v>2</v>
      </c>
      <c r="E125" s="68" t="s">
        <v>531</v>
      </c>
    </row>
    <row r="126" spans="1:5">
      <c r="A126" s="68">
        <v>0.27420099999999997</v>
      </c>
      <c r="B126" s="68">
        <v>0.42116100000000001</v>
      </c>
      <c r="C126" s="68">
        <v>50.414700000000003</v>
      </c>
      <c r="D126" s="68">
        <v>2</v>
      </c>
      <c r="E126" s="68" t="s">
        <v>532</v>
      </c>
    </row>
    <row r="127" spans="1:5">
      <c r="A127" s="68">
        <v>0.27495900000000001</v>
      </c>
      <c r="B127" s="68">
        <v>0.41927300000000001</v>
      </c>
      <c r="C127" s="68">
        <v>50.819499999999998</v>
      </c>
      <c r="D127" s="68">
        <v>2</v>
      </c>
      <c r="E127" s="68" t="s">
        <v>533</v>
      </c>
    </row>
    <row r="128" spans="1:5">
      <c r="A128" s="68">
        <v>0.27566200000000002</v>
      </c>
      <c r="B128" s="68">
        <v>0.41737000000000002</v>
      </c>
      <c r="C128" s="68">
        <v>51.227600000000002</v>
      </c>
      <c r="D128" s="68">
        <v>2</v>
      </c>
      <c r="E128" s="68" t="s">
        <v>534</v>
      </c>
    </row>
    <row r="129" spans="1:5">
      <c r="A129" s="68">
        <v>0.27619899999999997</v>
      </c>
      <c r="B129" s="68">
        <v>0.41578700000000002</v>
      </c>
      <c r="C129" s="68">
        <v>51.631</v>
      </c>
      <c r="D129" s="68">
        <v>2</v>
      </c>
      <c r="E129" s="68" t="s">
        <v>535</v>
      </c>
    </row>
    <row r="130" spans="1:5">
      <c r="A130" s="68">
        <v>0.27653499999999998</v>
      </c>
      <c r="B130" s="68">
        <v>0.41456399999999999</v>
      </c>
      <c r="C130" s="68">
        <v>52.041400000000003</v>
      </c>
      <c r="D130" s="68">
        <v>2</v>
      </c>
      <c r="E130" s="68" t="s">
        <v>536</v>
      </c>
    </row>
    <row r="131" spans="1:5">
      <c r="A131" s="68">
        <v>0.27692299999999997</v>
      </c>
      <c r="B131" s="68">
        <v>0.41324</v>
      </c>
      <c r="C131" s="68">
        <v>52.444699999999997</v>
      </c>
      <c r="D131" s="68">
        <v>2</v>
      </c>
      <c r="E131" s="68" t="s">
        <v>537</v>
      </c>
    </row>
    <row r="132" spans="1:5">
      <c r="A132" s="68">
        <v>0.27741399999999999</v>
      </c>
      <c r="B132" s="68">
        <v>0.411636</v>
      </c>
      <c r="C132" s="68">
        <v>52.851500000000001</v>
      </c>
      <c r="D132" s="68">
        <v>2</v>
      </c>
      <c r="E132" s="68" t="s">
        <v>538</v>
      </c>
    </row>
    <row r="133" spans="1:5">
      <c r="A133" s="68">
        <v>0.27799499999999999</v>
      </c>
      <c r="B133" s="68">
        <v>0.40981200000000001</v>
      </c>
      <c r="C133" s="68">
        <v>53.261200000000002</v>
      </c>
      <c r="D133" s="68">
        <v>2</v>
      </c>
      <c r="E133" s="68" t="s">
        <v>539</v>
      </c>
    </row>
    <row r="134" spans="1:5">
      <c r="A134" s="68">
        <v>0.27821600000000002</v>
      </c>
      <c r="B134" s="68">
        <v>0.40828399999999998</v>
      </c>
      <c r="C134" s="68">
        <v>53.668399999999998</v>
      </c>
      <c r="D134" s="68">
        <v>2</v>
      </c>
      <c r="E134" s="68" t="s">
        <v>540</v>
      </c>
    </row>
    <row r="135" spans="1:5">
      <c r="A135" s="68">
        <v>0.27842</v>
      </c>
      <c r="B135" s="68">
        <v>0.40685399999999999</v>
      </c>
      <c r="C135" s="68">
        <v>54.072400000000002</v>
      </c>
      <c r="D135" s="68">
        <v>2</v>
      </c>
      <c r="E135" s="68" t="s">
        <v>541</v>
      </c>
    </row>
    <row r="136" spans="1:5">
      <c r="A136" s="68">
        <v>0.27857500000000002</v>
      </c>
      <c r="B136" s="68">
        <v>0.40532899999999999</v>
      </c>
      <c r="C136" s="68">
        <v>54.476399999999998</v>
      </c>
      <c r="D136" s="68">
        <v>2</v>
      </c>
      <c r="E136" s="68" t="s">
        <v>542</v>
      </c>
    </row>
    <row r="137" spans="1:5">
      <c r="A137" s="68">
        <v>0.27870200000000001</v>
      </c>
      <c r="B137" s="68">
        <v>0.40366400000000002</v>
      </c>
      <c r="C137" s="68">
        <v>54.8825</v>
      </c>
      <c r="D137" s="68">
        <v>2</v>
      </c>
      <c r="E137" s="68" t="s">
        <v>543</v>
      </c>
    </row>
    <row r="138" spans="1:5">
      <c r="A138" s="68">
        <v>0.27902300000000002</v>
      </c>
      <c r="B138" s="68">
        <v>0.40226899999999999</v>
      </c>
      <c r="C138" s="68">
        <v>55.2913</v>
      </c>
      <c r="D138" s="68">
        <v>2</v>
      </c>
      <c r="E138" s="68" t="s">
        <v>544</v>
      </c>
    </row>
    <row r="139" spans="1:5">
      <c r="A139" s="68">
        <v>0.27906599999999998</v>
      </c>
      <c r="B139" s="68">
        <v>0.40178599999999998</v>
      </c>
      <c r="C139" s="68">
        <v>55.6982</v>
      </c>
      <c r="D139" s="68">
        <v>2</v>
      </c>
      <c r="E139" s="68" t="s">
        <v>545</v>
      </c>
    </row>
    <row r="140" spans="1:5">
      <c r="A140" s="68">
        <v>0.27887800000000001</v>
      </c>
      <c r="B140" s="68">
        <v>0.40257500000000002</v>
      </c>
      <c r="C140" s="68">
        <v>56.103999999999999</v>
      </c>
      <c r="D140" s="68">
        <v>2</v>
      </c>
      <c r="E140" s="68" t="s">
        <v>546</v>
      </c>
    </row>
    <row r="141" spans="1:5">
      <c r="A141" s="68">
        <v>0.279001</v>
      </c>
      <c r="B141" s="68">
        <v>0.40309299999999998</v>
      </c>
      <c r="C141" s="68">
        <v>56.506700000000002</v>
      </c>
      <c r="D141" s="68">
        <v>2</v>
      </c>
      <c r="E141" s="68" t="s">
        <v>547</v>
      </c>
    </row>
    <row r="142" spans="1:5">
      <c r="A142" s="68">
        <v>0.27960800000000002</v>
      </c>
      <c r="B142" s="68">
        <v>0.40402700000000003</v>
      </c>
      <c r="C142" s="68">
        <v>56.915100000000002</v>
      </c>
      <c r="D142" s="68">
        <v>2</v>
      </c>
      <c r="E142" s="68" t="s">
        <v>548</v>
      </c>
    </row>
    <row r="143" spans="1:5">
      <c r="A143" s="68">
        <v>0.28075099999999997</v>
      </c>
      <c r="B143" s="68">
        <v>0.404277</v>
      </c>
      <c r="C143" s="68">
        <v>57.3247</v>
      </c>
      <c r="D143" s="68">
        <v>2</v>
      </c>
      <c r="E143" s="68" t="s">
        <v>549</v>
      </c>
    </row>
    <row r="144" spans="1:5">
      <c r="A144" s="68">
        <v>0.281555</v>
      </c>
      <c r="B144" s="68">
        <v>0.40398000000000001</v>
      </c>
      <c r="C144" s="68">
        <v>57.730800000000002</v>
      </c>
      <c r="D144" s="68">
        <v>2</v>
      </c>
      <c r="E144" s="68" t="s">
        <v>550</v>
      </c>
    </row>
    <row r="145" spans="1:5">
      <c r="A145" s="68">
        <v>0.28323500000000001</v>
      </c>
      <c r="B145" s="68">
        <v>0.40261200000000003</v>
      </c>
      <c r="C145" s="68">
        <v>58.136000000000003</v>
      </c>
      <c r="D145" s="68">
        <v>2</v>
      </c>
      <c r="E145" s="68" t="s">
        <v>551</v>
      </c>
    </row>
    <row r="146" spans="1:5">
      <c r="A146" s="68">
        <v>0.28485300000000002</v>
      </c>
      <c r="B146" s="68">
        <v>0.40176600000000001</v>
      </c>
      <c r="C146" s="68">
        <v>58.5381</v>
      </c>
      <c r="D146" s="68">
        <v>2</v>
      </c>
      <c r="E146" s="68" t="s">
        <v>552</v>
      </c>
    </row>
    <row r="147" spans="1:5">
      <c r="A147" s="68">
        <v>0.28639100000000001</v>
      </c>
      <c r="B147" s="68">
        <v>0.40124799999999999</v>
      </c>
      <c r="C147" s="68">
        <v>58.945399999999999</v>
      </c>
      <c r="D147" s="68">
        <v>2</v>
      </c>
      <c r="E147" s="68" t="s">
        <v>553</v>
      </c>
    </row>
    <row r="148" spans="1:5">
      <c r="A148" s="68">
        <v>0.28598600000000002</v>
      </c>
      <c r="B148" s="68">
        <v>0.40558100000000002</v>
      </c>
      <c r="C148" s="68">
        <v>59.3506</v>
      </c>
      <c r="D148" s="68">
        <v>2</v>
      </c>
      <c r="E148" s="68" t="s">
        <v>554</v>
      </c>
    </row>
    <row r="149" spans="1:5">
      <c r="A149" s="68">
        <v>0.28458</v>
      </c>
      <c r="B149" s="68">
        <v>0.41033799999999998</v>
      </c>
      <c r="C149" s="68">
        <v>59.7575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43612.446435185186</v>
      </c>
      <c r="B2" s="66" t="s">
        <v>558</v>
      </c>
      <c r="C2" s="66"/>
      <c r="D2" s="66"/>
      <c r="E2" s="66">
        <v>4.9234099999999996</v>
      </c>
      <c r="F2" s="66">
        <v>1.2972900000000001</v>
      </c>
      <c r="G2" s="66">
        <v>0.53857900000000003</v>
      </c>
      <c r="H2" s="66">
        <v>0</v>
      </c>
      <c r="I2" s="66">
        <v>71291</v>
      </c>
      <c r="J2" s="66">
        <v>70</v>
      </c>
      <c r="K2" s="66">
        <v>70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2019-05-21T09:17:45Z</cp:lastPrinted>
  <dcterms:created xsi:type="dcterms:W3CDTF">2010-10-29T12:53:05Z</dcterms:created>
  <dcterms:modified xsi:type="dcterms:W3CDTF">2019-05-27T07:50:01Z</dcterms:modified>
</cp:coreProperties>
</file>