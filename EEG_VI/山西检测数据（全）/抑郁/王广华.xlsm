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<sst xmlns="http://schemas.openxmlformats.org/spreadsheetml/2006/main" count="702" uniqueCount="571">
  <si>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</si>
  <si>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</si>
  <si>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</si>
  <si>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</si>
  <si>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</si>
  <si>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</si>
  <si>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</si>
  <si>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</si>
  <si>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</si>
  <si>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</si>
  <si>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</si>
  <si>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</si>
  <si>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</si>
  <si>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</si>
  <si>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</si>
  <si>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</si>
  <si>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</si>
  <si>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</si>
  <si>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</si>
  <si>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</si>
  <si>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</si>
  <si>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</si>
  <si>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</si>
  <si>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</si>
  <si>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</si>
  <si>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</si>
  <si>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</si>
  <si>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</si>
  <si>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</si>
  <si>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</si>
  <si>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</si>
  <si>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</si>
  <si>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</si>
  <si>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</si>
  <si>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</si>
  <si>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</si>
  <si>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</si>
  <si>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</si>
  <si>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</si>
  <si>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</si>
  <si>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</si>
  <si>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</si>
  <si>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</si>
  <si>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</si>
  <si>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</si>
  <si>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</si>
  <si>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</si>
  <si>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</si>
  <si>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</si>
  <si>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</si>
  <si>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</si>
  <si>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</si>
  <si>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</si>
  <si>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</si>
  <si>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</si>
  <si>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</si>
  <si>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</si>
  <si>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</si>
  <si>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</si>
  <si>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</si>
  <si>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</si>
  <si>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</si>
  <si>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</si>
  <si>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</si>
  <si>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</si>
  <si>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</si>
  <si>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</si>
  <si>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</si>
  <si>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</si>
  <si>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</si>
  <si>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</si>
  <si>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</si>
  <si>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</si>
  <si>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</si>
  <si>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</si>
  <si>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</si>
  <si>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</si>
  <si>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</si>
  <si>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</si>
  <si>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</si>
  <si>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</si>
  <si>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</si>
  <si>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</si>
  <si>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</si>
  <si>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</si>
  <si>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</si>
  <si>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</si>
  <si>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</si>
  <si>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</si>
  <si>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</si>
  <si>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</si>
  <si>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</si>
  <si>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</si>
  <si>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</si>
  <si>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</si>
  <si>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</si>
  <si>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</si>
  <si>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</si>
  <si>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</si>
  <si>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</si>
  <si>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</si>
  <si>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</si>
  <si>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</si>
  <si>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</si>
  <si>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</si>
  <si>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</si>
  <si>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</si>
  <si>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</si>
  <si>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</si>
  <si>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</si>
  <si>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</si>
  <si>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</si>
  <si>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</si>
  <si>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</si>
  <si>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</si>
  <si>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</si>
  <si>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</si>
  <si>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</si>
  <si>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</si>
  <si>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</si>
  <si>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</si>
  <si>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</si>
  <si>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</si>
  <si>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</si>
  <si>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</si>
  <si>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</si>
  <si>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</si>
  <si>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</si>
  <si>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</si>
  <si>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</si>
  <si>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</si>
  <si>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</si>
  <si>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</si>
  <si>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</si>
  <si>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</si>
  <si>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</si>
  <si>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</si>
  <si>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</si>
  <si>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</si>
  <si>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</si>
  <si>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</si>
  <si>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</si>
  <si>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</si>
  <si>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</si>
  <si>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</si>
  <si>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</si>
  <si>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</si>
  <si>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</si>
  <si>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</si>
  <si>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</si>
  <si>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</si>
  <si>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</si>
  <si>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</si>
  <si>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</si>
  <si>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</si>
  <si>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</si>
  <si>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</si>
  <si>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</si>
  <si>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</si>
  <si>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</si>
  <si>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</si>
  <si>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</si>
  <si>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</si>
  <si>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</si>
  <si>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</si>
  <si>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</si>
  <si>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</si>
  <si>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</si>
  <si>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</si>
  <si>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</si>
  <si>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</si>
  <si>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</si>
  <si>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</si>
  <si>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</si>
  <si>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</si>
  <si>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</si>
  <si>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</si>
  <si>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</si>
  <si>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</si>
  <si>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</si>
  <si>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</si>
  <si>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</si>
  <si>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</si>
  <si>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</si>
  <si>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</si>
  <si>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</si>
  <si>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</si>
  <si>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</si>
  <si>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</si>
  <si>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</si>
  <si>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</si>
  <si>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</si>
  <si>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</si>
  <si>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</si>
  <si>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</si>
  <si>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</si>
  <si>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</si>
  <si>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</si>
  <si>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</si>
  <si>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</si>
  <si>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</si>
  <si>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</si>
  <si>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</si>
  <si>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</si>
  <si>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</si>
  <si>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</si>
  <si>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</si>
  <si>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</si>
  <si>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</si>
  <si>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</si>
  <si>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</si>
  <si>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</si>
  <si>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</si>
  <si>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</si>
  <si>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</si>
  <si>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</si>
  <si>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</si>
  <si>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</si>
  <si>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</si>
  <si>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</si>
  <si>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</si>
  <si>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</si>
  <si>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</si>
  <si>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</si>
  <si>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</si>
  <si>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</si>
  <si>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</si>
  <si>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</si>
  <si>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</si>
  <si>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</si>
  <si>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</si>
  <si>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</si>
  <si>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</si>
  <si>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</si>
  <si>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</si>
  <si>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</si>
  <si>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</si>
  <si>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</si>
  <si>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</si>
  <si>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</si>
  <si>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</si>
  <si>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</si>
  <si>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</si>
  <si>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</si>
  <si>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</si>
  <si>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</si>
  <si>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</si>
  <si>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</si>
  <si>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</si>
  <si>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</si>
  <si>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</si>
  <si>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</si>
  <si>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</si>
  <si>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</si>
  <si>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</si>
  <si>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</si>
  <si>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</si>
  <si>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</si>
  <si>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</si>
  <si>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</si>
  <si>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</si>
  <si>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</si>
  <si>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</si>
  <si>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</si>
  <si>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</si>
  <si>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</si>
  <si>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</si>
  <si>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</si>
  <si>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</si>
  <si>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</si>
  <si>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</si>
  <si>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</si>
  <si>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</si>
  <si>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</si>
  <si>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</si>
  <si>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</si>
  <si>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</si>
  <si>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</si>
  <si>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</si>
  <si>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</si>
  <si>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</si>
  <si>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</si>
  <si>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</si>
  <si>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</si>
  <si>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</si>
  <si>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</si>
  <si>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</si>
  <si>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</si>
  <si>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</si>
  <si>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</si>
  <si>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</si>
  <si>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</si>
  <si>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</si>
  <si>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</si>
  <si>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</si>
  <si>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</si>
  <si>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</si>
  <si>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</si>
  <si>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</si>
  <si>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</si>
  <si>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</si>
  <si>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</si>
  <si>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</si>
  <si>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</si>
  <si>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</si>
  <si>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</si>
  <si>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</si>
  <si>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</si>
  <si>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</si>
  <si>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</si>
  <si>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</si>
  <si>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</si>
  <si>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</si>
  <si>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</si>
  <si>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</si>
  <si>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</si>
  <si>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</si>
  <si>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</si>
  <si>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</si>
  <si>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</si>
  <si>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</si>
  <si>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</si>
  <si>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</si>
  <si>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</si>
  <si>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</si>
  <si>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</si>
  <si>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</si>
  <si>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</si>
  <si>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</si>
  <si>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</si>
  <si>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</si>
  <si>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</si>
  <si>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</si>
  <si>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</si>
  <si>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</si>
  <si>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</si>
  <si>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</si>
  <si>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</si>
  <si>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</si>
  <si>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</si>
  <si>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</si>
  <si>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</si>
  <si>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</si>
  <si>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</si>
  <si>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</si>
  <si>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</si>
  <si>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</si>
  <si>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</si>
  <si>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</si>
  <si>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</si>
  <si>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</si>
  <si>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</si>
  <si>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</si>
  <si>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</si>
  <si>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</si>
  <si>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</si>
  <si>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</si>
  <si>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</si>
  <si>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</si>
  <si>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</si>
  <si>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</si>
  <si>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</si>
  <si>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</si>
  <si>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</si>
  <si>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</si>
  <si>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</si>
  <si>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</si>
  <si>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</si>
  <si>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</si>
  <si>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</si>
  <si>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</si>
  <si>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</si>
  <si>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</si>
  <si>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</si>
  <si>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</si>
  <si>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</si>
  <si>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</si>
  <si>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</si>
  <si>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</si>
  <si>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</si>
  <si>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</si>
  <si>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</si>
  <si>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</si>
  <si>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</si>
  <si>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</si>
  <si>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</si>
  <si>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</si>
  <si>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</si>
  <si>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</si>
  <si>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</si>
  <si>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</si>
  <si>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</si>
  <si>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</si>
  <si>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</si>
  <si>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</si>
  <si>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</si>
  <si>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</si>
  <si>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</si>
  <si>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</si>
  <si>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</si>
  <si>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</si>
  <si>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</si>
  <si>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</si>
  <si>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</si>
  <si>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</si>
  <si>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</si>
  <si>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</si>
  <si>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</si>
  <si>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</si>
  <si>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[0.373215]</t>
  </si>
  <si>
    <t>1 [0.780914]</t>
  </si>
  <si>
    <t>1 [1.186853]</t>
  </si>
  <si>
    <t>1 [1.592817]</t>
  </si>
  <si>
    <t>1 [1.999704]</t>
  </si>
  <si>
    <t>1 [2.403654]</t>
  </si>
  <si>
    <t>1 [2.810497]</t>
  </si>
  <si>
    <t>1 [3.218475]</t>
  </si>
  <si>
    <t>1 [3.625411]</t>
  </si>
  <si>
    <t>1 [4.030243]</t>
  </si>
  <si>
    <t>1 [4.438310]</t>
  </si>
  <si>
    <t>1 [4.841129]</t>
  </si>
  <si>
    <t>1 [5.248182]</t>
  </si>
  <si>
    <t>1 [5.658079]</t>
  </si>
  <si>
    <t>1 [6.063795]</t>
  </si>
  <si>
    <t>1 [6.469760]</t>
  </si>
  <si>
    <t>1 [6.873890]</t>
  </si>
  <si>
    <t>1 [7.278863]</t>
  </si>
  <si>
    <t>1 [7.688596]</t>
  </si>
  <si>
    <t>1 [8.094451]</t>
  </si>
  <si>
    <t>1 [8.500346]</t>
  </si>
  <si>
    <t>1 [8.908798]</t>
  </si>
  <si>
    <t>1 [9.310328]</t>
  </si>
  <si>
    <t>1 [9.715059]</t>
  </si>
  <si>
    <t>1 [10.125782]</t>
  </si>
  <si>
    <t>1 [10.527497]</t>
  </si>
  <si>
    <t>1 [10.935752]</t>
  </si>
  <si>
    <t>1 [11.340963]</t>
  </si>
  <si>
    <t>1 [11.747587]</t>
  </si>
  <si>
    <t>1 [12.153551]</t>
  </si>
  <si>
    <t>1 [12.563401]</t>
  </si>
  <si>
    <t>1 [12.966361]</t>
  </si>
  <si>
    <t>1 [13.372718]</t>
  </si>
  <si>
    <t>1 [13.778338]</t>
  </si>
  <si>
    <t>1 [14.190461]</t>
  </si>
  <si>
    <t>1 [14.594989]</t>
  </si>
  <si>
    <t>1 [14.994877]</t>
  </si>
  <si>
    <t>1 [15.404905]</t>
  </si>
  <si>
    <t>1 [15.807962]</t>
  </si>
  <si>
    <t>1 [16.217613]</t>
  </si>
  <si>
    <t>1 [16.623940]</t>
  </si>
  <si>
    <t>1 [17.028509]</t>
  </si>
  <si>
    <t>1 [17.433356]</t>
  </si>
  <si>
    <t>1 [17.845337]</t>
  </si>
  <si>
    <t>1 [18.248316]</t>
  </si>
  <si>
    <t>1 [18.656116]</t>
  </si>
  <si>
    <t>1 [19.064022]</t>
  </si>
  <si>
    <t>1 [19.464996]</t>
  </si>
  <si>
    <t>1 [19.873070]</t>
  </si>
  <si>
    <t>1 [20.281778]</t>
  </si>
  <si>
    <t>1 [20.687765]</t>
  </si>
  <si>
    <t>1 [21.094653]</t>
  </si>
  <si>
    <t>1 [21.498618]</t>
  </si>
  <si>
    <t>1 [21.903594]</t>
  </si>
  <si>
    <t>1 [22.312379]</t>
  </si>
  <si>
    <t>1 [22.720305]</t>
  </si>
  <si>
    <t>1 [23.121250]</t>
  </si>
  <si>
    <t>1 [23.529117]</t>
  </si>
  <si>
    <t>1 [23.938135]</t>
  </si>
  <si>
    <t>1 [24.341104]</t>
  </si>
  <si>
    <t>1 [24.749874]</t>
  </si>
  <si>
    <t>1 [25.154795]</t>
  </si>
  <si>
    <t>1 [25.562755]</t>
  </si>
  <si>
    <t>1 [25.964942]</t>
  </si>
  <si>
    <t>1 [26.372462]</t>
  </si>
  <si>
    <t>1 [26.778468]</t>
  </si>
  <si>
    <t>1 [27.186341]</t>
  </si>
  <si>
    <t>1 [27.590525]</t>
  </si>
  <si>
    <t>1 [27.997229]</t>
  </si>
  <si>
    <t>1 [28.404096]</t>
  </si>
  <si>
    <t>1 [28.809964]</t>
  </si>
  <si>
    <t>1 [29.216006]</t>
  </si>
  <si>
    <t>1 [29.625826]</t>
  </si>
  <si>
    <t>1 [30.030691]</t>
  </si>
  <si>
    <t>2 [30.606436]</t>
  </si>
  <si>
    <t>2 [30.984162]</t>
  </si>
  <si>
    <t>2 [31.360137]</t>
  </si>
  <si>
    <t>2 [31.735319]</t>
  </si>
  <si>
    <t>2 [32.123313]</t>
  </si>
  <si>
    <t>2 [32.534011]</t>
  </si>
  <si>
    <t>2 [32.938062]</t>
  </si>
  <si>
    <t>2 [33.342142]</t>
  </si>
  <si>
    <t>2 [33.749763]</t>
  </si>
  <si>
    <t>2 [34.158704]</t>
  </si>
  <si>
    <t>2 [34.562568]</t>
  </si>
  <si>
    <t>2 [34.967500]</t>
  </si>
  <si>
    <t>2 [35.375770]</t>
  </si>
  <si>
    <t>2 [35.779321]</t>
  </si>
  <si>
    <t>2 [36.186249]</t>
  </si>
  <si>
    <t>2 [36.592221]</t>
  </si>
  <si>
    <t>2 [36.999125]</t>
  </si>
  <si>
    <t>2 [37.405056]</t>
  </si>
  <si>
    <t>2 [37.809030]</t>
  </si>
  <si>
    <t>2 [38.218839]</t>
  </si>
  <si>
    <t>2 [38.626727]</t>
  </si>
  <si>
    <t>2 [39.028766]</t>
  </si>
  <si>
    <t>2 [39.432534]</t>
  </si>
  <si>
    <t>2 [39.839853]</t>
  </si>
  <si>
    <t>2 [40.252430]</t>
  </si>
  <si>
    <t>2 [40.657573]</t>
  </si>
  <si>
    <t>2 [41.061260]</t>
  </si>
  <si>
    <t>2 [41.469313]</t>
  </si>
  <si>
    <t>2 [41.872273]</t>
  </si>
  <si>
    <t>2 [42.282959]</t>
  </si>
  <si>
    <t>2 [42.688851]</t>
  </si>
  <si>
    <t>2 [43.092861]</t>
  </si>
  <si>
    <t>2 [43.500768]</t>
  </si>
  <si>
    <t>2 [43.904735]</t>
  </si>
  <si>
    <t>2 [44.312490]</t>
  </si>
  <si>
    <t>2 [44.721473]</t>
  </si>
  <si>
    <t>2 [45.124479]</t>
  </si>
  <si>
    <t>2 [45.529226]</t>
  </si>
  <si>
    <t>2 [45.935415]</t>
  </si>
  <si>
    <t>2 [46.344082]</t>
  </si>
  <si>
    <t>2 [46.750969]</t>
  </si>
  <si>
    <t>2 [47.154911]</t>
  </si>
  <si>
    <t>2 [47.559868]</t>
  </si>
  <si>
    <t>2 [47.965876]</t>
  </si>
  <si>
    <t>2 [48.373921]</t>
  </si>
  <si>
    <t>2 [48.783563]</t>
  </si>
  <si>
    <t>2 [49.188606]</t>
  </si>
  <si>
    <t>2 [49.591503]</t>
  </si>
  <si>
    <t>2 [49.995417]</t>
  </si>
  <si>
    <t>2 [50.403211]</t>
  </si>
  <si>
    <t>2 [50.809156]</t>
  </si>
  <si>
    <t>2 [51.215309]</t>
  </si>
  <si>
    <t>2 [51.624968]</t>
  </si>
  <si>
    <t>2 [52.031922]</t>
  </si>
  <si>
    <t>2 [52.437888]</t>
  </si>
  <si>
    <t>2 [52.838868]</t>
  </si>
  <si>
    <t>2 [53.247275]</t>
  </si>
  <si>
    <t>2 [53.656768]</t>
  </si>
  <si>
    <t>2 [54.061453]</t>
  </si>
  <si>
    <t>2 [54.468335]</t>
  </si>
  <si>
    <t>2 [54.873591]</t>
  </si>
  <si>
    <t>2 [55.278680]</t>
  </si>
  <si>
    <t>2 [55.686071]</t>
  </si>
  <si>
    <t>2 [56.093009]</t>
  </si>
  <si>
    <t>2 [56.499889]</t>
  </si>
  <si>
    <t>2 [56.905808]</t>
  </si>
  <si>
    <t>2 [57.308899]</t>
  </si>
  <si>
    <t>2 [57.716624]</t>
  </si>
  <si>
    <t>2 [58.126579]</t>
  </si>
  <si>
    <t>2 [58.530494]</t>
  </si>
  <si>
    <t>2 [58.934460]</t>
  </si>
  <si>
    <t>2 [59.343709]</t>
  </si>
  <si>
    <t>2 [59.749263]</t>
  </si>
  <si>
    <t>2 [60.156358]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</si>
  <si>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</si>
  <si>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</si>
  <si>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</si>
  <si>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</si>
  <si>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</si>
  <si>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</si>
  <si>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</si>
  <si>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</si>
  <si>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</si>
  <si>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</si>
  <si>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</si>
  <si>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</si>
  <si>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</si>
  <si>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王广华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</si>
</sst>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46.597700000000003</c:v>
                </c:pt>
                <c:pt idx="1">
                  <c:v>25.009</c:v>
                </c:pt>
                <c:pt idx="2">
                  <c:v>19.448599999999999</c:v>
                </c:pt>
                <c:pt idx="3">
                  <c:v>31.1266</c:v>
                </c:pt>
                <c:pt idx="4">
                  <c:v>63.465000000000003</c:v>
                </c:pt>
                <c:pt idx="5">
                  <c:v>81.671599999999998</c:v>
                </c:pt>
                <c:pt idx="6">
                  <c:v>24.7163</c:v>
                </c:pt>
                <c:pt idx="7">
                  <c:v>72.147199999999998</c:v>
                </c:pt>
                <c:pt idx="8">
                  <c:v>22.602599999999999</c:v>
                </c:pt>
                <c:pt idx="9">
                  <c:v>33.3827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0.50824063546014453</c:v>
                </c:pt>
                <c:pt idx="1">
                  <c:v>0.25660240015490837</c:v>
                </c:pt>
                <c:pt idx="2">
                  <c:v>0.23515696438494718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343</c:v>
                </c:pt>
                <c:pt idx="7">
                  <c:v>0</c:v>
                </c:pt>
                <c:pt idx="8">
                  <c:v>1592</c:v>
                </c:pt>
                <c:pt idx="9">
                  <c:v>0</c:v>
                </c:pt>
                <c:pt idx="10">
                  <c:v>0</c:v>
                </c:pt>
                <c:pt idx="11">
                  <c:v>2902</c:v>
                </c:pt>
                <c:pt idx="12">
                  <c:v>0</c:v>
                </c:pt>
                <c:pt idx="13">
                  <c:v>2976</c:v>
                </c:pt>
                <c:pt idx="14">
                  <c:v>0</c:v>
                </c:pt>
                <c:pt idx="15">
                  <c:v>0</c:v>
                </c:pt>
                <c:pt idx="16">
                  <c:v>6429</c:v>
                </c:pt>
                <c:pt idx="17">
                  <c:v>0</c:v>
                </c:pt>
                <c:pt idx="18">
                  <c:v>0</c:v>
                </c:pt>
                <c:pt idx="19">
                  <c:v>8481</c:v>
                </c:pt>
                <c:pt idx="20">
                  <c:v>0</c:v>
                </c:pt>
                <c:pt idx="21">
                  <c:v>14197</c:v>
                </c:pt>
                <c:pt idx="22">
                  <c:v>0</c:v>
                </c:pt>
                <c:pt idx="23">
                  <c:v>0</c:v>
                </c:pt>
                <c:pt idx="24">
                  <c:v>21240</c:v>
                </c:pt>
                <c:pt idx="25">
                  <c:v>0</c:v>
                </c:pt>
                <c:pt idx="26">
                  <c:v>29872</c:v>
                </c:pt>
                <c:pt idx="27">
                  <c:v>0</c:v>
                </c:pt>
                <c:pt idx="28">
                  <c:v>0</c:v>
                </c:pt>
                <c:pt idx="29">
                  <c:v>36568</c:v>
                </c:pt>
                <c:pt idx="30">
                  <c:v>0</c:v>
                </c:pt>
                <c:pt idx="31">
                  <c:v>46565</c:v>
                </c:pt>
                <c:pt idx="32">
                  <c:v>0</c:v>
                </c:pt>
                <c:pt idx="33">
                  <c:v>0</c:v>
                </c:pt>
                <c:pt idx="34">
                  <c:v>51179</c:v>
                </c:pt>
                <c:pt idx="35">
                  <c:v>0</c:v>
                </c:pt>
                <c:pt idx="36">
                  <c:v>0</c:v>
                </c:pt>
                <c:pt idx="37">
                  <c:v>59006</c:v>
                </c:pt>
                <c:pt idx="38">
                  <c:v>0</c:v>
                </c:pt>
                <c:pt idx="39">
                  <c:v>65314</c:v>
                </c:pt>
                <c:pt idx="40">
                  <c:v>0</c:v>
                </c:pt>
                <c:pt idx="41">
                  <c:v>0</c:v>
                </c:pt>
                <c:pt idx="42">
                  <c:v>76636</c:v>
                </c:pt>
                <c:pt idx="43">
                  <c:v>0</c:v>
                </c:pt>
                <c:pt idx="44">
                  <c:v>94364</c:v>
                </c:pt>
                <c:pt idx="45">
                  <c:v>0</c:v>
                </c:pt>
                <c:pt idx="46">
                  <c:v>0</c:v>
                </c:pt>
                <c:pt idx="47">
                  <c:v>100766</c:v>
                </c:pt>
                <c:pt idx="48">
                  <c:v>0</c:v>
                </c:pt>
                <c:pt idx="49">
                  <c:v>114851</c:v>
                </c:pt>
                <c:pt idx="50">
                  <c:v>0</c:v>
                </c:pt>
                <c:pt idx="51">
                  <c:v>0</c:v>
                </c:pt>
                <c:pt idx="52">
                  <c:v>109816</c:v>
                </c:pt>
                <c:pt idx="53">
                  <c:v>0</c:v>
                </c:pt>
                <c:pt idx="54">
                  <c:v>0</c:v>
                </c:pt>
                <c:pt idx="55">
                  <c:v>127664</c:v>
                </c:pt>
                <c:pt idx="56">
                  <c:v>0</c:v>
                </c:pt>
                <c:pt idx="57">
                  <c:v>141673</c:v>
                </c:pt>
                <c:pt idx="58">
                  <c:v>0</c:v>
                </c:pt>
                <c:pt idx="59">
                  <c:v>0</c:v>
                </c:pt>
                <c:pt idx="60">
                  <c:v>142958</c:v>
                </c:pt>
                <c:pt idx="61">
                  <c:v>0</c:v>
                </c:pt>
                <c:pt idx="62">
                  <c:v>140680</c:v>
                </c:pt>
                <c:pt idx="63">
                  <c:v>0</c:v>
                </c:pt>
                <c:pt idx="64">
                  <c:v>0</c:v>
                </c:pt>
                <c:pt idx="65">
                  <c:v>146466</c:v>
                </c:pt>
                <c:pt idx="66">
                  <c:v>0</c:v>
                </c:pt>
                <c:pt idx="67">
                  <c:v>150345</c:v>
                </c:pt>
                <c:pt idx="68">
                  <c:v>0</c:v>
                </c:pt>
                <c:pt idx="69">
                  <c:v>0</c:v>
                </c:pt>
                <c:pt idx="70">
                  <c:v>142659</c:v>
                </c:pt>
                <c:pt idx="71">
                  <c:v>0</c:v>
                </c:pt>
                <c:pt idx="72">
                  <c:v>0</c:v>
                </c:pt>
                <c:pt idx="73">
                  <c:v>147420</c:v>
                </c:pt>
                <c:pt idx="74">
                  <c:v>0</c:v>
                </c:pt>
                <c:pt idx="75">
                  <c:v>145638</c:v>
                </c:pt>
                <c:pt idx="76">
                  <c:v>0</c:v>
                </c:pt>
                <c:pt idx="77">
                  <c:v>0</c:v>
                </c:pt>
                <c:pt idx="78">
                  <c:v>154080</c:v>
                </c:pt>
                <c:pt idx="79">
                  <c:v>0</c:v>
                </c:pt>
                <c:pt idx="80">
                  <c:v>160575</c:v>
                </c:pt>
                <c:pt idx="81">
                  <c:v>0</c:v>
                </c:pt>
                <c:pt idx="82">
                  <c:v>0</c:v>
                </c:pt>
                <c:pt idx="83">
                  <c:v>162139</c:v>
                </c:pt>
                <c:pt idx="84">
                  <c:v>0</c:v>
                </c:pt>
                <c:pt idx="85">
                  <c:v>0</c:v>
                </c:pt>
                <c:pt idx="86">
                  <c:v>159861</c:v>
                </c:pt>
                <c:pt idx="87">
                  <c:v>0</c:v>
                </c:pt>
                <c:pt idx="88">
                  <c:v>158782</c:v>
                </c:pt>
                <c:pt idx="89">
                  <c:v>0</c:v>
                </c:pt>
                <c:pt idx="90">
                  <c:v>0</c:v>
                </c:pt>
                <c:pt idx="91">
                  <c:v>167022</c:v>
                </c:pt>
                <c:pt idx="92">
                  <c:v>0</c:v>
                </c:pt>
                <c:pt idx="93">
                  <c:v>175052</c:v>
                </c:pt>
                <c:pt idx="94">
                  <c:v>0</c:v>
                </c:pt>
                <c:pt idx="95">
                  <c:v>0</c:v>
                </c:pt>
                <c:pt idx="96">
                  <c:v>170196</c:v>
                </c:pt>
                <c:pt idx="97">
                  <c:v>0</c:v>
                </c:pt>
                <c:pt idx="98">
                  <c:v>180349</c:v>
                </c:pt>
                <c:pt idx="99">
                  <c:v>0</c:v>
                </c:pt>
                <c:pt idx="100">
                  <c:v>0</c:v>
                </c:pt>
                <c:pt idx="101">
                  <c:v>182336</c:v>
                </c:pt>
                <c:pt idx="102">
                  <c:v>0</c:v>
                </c:pt>
                <c:pt idx="103">
                  <c:v>0</c:v>
                </c:pt>
                <c:pt idx="104">
                  <c:v>195046</c:v>
                </c:pt>
                <c:pt idx="105">
                  <c:v>0</c:v>
                </c:pt>
                <c:pt idx="106">
                  <c:v>181976</c:v>
                </c:pt>
                <c:pt idx="107">
                  <c:v>0</c:v>
                </c:pt>
                <c:pt idx="108">
                  <c:v>0</c:v>
                </c:pt>
                <c:pt idx="109">
                  <c:v>171848</c:v>
                </c:pt>
                <c:pt idx="110">
                  <c:v>0</c:v>
                </c:pt>
                <c:pt idx="111">
                  <c:v>170835</c:v>
                </c:pt>
                <c:pt idx="112">
                  <c:v>0</c:v>
                </c:pt>
                <c:pt idx="113">
                  <c:v>0</c:v>
                </c:pt>
                <c:pt idx="114">
                  <c:v>154161</c:v>
                </c:pt>
                <c:pt idx="115">
                  <c:v>0</c:v>
                </c:pt>
                <c:pt idx="116">
                  <c:v>150691</c:v>
                </c:pt>
                <c:pt idx="117">
                  <c:v>0</c:v>
                </c:pt>
                <c:pt idx="118">
                  <c:v>0</c:v>
                </c:pt>
                <c:pt idx="119">
                  <c:v>139740</c:v>
                </c:pt>
                <c:pt idx="120">
                  <c:v>0</c:v>
                </c:pt>
                <c:pt idx="121">
                  <c:v>0</c:v>
                </c:pt>
                <c:pt idx="122">
                  <c:v>117232</c:v>
                </c:pt>
                <c:pt idx="123">
                  <c:v>0</c:v>
                </c:pt>
                <c:pt idx="124">
                  <c:v>108373</c:v>
                </c:pt>
                <c:pt idx="125">
                  <c:v>0</c:v>
                </c:pt>
                <c:pt idx="126">
                  <c:v>0</c:v>
                </c:pt>
                <c:pt idx="127">
                  <c:v>96814</c:v>
                </c:pt>
                <c:pt idx="128">
                  <c:v>0</c:v>
                </c:pt>
                <c:pt idx="129">
                  <c:v>83414</c:v>
                </c:pt>
                <c:pt idx="130">
                  <c:v>0</c:v>
                </c:pt>
                <c:pt idx="131">
                  <c:v>0</c:v>
                </c:pt>
                <c:pt idx="132">
                  <c:v>81096</c:v>
                </c:pt>
                <c:pt idx="133">
                  <c:v>0</c:v>
                </c:pt>
                <c:pt idx="134">
                  <c:v>73387</c:v>
                </c:pt>
                <c:pt idx="135">
                  <c:v>0</c:v>
                </c:pt>
                <c:pt idx="136">
                  <c:v>0</c:v>
                </c:pt>
                <c:pt idx="137">
                  <c:v>75042</c:v>
                </c:pt>
                <c:pt idx="138">
                  <c:v>0</c:v>
                </c:pt>
                <c:pt idx="139">
                  <c:v>0</c:v>
                </c:pt>
                <c:pt idx="140">
                  <c:v>73495</c:v>
                </c:pt>
                <c:pt idx="141">
                  <c:v>0</c:v>
                </c:pt>
                <c:pt idx="142">
                  <c:v>65667</c:v>
                </c:pt>
                <c:pt idx="143">
                  <c:v>0</c:v>
                </c:pt>
                <c:pt idx="144">
                  <c:v>0</c:v>
                </c:pt>
                <c:pt idx="145">
                  <c:v>59847</c:v>
                </c:pt>
                <c:pt idx="146">
                  <c:v>0</c:v>
                </c:pt>
                <c:pt idx="147">
                  <c:v>57210</c:v>
                </c:pt>
                <c:pt idx="148">
                  <c:v>0</c:v>
                </c:pt>
                <c:pt idx="149">
                  <c:v>0</c:v>
                </c:pt>
                <c:pt idx="150">
                  <c:v>53923</c:v>
                </c:pt>
                <c:pt idx="151">
                  <c:v>0</c:v>
                </c:pt>
                <c:pt idx="152">
                  <c:v>51648</c:v>
                </c:pt>
                <c:pt idx="153">
                  <c:v>0</c:v>
                </c:pt>
                <c:pt idx="154">
                  <c:v>0</c:v>
                </c:pt>
                <c:pt idx="155">
                  <c:v>50784</c:v>
                </c:pt>
                <c:pt idx="156">
                  <c:v>0</c:v>
                </c:pt>
                <c:pt idx="157">
                  <c:v>0</c:v>
                </c:pt>
                <c:pt idx="158">
                  <c:v>47751</c:v>
                </c:pt>
                <c:pt idx="159">
                  <c:v>0</c:v>
                </c:pt>
                <c:pt idx="160">
                  <c:v>50307</c:v>
                </c:pt>
                <c:pt idx="161">
                  <c:v>0</c:v>
                </c:pt>
                <c:pt idx="162">
                  <c:v>0</c:v>
                </c:pt>
                <c:pt idx="163">
                  <c:v>50846</c:v>
                </c:pt>
                <c:pt idx="164">
                  <c:v>0</c:v>
                </c:pt>
                <c:pt idx="165">
                  <c:v>48482</c:v>
                </c:pt>
                <c:pt idx="166">
                  <c:v>0</c:v>
                </c:pt>
                <c:pt idx="167">
                  <c:v>0</c:v>
                </c:pt>
                <c:pt idx="168">
                  <c:v>46567</c:v>
                </c:pt>
                <c:pt idx="169">
                  <c:v>0</c:v>
                </c:pt>
                <c:pt idx="170">
                  <c:v>0</c:v>
                </c:pt>
                <c:pt idx="171">
                  <c:v>39845</c:v>
                </c:pt>
                <c:pt idx="172">
                  <c:v>0</c:v>
                </c:pt>
                <c:pt idx="173">
                  <c:v>36727</c:v>
                </c:pt>
                <c:pt idx="174">
                  <c:v>0</c:v>
                </c:pt>
                <c:pt idx="175">
                  <c:v>0</c:v>
                </c:pt>
                <c:pt idx="176">
                  <c:v>29694</c:v>
                </c:pt>
                <c:pt idx="177">
                  <c:v>0</c:v>
                </c:pt>
                <c:pt idx="178">
                  <c:v>24536</c:v>
                </c:pt>
                <c:pt idx="179">
                  <c:v>0</c:v>
                </c:pt>
                <c:pt idx="180">
                  <c:v>0</c:v>
                </c:pt>
                <c:pt idx="181">
                  <c:v>17787</c:v>
                </c:pt>
                <c:pt idx="182">
                  <c:v>0</c:v>
                </c:pt>
                <c:pt idx="183">
                  <c:v>13702</c:v>
                </c:pt>
                <c:pt idx="184">
                  <c:v>0</c:v>
                </c:pt>
                <c:pt idx="185">
                  <c:v>0</c:v>
                </c:pt>
                <c:pt idx="186">
                  <c:v>9511</c:v>
                </c:pt>
                <c:pt idx="187">
                  <c:v>0</c:v>
                </c:pt>
                <c:pt idx="188">
                  <c:v>0</c:v>
                </c:pt>
                <c:pt idx="189">
                  <c:v>5709</c:v>
                </c:pt>
                <c:pt idx="190">
                  <c:v>0</c:v>
                </c:pt>
                <c:pt idx="191">
                  <c:v>4227</c:v>
                </c:pt>
                <c:pt idx="192">
                  <c:v>0</c:v>
                </c:pt>
                <c:pt idx="193">
                  <c:v>0</c:v>
                </c:pt>
                <c:pt idx="194">
                  <c:v>3317</c:v>
                </c:pt>
                <c:pt idx="195">
                  <c:v>0</c:v>
                </c:pt>
                <c:pt idx="196">
                  <c:v>1560</c:v>
                </c:pt>
                <c:pt idx="197">
                  <c:v>0</c:v>
                </c:pt>
                <c:pt idx="198">
                  <c:v>0</c:v>
                </c:pt>
                <c:pt idx="199">
                  <c:v>1246</c:v>
                </c:pt>
                <c:pt idx="200">
                  <c:v>0</c:v>
                </c:pt>
                <c:pt idx="201">
                  <c:v>506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  <c:pt idx="75">
                  <c:v>3.7917099999999997</c:v>
                </c:pt>
                <c:pt idx="76">
                  <c:v>3.7923600000000004</c:v>
                </c:pt>
                <c:pt idx="77">
                  <c:v>3.7976900000000002</c:v>
                </c:pt>
                <c:pt idx="78">
                  <c:v>3.8060699999999996</c:v>
                </c:pt>
                <c:pt idx="79">
                  <c:v>3.8151600000000001</c:v>
                </c:pt>
                <c:pt idx="80">
                  <c:v>3.8262900000000002</c:v>
                </c:pt>
                <c:pt idx="81">
                  <c:v>3.8363900000000002</c:v>
                </c:pt>
                <c:pt idx="82">
                  <c:v>3.8484600000000002</c:v>
                </c:pt>
                <c:pt idx="83">
                  <c:v>3.85907</c:v>
                </c:pt>
                <c:pt idx="84">
                  <c:v>3.86835</c:v>
                </c:pt>
                <c:pt idx="85">
                  <c:v>3.8774100000000002</c:v>
                </c:pt>
                <c:pt idx="86">
                  <c:v>3.88652</c:v>
                </c:pt>
                <c:pt idx="87">
                  <c:v>3.8960600000000003</c:v>
                </c:pt>
                <c:pt idx="88">
                  <c:v>3.9058199999999998</c:v>
                </c:pt>
                <c:pt idx="89">
                  <c:v>3.91282</c:v>
                </c:pt>
                <c:pt idx="90">
                  <c:v>3.9187599999999998</c:v>
                </c:pt>
                <c:pt idx="91">
                  <c:v>3.92347</c:v>
                </c:pt>
                <c:pt idx="92">
                  <c:v>3.92624</c:v>
                </c:pt>
                <c:pt idx="93">
                  <c:v>3.9286399999999997</c:v>
                </c:pt>
                <c:pt idx="94">
                  <c:v>3.9318900000000001</c:v>
                </c:pt>
                <c:pt idx="95">
                  <c:v>3.93594</c:v>
                </c:pt>
                <c:pt idx="96">
                  <c:v>3.9424999999999999</c:v>
                </c:pt>
                <c:pt idx="97">
                  <c:v>3.95</c:v>
                </c:pt>
                <c:pt idx="98">
                  <c:v>3.9580700000000002</c:v>
                </c:pt>
                <c:pt idx="99">
                  <c:v>3.9689400000000004</c:v>
                </c:pt>
                <c:pt idx="100">
                  <c:v>3.9826600000000001</c:v>
                </c:pt>
                <c:pt idx="101">
                  <c:v>3.9991700000000003</c:v>
                </c:pt>
                <c:pt idx="102">
                  <c:v>4.0151900000000005</c:v>
                </c:pt>
                <c:pt idx="103">
                  <c:v>4.0312599999999996</c:v>
                </c:pt>
                <c:pt idx="104">
                  <c:v>4.0475699999999994</c:v>
                </c:pt>
                <c:pt idx="105">
                  <c:v>4.06616</c:v>
                </c:pt>
                <c:pt idx="106">
                  <c:v>4.0885400000000001</c:v>
                </c:pt>
                <c:pt idx="107">
                  <c:v>4.1116200000000003</c:v>
                </c:pt>
                <c:pt idx="108">
                  <c:v>4.1390399999999996</c:v>
                </c:pt>
                <c:pt idx="109">
                  <c:v>4.1697299999999995</c:v>
                </c:pt>
                <c:pt idx="110">
                  <c:v>4.2007099999999999</c:v>
                </c:pt>
                <c:pt idx="111">
                  <c:v>4.2299199999999999</c:v>
                </c:pt>
                <c:pt idx="112">
                  <c:v>4.2593800000000002</c:v>
                </c:pt>
                <c:pt idx="113">
                  <c:v>4.2895099999999999</c:v>
                </c:pt>
                <c:pt idx="114">
                  <c:v>4.31785</c:v>
                </c:pt>
                <c:pt idx="115">
                  <c:v>4.3421099999999999</c:v>
                </c:pt>
                <c:pt idx="116">
                  <c:v>4.3670999999999998</c:v>
                </c:pt>
                <c:pt idx="117">
                  <c:v>4.3924900000000004</c:v>
                </c:pt>
                <c:pt idx="118">
                  <c:v>4.4149799999999999</c:v>
                </c:pt>
                <c:pt idx="119">
                  <c:v>4.4359700000000002</c:v>
                </c:pt>
                <c:pt idx="120">
                  <c:v>4.45669</c:v>
                </c:pt>
                <c:pt idx="121">
                  <c:v>4.4742999999999995</c:v>
                </c:pt>
                <c:pt idx="122">
                  <c:v>4.4896200000000004</c:v>
                </c:pt>
                <c:pt idx="123">
                  <c:v>4.50068</c:v>
                </c:pt>
                <c:pt idx="124">
                  <c:v>4.51084</c:v>
                </c:pt>
                <c:pt idx="125">
                  <c:v>4.52332</c:v>
                </c:pt>
                <c:pt idx="126">
                  <c:v>4.5334300000000001</c:v>
                </c:pt>
                <c:pt idx="127">
                  <c:v>4.5431699999999999</c:v>
                </c:pt>
                <c:pt idx="128">
                  <c:v>4.5531199999999998</c:v>
                </c:pt>
                <c:pt idx="129">
                  <c:v>4.5631199999999996</c:v>
                </c:pt>
                <c:pt idx="130">
                  <c:v>4.5688699999999995</c:v>
                </c:pt>
                <c:pt idx="131">
                  <c:v>4.5727000000000002</c:v>
                </c:pt>
                <c:pt idx="132">
                  <c:v>4.5761200000000004</c:v>
                </c:pt>
                <c:pt idx="133">
                  <c:v>4.5732600000000003</c:v>
                </c:pt>
                <c:pt idx="134">
                  <c:v>4.5650399999999998</c:v>
                </c:pt>
                <c:pt idx="135">
                  <c:v>4.5562200000000006</c:v>
                </c:pt>
                <c:pt idx="136">
                  <c:v>4.54697</c:v>
                </c:pt>
                <c:pt idx="137">
                  <c:v>4.5327099999999998</c:v>
                </c:pt>
                <c:pt idx="138">
                  <c:v>4.5130300000000005</c:v>
                </c:pt>
                <c:pt idx="139">
                  <c:v>4.4957599999999998</c:v>
                </c:pt>
                <c:pt idx="140">
                  <c:v>4.4825799999999996</c:v>
                </c:pt>
                <c:pt idx="141">
                  <c:v>4.4632500000000004</c:v>
                </c:pt>
                <c:pt idx="142">
                  <c:v>4.4423399999999997</c:v>
                </c:pt>
                <c:pt idx="143">
                  <c:v>4.4352399999999994</c:v>
                </c:pt>
                <c:pt idx="144">
                  <c:v>4.4283400000000004</c:v>
                </c:pt>
                <c:pt idx="145">
                  <c:v>4.40876</c:v>
                </c:pt>
                <c:pt idx="146">
                  <c:v>4.37967</c:v>
                </c:pt>
                <c:pt idx="147">
                  <c:v>4.3410799999999998</c:v>
                </c:pt>
                <c:pt idx="148">
                  <c:v>4.3140499999999999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  <c:pt idx="75">
                  <c:v>29.648400000000002</c:v>
                </c:pt>
                <c:pt idx="76">
                  <c:v>29.758699999999997</c:v>
                </c:pt>
                <c:pt idx="77">
                  <c:v>29.827599999999997</c:v>
                </c:pt>
                <c:pt idx="78">
                  <c:v>29.9207</c:v>
                </c:pt>
                <c:pt idx="79">
                  <c:v>29.981799999999996</c:v>
                </c:pt>
                <c:pt idx="80">
                  <c:v>29.978900000000003</c:v>
                </c:pt>
                <c:pt idx="81">
                  <c:v>30.032199999999996</c:v>
                </c:pt>
                <c:pt idx="82">
                  <c:v>30.0914</c:v>
                </c:pt>
                <c:pt idx="83">
                  <c:v>30.168899999999997</c:v>
                </c:pt>
                <c:pt idx="84">
                  <c:v>30.281999999999996</c:v>
                </c:pt>
                <c:pt idx="85">
                  <c:v>30.454199999999997</c:v>
                </c:pt>
                <c:pt idx="86">
                  <c:v>30.659099999999999</c:v>
                </c:pt>
                <c:pt idx="87">
                  <c:v>30.883899999999997</c:v>
                </c:pt>
                <c:pt idx="88">
                  <c:v>31.113600000000002</c:v>
                </c:pt>
                <c:pt idx="89">
                  <c:v>31.3569</c:v>
                </c:pt>
                <c:pt idx="90">
                  <c:v>31.622600000000002</c:v>
                </c:pt>
                <c:pt idx="91">
                  <c:v>31.920500000000001</c:v>
                </c:pt>
                <c:pt idx="92">
                  <c:v>32.325700000000005</c:v>
                </c:pt>
                <c:pt idx="93">
                  <c:v>32.755699999999997</c:v>
                </c:pt>
                <c:pt idx="94">
                  <c:v>33.197800000000001</c:v>
                </c:pt>
                <c:pt idx="95">
                  <c:v>33.623999999999995</c:v>
                </c:pt>
                <c:pt idx="96">
                  <c:v>34.045299999999997</c:v>
                </c:pt>
                <c:pt idx="97">
                  <c:v>34.4726</c:v>
                </c:pt>
                <c:pt idx="98">
                  <c:v>34.896999999999998</c:v>
                </c:pt>
                <c:pt idx="99">
                  <c:v>35.277900000000002</c:v>
                </c:pt>
                <c:pt idx="100">
                  <c:v>35.6006</c:v>
                </c:pt>
                <c:pt idx="101">
                  <c:v>35.833300000000001</c:v>
                </c:pt>
                <c:pt idx="102">
                  <c:v>36.044599999999996</c:v>
                </c:pt>
                <c:pt idx="103">
                  <c:v>36.251400000000004</c:v>
                </c:pt>
                <c:pt idx="104">
                  <c:v>36.446899999999999</c:v>
                </c:pt>
                <c:pt idx="105">
                  <c:v>36.584000000000003</c:v>
                </c:pt>
                <c:pt idx="106">
                  <c:v>36.697600000000001</c:v>
                </c:pt>
                <c:pt idx="107">
                  <c:v>36.806600000000003</c:v>
                </c:pt>
                <c:pt idx="108">
                  <c:v>36.789899999999996</c:v>
                </c:pt>
                <c:pt idx="109">
                  <c:v>36.645400000000002</c:v>
                </c:pt>
                <c:pt idx="110">
                  <c:v>36.498999999999995</c:v>
                </c:pt>
                <c:pt idx="111">
                  <c:v>36.310700000000004</c:v>
                </c:pt>
                <c:pt idx="112">
                  <c:v>35.9998</c:v>
                </c:pt>
                <c:pt idx="113">
                  <c:v>35.605399999999996</c:v>
                </c:pt>
                <c:pt idx="114">
                  <c:v>35.210799999999999</c:v>
                </c:pt>
                <c:pt idx="115">
                  <c:v>34.7851</c:v>
                </c:pt>
                <c:pt idx="116">
                  <c:v>34.268100000000004</c:v>
                </c:pt>
                <c:pt idx="117">
                  <c:v>33.737000000000002</c:v>
                </c:pt>
                <c:pt idx="118">
                  <c:v>33.262999999999998</c:v>
                </c:pt>
                <c:pt idx="119">
                  <c:v>32.770400000000002</c:v>
                </c:pt>
                <c:pt idx="120">
                  <c:v>32.185699999999997</c:v>
                </c:pt>
                <c:pt idx="121">
                  <c:v>31.566800000000001</c:v>
                </c:pt>
                <c:pt idx="122">
                  <c:v>30.923200000000001</c:v>
                </c:pt>
                <c:pt idx="123">
                  <c:v>30.288599999999999</c:v>
                </c:pt>
                <c:pt idx="124">
                  <c:v>29.760399999999997</c:v>
                </c:pt>
                <c:pt idx="125">
                  <c:v>29.3263</c:v>
                </c:pt>
                <c:pt idx="126">
                  <c:v>28.9038</c:v>
                </c:pt>
                <c:pt idx="127">
                  <c:v>28.448600000000003</c:v>
                </c:pt>
                <c:pt idx="128">
                  <c:v>27.950599999999998</c:v>
                </c:pt>
                <c:pt idx="129">
                  <c:v>27.420400000000001</c:v>
                </c:pt>
                <c:pt idx="130">
                  <c:v>26.881100000000004</c:v>
                </c:pt>
                <c:pt idx="131">
                  <c:v>26.281600000000001</c:v>
                </c:pt>
                <c:pt idx="132">
                  <c:v>25.646200000000004</c:v>
                </c:pt>
                <c:pt idx="133">
                  <c:v>25.050800000000002</c:v>
                </c:pt>
                <c:pt idx="134">
                  <c:v>24.5169</c:v>
                </c:pt>
                <c:pt idx="135">
                  <c:v>23.9849</c:v>
                </c:pt>
                <c:pt idx="136">
                  <c:v>23.514499999999998</c:v>
                </c:pt>
                <c:pt idx="137">
                  <c:v>23.216700000000003</c:v>
                </c:pt>
                <c:pt idx="138">
                  <c:v>23.082599999999999</c:v>
                </c:pt>
                <c:pt idx="139">
                  <c:v>22.943300000000001</c:v>
                </c:pt>
                <c:pt idx="140">
                  <c:v>22.7851</c:v>
                </c:pt>
                <c:pt idx="141">
                  <c:v>22.848600000000001</c:v>
                </c:pt>
                <c:pt idx="142">
                  <c:v>22.9741</c:v>
                </c:pt>
                <c:pt idx="143">
                  <c:v>22.871600000000001</c:v>
                </c:pt>
                <c:pt idx="144">
                  <c:v>22.726199999999999</c:v>
                </c:pt>
                <c:pt idx="145">
                  <c:v>22.891000000000002</c:v>
                </c:pt>
                <c:pt idx="146">
                  <c:v>23.212499999999999</c:v>
                </c:pt>
                <c:pt idx="147">
                  <c:v>23.6645</c:v>
                </c:pt>
                <c:pt idx="148">
                  <c:v>24.1919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3.7857600000000002</c:v>
                </c:pt>
                <c:pt idx="1">
                  <c:v>3.7917099999999997</c:v>
                </c:pt>
                <c:pt idx="2">
                  <c:v>3.7923600000000004</c:v>
                </c:pt>
                <c:pt idx="3">
                  <c:v>3.7976900000000002</c:v>
                </c:pt>
                <c:pt idx="4">
                  <c:v>3.8060699999999996</c:v>
                </c:pt>
                <c:pt idx="5">
                  <c:v>3.8151600000000001</c:v>
                </c:pt>
                <c:pt idx="6">
                  <c:v>3.8262900000000002</c:v>
                </c:pt>
                <c:pt idx="7">
                  <c:v>3.8363900000000002</c:v>
                </c:pt>
                <c:pt idx="8">
                  <c:v>3.8484600000000002</c:v>
                </c:pt>
                <c:pt idx="9">
                  <c:v>3.85907</c:v>
                </c:pt>
                <c:pt idx="10">
                  <c:v>3.86835</c:v>
                </c:pt>
                <c:pt idx="11">
                  <c:v>3.8774100000000002</c:v>
                </c:pt>
                <c:pt idx="12">
                  <c:v>3.88652</c:v>
                </c:pt>
                <c:pt idx="13">
                  <c:v>3.8960600000000003</c:v>
                </c:pt>
                <c:pt idx="14">
                  <c:v>3.9058199999999998</c:v>
                </c:pt>
                <c:pt idx="15">
                  <c:v>3.91282</c:v>
                </c:pt>
                <c:pt idx="16">
                  <c:v>3.9187599999999998</c:v>
                </c:pt>
                <c:pt idx="17">
                  <c:v>3.92347</c:v>
                </c:pt>
                <c:pt idx="18">
                  <c:v>3.92624</c:v>
                </c:pt>
                <c:pt idx="19">
                  <c:v>3.9286399999999997</c:v>
                </c:pt>
                <c:pt idx="20">
                  <c:v>3.9318900000000001</c:v>
                </c:pt>
                <c:pt idx="21">
                  <c:v>3.93594</c:v>
                </c:pt>
                <c:pt idx="22">
                  <c:v>3.9424999999999999</c:v>
                </c:pt>
                <c:pt idx="23">
                  <c:v>3.95</c:v>
                </c:pt>
                <c:pt idx="24">
                  <c:v>3.9580700000000002</c:v>
                </c:pt>
                <c:pt idx="25">
                  <c:v>3.9689400000000004</c:v>
                </c:pt>
                <c:pt idx="26">
                  <c:v>3.9826600000000001</c:v>
                </c:pt>
                <c:pt idx="27">
                  <c:v>3.9991700000000003</c:v>
                </c:pt>
                <c:pt idx="28">
                  <c:v>4.0151900000000005</c:v>
                </c:pt>
                <c:pt idx="29">
                  <c:v>4.0312599999999996</c:v>
                </c:pt>
                <c:pt idx="30">
                  <c:v>4.0475699999999994</c:v>
                </c:pt>
                <c:pt idx="31">
                  <c:v>4.06616</c:v>
                </c:pt>
                <c:pt idx="32">
                  <c:v>4.0885400000000001</c:v>
                </c:pt>
                <c:pt idx="33">
                  <c:v>4.1116200000000003</c:v>
                </c:pt>
                <c:pt idx="34">
                  <c:v>4.1390399999999996</c:v>
                </c:pt>
                <c:pt idx="35">
                  <c:v>4.1697299999999995</c:v>
                </c:pt>
                <c:pt idx="36">
                  <c:v>4.2007099999999999</c:v>
                </c:pt>
                <c:pt idx="37">
                  <c:v>4.2299199999999999</c:v>
                </c:pt>
                <c:pt idx="38">
                  <c:v>4.2593800000000002</c:v>
                </c:pt>
                <c:pt idx="39">
                  <c:v>4.2895099999999999</c:v>
                </c:pt>
                <c:pt idx="40">
                  <c:v>4.31785</c:v>
                </c:pt>
                <c:pt idx="41">
                  <c:v>4.3421099999999999</c:v>
                </c:pt>
                <c:pt idx="42">
                  <c:v>4.3670999999999998</c:v>
                </c:pt>
                <c:pt idx="43">
                  <c:v>4.3924900000000004</c:v>
                </c:pt>
                <c:pt idx="44">
                  <c:v>4.4149799999999999</c:v>
                </c:pt>
                <c:pt idx="45">
                  <c:v>4.4359700000000002</c:v>
                </c:pt>
                <c:pt idx="46">
                  <c:v>4.45669</c:v>
                </c:pt>
                <c:pt idx="47">
                  <c:v>4.4742999999999995</c:v>
                </c:pt>
                <c:pt idx="48">
                  <c:v>4.4896200000000004</c:v>
                </c:pt>
                <c:pt idx="49">
                  <c:v>4.50068</c:v>
                </c:pt>
                <c:pt idx="50">
                  <c:v>4.51084</c:v>
                </c:pt>
                <c:pt idx="51">
                  <c:v>4.52332</c:v>
                </c:pt>
                <c:pt idx="52">
                  <c:v>4.5334300000000001</c:v>
                </c:pt>
                <c:pt idx="53">
                  <c:v>4.5431699999999999</c:v>
                </c:pt>
                <c:pt idx="54">
                  <c:v>4.5531199999999998</c:v>
                </c:pt>
                <c:pt idx="55">
                  <c:v>4.5631199999999996</c:v>
                </c:pt>
                <c:pt idx="56">
                  <c:v>4.5688699999999995</c:v>
                </c:pt>
                <c:pt idx="57">
                  <c:v>4.5727000000000002</c:v>
                </c:pt>
                <c:pt idx="58">
                  <c:v>4.5761200000000004</c:v>
                </c:pt>
                <c:pt idx="59">
                  <c:v>4.5732600000000003</c:v>
                </c:pt>
                <c:pt idx="60">
                  <c:v>4.5650399999999998</c:v>
                </c:pt>
                <c:pt idx="61">
                  <c:v>4.5562200000000006</c:v>
                </c:pt>
                <c:pt idx="62">
                  <c:v>4.54697</c:v>
                </c:pt>
                <c:pt idx="63">
                  <c:v>4.5327099999999998</c:v>
                </c:pt>
                <c:pt idx="64">
                  <c:v>4.5130300000000005</c:v>
                </c:pt>
                <c:pt idx="65">
                  <c:v>4.4957599999999998</c:v>
                </c:pt>
                <c:pt idx="66">
                  <c:v>4.4825799999999996</c:v>
                </c:pt>
                <c:pt idx="67">
                  <c:v>4.4632500000000004</c:v>
                </c:pt>
                <c:pt idx="68">
                  <c:v>4.4423399999999997</c:v>
                </c:pt>
                <c:pt idx="69">
                  <c:v>4.4352399999999994</c:v>
                </c:pt>
                <c:pt idx="70">
                  <c:v>4.4283400000000004</c:v>
                </c:pt>
                <c:pt idx="71">
                  <c:v>4.40876</c:v>
                </c:pt>
                <c:pt idx="72">
                  <c:v>4.37967</c:v>
                </c:pt>
                <c:pt idx="73">
                  <c:v>4.3410799999999998</c:v>
                </c:pt>
                <c:pt idx="74">
                  <c:v>4.3140499999999999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29.571199999999997</c:v>
                </c:pt>
                <c:pt idx="1">
                  <c:v>29.648400000000002</c:v>
                </c:pt>
                <c:pt idx="2">
                  <c:v>29.758699999999997</c:v>
                </c:pt>
                <c:pt idx="3">
                  <c:v>29.827599999999997</c:v>
                </c:pt>
                <c:pt idx="4">
                  <c:v>29.9207</c:v>
                </c:pt>
                <c:pt idx="5">
                  <c:v>29.981799999999996</c:v>
                </c:pt>
                <c:pt idx="6">
                  <c:v>29.978900000000003</c:v>
                </c:pt>
                <c:pt idx="7">
                  <c:v>30.032199999999996</c:v>
                </c:pt>
                <c:pt idx="8">
                  <c:v>30.0914</c:v>
                </c:pt>
                <c:pt idx="9">
                  <c:v>30.168899999999997</c:v>
                </c:pt>
                <c:pt idx="10">
                  <c:v>30.281999999999996</c:v>
                </c:pt>
                <c:pt idx="11">
                  <c:v>30.454199999999997</c:v>
                </c:pt>
                <c:pt idx="12">
                  <c:v>30.659099999999999</c:v>
                </c:pt>
                <c:pt idx="13">
                  <c:v>30.883899999999997</c:v>
                </c:pt>
                <c:pt idx="14">
                  <c:v>31.113600000000002</c:v>
                </c:pt>
                <c:pt idx="15">
                  <c:v>31.3569</c:v>
                </c:pt>
                <c:pt idx="16">
                  <c:v>31.622600000000002</c:v>
                </c:pt>
                <c:pt idx="17">
                  <c:v>31.920500000000001</c:v>
                </c:pt>
                <c:pt idx="18">
                  <c:v>32.325700000000005</c:v>
                </c:pt>
                <c:pt idx="19">
                  <c:v>32.755699999999997</c:v>
                </c:pt>
                <c:pt idx="20">
                  <c:v>33.197800000000001</c:v>
                </c:pt>
                <c:pt idx="21">
                  <c:v>33.623999999999995</c:v>
                </c:pt>
                <c:pt idx="22">
                  <c:v>34.045299999999997</c:v>
                </c:pt>
                <c:pt idx="23">
                  <c:v>34.4726</c:v>
                </c:pt>
                <c:pt idx="24">
                  <c:v>34.896999999999998</c:v>
                </c:pt>
                <c:pt idx="25">
                  <c:v>35.277900000000002</c:v>
                </c:pt>
                <c:pt idx="26">
                  <c:v>35.6006</c:v>
                </c:pt>
                <c:pt idx="27">
                  <c:v>35.833300000000001</c:v>
                </c:pt>
                <c:pt idx="28">
                  <c:v>36.044599999999996</c:v>
                </c:pt>
                <c:pt idx="29">
                  <c:v>36.251400000000004</c:v>
                </c:pt>
                <c:pt idx="30">
                  <c:v>36.446899999999999</c:v>
                </c:pt>
                <c:pt idx="31">
                  <c:v>36.584000000000003</c:v>
                </c:pt>
                <c:pt idx="32">
                  <c:v>36.697600000000001</c:v>
                </c:pt>
                <c:pt idx="33">
                  <c:v>36.806600000000003</c:v>
                </c:pt>
                <c:pt idx="34">
                  <c:v>36.789899999999996</c:v>
                </c:pt>
                <c:pt idx="35">
                  <c:v>36.645400000000002</c:v>
                </c:pt>
                <c:pt idx="36">
                  <c:v>36.498999999999995</c:v>
                </c:pt>
                <c:pt idx="37">
                  <c:v>36.310700000000004</c:v>
                </c:pt>
                <c:pt idx="38">
                  <c:v>35.9998</c:v>
                </c:pt>
                <c:pt idx="39">
                  <c:v>35.605399999999996</c:v>
                </c:pt>
                <c:pt idx="40">
                  <c:v>35.210799999999999</c:v>
                </c:pt>
                <c:pt idx="41">
                  <c:v>34.7851</c:v>
                </c:pt>
                <c:pt idx="42">
                  <c:v>34.268100000000004</c:v>
                </c:pt>
                <c:pt idx="43">
                  <c:v>33.737000000000002</c:v>
                </c:pt>
                <c:pt idx="44">
                  <c:v>33.262999999999998</c:v>
                </c:pt>
                <c:pt idx="45">
                  <c:v>32.770400000000002</c:v>
                </c:pt>
                <c:pt idx="46">
                  <c:v>32.185699999999997</c:v>
                </c:pt>
                <c:pt idx="47">
                  <c:v>31.566800000000001</c:v>
                </c:pt>
                <c:pt idx="48">
                  <c:v>30.923200000000001</c:v>
                </c:pt>
                <c:pt idx="49">
                  <c:v>30.288599999999999</c:v>
                </c:pt>
                <c:pt idx="50">
                  <c:v>29.760399999999997</c:v>
                </c:pt>
                <c:pt idx="51">
                  <c:v>29.3263</c:v>
                </c:pt>
                <c:pt idx="52">
                  <c:v>28.9038</c:v>
                </c:pt>
                <c:pt idx="53">
                  <c:v>28.448600000000003</c:v>
                </c:pt>
                <c:pt idx="54">
                  <c:v>27.950599999999998</c:v>
                </c:pt>
                <c:pt idx="55">
                  <c:v>27.420400000000001</c:v>
                </c:pt>
                <c:pt idx="56">
                  <c:v>26.881100000000004</c:v>
                </c:pt>
                <c:pt idx="57">
                  <c:v>26.281600000000001</c:v>
                </c:pt>
                <c:pt idx="58">
                  <c:v>25.646200000000004</c:v>
                </c:pt>
                <c:pt idx="59">
                  <c:v>25.050800000000002</c:v>
                </c:pt>
                <c:pt idx="60">
                  <c:v>24.5169</c:v>
                </c:pt>
                <c:pt idx="61">
                  <c:v>23.9849</c:v>
                </c:pt>
                <c:pt idx="62">
                  <c:v>23.514499999999998</c:v>
                </c:pt>
                <c:pt idx="63">
                  <c:v>23.216700000000003</c:v>
                </c:pt>
                <c:pt idx="64">
                  <c:v>23.082599999999999</c:v>
                </c:pt>
                <c:pt idx="65">
                  <c:v>22.943300000000001</c:v>
                </c:pt>
                <c:pt idx="66">
                  <c:v>22.7851</c:v>
                </c:pt>
                <c:pt idx="67">
                  <c:v>22.848600000000001</c:v>
                </c:pt>
                <c:pt idx="68">
                  <c:v>22.9741</c:v>
                </c:pt>
                <c:pt idx="69">
                  <c:v>22.871600000000001</c:v>
                </c:pt>
                <c:pt idx="70">
                  <c:v>22.726199999999999</c:v>
                </c:pt>
                <c:pt idx="71">
                  <c:v>22.891000000000002</c:v>
                </c:pt>
                <c:pt idx="72">
                  <c:v>23.212499999999999</c:v>
                </c:pt>
                <c:pt idx="73">
                  <c:v>23.6645</c:v>
                </c:pt>
                <c:pt idx="74">
                  <c:v>24.1919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3.46049135135135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40.752818918918919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4.2002916216216226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30.484929729729735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4.2002916216216226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30.484929729729735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0.17522676135256954</c:v>
                </c:pt>
                <c:pt idx="1">
                  <c:v>0.43101263359377628</c:v>
                </c:pt>
                <c:pt idx="2">
                  <c:v>0.39376060505365418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  <c:pt idx="75">
                  <c:v>30.606400000000001</c:v>
                </c:pt>
                <c:pt idx="76">
                  <c:v>30.984200000000001</c:v>
                </c:pt>
                <c:pt idx="77">
                  <c:v>31.360099999999999</c:v>
                </c:pt>
                <c:pt idx="78">
                  <c:v>31.735299999999999</c:v>
                </c:pt>
                <c:pt idx="79">
                  <c:v>32.1233</c:v>
                </c:pt>
                <c:pt idx="80">
                  <c:v>32.533999999999999</c:v>
                </c:pt>
                <c:pt idx="81">
                  <c:v>32.938099999999999</c:v>
                </c:pt>
                <c:pt idx="82">
                  <c:v>33.342100000000002</c:v>
                </c:pt>
                <c:pt idx="83">
                  <c:v>33.7498</c:v>
                </c:pt>
                <c:pt idx="84">
                  <c:v>34.158700000000003</c:v>
                </c:pt>
                <c:pt idx="85">
                  <c:v>34.562600000000003</c:v>
                </c:pt>
                <c:pt idx="86">
                  <c:v>34.967500000000001</c:v>
                </c:pt>
                <c:pt idx="87">
                  <c:v>35.375799999999998</c:v>
                </c:pt>
                <c:pt idx="88">
                  <c:v>35.779299999999999</c:v>
                </c:pt>
                <c:pt idx="89">
                  <c:v>36.186199999999999</c:v>
                </c:pt>
                <c:pt idx="90">
                  <c:v>36.592199999999998</c:v>
                </c:pt>
                <c:pt idx="91">
                  <c:v>36.999099999999999</c:v>
                </c:pt>
                <c:pt idx="92">
                  <c:v>37.405099999999997</c:v>
                </c:pt>
                <c:pt idx="93">
                  <c:v>37.808999999999997</c:v>
                </c:pt>
                <c:pt idx="94">
                  <c:v>38.218800000000002</c:v>
                </c:pt>
                <c:pt idx="95">
                  <c:v>38.6267</c:v>
                </c:pt>
                <c:pt idx="96">
                  <c:v>39.028799999999997</c:v>
                </c:pt>
                <c:pt idx="97">
                  <c:v>39.432499999999997</c:v>
                </c:pt>
                <c:pt idx="98">
                  <c:v>39.8399</c:v>
                </c:pt>
                <c:pt idx="99">
                  <c:v>40.252400000000002</c:v>
                </c:pt>
                <c:pt idx="100">
                  <c:v>40.657600000000002</c:v>
                </c:pt>
                <c:pt idx="101">
                  <c:v>41.061300000000003</c:v>
                </c:pt>
                <c:pt idx="102">
                  <c:v>41.469299999999997</c:v>
                </c:pt>
                <c:pt idx="103">
                  <c:v>41.872300000000003</c:v>
                </c:pt>
                <c:pt idx="104">
                  <c:v>42.283000000000001</c:v>
                </c:pt>
                <c:pt idx="105">
                  <c:v>42.688899999999997</c:v>
                </c:pt>
                <c:pt idx="106">
                  <c:v>43.0929</c:v>
                </c:pt>
                <c:pt idx="107">
                  <c:v>43.500799999999998</c:v>
                </c:pt>
                <c:pt idx="108">
                  <c:v>43.904699999999998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45.124499999999998</c:v>
                </c:pt>
                <c:pt idx="112">
                  <c:v>45.529200000000003</c:v>
                </c:pt>
                <c:pt idx="113">
                  <c:v>45.935400000000001</c:v>
                </c:pt>
                <c:pt idx="114">
                  <c:v>46.344099999999997</c:v>
                </c:pt>
                <c:pt idx="115">
                  <c:v>46.750999999999998</c:v>
                </c:pt>
                <c:pt idx="116">
                  <c:v>47.154899999999998</c:v>
                </c:pt>
                <c:pt idx="117">
                  <c:v>47.559899999999999</c:v>
                </c:pt>
                <c:pt idx="118">
                  <c:v>47.965899999999998</c:v>
                </c:pt>
                <c:pt idx="119">
                  <c:v>48.373899999999999</c:v>
                </c:pt>
                <c:pt idx="120">
                  <c:v>48.7836</c:v>
                </c:pt>
                <c:pt idx="121">
                  <c:v>49.188600000000001</c:v>
                </c:pt>
                <c:pt idx="122">
                  <c:v>49.591500000000003</c:v>
                </c:pt>
                <c:pt idx="123">
                  <c:v>49.995399999999997</c:v>
                </c:pt>
                <c:pt idx="124">
                  <c:v>50.403199999999998</c:v>
                </c:pt>
                <c:pt idx="125">
                  <c:v>50.809199999999997</c:v>
                </c:pt>
                <c:pt idx="126">
                  <c:v>51.215299999999999</c:v>
                </c:pt>
                <c:pt idx="127">
                  <c:v>51.625</c:v>
                </c:pt>
                <c:pt idx="128">
                  <c:v>52.0319</c:v>
                </c:pt>
                <c:pt idx="129">
                  <c:v>52.437899999999999</c:v>
                </c:pt>
                <c:pt idx="130">
                  <c:v>52.838900000000002</c:v>
                </c:pt>
                <c:pt idx="131">
                  <c:v>53.247300000000003</c:v>
                </c:pt>
                <c:pt idx="132">
                  <c:v>53.656799999999997</c:v>
                </c:pt>
                <c:pt idx="133">
                  <c:v>54.061500000000002</c:v>
                </c:pt>
                <c:pt idx="134">
                  <c:v>54.468299999999999</c:v>
                </c:pt>
                <c:pt idx="135">
                  <c:v>54.873600000000003</c:v>
                </c:pt>
                <c:pt idx="136">
                  <c:v>55.278700000000001</c:v>
                </c:pt>
                <c:pt idx="137">
                  <c:v>55.686100000000003</c:v>
                </c:pt>
                <c:pt idx="138">
                  <c:v>56.093000000000004</c:v>
                </c:pt>
                <c:pt idx="139">
                  <c:v>56.499899999999997</c:v>
                </c:pt>
                <c:pt idx="140">
                  <c:v>56.905799999999999</c:v>
                </c:pt>
                <c:pt idx="141">
                  <c:v>57.308900000000001</c:v>
                </c:pt>
                <c:pt idx="142">
                  <c:v>57.7166</c:v>
                </c:pt>
                <c:pt idx="143">
                  <c:v>58.126600000000003</c:v>
                </c:pt>
                <c:pt idx="144">
                  <c:v>58.530500000000004</c:v>
                </c:pt>
                <c:pt idx="145">
                  <c:v>58.9345</c:v>
                </c:pt>
                <c:pt idx="146">
                  <c:v>59.343699999999998</c:v>
                </c:pt>
                <c:pt idx="147">
                  <c:v>59.749299999999998</c:v>
                </c:pt>
                <c:pt idx="148">
                  <c:v>60.156399999999998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  <c:pt idx="75">
                  <c:v>3.7917099999999997</c:v>
                </c:pt>
                <c:pt idx="76">
                  <c:v>3.7923600000000004</c:v>
                </c:pt>
                <c:pt idx="77">
                  <c:v>3.7976900000000002</c:v>
                </c:pt>
                <c:pt idx="78">
                  <c:v>3.8060699999999996</c:v>
                </c:pt>
                <c:pt idx="79">
                  <c:v>3.8151600000000001</c:v>
                </c:pt>
                <c:pt idx="80">
                  <c:v>3.8262900000000002</c:v>
                </c:pt>
                <c:pt idx="81">
                  <c:v>3.8363900000000002</c:v>
                </c:pt>
                <c:pt idx="82">
                  <c:v>3.8484600000000002</c:v>
                </c:pt>
                <c:pt idx="83">
                  <c:v>3.85907</c:v>
                </c:pt>
                <c:pt idx="84">
                  <c:v>3.86835</c:v>
                </c:pt>
                <c:pt idx="85">
                  <c:v>3.8774100000000002</c:v>
                </c:pt>
                <c:pt idx="86">
                  <c:v>3.88652</c:v>
                </c:pt>
                <c:pt idx="87">
                  <c:v>3.8960600000000003</c:v>
                </c:pt>
                <c:pt idx="88">
                  <c:v>3.9058199999999998</c:v>
                </c:pt>
                <c:pt idx="89">
                  <c:v>3.91282</c:v>
                </c:pt>
                <c:pt idx="90">
                  <c:v>3.9187599999999998</c:v>
                </c:pt>
                <c:pt idx="91">
                  <c:v>3.92347</c:v>
                </c:pt>
                <c:pt idx="92">
                  <c:v>3.92624</c:v>
                </c:pt>
                <c:pt idx="93">
                  <c:v>3.9286399999999997</c:v>
                </c:pt>
                <c:pt idx="94">
                  <c:v>3.9318900000000001</c:v>
                </c:pt>
                <c:pt idx="95">
                  <c:v>3.93594</c:v>
                </c:pt>
                <c:pt idx="96">
                  <c:v>3.9424999999999999</c:v>
                </c:pt>
                <c:pt idx="97">
                  <c:v>3.95</c:v>
                </c:pt>
                <c:pt idx="98">
                  <c:v>3.9580700000000002</c:v>
                </c:pt>
                <c:pt idx="99">
                  <c:v>3.9689400000000004</c:v>
                </c:pt>
                <c:pt idx="100">
                  <c:v>3.9826600000000001</c:v>
                </c:pt>
                <c:pt idx="101">
                  <c:v>3.9991700000000003</c:v>
                </c:pt>
                <c:pt idx="102">
                  <c:v>4.0151900000000005</c:v>
                </c:pt>
                <c:pt idx="103">
                  <c:v>4.0312599999999996</c:v>
                </c:pt>
                <c:pt idx="104">
                  <c:v>4.0475699999999994</c:v>
                </c:pt>
                <c:pt idx="105">
                  <c:v>4.06616</c:v>
                </c:pt>
                <c:pt idx="106">
                  <c:v>4.0885400000000001</c:v>
                </c:pt>
                <c:pt idx="107">
                  <c:v>4.1116200000000003</c:v>
                </c:pt>
                <c:pt idx="108">
                  <c:v>4.1390399999999996</c:v>
                </c:pt>
                <c:pt idx="109">
                  <c:v>4.1697299999999995</c:v>
                </c:pt>
                <c:pt idx="110">
                  <c:v>4.2007099999999999</c:v>
                </c:pt>
                <c:pt idx="111">
                  <c:v>4.2299199999999999</c:v>
                </c:pt>
                <c:pt idx="112">
                  <c:v>4.2593800000000002</c:v>
                </c:pt>
                <c:pt idx="113">
                  <c:v>4.2895099999999999</c:v>
                </c:pt>
                <c:pt idx="114">
                  <c:v>4.31785</c:v>
                </c:pt>
                <c:pt idx="115">
                  <c:v>4.3421099999999999</c:v>
                </c:pt>
                <c:pt idx="116">
                  <c:v>4.3670999999999998</c:v>
                </c:pt>
                <c:pt idx="117">
                  <c:v>4.3924900000000004</c:v>
                </c:pt>
                <c:pt idx="118">
                  <c:v>4.4149799999999999</c:v>
                </c:pt>
                <c:pt idx="119">
                  <c:v>4.4359700000000002</c:v>
                </c:pt>
                <c:pt idx="120">
                  <c:v>4.45669</c:v>
                </c:pt>
                <c:pt idx="121">
                  <c:v>4.4742999999999995</c:v>
                </c:pt>
                <c:pt idx="122">
                  <c:v>4.4896200000000004</c:v>
                </c:pt>
                <c:pt idx="123">
                  <c:v>4.50068</c:v>
                </c:pt>
                <c:pt idx="124">
                  <c:v>4.51084</c:v>
                </c:pt>
                <c:pt idx="125">
                  <c:v>4.52332</c:v>
                </c:pt>
                <c:pt idx="126">
                  <c:v>4.5334300000000001</c:v>
                </c:pt>
                <c:pt idx="127">
                  <c:v>4.5431699999999999</c:v>
                </c:pt>
                <c:pt idx="128">
                  <c:v>4.5531199999999998</c:v>
                </c:pt>
                <c:pt idx="129">
                  <c:v>4.5631199999999996</c:v>
                </c:pt>
                <c:pt idx="130">
                  <c:v>4.5688699999999995</c:v>
                </c:pt>
                <c:pt idx="131">
                  <c:v>4.5727000000000002</c:v>
                </c:pt>
                <c:pt idx="132">
                  <c:v>4.5761200000000004</c:v>
                </c:pt>
                <c:pt idx="133">
                  <c:v>4.5732600000000003</c:v>
                </c:pt>
                <c:pt idx="134">
                  <c:v>4.5650399999999998</c:v>
                </c:pt>
                <c:pt idx="135">
                  <c:v>4.5562200000000006</c:v>
                </c:pt>
                <c:pt idx="136">
                  <c:v>4.54697</c:v>
                </c:pt>
                <c:pt idx="137">
                  <c:v>4.5327099999999998</c:v>
                </c:pt>
                <c:pt idx="138">
                  <c:v>4.5130300000000005</c:v>
                </c:pt>
                <c:pt idx="139">
                  <c:v>4.4957599999999998</c:v>
                </c:pt>
                <c:pt idx="140">
                  <c:v>4.4825799999999996</c:v>
                </c:pt>
                <c:pt idx="141">
                  <c:v>4.4632500000000004</c:v>
                </c:pt>
                <c:pt idx="142">
                  <c:v>4.4423399999999997</c:v>
                </c:pt>
                <c:pt idx="143">
                  <c:v>4.4352399999999994</c:v>
                </c:pt>
                <c:pt idx="144">
                  <c:v>4.4283400000000004</c:v>
                </c:pt>
                <c:pt idx="145">
                  <c:v>4.40876</c:v>
                </c:pt>
                <c:pt idx="146">
                  <c:v>4.37967</c:v>
                </c:pt>
                <c:pt idx="147">
                  <c:v>4.3410799999999998</c:v>
                </c:pt>
                <c:pt idx="148">
                  <c:v>4.3140499999999999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30.0307</c:v>
                </c:pt>
                <c:pt idx="1">
                  <c:v>30.606400000000001</c:v>
                </c:pt>
                <c:pt idx="2">
                  <c:v>30.984200000000001</c:v>
                </c:pt>
                <c:pt idx="3">
                  <c:v>31.360099999999999</c:v>
                </c:pt>
                <c:pt idx="4">
                  <c:v>31.735299999999999</c:v>
                </c:pt>
                <c:pt idx="5">
                  <c:v>32.1233</c:v>
                </c:pt>
                <c:pt idx="6">
                  <c:v>32.533999999999999</c:v>
                </c:pt>
                <c:pt idx="7">
                  <c:v>32.938099999999999</c:v>
                </c:pt>
                <c:pt idx="8">
                  <c:v>33.342100000000002</c:v>
                </c:pt>
                <c:pt idx="9">
                  <c:v>33.7498</c:v>
                </c:pt>
                <c:pt idx="10">
                  <c:v>34.158700000000003</c:v>
                </c:pt>
                <c:pt idx="11">
                  <c:v>34.562600000000003</c:v>
                </c:pt>
                <c:pt idx="12">
                  <c:v>34.967500000000001</c:v>
                </c:pt>
                <c:pt idx="13">
                  <c:v>35.375799999999998</c:v>
                </c:pt>
                <c:pt idx="14">
                  <c:v>35.779299999999999</c:v>
                </c:pt>
                <c:pt idx="15">
                  <c:v>36.186199999999999</c:v>
                </c:pt>
                <c:pt idx="16">
                  <c:v>36.592199999999998</c:v>
                </c:pt>
                <c:pt idx="17">
                  <c:v>36.999099999999999</c:v>
                </c:pt>
                <c:pt idx="18">
                  <c:v>37.405099999999997</c:v>
                </c:pt>
                <c:pt idx="19">
                  <c:v>37.808999999999997</c:v>
                </c:pt>
                <c:pt idx="20">
                  <c:v>38.218800000000002</c:v>
                </c:pt>
                <c:pt idx="21">
                  <c:v>38.6267</c:v>
                </c:pt>
                <c:pt idx="22">
                  <c:v>39.028799999999997</c:v>
                </c:pt>
                <c:pt idx="23">
                  <c:v>39.432499999999997</c:v>
                </c:pt>
                <c:pt idx="24">
                  <c:v>39.8399</c:v>
                </c:pt>
                <c:pt idx="25">
                  <c:v>40.252400000000002</c:v>
                </c:pt>
                <c:pt idx="26">
                  <c:v>40.657600000000002</c:v>
                </c:pt>
                <c:pt idx="27">
                  <c:v>41.061300000000003</c:v>
                </c:pt>
                <c:pt idx="28">
                  <c:v>41.469299999999997</c:v>
                </c:pt>
                <c:pt idx="29">
                  <c:v>41.872300000000003</c:v>
                </c:pt>
                <c:pt idx="30">
                  <c:v>42.283000000000001</c:v>
                </c:pt>
                <c:pt idx="31">
                  <c:v>42.688899999999997</c:v>
                </c:pt>
                <c:pt idx="32">
                  <c:v>43.0929</c:v>
                </c:pt>
                <c:pt idx="33">
                  <c:v>43.500799999999998</c:v>
                </c:pt>
                <c:pt idx="34">
                  <c:v>43.904699999999998</c:v>
                </c:pt>
                <c:pt idx="35">
                  <c:v>44.3125</c:v>
                </c:pt>
                <c:pt idx="36">
                  <c:v>44.721499999999999</c:v>
                </c:pt>
                <c:pt idx="37">
                  <c:v>45.124499999999998</c:v>
                </c:pt>
                <c:pt idx="38">
                  <c:v>45.529200000000003</c:v>
                </c:pt>
                <c:pt idx="39">
                  <c:v>45.935400000000001</c:v>
                </c:pt>
                <c:pt idx="40">
                  <c:v>46.344099999999997</c:v>
                </c:pt>
                <c:pt idx="41">
                  <c:v>46.750999999999998</c:v>
                </c:pt>
                <c:pt idx="42">
                  <c:v>47.154899999999998</c:v>
                </c:pt>
                <c:pt idx="43">
                  <c:v>47.559899999999999</c:v>
                </c:pt>
                <c:pt idx="44">
                  <c:v>47.965899999999998</c:v>
                </c:pt>
                <c:pt idx="45">
                  <c:v>48.373899999999999</c:v>
                </c:pt>
                <c:pt idx="46">
                  <c:v>48.7836</c:v>
                </c:pt>
                <c:pt idx="47">
                  <c:v>49.188600000000001</c:v>
                </c:pt>
                <c:pt idx="48">
                  <c:v>49.591500000000003</c:v>
                </c:pt>
                <c:pt idx="49">
                  <c:v>49.995399999999997</c:v>
                </c:pt>
                <c:pt idx="50">
                  <c:v>50.403199999999998</c:v>
                </c:pt>
                <c:pt idx="51">
                  <c:v>50.809199999999997</c:v>
                </c:pt>
                <c:pt idx="52">
                  <c:v>51.215299999999999</c:v>
                </c:pt>
                <c:pt idx="53">
                  <c:v>51.625</c:v>
                </c:pt>
                <c:pt idx="54">
                  <c:v>52.0319</c:v>
                </c:pt>
                <c:pt idx="55">
                  <c:v>52.437899999999999</c:v>
                </c:pt>
                <c:pt idx="56">
                  <c:v>52.838900000000002</c:v>
                </c:pt>
                <c:pt idx="57">
                  <c:v>53.247300000000003</c:v>
                </c:pt>
                <c:pt idx="58">
                  <c:v>53.656799999999997</c:v>
                </c:pt>
                <c:pt idx="59">
                  <c:v>54.061500000000002</c:v>
                </c:pt>
                <c:pt idx="60">
                  <c:v>54.468299999999999</c:v>
                </c:pt>
                <c:pt idx="61">
                  <c:v>54.873600000000003</c:v>
                </c:pt>
                <c:pt idx="62">
                  <c:v>55.278700000000001</c:v>
                </c:pt>
                <c:pt idx="63">
                  <c:v>55.686100000000003</c:v>
                </c:pt>
                <c:pt idx="64">
                  <c:v>56.093000000000004</c:v>
                </c:pt>
                <c:pt idx="65">
                  <c:v>56.499899999999997</c:v>
                </c:pt>
                <c:pt idx="66">
                  <c:v>56.905799999999999</c:v>
                </c:pt>
                <c:pt idx="67">
                  <c:v>57.308900000000001</c:v>
                </c:pt>
                <c:pt idx="68">
                  <c:v>57.7166</c:v>
                </c:pt>
                <c:pt idx="69">
                  <c:v>58.126600000000003</c:v>
                </c:pt>
                <c:pt idx="70">
                  <c:v>58.530500000000004</c:v>
                </c:pt>
                <c:pt idx="71">
                  <c:v>58.9345</c:v>
                </c:pt>
                <c:pt idx="72">
                  <c:v>59.343699999999998</c:v>
                </c:pt>
                <c:pt idx="73">
                  <c:v>59.749299999999998</c:v>
                </c:pt>
                <c:pt idx="74">
                  <c:v>60.156399999999998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3.7857600000000002</c:v>
                </c:pt>
                <c:pt idx="1">
                  <c:v>3.7917099999999997</c:v>
                </c:pt>
                <c:pt idx="2">
                  <c:v>3.7923600000000004</c:v>
                </c:pt>
                <c:pt idx="3">
                  <c:v>3.7976900000000002</c:v>
                </c:pt>
                <c:pt idx="4">
                  <c:v>3.8060699999999996</c:v>
                </c:pt>
                <c:pt idx="5">
                  <c:v>3.8151600000000001</c:v>
                </c:pt>
                <c:pt idx="6">
                  <c:v>3.8262900000000002</c:v>
                </c:pt>
                <c:pt idx="7">
                  <c:v>3.8363900000000002</c:v>
                </c:pt>
                <c:pt idx="8">
                  <c:v>3.8484600000000002</c:v>
                </c:pt>
                <c:pt idx="9">
                  <c:v>3.85907</c:v>
                </c:pt>
                <c:pt idx="10">
                  <c:v>3.86835</c:v>
                </c:pt>
                <c:pt idx="11">
                  <c:v>3.8774100000000002</c:v>
                </c:pt>
                <c:pt idx="12">
                  <c:v>3.88652</c:v>
                </c:pt>
                <c:pt idx="13">
                  <c:v>3.8960600000000003</c:v>
                </c:pt>
                <c:pt idx="14">
                  <c:v>3.9058199999999998</c:v>
                </c:pt>
                <c:pt idx="15">
                  <c:v>3.91282</c:v>
                </c:pt>
                <c:pt idx="16">
                  <c:v>3.9187599999999998</c:v>
                </c:pt>
                <c:pt idx="17">
                  <c:v>3.92347</c:v>
                </c:pt>
                <c:pt idx="18">
                  <c:v>3.92624</c:v>
                </c:pt>
                <c:pt idx="19">
                  <c:v>3.9286399999999997</c:v>
                </c:pt>
                <c:pt idx="20">
                  <c:v>3.9318900000000001</c:v>
                </c:pt>
                <c:pt idx="21">
                  <c:v>3.93594</c:v>
                </c:pt>
                <c:pt idx="22">
                  <c:v>3.9424999999999999</c:v>
                </c:pt>
                <c:pt idx="23">
                  <c:v>3.95</c:v>
                </c:pt>
                <c:pt idx="24">
                  <c:v>3.9580700000000002</c:v>
                </c:pt>
                <c:pt idx="25">
                  <c:v>3.9689400000000004</c:v>
                </c:pt>
                <c:pt idx="26">
                  <c:v>3.9826600000000001</c:v>
                </c:pt>
                <c:pt idx="27">
                  <c:v>3.9991700000000003</c:v>
                </c:pt>
                <c:pt idx="28">
                  <c:v>4.0151900000000005</c:v>
                </c:pt>
                <c:pt idx="29">
                  <c:v>4.0312599999999996</c:v>
                </c:pt>
                <c:pt idx="30">
                  <c:v>4.0475699999999994</c:v>
                </c:pt>
                <c:pt idx="31">
                  <c:v>4.06616</c:v>
                </c:pt>
                <c:pt idx="32">
                  <c:v>4.0885400000000001</c:v>
                </c:pt>
                <c:pt idx="33">
                  <c:v>4.1116200000000003</c:v>
                </c:pt>
                <c:pt idx="34">
                  <c:v>4.1390399999999996</c:v>
                </c:pt>
                <c:pt idx="35">
                  <c:v>4.1697299999999995</c:v>
                </c:pt>
                <c:pt idx="36">
                  <c:v>4.2007099999999999</c:v>
                </c:pt>
                <c:pt idx="37">
                  <c:v>4.2299199999999999</c:v>
                </c:pt>
                <c:pt idx="38">
                  <c:v>4.2593800000000002</c:v>
                </c:pt>
                <c:pt idx="39">
                  <c:v>4.2895099999999999</c:v>
                </c:pt>
                <c:pt idx="40">
                  <c:v>4.31785</c:v>
                </c:pt>
                <c:pt idx="41">
                  <c:v>4.3421099999999999</c:v>
                </c:pt>
                <c:pt idx="42">
                  <c:v>4.3670999999999998</c:v>
                </c:pt>
                <c:pt idx="43">
                  <c:v>4.3924900000000004</c:v>
                </c:pt>
                <c:pt idx="44">
                  <c:v>4.4149799999999999</c:v>
                </c:pt>
                <c:pt idx="45">
                  <c:v>4.4359700000000002</c:v>
                </c:pt>
                <c:pt idx="46">
                  <c:v>4.45669</c:v>
                </c:pt>
                <c:pt idx="47">
                  <c:v>4.4742999999999995</c:v>
                </c:pt>
                <c:pt idx="48">
                  <c:v>4.4896200000000004</c:v>
                </c:pt>
                <c:pt idx="49">
                  <c:v>4.50068</c:v>
                </c:pt>
                <c:pt idx="50">
                  <c:v>4.51084</c:v>
                </c:pt>
                <c:pt idx="51">
                  <c:v>4.52332</c:v>
                </c:pt>
                <c:pt idx="52">
                  <c:v>4.5334300000000001</c:v>
                </c:pt>
                <c:pt idx="53">
                  <c:v>4.5431699999999999</c:v>
                </c:pt>
                <c:pt idx="54">
                  <c:v>4.5531199999999998</c:v>
                </c:pt>
                <c:pt idx="55">
                  <c:v>4.5631199999999996</c:v>
                </c:pt>
                <c:pt idx="56">
                  <c:v>4.5688699999999995</c:v>
                </c:pt>
                <c:pt idx="57">
                  <c:v>4.5727000000000002</c:v>
                </c:pt>
                <c:pt idx="58">
                  <c:v>4.5761200000000004</c:v>
                </c:pt>
                <c:pt idx="59">
                  <c:v>4.5732600000000003</c:v>
                </c:pt>
                <c:pt idx="60">
                  <c:v>4.5650399999999998</c:v>
                </c:pt>
                <c:pt idx="61">
                  <c:v>4.5562200000000006</c:v>
                </c:pt>
                <c:pt idx="62">
                  <c:v>4.54697</c:v>
                </c:pt>
                <c:pt idx="63">
                  <c:v>4.5327099999999998</c:v>
                </c:pt>
                <c:pt idx="64">
                  <c:v>4.5130300000000005</c:v>
                </c:pt>
                <c:pt idx="65">
                  <c:v>4.4957599999999998</c:v>
                </c:pt>
                <c:pt idx="66">
                  <c:v>4.4825799999999996</c:v>
                </c:pt>
                <c:pt idx="67">
                  <c:v>4.4632500000000004</c:v>
                </c:pt>
                <c:pt idx="68">
                  <c:v>4.4423399999999997</c:v>
                </c:pt>
                <c:pt idx="69">
                  <c:v>4.4352399999999994</c:v>
                </c:pt>
                <c:pt idx="70">
                  <c:v>4.4283400000000004</c:v>
                </c:pt>
                <c:pt idx="71">
                  <c:v>4.40876</c:v>
                </c:pt>
                <c:pt idx="72">
                  <c:v>4.37967</c:v>
                </c:pt>
                <c:pt idx="73">
                  <c:v>4.3410799999999998</c:v>
                </c:pt>
                <c:pt idx="74">
                  <c:v>4.3140499999999999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15.039099999999999</c:v>
                </c:pt>
                <c:pt idx="1">
                  <c:v>45.1173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3.46049135135135</c:v>
                </c:pt>
                <c:pt idx="1">
                  <c:v>4.2002916216216226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  <c:pt idx="75">
                  <c:v>30.606400000000001</c:v>
                </c:pt>
                <c:pt idx="76">
                  <c:v>30.984200000000001</c:v>
                </c:pt>
                <c:pt idx="77">
                  <c:v>31.360099999999999</c:v>
                </c:pt>
                <c:pt idx="78">
                  <c:v>31.735299999999999</c:v>
                </c:pt>
                <c:pt idx="79">
                  <c:v>32.1233</c:v>
                </c:pt>
                <c:pt idx="80">
                  <c:v>32.533999999999999</c:v>
                </c:pt>
                <c:pt idx="81">
                  <c:v>32.938099999999999</c:v>
                </c:pt>
                <c:pt idx="82">
                  <c:v>33.342100000000002</c:v>
                </c:pt>
                <c:pt idx="83">
                  <c:v>33.7498</c:v>
                </c:pt>
                <c:pt idx="84">
                  <c:v>34.158700000000003</c:v>
                </c:pt>
                <c:pt idx="85">
                  <c:v>34.562600000000003</c:v>
                </c:pt>
                <c:pt idx="86">
                  <c:v>34.967500000000001</c:v>
                </c:pt>
                <c:pt idx="87">
                  <c:v>35.375799999999998</c:v>
                </c:pt>
                <c:pt idx="88">
                  <c:v>35.779299999999999</c:v>
                </c:pt>
                <c:pt idx="89">
                  <c:v>36.186199999999999</c:v>
                </c:pt>
                <c:pt idx="90">
                  <c:v>36.592199999999998</c:v>
                </c:pt>
                <c:pt idx="91">
                  <c:v>36.999099999999999</c:v>
                </c:pt>
                <c:pt idx="92">
                  <c:v>37.405099999999997</c:v>
                </c:pt>
                <c:pt idx="93">
                  <c:v>37.808999999999997</c:v>
                </c:pt>
                <c:pt idx="94">
                  <c:v>38.218800000000002</c:v>
                </c:pt>
                <c:pt idx="95">
                  <c:v>38.6267</c:v>
                </c:pt>
                <c:pt idx="96">
                  <c:v>39.028799999999997</c:v>
                </c:pt>
                <c:pt idx="97">
                  <c:v>39.432499999999997</c:v>
                </c:pt>
                <c:pt idx="98">
                  <c:v>39.8399</c:v>
                </c:pt>
                <c:pt idx="99">
                  <c:v>40.252400000000002</c:v>
                </c:pt>
                <c:pt idx="100">
                  <c:v>40.657600000000002</c:v>
                </c:pt>
                <c:pt idx="101">
                  <c:v>41.061300000000003</c:v>
                </c:pt>
                <c:pt idx="102">
                  <c:v>41.469299999999997</c:v>
                </c:pt>
                <c:pt idx="103">
                  <c:v>41.872300000000003</c:v>
                </c:pt>
                <c:pt idx="104">
                  <c:v>42.283000000000001</c:v>
                </c:pt>
                <c:pt idx="105">
                  <c:v>42.688899999999997</c:v>
                </c:pt>
                <c:pt idx="106">
                  <c:v>43.0929</c:v>
                </c:pt>
                <c:pt idx="107">
                  <c:v>43.500799999999998</c:v>
                </c:pt>
                <c:pt idx="108">
                  <c:v>43.904699999999998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45.124499999999998</c:v>
                </c:pt>
                <c:pt idx="112">
                  <c:v>45.529200000000003</c:v>
                </c:pt>
                <c:pt idx="113">
                  <c:v>45.935400000000001</c:v>
                </c:pt>
                <c:pt idx="114">
                  <c:v>46.344099999999997</c:v>
                </c:pt>
                <c:pt idx="115">
                  <c:v>46.750999999999998</c:v>
                </c:pt>
                <c:pt idx="116">
                  <c:v>47.154899999999998</c:v>
                </c:pt>
                <c:pt idx="117">
                  <c:v>47.559899999999999</c:v>
                </c:pt>
                <c:pt idx="118">
                  <c:v>47.965899999999998</c:v>
                </c:pt>
                <c:pt idx="119">
                  <c:v>48.373899999999999</c:v>
                </c:pt>
                <c:pt idx="120">
                  <c:v>48.7836</c:v>
                </c:pt>
                <c:pt idx="121">
                  <c:v>49.188600000000001</c:v>
                </c:pt>
                <c:pt idx="122">
                  <c:v>49.591500000000003</c:v>
                </c:pt>
                <c:pt idx="123">
                  <c:v>49.995399999999997</c:v>
                </c:pt>
                <c:pt idx="124">
                  <c:v>50.403199999999998</c:v>
                </c:pt>
                <c:pt idx="125">
                  <c:v>50.809199999999997</c:v>
                </c:pt>
                <c:pt idx="126">
                  <c:v>51.215299999999999</c:v>
                </c:pt>
                <c:pt idx="127">
                  <c:v>51.625</c:v>
                </c:pt>
                <c:pt idx="128">
                  <c:v>52.0319</c:v>
                </c:pt>
                <c:pt idx="129">
                  <c:v>52.437899999999999</c:v>
                </c:pt>
                <c:pt idx="130">
                  <c:v>52.838900000000002</c:v>
                </c:pt>
                <c:pt idx="131">
                  <c:v>53.247300000000003</c:v>
                </c:pt>
                <c:pt idx="132">
                  <c:v>53.656799999999997</c:v>
                </c:pt>
                <c:pt idx="133">
                  <c:v>54.061500000000002</c:v>
                </c:pt>
                <c:pt idx="134">
                  <c:v>54.468299999999999</c:v>
                </c:pt>
                <c:pt idx="135">
                  <c:v>54.873600000000003</c:v>
                </c:pt>
                <c:pt idx="136">
                  <c:v>55.278700000000001</c:v>
                </c:pt>
                <c:pt idx="137">
                  <c:v>55.686100000000003</c:v>
                </c:pt>
                <c:pt idx="138">
                  <c:v>56.093000000000004</c:v>
                </c:pt>
                <c:pt idx="139">
                  <c:v>56.499899999999997</c:v>
                </c:pt>
                <c:pt idx="140">
                  <c:v>56.905799999999999</c:v>
                </c:pt>
                <c:pt idx="141">
                  <c:v>57.308900000000001</c:v>
                </c:pt>
                <c:pt idx="142">
                  <c:v>57.7166</c:v>
                </c:pt>
                <c:pt idx="143">
                  <c:v>58.126600000000003</c:v>
                </c:pt>
                <c:pt idx="144">
                  <c:v>58.530500000000004</c:v>
                </c:pt>
                <c:pt idx="145">
                  <c:v>58.9345</c:v>
                </c:pt>
                <c:pt idx="146">
                  <c:v>59.343699999999998</c:v>
                </c:pt>
                <c:pt idx="147">
                  <c:v>59.749299999999998</c:v>
                </c:pt>
                <c:pt idx="148">
                  <c:v>60.156399999999998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  <c:pt idx="75">
                  <c:v>29.648400000000002</c:v>
                </c:pt>
                <c:pt idx="76">
                  <c:v>29.758699999999997</c:v>
                </c:pt>
                <c:pt idx="77">
                  <c:v>29.827599999999997</c:v>
                </c:pt>
                <c:pt idx="78">
                  <c:v>29.9207</c:v>
                </c:pt>
                <c:pt idx="79">
                  <c:v>29.981799999999996</c:v>
                </c:pt>
                <c:pt idx="80">
                  <c:v>29.978900000000003</c:v>
                </c:pt>
                <c:pt idx="81">
                  <c:v>30.032199999999996</c:v>
                </c:pt>
                <c:pt idx="82">
                  <c:v>30.0914</c:v>
                </c:pt>
                <c:pt idx="83">
                  <c:v>30.168899999999997</c:v>
                </c:pt>
                <c:pt idx="84">
                  <c:v>30.281999999999996</c:v>
                </c:pt>
                <c:pt idx="85">
                  <c:v>30.454199999999997</c:v>
                </c:pt>
                <c:pt idx="86">
                  <c:v>30.659099999999999</c:v>
                </c:pt>
                <c:pt idx="87">
                  <c:v>30.883899999999997</c:v>
                </c:pt>
                <c:pt idx="88">
                  <c:v>31.113600000000002</c:v>
                </c:pt>
                <c:pt idx="89">
                  <c:v>31.3569</c:v>
                </c:pt>
                <c:pt idx="90">
                  <c:v>31.622600000000002</c:v>
                </c:pt>
                <c:pt idx="91">
                  <c:v>31.920500000000001</c:v>
                </c:pt>
                <c:pt idx="92">
                  <c:v>32.325700000000005</c:v>
                </c:pt>
                <c:pt idx="93">
                  <c:v>32.755699999999997</c:v>
                </c:pt>
                <c:pt idx="94">
                  <c:v>33.197800000000001</c:v>
                </c:pt>
                <c:pt idx="95">
                  <c:v>33.623999999999995</c:v>
                </c:pt>
                <c:pt idx="96">
                  <c:v>34.045299999999997</c:v>
                </c:pt>
                <c:pt idx="97">
                  <c:v>34.4726</c:v>
                </c:pt>
                <c:pt idx="98">
                  <c:v>34.896999999999998</c:v>
                </c:pt>
                <c:pt idx="99">
                  <c:v>35.277900000000002</c:v>
                </c:pt>
                <c:pt idx="100">
                  <c:v>35.6006</c:v>
                </c:pt>
                <c:pt idx="101">
                  <c:v>35.833300000000001</c:v>
                </c:pt>
                <c:pt idx="102">
                  <c:v>36.044599999999996</c:v>
                </c:pt>
                <c:pt idx="103">
                  <c:v>36.251400000000004</c:v>
                </c:pt>
                <c:pt idx="104">
                  <c:v>36.446899999999999</c:v>
                </c:pt>
                <c:pt idx="105">
                  <c:v>36.584000000000003</c:v>
                </c:pt>
                <c:pt idx="106">
                  <c:v>36.697600000000001</c:v>
                </c:pt>
                <c:pt idx="107">
                  <c:v>36.806600000000003</c:v>
                </c:pt>
                <c:pt idx="108">
                  <c:v>36.789899999999996</c:v>
                </c:pt>
                <c:pt idx="109">
                  <c:v>36.645400000000002</c:v>
                </c:pt>
                <c:pt idx="110">
                  <c:v>36.498999999999995</c:v>
                </c:pt>
                <c:pt idx="111">
                  <c:v>36.310700000000004</c:v>
                </c:pt>
                <c:pt idx="112">
                  <c:v>35.9998</c:v>
                </c:pt>
                <c:pt idx="113">
                  <c:v>35.605399999999996</c:v>
                </c:pt>
                <c:pt idx="114">
                  <c:v>35.210799999999999</c:v>
                </c:pt>
                <c:pt idx="115">
                  <c:v>34.7851</c:v>
                </c:pt>
                <c:pt idx="116">
                  <c:v>34.268100000000004</c:v>
                </c:pt>
                <c:pt idx="117">
                  <c:v>33.737000000000002</c:v>
                </c:pt>
                <c:pt idx="118">
                  <c:v>33.262999999999998</c:v>
                </c:pt>
                <c:pt idx="119">
                  <c:v>32.770400000000002</c:v>
                </c:pt>
                <c:pt idx="120">
                  <c:v>32.185699999999997</c:v>
                </c:pt>
                <c:pt idx="121">
                  <c:v>31.566800000000001</c:v>
                </c:pt>
                <c:pt idx="122">
                  <c:v>30.923200000000001</c:v>
                </c:pt>
                <c:pt idx="123">
                  <c:v>30.288599999999999</c:v>
                </c:pt>
                <c:pt idx="124">
                  <c:v>29.760399999999997</c:v>
                </c:pt>
                <c:pt idx="125">
                  <c:v>29.3263</c:v>
                </c:pt>
                <c:pt idx="126">
                  <c:v>28.9038</c:v>
                </c:pt>
                <c:pt idx="127">
                  <c:v>28.448600000000003</c:v>
                </c:pt>
                <c:pt idx="128">
                  <c:v>27.950599999999998</c:v>
                </c:pt>
                <c:pt idx="129">
                  <c:v>27.420400000000001</c:v>
                </c:pt>
                <c:pt idx="130">
                  <c:v>26.881100000000004</c:v>
                </c:pt>
                <c:pt idx="131">
                  <c:v>26.281600000000001</c:v>
                </c:pt>
                <c:pt idx="132">
                  <c:v>25.646200000000004</c:v>
                </c:pt>
                <c:pt idx="133">
                  <c:v>25.050800000000002</c:v>
                </c:pt>
                <c:pt idx="134">
                  <c:v>24.5169</c:v>
                </c:pt>
                <c:pt idx="135">
                  <c:v>23.9849</c:v>
                </c:pt>
                <c:pt idx="136">
                  <c:v>23.514499999999998</c:v>
                </c:pt>
                <c:pt idx="137">
                  <c:v>23.216700000000003</c:v>
                </c:pt>
                <c:pt idx="138">
                  <c:v>23.082599999999999</c:v>
                </c:pt>
                <c:pt idx="139">
                  <c:v>22.943300000000001</c:v>
                </c:pt>
                <c:pt idx="140">
                  <c:v>22.7851</c:v>
                </c:pt>
                <c:pt idx="141">
                  <c:v>22.848600000000001</c:v>
                </c:pt>
                <c:pt idx="142">
                  <c:v>22.9741</c:v>
                </c:pt>
                <c:pt idx="143">
                  <c:v>22.871600000000001</c:v>
                </c:pt>
                <c:pt idx="144">
                  <c:v>22.726199999999999</c:v>
                </c:pt>
                <c:pt idx="145">
                  <c:v>22.891000000000002</c:v>
                </c:pt>
                <c:pt idx="146">
                  <c:v>23.212499999999999</c:v>
                </c:pt>
                <c:pt idx="147">
                  <c:v>23.6645</c:v>
                </c:pt>
                <c:pt idx="148">
                  <c:v>24.1919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30.0307</c:v>
                </c:pt>
                <c:pt idx="1">
                  <c:v>30.606400000000001</c:v>
                </c:pt>
                <c:pt idx="2">
                  <c:v>30.984200000000001</c:v>
                </c:pt>
                <c:pt idx="3">
                  <c:v>31.360099999999999</c:v>
                </c:pt>
                <c:pt idx="4">
                  <c:v>31.735299999999999</c:v>
                </c:pt>
                <c:pt idx="5">
                  <c:v>32.1233</c:v>
                </c:pt>
                <c:pt idx="6">
                  <c:v>32.533999999999999</c:v>
                </c:pt>
                <c:pt idx="7">
                  <c:v>32.938099999999999</c:v>
                </c:pt>
                <c:pt idx="8">
                  <c:v>33.342100000000002</c:v>
                </c:pt>
                <c:pt idx="9">
                  <c:v>33.7498</c:v>
                </c:pt>
                <c:pt idx="10">
                  <c:v>34.158700000000003</c:v>
                </c:pt>
                <c:pt idx="11">
                  <c:v>34.562600000000003</c:v>
                </c:pt>
                <c:pt idx="12">
                  <c:v>34.967500000000001</c:v>
                </c:pt>
                <c:pt idx="13">
                  <c:v>35.375799999999998</c:v>
                </c:pt>
                <c:pt idx="14">
                  <c:v>35.779299999999999</c:v>
                </c:pt>
                <c:pt idx="15">
                  <c:v>36.186199999999999</c:v>
                </c:pt>
                <c:pt idx="16">
                  <c:v>36.592199999999998</c:v>
                </c:pt>
                <c:pt idx="17">
                  <c:v>36.999099999999999</c:v>
                </c:pt>
                <c:pt idx="18">
                  <c:v>37.405099999999997</c:v>
                </c:pt>
                <c:pt idx="19">
                  <c:v>37.808999999999997</c:v>
                </c:pt>
                <c:pt idx="20">
                  <c:v>38.218800000000002</c:v>
                </c:pt>
                <c:pt idx="21">
                  <c:v>38.6267</c:v>
                </c:pt>
                <c:pt idx="22">
                  <c:v>39.028799999999997</c:v>
                </c:pt>
                <c:pt idx="23">
                  <c:v>39.432499999999997</c:v>
                </c:pt>
                <c:pt idx="24">
                  <c:v>39.8399</c:v>
                </c:pt>
                <c:pt idx="25">
                  <c:v>40.252400000000002</c:v>
                </c:pt>
                <c:pt idx="26">
                  <c:v>40.657600000000002</c:v>
                </c:pt>
                <c:pt idx="27">
                  <c:v>41.061300000000003</c:v>
                </c:pt>
                <c:pt idx="28">
                  <c:v>41.469299999999997</c:v>
                </c:pt>
                <c:pt idx="29">
                  <c:v>41.872300000000003</c:v>
                </c:pt>
                <c:pt idx="30">
                  <c:v>42.283000000000001</c:v>
                </c:pt>
                <c:pt idx="31">
                  <c:v>42.688899999999997</c:v>
                </c:pt>
                <c:pt idx="32">
                  <c:v>43.0929</c:v>
                </c:pt>
                <c:pt idx="33">
                  <c:v>43.500799999999998</c:v>
                </c:pt>
                <c:pt idx="34">
                  <c:v>43.904699999999998</c:v>
                </c:pt>
                <c:pt idx="35">
                  <c:v>44.3125</c:v>
                </c:pt>
                <c:pt idx="36">
                  <c:v>44.721499999999999</c:v>
                </c:pt>
                <c:pt idx="37">
                  <c:v>45.124499999999998</c:v>
                </c:pt>
                <c:pt idx="38">
                  <c:v>45.529200000000003</c:v>
                </c:pt>
                <c:pt idx="39">
                  <c:v>45.935400000000001</c:v>
                </c:pt>
                <c:pt idx="40">
                  <c:v>46.344099999999997</c:v>
                </c:pt>
                <c:pt idx="41">
                  <c:v>46.750999999999998</c:v>
                </c:pt>
                <c:pt idx="42">
                  <c:v>47.154899999999998</c:v>
                </c:pt>
                <c:pt idx="43">
                  <c:v>47.559899999999999</c:v>
                </c:pt>
                <c:pt idx="44">
                  <c:v>47.965899999999998</c:v>
                </c:pt>
                <c:pt idx="45">
                  <c:v>48.373899999999999</c:v>
                </c:pt>
                <c:pt idx="46">
                  <c:v>48.7836</c:v>
                </c:pt>
                <c:pt idx="47">
                  <c:v>49.188600000000001</c:v>
                </c:pt>
                <c:pt idx="48">
                  <c:v>49.591500000000003</c:v>
                </c:pt>
                <c:pt idx="49">
                  <c:v>49.995399999999997</c:v>
                </c:pt>
                <c:pt idx="50">
                  <c:v>50.403199999999998</c:v>
                </c:pt>
                <c:pt idx="51">
                  <c:v>50.809199999999997</c:v>
                </c:pt>
                <c:pt idx="52">
                  <c:v>51.215299999999999</c:v>
                </c:pt>
                <c:pt idx="53">
                  <c:v>51.625</c:v>
                </c:pt>
                <c:pt idx="54">
                  <c:v>52.0319</c:v>
                </c:pt>
                <c:pt idx="55">
                  <c:v>52.437899999999999</c:v>
                </c:pt>
                <c:pt idx="56">
                  <c:v>52.838900000000002</c:v>
                </c:pt>
                <c:pt idx="57">
                  <c:v>53.247300000000003</c:v>
                </c:pt>
                <c:pt idx="58">
                  <c:v>53.656799999999997</c:v>
                </c:pt>
                <c:pt idx="59">
                  <c:v>54.061500000000002</c:v>
                </c:pt>
                <c:pt idx="60">
                  <c:v>54.468299999999999</c:v>
                </c:pt>
                <c:pt idx="61">
                  <c:v>54.873600000000003</c:v>
                </c:pt>
                <c:pt idx="62">
                  <c:v>55.278700000000001</c:v>
                </c:pt>
                <c:pt idx="63">
                  <c:v>55.686100000000003</c:v>
                </c:pt>
                <c:pt idx="64">
                  <c:v>56.093000000000004</c:v>
                </c:pt>
                <c:pt idx="65">
                  <c:v>56.499899999999997</c:v>
                </c:pt>
                <c:pt idx="66">
                  <c:v>56.905799999999999</c:v>
                </c:pt>
                <c:pt idx="67">
                  <c:v>57.308900000000001</c:v>
                </c:pt>
                <c:pt idx="68">
                  <c:v>57.7166</c:v>
                </c:pt>
                <c:pt idx="69">
                  <c:v>58.126600000000003</c:v>
                </c:pt>
                <c:pt idx="70">
                  <c:v>58.530500000000004</c:v>
                </c:pt>
                <c:pt idx="71">
                  <c:v>58.9345</c:v>
                </c:pt>
                <c:pt idx="72">
                  <c:v>59.343699999999998</c:v>
                </c:pt>
                <c:pt idx="73">
                  <c:v>59.749299999999998</c:v>
                </c:pt>
                <c:pt idx="74">
                  <c:v>60.156399999999998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29.571199999999997</c:v>
                </c:pt>
                <c:pt idx="1">
                  <c:v>29.648400000000002</c:v>
                </c:pt>
                <c:pt idx="2">
                  <c:v>29.758699999999997</c:v>
                </c:pt>
                <c:pt idx="3">
                  <c:v>29.827599999999997</c:v>
                </c:pt>
                <c:pt idx="4">
                  <c:v>29.9207</c:v>
                </c:pt>
                <c:pt idx="5">
                  <c:v>29.981799999999996</c:v>
                </c:pt>
                <c:pt idx="6">
                  <c:v>29.978900000000003</c:v>
                </c:pt>
                <c:pt idx="7">
                  <c:v>30.032199999999996</c:v>
                </c:pt>
                <c:pt idx="8">
                  <c:v>30.0914</c:v>
                </c:pt>
                <c:pt idx="9">
                  <c:v>30.168899999999997</c:v>
                </c:pt>
                <c:pt idx="10">
                  <c:v>30.281999999999996</c:v>
                </c:pt>
                <c:pt idx="11">
                  <c:v>30.454199999999997</c:v>
                </c:pt>
                <c:pt idx="12">
                  <c:v>30.659099999999999</c:v>
                </c:pt>
                <c:pt idx="13">
                  <c:v>30.883899999999997</c:v>
                </c:pt>
                <c:pt idx="14">
                  <c:v>31.113600000000002</c:v>
                </c:pt>
                <c:pt idx="15">
                  <c:v>31.3569</c:v>
                </c:pt>
                <c:pt idx="16">
                  <c:v>31.622600000000002</c:v>
                </c:pt>
                <c:pt idx="17">
                  <c:v>31.920500000000001</c:v>
                </c:pt>
                <c:pt idx="18">
                  <c:v>32.325700000000005</c:v>
                </c:pt>
                <c:pt idx="19">
                  <c:v>32.755699999999997</c:v>
                </c:pt>
                <c:pt idx="20">
                  <c:v>33.197800000000001</c:v>
                </c:pt>
                <c:pt idx="21">
                  <c:v>33.623999999999995</c:v>
                </c:pt>
                <c:pt idx="22">
                  <c:v>34.045299999999997</c:v>
                </c:pt>
                <c:pt idx="23">
                  <c:v>34.4726</c:v>
                </c:pt>
                <c:pt idx="24">
                  <c:v>34.896999999999998</c:v>
                </c:pt>
                <c:pt idx="25">
                  <c:v>35.277900000000002</c:v>
                </c:pt>
                <c:pt idx="26">
                  <c:v>35.6006</c:v>
                </c:pt>
                <c:pt idx="27">
                  <c:v>35.833300000000001</c:v>
                </c:pt>
                <c:pt idx="28">
                  <c:v>36.044599999999996</c:v>
                </c:pt>
                <c:pt idx="29">
                  <c:v>36.251400000000004</c:v>
                </c:pt>
                <c:pt idx="30">
                  <c:v>36.446899999999999</c:v>
                </c:pt>
                <c:pt idx="31">
                  <c:v>36.584000000000003</c:v>
                </c:pt>
                <c:pt idx="32">
                  <c:v>36.697600000000001</c:v>
                </c:pt>
                <c:pt idx="33">
                  <c:v>36.806600000000003</c:v>
                </c:pt>
                <c:pt idx="34">
                  <c:v>36.789899999999996</c:v>
                </c:pt>
                <c:pt idx="35">
                  <c:v>36.645400000000002</c:v>
                </c:pt>
                <c:pt idx="36">
                  <c:v>36.498999999999995</c:v>
                </c:pt>
                <c:pt idx="37">
                  <c:v>36.310700000000004</c:v>
                </c:pt>
                <c:pt idx="38">
                  <c:v>35.9998</c:v>
                </c:pt>
                <c:pt idx="39">
                  <c:v>35.605399999999996</c:v>
                </c:pt>
                <c:pt idx="40">
                  <c:v>35.210799999999999</c:v>
                </c:pt>
                <c:pt idx="41">
                  <c:v>34.7851</c:v>
                </c:pt>
                <c:pt idx="42">
                  <c:v>34.268100000000004</c:v>
                </c:pt>
                <c:pt idx="43">
                  <c:v>33.737000000000002</c:v>
                </c:pt>
                <c:pt idx="44">
                  <c:v>33.262999999999998</c:v>
                </c:pt>
                <c:pt idx="45">
                  <c:v>32.770400000000002</c:v>
                </c:pt>
                <c:pt idx="46">
                  <c:v>32.185699999999997</c:v>
                </c:pt>
                <c:pt idx="47">
                  <c:v>31.566800000000001</c:v>
                </c:pt>
                <c:pt idx="48">
                  <c:v>30.923200000000001</c:v>
                </c:pt>
                <c:pt idx="49">
                  <c:v>30.288599999999999</c:v>
                </c:pt>
                <c:pt idx="50">
                  <c:v>29.760399999999997</c:v>
                </c:pt>
                <c:pt idx="51">
                  <c:v>29.3263</c:v>
                </c:pt>
                <c:pt idx="52">
                  <c:v>28.9038</c:v>
                </c:pt>
                <c:pt idx="53">
                  <c:v>28.448600000000003</c:v>
                </c:pt>
                <c:pt idx="54">
                  <c:v>27.950599999999998</c:v>
                </c:pt>
                <c:pt idx="55">
                  <c:v>27.420400000000001</c:v>
                </c:pt>
                <c:pt idx="56">
                  <c:v>26.881100000000004</c:v>
                </c:pt>
                <c:pt idx="57">
                  <c:v>26.281600000000001</c:v>
                </c:pt>
                <c:pt idx="58">
                  <c:v>25.646200000000004</c:v>
                </c:pt>
                <c:pt idx="59">
                  <c:v>25.050800000000002</c:v>
                </c:pt>
                <c:pt idx="60">
                  <c:v>24.5169</c:v>
                </c:pt>
                <c:pt idx="61">
                  <c:v>23.9849</c:v>
                </c:pt>
                <c:pt idx="62">
                  <c:v>23.514499999999998</c:v>
                </c:pt>
                <c:pt idx="63">
                  <c:v>23.216700000000003</c:v>
                </c:pt>
                <c:pt idx="64">
                  <c:v>23.082599999999999</c:v>
                </c:pt>
                <c:pt idx="65">
                  <c:v>22.943300000000001</c:v>
                </c:pt>
                <c:pt idx="66">
                  <c:v>22.7851</c:v>
                </c:pt>
                <c:pt idx="67">
                  <c:v>22.848600000000001</c:v>
                </c:pt>
                <c:pt idx="68">
                  <c:v>22.9741</c:v>
                </c:pt>
                <c:pt idx="69">
                  <c:v>22.871600000000001</c:v>
                </c:pt>
                <c:pt idx="70">
                  <c:v>22.726199999999999</c:v>
                </c:pt>
                <c:pt idx="71">
                  <c:v>22.891000000000002</c:v>
                </c:pt>
                <c:pt idx="72">
                  <c:v>23.212499999999999</c:v>
                </c:pt>
                <c:pt idx="73">
                  <c:v>23.6645</c:v>
                </c:pt>
                <c:pt idx="74">
                  <c:v>24.1919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15.039099999999999</c:v>
                </c:pt>
                <c:pt idx="1">
                  <c:v>45.1173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40.752818918918919</c:v>
                </c:pt>
                <c:pt idx="1">
                  <c:v>30.484929729729735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40.768099999999997</c:v>
                </c:pt>
                <c:pt idx="1">
                  <c:v>25.238700000000001</c:v>
                </c:pt>
                <c:pt idx="2">
                  <c:v>16.441800000000001</c:v>
                </c:pt>
                <c:pt idx="3">
                  <c:v>30.179600000000001</c:v>
                </c:pt>
                <c:pt idx="4">
                  <c:v>66.907399999999996</c:v>
                </c:pt>
                <c:pt idx="5">
                  <c:v>80.062299999999993</c:v>
                </c:pt>
                <c:pt idx="6">
                  <c:v>23.761500000000002</c:v>
                </c:pt>
                <c:pt idx="7">
                  <c:v>73.105800000000002</c:v>
                </c:pt>
                <c:pt idx="8">
                  <c:v>21.410499999999999</c:v>
                </c:pt>
                <c:pt idx="9">
                  <c:v>30.8917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47.661299999999997</c:v>
                </c:pt>
                <c:pt idx="1">
                  <c:v>25.003299999999999</c:v>
                </c:pt>
                <c:pt idx="2">
                  <c:v>20.6145</c:v>
                </c:pt>
                <c:pt idx="3">
                  <c:v>32.413800000000002</c:v>
                </c:pt>
                <c:pt idx="4">
                  <c:v>61.548400000000001</c:v>
                </c:pt>
                <c:pt idx="5">
                  <c:v>81.986699999999999</c:v>
                </c:pt>
                <c:pt idx="6">
                  <c:v>25.954000000000001</c:v>
                </c:pt>
                <c:pt idx="7">
                  <c:v>71.491799999999998</c:v>
                </c:pt>
                <c:pt idx="8">
                  <c:v>23.604099999999999</c:v>
                </c:pt>
                <c:pt idx="9">
                  <c:v>34.305999999999997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0.52885074184027747</c:v>
                </c:pt>
                <c:pt idx="1">
                  <c:v>0.24427591842966875</c:v>
                </c:pt>
                <c:pt idx="2">
                  <c:v>0.22687333973005377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212</c:v>
                </c:pt>
                <c:pt idx="7">
                  <c:v>0</c:v>
                </c:pt>
                <c:pt idx="8">
                  <c:v>383</c:v>
                </c:pt>
                <c:pt idx="9">
                  <c:v>0</c:v>
                </c:pt>
                <c:pt idx="10">
                  <c:v>0</c:v>
                </c:pt>
                <c:pt idx="11">
                  <c:v>618</c:v>
                </c:pt>
                <c:pt idx="12">
                  <c:v>0</c:v>
                </c:pt>
                <c:pt idx="13">
                  <c:v>2269</c:v>
                </c:pt>
                <c:pt idx="14">
                  <c:v>0</c:v>
                </c:pt>
                <c:pt idx="15">
                  <c:v>0</c:v>
                </c:pt>
                <c:pt idx="16">
                  <c:v>5370</c:v>
                </c:pt>
                <c:pt idx="17">
                  <c:v>0</c:v>
                </c:pt>
                <c:pt idx="18">
                  <c:v>0</c:v>
                </c:pt>
                <c:pt idx="19">
                  <c:v>7225</c:v>
                </c:pt>
                <c:pt idx="20">
                  <c:v>0</c:v>
                </c:pt>
                <c:pt idx="21">
                  <c:v>12401</c:v>
                </c:pt>
                <c:pt idx="22">
                  <c:v>0</c:v>
                </c:pt>
                <c:pt idx="23">
                  <c:v>0</c:v>
                </c:pt>
                <c:pt idx="24">
                  <c:v>18757</c:v>
                </c:pt>
                <c:pt idx="25">
                  <c:v>0</c:v>
                </c:pt>
                <c:pt idx="26">
                  <c:v>25865</c:v>
                </c:pt>
                <c:pt idx="27">
                  <c:v>0</c:v>
                </c:pt>
                <c:pt idx="28">
                  <c:v>0</c:v>
                </c:pt>
                <c:pt idx="29">
                  <c:v>31061</c:v>
                </c:pt>
                <c:pt idx="30">
                  <c:v>0</c:v>
                </c:pt>
                <c:pt idx="31">
                  <c:v>35693</c:v>
                </c:pt>
                <c:pt idx="32">
                  <c:v>0</c:v>
                </c:pt>
                <c:pt idx="33">
                  <c:v>0</c:v>
                </c:pt>
                <c:pt idx="34">
                  <c:v>41549</c:v>
                </c:pt>
                <c:pt idx="35">
                  <c:v>0</c:v>
                </c:pt>
                <c:pt idx="36">
                  <c:v>0</c:v>
                </c:pt>
                <c:pt idx="37">
                  <c:v>46478</c:v>
                </c:pt>
                <c:pt idx="38">
                  <c:v>0</c:v>
                </c:pt>
                <c:pt idx="39">
                  <c:v>50179</c:v>
                </c:pt>
                <c:pt idx="40">
                  <c:v>0</c:v>
                </c:pt>
                <c:pt idx="41">
                  <c:v>0</c:v>
                </c:pt>
                <c:pt idx="42">
                  <c:v>55801</c:v>
                </c:pt>
                <c:pt idx="43">
                  <c:v>0</c:v>
                </c:pt>
                <c:pt idx="44">
                  <c:v>68669</c:v>
                </c:pt>
                <c:pt idx="45">
                  <c:v>0</c:v>
                </c:pt>
                <c:pt idx="46">
                  <c:v>0</c:v>
                </c:pt>
                <c:pt idx="47">
                  <c:v>67050</c:v>
                </c:pt>
                <c:pt idx="48">
                  <c:v>0</c:v>
                </c:pt>
                <c:pt idx="49">
                  <c:v>70860</c:v>
                </c:pt>
                <c:pt idx="50">
                  <c:v>0</c:v>
                </c:pt>
                <c:pt idx="51">
                  <c:v>0</c:v>
                </c:pt>
                <c:pt idx="52">
                  <c:v>70600</c:v>
                </c:pt>
                <c:pt idx="53">
                  <c:v>0</c:v>
                </c:pt>
                <c:pt idx="54">
                  <c:v>0</c:v>
                </c:pt>
                <c:pt idx="55">
                  <c:v>85396</c:v>
                </c:pt>
                <c:pt idx="56">
                  <c:v>0</c:v>
                </c:pt>
                <c:pt idx="57">
                  <c:v>77652</c:v>
                </c:pt>
                <c:pt idx="58">
                  <c:v>0</c:v>
                </c:pt>
                <c:pt idx="59">
                  <c:v>0</c:v>
                </c:pt>
                <c:pt idx="60">
                  <c:v>80100</c:v>
                </c:pt>
                <c:pt idx="61">
                  <c:v>0</c:v>
                </c:pt>
                <c:pt idx="62">
                  <c:v>75182</c:v>
                </c:pt>
                <c:pt idx="63">
                  <c:v>0</c:v>
                </c:pt>
                <c:pt idx="64">
                  <c:v>0</c:v>
                </c:pt>
                <c:pt idx="65">
                  <c:v>75828</c:v>
                </c:pt>
                <c:pt idx="66">
                  <c:v>0</c:v>
                </c:pt>
                <c:pt idx="67">
                  <c:v>77446</c:v>
                </c:pt>
                <c:pt idx="68">
                  <c:v>0</c:v>
                </c:pt>
                <c:pt idx="69">
                  <c:v>0</c:v>
                </c:pt>
                <c:pt idx="70">
                  <c:v>72720</c:v>
                </c:pt>
                <c:pt idx="71">
                  <c:v>0</c:v>
                </c:pt>
                <c:pt idx="72">
                  <c:v>0</c:v>
                </c:pt>
                <c:pt idx="73">
                  <c:v>74472</c:v>
                </c:pt>
                <c:pt idx="74">
                  <c:v>0</c:v>
                </c:pt>
                <c:pt idx="75">
                  <c:v>66458</c:v>
                </c:pt>
                <c:pt idx="76">
                  <c:v>0</c:v>
                </c:pt>
                <c:pt idx="77">
                  <c:v>0</c:v>
                </c:pt>
                <c:pt idx="78">
                  <c:v>69238</c:v>
                </c:pt>
                <c:pt idx="79">
                  <c:v>0</c:v>
                </c:pt>
                <c:pt idx="80">
                  <c:v>69236</c:v>
                </c:pt>
                <c:pt idx="81">
                  <c:v>0</c:v>
                </c:pt>
                <c:pt idx="82">
                  <c:v>0</c:v>
                </c:pt>
                <c:pt idx="83">
                  <c:v>72539</c:v>
                </c:pt>
                <c:pt idx="84">
                  <c:v>0</c:v>
                </c:pt>
                <c:pt idx="85">
                  <c:v>0</c:v>
                </c:pt>
                <c:pt idx="86">
                  <c:v>69328</c:v>
                </c:pt>
                <c:pt idx="87">
                  <c:v>0</c:v>
                </c:pt>
                <c:pt idx="88">
                  <c:v>76052</c:v>
                </c:pt>
                <c:pt idx="89">
                  <c:v>0</c:v>
                </c:pt>
                <c:pt idx="90">
                  <c:v>0</c:v>
                </c:pt>
                <c:pt idx="91">
                  <c:v>75281</c:v>
                </c:pt>
                <c:pt idx="92">
                  <c:v>0</c:v>
                </c:pt>
                <c:pt idx="93">
                  <c:v>75797</c:v>
                </c:pt>
                <c:pt idx="94">
                  <c:v>0</c:v>
                </c:pt>
                <c:pt idx="95">
                  <c:v>0</c:v>
                </c:pt>
                <c:pt idx="96">
                  <c:v>69522</c:v>
                </c:pt>
                <c:pt idx="97">
                  <c:v>0</c:v>
                </c:pt>
                <c:pt idx="98">
                  <c:v>77519</c:v>
                </c:pt>
                <c:pt idx="99">
                  <c:v>0</c:v>
                </c:pt>
                <c:pt idx="100">
                  <c:v>0</c:v>
                </c:pt>
                <c:pt idx="101">
                  <c:v>75211</c:v>
                </c:pt>
                <c:pt idx="102">
                  <c:v>0</c:v>
                </c:pt>
                <c:pt idx="103">
                  <c:v>0</c:v>
                </c:pt>
                <c:pt idx="104">
                  <c:v>91112</c:v>
                </c:pt>
                <c:pt idx="105">
                  <c:v>0</c:v>
                </c:pt>
                <c:pt idx="106">
                  <c:v>84668</c:v>
                </c:pt>
                <c:pt idx="107">
                  <c:v>0</c:v>
                </c:pt>
                <c:pt idx="108">
                  <c:v>0</c:v>
                </c:pt>
                <c:pt idx="109">
                  <c:v>81605</c:v>
                </c:pt>
                <c:pt idx="110">
                  <c:v>0</c:v>
                </c:pt>
                <c:pt idx="111">
                  <c:v>86284</c:v>
                </c:pt>
                <c:pt idx="112">
                  <c:v>0</c:v>
                </c:pt>
                <c:pt idx="113">
                  <c:v>0</c:v>
                </c:pt>
                <c:pt idx="114">
                  <c:v>77579</c:v>
                </c:pt>
                <c:pt idx="115">
                  <c:v>0</c:v>
                </c:pt>
                <c:pt idx="116">
                  <c:v>74656</c:v>
                </c:pt>
                <c:pt idx="117">
                  <c:v>0</c:v>
                </c:pt>
                <c:pt idx="118">
                  <c:v>0</c:v>
                </c:pt>
                <c:pt idx="119">
                  <c:v>63453</c:v>
                </c:pt>
                <c:pt idx="120">
                  <c:v>0</c:v>
                </c:pt>
                <c:pt idx="121">
                  <c:v>0</c:v>
                </c:pt>
                <c:pt idx="122">
                  <c:v>49082</c:v>
                </c:pt>
                <c:pt idx="123">
                  <c:v>0</c:v>
                </c:pt>
                <c:pt idx="124">
                  <c:v>41666</c:v>
                </c:pt>
                <c:pt idx="125">
                  <c:v>0</c:v>
                </c:pt>
                <c:pt idx="126">
                  <c:v>0</c:v>
                </c:pt>
                <c:pt idx="127">
                  <c:v>32657</c:v>
                </c:pt>
                <c:pt idx="128">
                  <c:v>0</c:v>
                </c:pt>
                <c:pt idx="129">
                  <c:v>21887</c:v>
                </c:pt>
                <c:pt idx="130">
                  <c:v>0</c:v>
                </c:pt>
                <c:pt idx="131">
                  <c:v>0</c:v>
                </c:pt>
                <c:pt idx="132">
                  <c:v>17935</c:v>
                </c:pt>
                <c:pt idx="133">
                  <c:v>0</c:v>
                </c:pt>
                <c:pt idx="134">
                  <c:v>14965</c:v>
                </c:pt>
                <c:pt idx="135">
                  <c:v>0</c:v>
                </c:pt>
                <c:pt idx="136">
                  <c:v>0</c:v>
                </c:pt>
                <c:pt idx="137">
                  <c:v>14748</c:v>
                </c:pt>
                <c:pt idx="138">
                  <c:v>0</c:v>
                </c:pt>
                <c:pt idx="139">
                  <c:v>0</c:v>
                </c:pt>
                <c:pt idx="140">
                  <c:v>13937</c:v>
                </c:pt>
                <c:pt idx="141">
                  <c:v>0</c:v>
                </c:pt>
                <c:pt idx="142">
                  <c:v>12117</c:v>
                </c:pt>
                <c:pt idx="143">
                  <c:v>0</c:v>
                </c:pt>
                <c:pt idx="144">
                  <c:v>0</c:v>
                </c:pt>
                <c:pt idx="145">
                  <c:v>10484</c:v>
                </c:pt>
                <c:pt idx="146">
                  <c:v>0</c:v>
                </c:pt>
                <c:pt idx="147">
                  <c:v>10332</c:v>
                </c:pt>
                <c:pt idx="148">
                  <c:v>0</c:v>
                </c:pt>
                <c:pt idx="149">
                  <c:v>0</c:v>
                </c:pt>
                <c:pt idx="150">
                  <c:v>11136</c:v>
                </c:pt>
                <c:pt idx="151">
                  <c:v>0</c:v>
                </c:pt>
                <c:pt idx="152">
                  <c:v>8966</c:v>
                </c:pt>
                <c:pt idx="153">
                  <c:v>0</c:v>
                </c:pt>
                <c:pt idx="154">
                  <c:v>0</c:v>
                </c:pt>
                <c:pt idx="155">
                  <c:v>7547</c:v>
                </c:pt>
                <c:pt idx="156">
                  <c:v>0</c:v>
                </c:pt>
                <c:pt idx="157">
                  <c:v>0</c:v>
                </c:pt>
                <c:pt idx="158">
                  <c:v>6020</c:v>
                </c:pt>
                <c:pt idx="159">
                  <c:v>0</c:v>
                </c:pt>
                <c:pt idx="160">
                  <c:v>6729</c:v>
                </c:pt>
                <c:pt idx="161">
                  <c:v>0</c:v>
                </c:pt>
                <c:pt idx="162">
                  <c:v>0</c:v>
                </c:pt>
                <c:pt idx="163">
                  <c:v>8223</c:v>
                </c:pt>
                <c:pt idx="164">
                  <c:v>0</c:v>
                </c:pt>
                <c:pt idx="165">
                  <c:v>10806</c:v>
                </c:pt>
                <c:pt idx="166">
                  <c:v>0</c:v>
                </c:pt>
                <c:pt idx="167">
                  <c:v>0</c:v>
                </c:pt>
                <c:pt idx="168">
                  <c:v>11260</c:v>
                </c:pt>
                <c:pt idx="169">
                  <c:v>0</c:v>
                </c:pt>
                <c:pt idx="170">
                  <c:v>0</c:v>
                </c:pt>
                <c:pt idx="171">
                  <c:v>7283</c:v>
                </c:pt>
                <c:pt idx="172">
                  <c:v>0</c:v>
                </c:pt>
                <c:pt idx="173">
                  <c:v>6928</c:v>
                </c:pt>
                <c:pt idx="174">
                  <c:v>0</c:v>
                </c:pt>
                <c:pt idx="175">
                  <c:v>0</c:v>
                </c:pt>
                <c:pt idx="176">
                  <c:v>5753</c:v>
                </c:pt>
                <c:pt idx="177">
                  <c:v>0</c:v>
                </c:pt>
                <c:pt idx="178">
                  <c:v>5765</c:v>
                </c:pt>
                <c:pt idx="179">
                  <c:v>0</c:v>
                </c:pt>
                <c:pt idx="180">
                  <c:v>0</c:v>
                </c:pt>
                <c:pt idx="181">
                  <c:v>4671</c:v>
                </c:pt>
                <c:pt idx="182">
                  <c:v>0</c:v>
                </c:pt>
                <c:pt idx="183">
                  <c:v>3465</c:v>
                </c:pt>
                <c:pt idx="184">
                  <c:v>0</c:v>
                </c:pt>
                <c:pt idx="185">
                  <c:v>0</c:v>
                </c:pt>
                <c:pt idx="186">
                  <c:v>3822</c:v>
                </c:pt>
                <c:pt idx="187">
                  <c:v>0</c:v>
                </c:pt>
                <c:pt idx="188">
                  <c:v>0</c:v>
                </c:pt>
                <c:pt idx="189">
                  <c:v>2487</c:v>
                </c:pt>
                <c:pt idx="190">
                  <c:v>0</c:v>
                </c:pt>
                <c:pt idx="191">
                  <c:v>1298</c:v>
                </c:pt>
                <c:pt idx="192">
                  <c:v>0</c:v>
                </c:pt>
                <c:pt idx="193">
                  <c:v>0</c:v>
                </c:pt>
                <c:pt idx="194">
                  <c:v>1469</c:v>
                </c:pt>
                <c:pt idx="195">
                  <c:v>0</c:v>
                </c:pt>
                <c:pt idx="196">
                  <c:v>284</c:v>
                </c:pt>
                <c:pt idx="197">
                  <c:v>0</c:v>
                </c:pt>
                <c:pt idx="198">
                  <c:v>0</c:v>
                </c:pt>
                <c:pt idx="199">
                  <c:v>327</c:v>
                </c:pt>
                <c:pt idx="200">
                  <c:v>0</c:v>
                </c:pt>
                <c:pt idx="201">
                  <c:v>110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131</c:v>
                </c:pt>
                <c:pt idx="7">
                  <c:v>0</c:v>
                </c:pt>
                <c:pt idx="8">
                  <c:v>1244</c:v>
                </c:pt>
                <c:pt idx="9">
                  <c:v>0</c:v>
                </c:pt>
                <c:pt idx="10">
                  <c:v>0</c:v>
                </c:pt>
                <c:pt idx="11">
                  <c:v>2410</c:v>
                </c:pt>
                <c:pt idx="12">
                  <c:v>0</c:v>
                </c:pt>
                <c:pt idx="13">
                  <c:v>823</c:v>
                </c:pt>
                <c:pt idx="14">
                  <c:v>0</c:v>
                </c:pt>
                <c:pt idx="15">
                  <c:v>0</c:v>
                </c:pt>
                <c:pt idx="16">
                  <c:v>1221</c:v>
                </c:pt>
                <c:pt idx="17">
                  <c:v>0</c:v>
                </c:pt>
                <c:pt idx="18">
                  <c:v>0</c:v>
                </c:pt>
                <c:pt idx="19">
                  <c:v>1323</c:v>
                </c:pt>
                <c:pt idx="20">
                  <c:v>0</c:v>
                </c:pt>
                <c:pt idx="21">
                  <c:v>1946</c:v>
                </c:pt>
                <c:pt idx="22">
                  <c:v>0</c:v>
                </c:pt>
                <c:pt idx="23">
                  <c:v>0</c:v>
                </c:pt>
                <c:pt idx="24">
                  <c:v>2730</c:v>
                </c:pt>
                <c:pt idx="25">
                  <c:v>0</c:v>
                </c:pt>
                <c:pt idx="26">
                  <c:v>4329</c:v>
                </c:pt>
                <c:pt idx="27">
                  <c:v>0</c:v>
                </c:pt>
                <c:pt idx="28">
                  <c:v>0</c:v>
                </c:pt>
                <c:pt idx="29">
                  <c:v>5664</c:v>
                </c:pt>
                <c:pt idx="30">
                  <c:v>0</c:v>
                </c:pt>
                <c:pt idx="31">
                  <c:v>11409</c:v>
                </c:pt>
                <c:pt idx="32">
                  <c:v>0</c:v>
                </c:pt>
                <c:pt idx="33">
                  <c:v>0</c:v>
                </c:pt>
                <c:pt idx="34">
                  <c:v>10415</c:v>
                </c:pt>
                <c:pt idx="35">
                  <c:v>0</c:v>
                </c:pt>
                <c:pt idx="36">
                  <c:v>0</c:v>
                </c:pt>
                <c:pt idx="37">
                  <c:v>13638</c:v>
                </c:pt>
                <c:pt idx="38">
                  <c:v>0</c:v>
                </c:pt>
                <c:pt idx="39">
                  <c:v>16284</c:v>
                </c:pt>
                <c:pt idx="40">
                  <c:v>0</c:v>
                </c:pt>
                <c:pt idx="41">
                  <c:v>0</c:v>
                </c:pt>
                <c:pt idx="42">
                  <c:v>21989</c:v>
                </c:pt>
                <c:pt idx="43">
                  <c:v>0</c:v>
                </c:pt>
                <c:pt idx="44">
                  <c:v>27304</c:v>
                </c:pt>
                <c:pt idx="45">
                  <c:v>0</c:v>
                </c:pt>
                <c:pt idx="46">
                  <c:v>0</c:v>
                </c:pt>
                <c:pt idx="47">
                  <c:v>35955</c:v>
                </c:pt>
                <c:pt idx="48">
                  <c:v>0</c:v>
                </c:pt>
                <c:pt idx="49">
                  <c:v>45883</c:v>
                </c:pt>
                <c:pt idx="50">
                  <c:v>0</c:v>
                </c:pt>
                <c:pt idx="51">
                  <c:v>0</c:v>
                </c:pt>
                <c:pt idx="52">
                  <c:v>41017</c:v>
                </c:pt>
                <c:pt idx="53">
                  <c:v>0</c:v>
                </c:pt>
                <c:pt idx="54">
                  <c:v>0</c:v>
                </c:pt>
                <c:pt idx="55">
                  <c:v>44575</c:v>
                </c:pt>
                <c:pt idx="56">
                  <c:v>0</c:v>
                </c:pt>
                <c:pt idx="57">
                  <c:v>66192</c:v>
                </c:pt>
                <c:pt idx="58">
                  <c:v>0</c:v>
                </c:pt>
                <c:pt idx="59">
                  <c:v>0</c:v>
                </c:pt>
                <c:pt idx="60">
                  <c:v>65037</c:v>
                </c:pt>
                <c:pt idx="61">
                  <c:v>0</c:v>
                </c:pt>
                <c:pt idx="62">
                  <c:v>68174</c:v>
                </c:pt>
                <c:pt idx="63">
                  <c:v>0</c:v>
                </c:pt>
                <c:pt idx="64">
                  <c:v>0</c:v>
                </c:pt>
                <c:pt idx="65">
                  <c:v>72931</c:v>
                </c:pt>
                <c:pt idx="66">
                  <c:v>0</c:v>
                </c:pt>
                <c:pt idx="67">
                  <c:v>75514</c:v>
                </c:pt>
                <c:pt idx="68">
                  <c:v>0</c:v>
                </c:pt>
                <c:pt idx="69">
                  <c:v>0</c:v>
                </c:pt>
                <c:pt idx="70">
                  <c:v>72407</c:v>
                </c:pt>
                <c:pt idx="71">
                  <c:v>0</c:v>
                </c:pt>
                <c:pt idx="72">
                  <c:v>0</c:v>
                </c:pt>
                <c:pt idx="73">
                  <c:v>75417</c:v>
                </c:pt>
                <c:pt idx="74">
                  <c:v>0</c:v>
                </c:pt>
                <c:pt idx="75">
                  <c:v>81537</c:v>
                </c:pt>
                <c:pt idx="76">
                  <c:v>0</c:v>
                </c:pt>
                <c:pt idx="77">
                  <c:v>0</c:v>
                </c:pt>
                <c:pt idx="78">
                  <c:v>87340</c:v>
                </c:pt>
                <c:pt idx="79">
                  <c:v>0</c:v>
                </c:pt>
                <c:pt idx="80">
                  <c:v>93552</c:v>
                </c:pt>
                <c:pt idx="81">
                  <c:v>0</c:v>
                </c:pt>
                <c:pt idx="82">
                  <c:v>0</c:v>
                </c:pt>
                <c:pt idx="83">
                  <c:v>91654</c:v>
                </c:pt>
                <c:pt idx="84">
                  <c:v>0</c:v>
                </c:pt>
                <c:pt idx="85">
                  <c:v>0</c:v>
                </c:pt>
                <c:pt idx="86">
                  <c:v>92690</c:v>
                </c:pt>
                <c:pt idx="87">
                  <c:v>0</c:v>
                </c:pt>
                <c:pt idx="88">
                  <c:v>84811</c:v>
                </c:pt>
                <c:pt idx="89">
                  <c:v>0</c:v>
                </c:pt>
                <c:pt idx="90">
                  <c:v>0</c:v>
                </c:pt>
                <c:pt idx="91">
                  <c:v>93439</c:v>
                </c:pt>
                <c:pt idx="92">
                  <c:v>0</c:v>
                </c:pt>
                <c:pt idx="93">
                  <c:v>101484</c:v>
                </c:pt>
                <c:pt idx="94">
                  <c:v>0</c:v>
                </c:pt>
                <c:pt idx="95">
                  <c:v>0</c:v>
                </c:pt>
                <c:pt idx="96">
                  <c:v>102716</c:v>
                </c:pt>
                <c:pt idx="97">
                  <c:v>0</c:v>
                </c:pt>
                <c:pt idx="98">
                  <c:v>104774</c:v>
                </c:pt>
                <c:pt idx="99">
                  <c:v>0</c:v>
                </c:pt>
                <c:pt idx="100">
                  <c:v>0</c:v>
                </c:pt>
                <c:pt idx="101">
                  <c:v>108978</c:v>
                </c:pt>
                <c:pt idx="102">
                  <c:v>0</c:v>
                </c:pt>
                <c:pt idx="103">
                  <c:v>0</c:v>
                </c:pt>
                <c:pt idx="104">
                  <c:v>105388</c:v>
                </c:pt>
                <c:pt idx="105">
                  <c:v>0</c:v>
                </c:pt>
                <c:pt idx="106">
                  <c:v>98826</c:v>
                </c:pt>
                <c:pt idx="107">
                  <c:v>0</c:v>
                </c:pt>
                <c:pt idx="108">
                  <c:v>0</c:v>
                </c:pt>
                <c:pt idx="109">
                  <c:v>92728</c:v>
                </c:pt>
                <c:pt idx="110">
                  <c:v>0</c:v>
                </c:pt>
                <c:pt idx="111">
                  <c:v>87821</c:v>
                </c:pt>
                <c:pt idx="112">
                  <c:v>0</c:v>
                </c:pt>
                <c:pt idx="113">
                  <c:v>0</c:v>
                </c:pt>
                <c:pt idx="114">
                  <c:v>80755</c:v>
                </c:pt>
                <c:pt idx="115">
                  <c:v>0</c:v>
                </c:pt>
                <c:pt idx="116">
                  <c:v>80967</c:v>
                </c:pt>
                <c:pt idx="117">
                  <c:v>0</c:v>
                </c:pt>
                <c:pt idx="118">
                  <c:v>0</c:v>
                </c:pt>
                <c:pt idx="119">
                  <c:v>80534</c:v>
                </c:pt>
                <c:pt idx="120">
                  <c:v>0</c:v>
                </c:pt>
                <c:pt idx="121">
                  <c:v>0</c:v>
                </c:pt>
                <c:pt idx="122">
                  <c:v>72362</c:v>
                </c:pt>
                <c:pt idx="123">
                  <c:v>0</c:v>
                </c:pt>
                <c:pt idx="124">
                  <c:v>70384</c:v>
                </c:pt>
                <c:pt idx="125">
                  <c:v>0</c:v>
                </c:pt>
                <c:pt idx="126">
                  <c:v>0</c:v>
                </c:pt>
                <c:pt idx="127">
                  <c:v>67199</c:v>
                </c:pt>
                <c:pt idx="128">
                  <c:v>0</c:v>
                </c:pt>
                <c:pt idx="129">
                  <c:v>63416</c:v>
                </c:pt>
                <c:pt idx="130">
                  <c:v>0</c:v>
                </c:pt>
                <c:pt idx="131">
                  <c:v>0</c:v>
                </c:pt>
                <c:pt idx="132">
                  <c:v>65483</c:v>
                </c:pt>
                <c:pt idx="133">
                  <c:v>0</c:v>
                </c:pt>
                <c:pt idx="134">
                  <c:v>59960</c:v>
                </c:pt>
                <c:pt idx="135">
                  <c:v>0</c:v>
                </c:pt>
                <c:pt idx="136">
                  <c:v>0</c:v>
                </c:pt>
                <c:pt idx="137">
                  <c:v>61253</c:v>
                </c:pt>
                <c:pt idx="138">
                  <c:v>0</c:v>
                </c:pt>
                <c:pt idx="139">
                  <c:v>0</c:v>
                </c:pt>
                <c:pt idx="140">
                  <c:v>60112</c:v>
                </c:pt>
                <c:pt idx="141">
                  <c:v>0</c:v>
                </c:pt>
                <c:pt idx="142">
                  <c:v>54078</c:v>
                </c:pt>
                <c:pt idx="143">
                  <c:v>0</c:v>
                </c:pt>
                <c:pt idx="144">
                  <c:v>0</c:v>
                </c:pt>
                <c:pt idx="145">
                  <c:v>50088</c:v>
                </c:pt>
                <c:pt idx="146">
                  <c:v>0</c:v>
                </c:pt>
                <c:pt idx="147">
                  <c:v>47671</c:v>
                </c:pt>
                <c:pt idx="148">
                  <c:v>0</c:v>
                </c:pt>
                <c:pt idx="149">
                  <c:v>0</c:v>
                </c:pt>
                <c:pt idx="150">
                  <c:v>43353</c:v>
                </c:pt>
                <c:pt idx="151">
                  <c:v>0</c:v>
                </c:pt>
                <c:pt idx="152">
                  <c:v>43270</c:v>
                </c:pt>
                <c:pt idx="153">
                  <c:v>0</c:v>
                </c:pt>
                <c:pt idx="154">
                  <c:v>0</c:v>
                </c:pt>
                <c:pt idx="155">
                  <c:v>44214</c:v>
                </c:pt>
                <c:pt idx="156">
                  <c:v>0</c:v>
                </c:pt>
                <c:pt idx="157">
                  <c:v>0</c:v>
                </c:pt>
                <c:pt idx="158">
                  <c:v>42461</c:v>
                </c:pt>
                <c:pt idx="159">
                  <c:v>0</c:v>
                </c:pt>
                <c:pt idx="160">
                  <c:v>44160</c:v>
                </c:pt>
                <c:pt idx="161">
                  <c:v>0</c:v>
                </c:pt>
                <c:pt idx="162">
                  <c:v>0</c:v>
                </c:pt>
                <c:pt idx="163">
                  <c:v>43121</c:v>
                </c:pt>
                <c:pt idx="164">
                  <c:v>0</c:v>
                </c:pt>
                <c:pt idx="165">
                  <c:v>38013</c:v>
                </c:pt>
                <c:pt idx="166">
                  <c:v>0</c:v>
                </c:pt>
                <c:pt idx="167">
                  <c:v>0</c:v>
                </c:pt>
                <c:pt idx="168">
                  <c:v>36215</c:v>
                </c:pt>
                <c:pt idx="169">
                  <c:v>0</c:v>
                </c:pt>
                <c:pt idx="170">
                  <c:v>0</c:v>
                </c:pt>
                <c:pt idx="171">
                  <c:v>33370</c:v>
                </c:pt>
                <c:pt idx="172">
                  <c:v>0</c:v>
                </c:pt>
                <c:pt idx="173">
                  <c:v>30055</c:v>
                </c:pt>
                <c:pt idx="174">
                  <c:v>0</c:v>
                </c:pt>
                <c:pt idx="175">
                  <c:v>0</c:v>
                </c:pt>
                <c:pt idx="176">
                  <c:v>24288</c:v>
                </c:pt>
                <c:pt idx="177">
                  <c:v>0</c:v>
                </c:pt>
                <c:pt idx="178">
                  <c:v>19237</c:v>
                </c:pt>
                <c:pt idx="179">
                  <c:v>0</c:v>
                </c:pt>
                <c:pt idx="180">
                  <c:v>0</c:v>
                </c:pt>
                <c:pt idx="181">
                  <c:v>13454</c:v>
                </c:pt>
                <c:pt idx="182">
                  <c:v>0</c:v>
                </c:pt>
                <c:pt idx="183">
                  <c:v>10400</c:v>
                </c:pt>
                <c:pt idx="184">
                  <c:v>0</c:v>
                </c:pt>
                <c:pt idx="185">
                  <c:v>0</c:v>
                </c:pt>
                <c:pt idx="186">
                  <c:v>5796</c:v>
                </c:pt>
                <c:pt idx="187">
                  <c:v>0</c:v>
                </c:pt>
                <c:pt idx="188">
                  <c:v>0</c:v>
                </c:pt>
                <c:pt idx="189">
                  <c:v>3222</c:v>
                </c:pt>
                <c:pt idx="190">
                  <c:v>0</c:v>
                </c:pt>
                <c:pt idx="191">
                  <c:v>2929</c:v>
                </c:pt>
                <c:pt idx="192">
                  <c:v>0</c:v>
                </c:pt>
                <c:pt idx="193">
                  <c:v>0</c:v>
                </c:pt>
                <c:pt idx="194">
                  <c:v>1848</c:v>
                </c:pt>
                <c:pt idx="195">
                  <c:v>0</c:v>
                </c:pt>
                <c:pt idx="196">
                  <c:v>1276</c:v>
                </c:pt>
                <c:pt idx="197">
                  <c:v>0</c:v>
                </c:pt>
                <c:pt idx="198">
                  <c:v>0</c:v>
                </c:pt>
                <c:pt idx="199">
                  <c:v>919</c:v>
                </c:pt>
                <c:pt idx="200">
                  <c:v>0</c:v>
                </c:pt>
                <c:pt idx="201">
                  <c:v>396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0.1741692732069389</c:v>
                </c:pt>
                <c:pt idx="1">
                  <c:v>0.45956166664920567</c:v>
                </c:pt>
                <c:pt idx="2">
                  <c:v>0.36626906014385541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0.49944849055117785</c:v>
                </c:pt>
                <c:pt idx="1">
                  <c:v>0.26050665915016558</c:v>
                </c:pt>
                <c:pt idx="2">
                  <c:v>0.24004485029865655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6.5346950000000001</c:v>
                </c:pt>
                <c:pt idx="1">
                  <c:v>19.735120000000002</c:v>
                </c:pt>
                <c:pt idx="2">
                  <c:v>23.94905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  <c:pt idx="75">
                  <c:v>30.606400000000001</c:v>
                </c:pt>
                <c:pt idx="76">
                  <c:v>30.984200000000001</c:v>
                </c:pt>
                <c:pt idx="77">
                  <c:v>31.360099999999999</c:v>
                </c:pt>
                <c:pt idx="78">
                  <c:v>31.735299999999999</c:v>
                </c:pt>
                <c:pt idx="79">
                  <c:v>32.1233</c:v>
                </c:pt>
                <c:pt idx="80">
                  <c:v>32.533999999999999</c:v>
                </c:pt>
                <c:pt idx="81">
                  <c:v>32.938099999999999</c:v>
                </c:pt>
                <c:pt idx="82">
                  <c:v>33.342100000000002</c:v>
                </c:pt>
                <c:pt idx="83">
                  <c:v>33.7498</c:v>
                </c:pt>
                <c:pt idx="84">
                  <c:v>34.158700000000003</c:v>
                </c:pt>
                <c:pt idx="85">
                  <c:v>34.562600000000003</c:v>
                </c:pt>
                <c:pt idx="86">
                  <c:v>34.967500000000001</c:v>
                </c:pt>
                <c:pt idx="87">
                  <c:v>35.375799999999998</c:v>
                </c:pt>
                <c:pt idx="88">
                  <c:v>35.779299999999999</c:v>
                </c:pt>
                <c:pt idx="89">
                  <c:v>36.186199999999999</c:v>
                </c:pt>
                <c:pt idx="90">
                  <c:v>36.592199999999998</c:v>
                </c:pt>
                <c:pt idx="91">
                  <c:v>36.999099999999999</c:v>
                </c:pt>
                <c:pt idx="92">
                  <c:v>37.405099999999997</c:v>
                </c:pt>
                <c:pt idx="93">
                  <c:v>37.808999999999997</c:v>
                </c:pt>
                <c:pt idx="94">
                  <c:v>38.218800000000002</c:v>
                </c:pt>
                <c:pt idx="95">
                  <c:v>38.6267</c:v>
                </c:pt>
                <c:pt idx="96">
                  <c:v>39.028799999999997</c:v>
                </c:pt>
                <c:pt idx="97">
                  <c:v>39.432499999999997</c:v>
                </c:pt>
                <c:pt idx="98">
                  <c:v>39.8399</c:v>
                </c:pt>
                <c:pt idx="99">
                  <c:v>40.252400000000002</c:v>
                </c:pt>
                <c:pt idx="100">
                  <c:v>40.657600000000002</c:v>
                </c:pt>
                <c:pt idx="101">
                  <c:v>41.061300000000003</c:v>
                </c:pt>
                <c:pt idx="102">
                  <c:v>41.469299999999997</c:v>
                </c:pt>
                <c:pt idx="103">
                  <c:v>41.872300000000003</c:v>
                </c:pt>
                <c:pt idx="104">
                  <c:v>42.283000000000001</c:v>
                </c:pt>
                <c:pt idx="105">
                  <c:v>42.688899999999997</c:v>
                </c:pt>
                <c:pt idx="106">
                  <c:v>43.0929</c:v>
                </c:pt>
                <c:pt idx="107">
                  <c:v>43.500799999999998</c:v>
                </c:pt>
                <c:pt idx="108">
                  <c:v>43.904699999999998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45.124499999999998</c:v>
                </c:pt>
                <c:pt idx="112">
                  <c:v>45.529200000000003</c:v>
                </c:pt>
                <c:pt idx="113">
                  <c:v>45.935400000000001</c:v>
                </c:pt>
                <c:pt idx="114">
                  <c:v>46.344099999999997</c:v>
                </c:pt>
                <c:pt idx="115">
                  <c:v>46.750999999999998</c:v>
                </c:pt>
                <c:pt idx="116">
                  <c:v>47.154899999999998</c:v>
                </c:pt>
                <c:pt idx="117">
                  <c:v>47.559899999999999</c:v>
                </c:pt>
                <c:pt idx="118">
                  <c:v>47.965899999999998</c:v>
                </c:pt>
                <c:pt idx="119">
                  <c:v>48.373899999999999</c:v>
                </c:pt>
                <c:pt idx="120">
                  <c:v>48.7836</c:v>
                </c:pt>
                <c:pt idx="121">
                  <c:v>49.188600000000001</c:v>
                </c:pt>
                <c:pt idx="122">
                  <c:v>49.591500000000003</c:v>
                </c:pt>
                <c:pt idx="123">
                  <c:v>49.995399999999997</c:v>
                </c:pt>
                <c:pt idx="124">
                  <c:v>50.403199999999998</c:v>
                </c:pt>
                <c:pt idx="125">
                  <c:v>50.809199999999997</c:v>
                </c:pt>
                <c:pt idx="126">
                  <c:v>51.215299999999999</c:v>
                </c:pt>
                <c:pt idx="127">
                  <c:v>51.625</c:v>
                </c:pt>
                <c:pt idx="128">
                  <c:v>52.0319</c:v>
                </c:pt>
                <c:pt idx="129">
                  <c:v>52.437899999999999</c:v>
                </c:pt>
                <c:pt idx="130">
                  <c:v>52.838900000000002</c:v>
                </c:pt>
                <c:pt idx="131">
                  <c:v>53.247300000000003</c:v>
                </c:pt>
                <c:pt idx="132">
                  <c:v>53.656799999999997</c:v>
                </c:pt>
                <c:pt idx="133">
                  <c:v>54.061500000000002</c:v>
                </c:pt>
                <c:pt idx="134">
                  <c:v>54.468299999999999</c:v>
                </c:pt>
                <c:pt idx="135">
                  <c:v>54.873600000000003</c:v>
                </c:pt>
                <c:pt idx="136">
                  <c:v>55.278700000000001</c:v>
                </c:pt>
                <c:pt idx="137">
                  <c:v>55.686100000000003</c:v>
                </c:pt>
                <c:pt idx="138">
                  <c:v>56.093000000000004</c:v>
                </c:pt>
                <c:pt idx="139">
                  <c:v>56.499899999999997</c:v>
                </c:pt>
                <c:pt idx="140">
                  <c:v>56.905799999999999</c:v>
                </c:pt>
                <c:pt idx="141">
                  <c:v>57.308900000000001</c:v>
                </c:pt>
                <c:pt idx="142">
                  <c:v>57.7166</c:v>
                </c:pt>
                <c:pt idx="143">
                  <c:v>58.126600000000003</c:v>
                </c:pt>
                <c:pt idx="144">
                  <c:v>58.530500000000004</c:v>
                </c:pt>
                <c:pt idx="145">
                  <c:v>58.9345</c:v>
                </c:pt>
                <c:pt idx="146">
                  <c:v>59.343699999999998</c:v>
                </c:pt>
                <c:pt idx="147">
                  <c:v>59.749299999999998</c:v>
                </c:pt>
                <c:pt idx="148">
                  <c:v>60.156399999999998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  <c:pt idx="75">
                  <c:v>3.7917099999999997</c:v>
                </c:pt>
                <c:pt idx="76">
                  <c:v>3.7923600000000004</c:v>
                </c:pt>
                <c:pt idx="77">
                  <c:v>3.7976900000000002</c:v>
                </c:pt>
                <c:pt idx="78">
                  <c:v>3.8060699999999996</c:v>
                </c:pt>
                <c:pt idx="79">
                  <c:v>3.8151600000000001</c:v>
                </c:pt>
                <c:pt idx="80">
                  <c:v>3.8262900000000002</c:v>
                </c:pt>
                <c:pt idx="81">
                  <c:v>3.8363900000000002</c:v>
                </c:pt>
                <c:pt idx="82">
                  <c:v>3.8484600000000002</c:v>
                </c:pt>
                <c:pt idx="83">
                  <c:v>3.85907</c:v>
                </c:pt>
                <c:pt idx="84">
                  <c:v>3.86835</c:v>
                </c:pt>
                <c:pt idx="85">
                  <c:v>3.8774100000000002</c:v>
                </c:pt>
                <c:pt idx="86">
                  <c:v>3.88652</c:v>
                </c:pt>
                <c:pt idx="87">
                  <c:v>3.8960600000000003</c:v>
                </c:pt>
                <c:pt idx="88">
                  <c:v>3.9058199999999998</c:v>
                </c:pt>
                <c:pt idx="89">
                  <c:v>3.91282</c:v>
                </c:pt>
                <c:pt idx="90">
                  <c:v>3.9187599999999998</c:v>
                </c:pt>
                <c:pt idx="91">
                  <c:v>3.92347</c:v>
                </c:pt>
                <c:pt idx="92">
                  <c:v>3.92624</c:v>
                </c:pt>
                <c:pt idx="93">
                  <c:v>3.9286399999999997</c:v>
                </c:pt>
                <c:pt idx="94">
                  <c:v>3.9318900000000001</c:v>
                </c:pt>
                <c:pt idx="95">
                  <c:v>3.93594</c:v>
                </c:pt>
                <c:pt idx="96">
                  <c:v>3.9424999999999999</c:v>
                </c:pt>
                <c:pt idx="97">
                  <c:v>3.95</c:v>
                </c:pt>
                <c:pt idx="98">
                  <c:v>3.9580700000000002</c:v>
                </c:pt>
                <c:pt idx="99">
                  <c:v>3.9689400000000004</c:v>
                </c:pt>
                <c:pt idx="100">
                  <c:v>3.9826600000000001</c:v>
                </c:pt>
                <c:pt idx="101">
                  <c:v>3.9991700000000003</c:v>
                </c:pt>
                <c:pt idx="102">
                  <c:v>4.0151900000000005</c:v>
                </c:pt>
                <c:pt idx="103">
                  <c:v>4.0312599999999996</c:v>
                </c:pt>
                <c:pt idx="104">
                  <c:v>4.0475699999999994</c:v>
                </c:pt>
                <c:pt idx="105">
                  <c:v>4.06616</c:v>
                </c:pt>
                <c:pt idx="106">
                  <c:v>4.0885400000000001</c:v>
                </c:pt>
                <c:pt idx="107">
                  <c:v>4.1116200000000003</c:v>
                </c:pt>
                <c:pt idx="108">
                  <c:v>4.1390399999999996</c:v>
                </c:pt>
                <c:pt idx="109">
                  <c:v>4.1697299999999995</c:v>
                </c:pt>
                <c:pt idx="110">
                  <c:v>4.2007099999999999</c:v>
                </c:pt>
                <c:pt idx="111">
                  <c:v>4.2299199999999999</c:v>
                </c:pt>
                <c:pt idx="112">
                  <c:v>4.2593800000000002</c:v>
                </c:pt>
                <c:pt idx="113">
                  <c:v>4.2895099999999999</c:v>
                </c:pt>
                <c:pt idx="114">
                  <c:v>4.31785</c:v>
                </c:pt>
                <c:pt idx="115">
                  <c:v>4.3421099999999999</c:v>
                </c:pt>
                <c:pt idx="116">
                  <c:v>4.3670999999999998</c:v>
                </c:pt>
                <c:pt idx="117">
                  <c:v>4.3924900000000004</c:v>
                </c:pt>
                <c:pt idx="118">
                  <c:v>4.4149799999999999</c:v>
                </c:pt>
                <c:pt idx="119">
                  <c:v>4.4359700000000002</c:v>
                </c:pt>
                <c:pt idx="120">
                  <c:v>4.45669</c:v>
                </c:pt>
                <c:pt idx="121">
                  <c:v>4.4742999999999995</c:v>
                </c:pt>
                <c:pt idx="122">
                  <c:v>4.4896200000000004</c:v>
                </c:pt>
                <c:pt idx="123">
                  <c:v>4.50068</c:v>
                </c:pt>
                <c:pt idx="124">
                  <c:v>4.51084</c:v>
                </c:pt>
                <c:pt idx="125">
                  <c:v>4.52332</c:v>
                </c:pt>
                <c:pt idx="126">
                  <c:v>4.5334300000000001</c:v>
                </c:pt>
                <c:pt idx="127">
                  <c:v>4.5431699999999999</c:v>
                </c:pt>
                <c:pt idx="128">
                  <c:v>4.5531199999999998</c:v>
                </c:pt>
                <c:pt idx="129">
                  <c:v>4.5631199999999996</c:v>
                </c:pt>
                <c:pt idx="130">
                  <c:v>4.5688699999999995</c:v>
                </c:pt>
                <c:pt idx="131">
                  <c:v>4.5727000000000002</c:v>
                </c:pt>
                <c:pt idx="132">
                  <c:v>4.5761200000000004</c:v>
                </c:pt>
                <c:pt idx="133">
                  <c:v>4.5732600000000003</c:v>
                </c:pt>
                <c:pt idx="134">
                  <c:v>4.5650399999999998</c:v>
                </c:pt>
                <c:pt idx="135">
                  <c:v>4.5562200000000006</c:v>
                </c:pt>
                <c:pt idx="136">
                  <c:v>4.54697</c:v>
                </c:pt>
                <c:pt idx="137">
                  <c:v>4.5327099999999998</c:v>
                </c:pt>
                <c:pt idx="138">
                  <c:v>4.5130300000000005</c:v>
                </c:pt>
                <c:pt idx="139">
                  <c:v>4.4957599999999998</c:v>
                </c:pt>
                <c:pt idx="140">
                  <c:v>4.4825799999999996</c:v>
                </c:pt>
                <c:pt idx="141">
                  <c:v>4.4632500000000004</c:v>
                </c:pt>
                <c:pt idx="142">
                  <c:v>4.4423399999999997</c:v>
                </c:pt>
                <c:pt idx="143">
                  <c:v>4.4352399999999994</c:v>
                </c:pt>
                <c:pt idx="144">
                  <c:v>4.4283400000000004</c:v>
                </c:pt>
                <c:pt idx="145">
                  <c:v>4.40876</c:v>
                </c:pt>
                <c:pt idx="146">
                  <c:v>4.37967</c:v>
                </c:pt>
                <c:pt idx="147">
                  <c:v>4.3410799999999998</c:v>
                </c:pt>
                <c:pt idx="148">
                  <c:v>4.3140499999999999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30.0307</c:v>
                </c:pt>
                <c:pt idx="1">
                  <c:v>30.606400000000001</c:v>
                </c:pt>
                <c:pt idx="2">
                  <c:v>30.984200000000001</c:v>
                </c:pt>
                <c:pt idx="3">
                  <c:v>31.360099999999999</c:v>
                </c:pt>
                <c:pt idx="4">
                  <c:v>31.735299999999999</c:v>
                </c:pt>
                <c:pt idx="5">
                  <c:v>32.1233</c:v>
                </c:pt>
                <c:pt idx="6">
                  <c:v>32.533999999999999</c:v>
                </c:pt>
                <c:pt idx="7">
                  <c:v>32.938099999999999</c:v>
                </c:pt>
                <c:pt idx="8">
                  <c:v>33.342100000000002</c:v>
                </c:pt>
                <c:pt idx="9">
                  <c:v>33.7498</c:v>
                </c:pt>
                <c:pt idx="10">
                  <c:v>34.158700000000003</c:v>
                </c:pt>
                <c:pt idx="11">
                  <c:v>34.562600000000003</c:v>
                </c:pt>
                <c:pt idx="12">
                  <c:v>34.967500000000001</c:v>
                </c:pt>
                <c:pt idx="13">
                  <c:v>35.375799999999998</c:v>
                </c:pt>
                <c:pt idx="14">
                  <c:v>35.779299999999999</c:v>
                </c:pt>
                <c:pt idx="15">
                  <c:v>36.186199999999999</c:v>
                </c:pt>
                <c:pt idx="16">
                  <c:v>36.592199999999998</c:v>
                </c:pt>
                <c:pt idx="17">
                  <c:v>36.999099999999999</c:v>
                </c:pt>
                <c:pt idx="18">
                  <c:v>37.405099999999997</c:v>
                </c:pt>
                <c:pt idx="19">
                  <c:v>37.808999999999997</c:v>
                </c:pt>
                <c:pt idx="20">
                  <c:v>38.218800000000002</c:v>
                </c:pt>
                <c:pt idx="21">
                  <c:v>38.6267</c:v>
                </c:pt>
                <c:pt idx="22">
                  <c:v>39.028799999999997</c:v>
                </c:pt>
                <c:pt idx="23">
                  <c:v>39.432499999999997</c:v>
                </c:pt>
                <c:pt idx="24">
                  <c:v>39.8399</c:v>
                </c:pt>
                <c:pt idx="25">
                  <c:v>40.252400000000002</c:v>
                </c:pt>
                <c:pt idx="26">
                  <c:v>40.657600000000002</c:v>
                </c:pt>
                <c:pt idx="27">
                  <c:v>41.061300000000003</c:v>
                </c:pt>
                <c:pt idx="28">
                  <c:v>41.469299999999997</c:v>
                </c:pt>
                <c:pt idx="29">
                  <c:v>41.872300000000003</c:v>
                </c:pt>
                <c:pt idx="30">
                  <c:v>42.283000000000001</c:v>
                </c:pt>
                <c:pt idx="31">
                  <c:v>42.688899999999997</c:v>
                </c:pt>
                <c:pt idx="32">
                  <c:v>43.0929</c:v>
                </c:pt>
                <c:pt idx="33">
                  <c:v>43.500799999999998</c:v>
                </c:pt>
                <c:pt idx="34">
                  <c:v>43.904699999999998</c:v>
                </c:pt>
                <c:pt idx="35">
                  <c:v>44.3125</c:v>
                </c:pt>
                <c:pt idx="36">
                  <c:v>44.721499999999999</c:v>
                </c:pt>
                <c:pt idx="37">
                  <c:v>45.124499999999998</c:v>
                </c:pt>
                <c:pt idx="38">
                  <c:v>45.529200000000003</c:v>
                </c:pt>
                <c:pt idx="39">
                  <c:v>45.935400000000001</c:v>
                </c:pt>
                <c:pt idx="40">
                  <c:v>46.344099999999997</c:v>
                </c:pt>
                <c:pt idx="41">
                  <c:v>46.750999999999998</c:v>
                </c:pt>
                <c:pt idx="42">
                  <c:v>47.154899999999998</c:v>
                </c:pt>
                <c:pt idx="43">
                  <c:v>47.559899999999999</c:v>
                </c:pt>
                <c:pt idx="44">
                  <c:v>47.965899999999998</c:v>
                </c:pt>
                <c:pt idx="45">
                  <c:v>48.373899999999999</c:v>
                </c:pt>
                <c:pt idx="46">
                  <c:v>48.7836</c:v>
                </c:pt>
                <c:pt idx="47">
                  <c:v>49.188600000000001</c:v>
                </c:pt>
                <c:pt idx="48">
                  <c:v>49.591500000000003</c:v>
                </c:pt>
                <c:pt idx="49">
                  <c:v>49.995399999999997</c:v>
                </c:pt>
                <c:pt idx="50">
                  <c:v>50.403199999999998</c:v>
                </c:pt>
                <c:pt idx="51">
                  <c:v>50.809199999999997</c:v>
                </c:pt>
                <c:pt idx="52">
                  <c:v>51.215299999999999</c:v>
                </c:pt>
                <c:pt idx="53">
                  <c:v>51.625</c:v>
                </c:pt>
                <c:pt idx="54">
                  <c:v>52.0319</c:v>
                </c:pt>
                <c:pt idx="55">
                  <c:v>52.437899999999999</c:v>
                </c:pt>
                <c:pt idx="56">
                  <c:v>52.838900000000002</c:v>
                </c:pt>
                <c:pt idx="57">
                  <c:v>53.247300000000003</c:v>
                </c:pt>
                <c:pt idx="58">
                  <c:v>53.656799999999997</c:v>
                </c:pt>
                <c:pt idx="59">
                  <c:v>54.061500000000002</c:v>
                </c:pt>
                <c:pt idx="60">
                  <c:v>54.468299999999999</c:v>
                </c:pt>
                <c:pt idx="61">
                  <c:v>54.873600000000003</c:v>
                </c:pt>
                <c:pt idx="62">
                  <c:v>55.278700000000001</c:v>
                </c:pt>
                <c:pt idx="63">
                  <c:v>55.686100000000003</c:v>
                </c:pt>
                <c:pt idx="64">
                  <c:v>56.093000000000004</c:v>
                </c:pt>
                <c:pt idx="65">
                  <c:v>56.499899999999997</c:v>
                </c:pt>
                <c:pt idx="66">
                  <c:v>56.905799999999999</c:v>
                </c:pt>
                <c:pt idx="67">
                  <c:v>57.308900000000001</c:v>
                </c:pt>
                <c:pt idx="68">
                  <c:v>57.7166</c:v>
                </c:pt>
                <c:pt idx="69">
                  <c:v>58.126600000000003</c:v>
                </c:pt>
                <c:pt idx="70">
                  <c:v>58.530500000000004</c:v>
                </c:pt>
                <c:pt idx="71">
                  <c:v>58.9345</c:v>
                </c:pt>
                <c:pt idx="72">
                  <c:v>59.343699999999998</c:v>
                </c:pt>
                <c:pt idx="73">
                  <c:v>59.749299999999998</c:v>
                </c:pt>
                <c:pt idx="74">
                  <c:v>60.156399999999998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3.7857600000000002</c:v>
                </c:pt>
                <c:pt idx="1">
                  <c:v>3.7917099999999997</c:v>
                </c:pt>
                <c:pt idx="2">
                  <c:v>3.7923600000000004</c:v>
                </c:pt>
                <c:pt idx="3">
                  <c:v>3.7976900000000002</c:v>
                </c:pt>
                <c:pt idx="4">
                  <c:v>3.8060699999999996</c:v>
                </c:pt>
                <c:pt idx="5">
                  <c:v>3.8151600000000001</c:v>
                </c:pt>
                <c:pt idx="6">
                  <c:v>3.8262900000000002</c:v>
                </c:pt>
                <c:pt idx="7">
                  <c:v>3.8363900000000002</c:v>
                </c:pt>
                <c:pt idx="8">
                  <c:v>3.8484600000000002</c:v>
                </c:pt>
                <c:pt idx="9">
                  <c:v>3.85907</c:v>
                </c:pt>
                <c:pt idx="10">
                  <c:v>3.86835</c:v>
                </c:pt>
                <c:pt idx="11">
                  <c:v>3.8774100000000002</c:v>
                </c:pt>
                <c:pt idx="12">
                  <c:v>3.88652</c:v>
                </c:pt>
                <c:pt idx="13">
                  <c:v>3.8960600000000003</c:v>
                </c:pt>
                <c:pt idx="14">
                  <c:v>3.9058199999999998</c:v>
                </c:pt>
                <c:pt idx="15">
                  <c:v>3.91282</c:v>
                </c:pt>
                <c:pt idx="16">
                  <c:v>3.9187599999999998</c:v>
                </c:pt>
                <c:pt idx="17">
                  <c:v>3.92347</c:v>
                </c:pt>
                <c:pt idx="18">
                  <c:v>3.92624</c:v>
                </c:pt>
                <c:pt idx="19">
                  <c:v>3.9286399999999997</c:v>
                </c:pt>
                <c:pt idx="20">
                  <c:v>3.9318900000000001</c:v>
                </c:pt>
                <c:pt idx="21">
                  <c:v>3.93594</c:v>
                </c:pt>
                <c:pt idx="22">
                  <c:v>3.9424999999999999</c:v>
                </c:pt>
                <c:pt idx="23">
                  <c:v>3.95</c:v>
                </c:pt>
                <c:pt idx="24">
                  <c:v>3.9580700000000002</c:v>
                </c:pt>
                <c:pt idx="25">
                  <c:v>3.9689400000000004</c:v>
                </c:pt>
                <c:pt idx="26">
                  <c:v>3.9826600000000001</c:v>
                </c:pt>
                <c:pt idx="27">
                  <c:v>3.9991700000000003</c:v>
                </c:pt>
                <c:pt idx="28">
                  <c:v>4.0151900000000005</c:v>
                </c:pt>
                <c:pt idx="29">
                  <c:v>4.0312599999999996</c:v>
                </c:pt>
                <c:pt idx="30">
                  <c:v>4.0475699999999994</c:v>
                </c:pt>
                <c:pt idx="31">
                  <c:v>4.06616</c:v>
                </c:pt>
                <c:pt idx="32">
                  <c:v>4.0885400000000001</c:v>
                </c:pt>
                <c:pt idx="33">
                  <c:v>4.1116200000000003</c:v>
                </c:pt>
                <c:pt idx="34">
                  <c:v>4.1390399999999996</c:v>
                </c:pt>
                <c:pt idx="35">
                  <c:v>4.1697299999999995</c:v>
                </c:pt>
                <c:pt idx="36">
                  <c:v>4.2007099999999999</c:v>
                </c:pt>
                <c:pt idx="37">
                  <c:v>4.2299199999999999</c:v>
                </c:pt>
                <c:pt idx="38">
                  <c:v>4.2593800000000002</c:v>
                </c:pt>
                <c:pt idx="39">
                  <c:v>4.2895099999999999</c:v>
                </c:pt>
                <c:pt idx="40">
                  <c:v>4.31785</c:v>
                </c:pt>
                <c:pt idx="41">
                  <c:v>4.3421099999999999</c:v>
                </c:pt>
                <c:pt idx="42">
                  <c:v>4.3670999999999998</c:v>
                </c:pt>
                <c:pt idx="43">
                  <c:v>4.3924900000000004</c:v>
                </c:pt>
                <c:pt idx="44">
                  <c:v>4.4149799999999999</c:v>
                </c:pt>
                <c:pt idx="45">
                  <c:v>4.4359700000000002</c:v>
                </c:pt>
                <c:pt idx="46">
                  <c:v>4.45669</c:v>
                </c:pt>
                <c:pt idx="47">
                  <c:v>4.4742999999999995</c:v>
                </c:pt>
                <c:pt idx="48">
                  <c:v>4.4896200000000004</c:v>
                </c:pt>
                <c:pt idx="49">
                  <c:v>4.50068</c:v>
                </c:pt>
                <c:pt idx="50">
                  <c:v>4.51084</c:v>
                </c:pt>
                <c:pt idx="51">
                  <c:v>4.52332</c:v>
                </c:pt>
                <c:pt idx="52">
                  <c:v>4.5334300000000001</c:v>
                </c:pt>
                <c:pt idx="53">
                  <c:v>4.5431699999999999</c:v>
                </c:pt>
                <c:pt idx="54">
                  <c:v>4.5531199999999998</c:v>
                </c:pt>
                <c:pt idx="55">
                  <c:v>4.5631199999999996</c:v>
                </c:pt>
                <c:pt idx="56">
                  <c:v>4.5688699999999995</c:v>
                </c:pt>
                <c:pt idx="57">
                  <c:v>4.5727000000000002</c:v>
                </c:pt>
                <c:pt idx="58">
                  <c:v>4.5761200000000004</c:v>
                </c:pt>
                <c:pt idx="59">
                  <c:v>4.5732600000000003</c:v>
                </c:pt>
                <c:pt idx="60">
                  <c:v>4.5650399999999998</c:v>
                </c:pt>
                <c:pt idx="61">
                  <c:v>4.5562200000000006</c:v>
                </c:pt>
                <c:pt idx="62">
                  <c:v>4.54697</c:v>
                </c:pt>
                <c:pt idx="63">
                  <c:v>4.5327099999999998</c:v>
                </c:pt>
                <c:pt idx="64">
                  <c:v>4.5130300000000005</c:v>
                </c:pt>
                <c:pt idx="65">
                  <c:v>4.4957599999999998</c:v>
                </c:pt>
                <c:pt idx="66">
                  <c:v>4.4825799999999996</c:v>
                </c:pt>
                <c:pt idx="67">
                  <c:v>4.4632500000000004</c:v>
                </c:pt>
                <c:pt idx="68">
                  <c:v>4.4423399999999997</c:v>
                </c:pt>
                <c:pt idx="69">
                  <c:v>4.4352399999999994</c:v>
                </c:pt>
                <c:pt idx="70">
                  <c:v>4.4283400000000004</c:v>
                </c:pt>
                <c:pt idx="71">
                  <c:v>4.40876</c:v>
                </c:pt>
                <c:pt idx="72">
                  <c:v>4.37967</c:v>
                </c:pt>
                <c:pt idx="73">
                  <c:v>4.3410799999999998</c:v>
                </c:pt>
                <c:pt idx="74">
                  <c:v>4.3140499999999999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15.039099999999999</c:v>
                </c:pt>
                <c:pt idx="1">
                  <c:v>45.1173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3.46049135135135</c:v>
                </c:pt>
                <c:pt idx="1">
                  <c:v>4.2002916216216226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  <c:pt idx="75">
                  <c:v>30.606400000000001</c:v>
                </c:pt>
                <c:pt idx="76">
                  <c:v>30.984200000000001</c:v>
                </c:pt>
                <c:pt idx="77">
                  <c:v>31.360099999999999</c:v>
                </c:pt>
                <c:pt idx="78">
                  <c:v>31.735299999999999</c:v>
                </c:pt>
                <c:pt idx="79">
                  <c:v>32.1233</c:v>
                </c:pt>
                <c:pt idx="80">
                  <c:v>32.533999999999999</c:v>
                </c:pt>
                <c:pt idx="81">
                  <c:v>32.938099999999999</c:v>
                </c:pt>
                <c:pt idx="82">
                  <c:v>33.342100000000002</c:v>
                </c:pt>
                <c:pt idx="83">
                  <c:v>33.7498</c:v>
                </c:pt>
                <c:pt idx="84">
                  <c:v>34.158700000000003</c:v>
                </c:pt>
                <c:pt idx="85">
                  <c:v>34.562600000000003</c:v>
                </c:pt>
                <c:pt idx="86">
                  <c:v>34.967500000000001</c:v>
                </c:pt>
                <c:pt idx="87">
                  <c:v>35.375799999999998</c:v>
                </c:pt>
                <c:pt idx="88">
                  <c:v>35.779299999999999</c:v>
                </c:pt>
                <c:pt idx="89">
                  <c:v>36.186199999999999</c:v>
                </c:pt>
                <c:pt idx="90">
                  <c:v>36.592199999999998</c:v>
                </c:pt>
                <c:pt idx="91">
                  <c:v>36.999099999999999</c:v>
                </c:pt>
                <c:pt idx="92">
                  <c:v>37.405099999999997</c:v>
                </c:pt>
                <c:pt idx="93">
                  <c:v>37.808999999999997</c:v>
                </c:pt>
                <c:pt idx="94">
                  <c:v>38.218800000000002</c:v>
                </c:pt>
                <c:pt idx="95">
                  <c:v>38.6267</c:v>
                </c:pt>
                <c:pt idx="96">
                  <c:v>39.028799999999997</c:v>
                </c:pt>
                <c:pt idx="97">
                  <c:v>39.432499999999997</c:v>
                </c:pt>
                <c:pt idx="98">
                  <c:v>39.8399</c:v>
                </c:pt>
                <c:pt idx="99">
                  <c:v>40.252400000000002</c:v>
                </c:pt>
                <c:pt idx="100">
                  <c:v>40.657600000000002</c:v>
                </c:pt>
                <c:pt idx="101">
                  <c:v>41.061300000000003</c:v>
                </c:pt>
                <c:pt idx="102">
                  <c:v>41.469299999999997</c:v>
                </c:pt>
                <c:pt idx="103">
                  <c:v>41.872300000000003</c:v>
                </c:pt>
                <c:pt idx="104">
                  <c:v>42.283000000000001</c:v>
                </c:pt>
                <c:pt idx="105">
                  <c:v>42.688899999999997</c:v>
                </c:pt>
                <c:pt idx="106">
                  <c:v>43.0929</c:v>
                </c:pt>
                <c:pt idx="107">
                  <c:v>43.500799999999998</c:v>
                </c:pt>
                <c:pt idx="108">
                  <c:v>43.904699999999998</c:v>
                </c:pt>
                <c:pt idx="109">
                  <c:v>44.3125</c:v>
                </c:pt>
                <c:pt idx="110">
                  <c:v>44.721499999999999</c:v>
                </c:pt>
                <c:pt idx="111">
                  <c:v>45.124499999999998</c:v>
                </c:pt>
                <c:pt idx="112">
                  <c:v>45.529200000000003</c:v>
                </c:pt>
                <c:pt idx="113">
                  <c:v>45.935400000000001</c:v>
                </c:pt>
                <c:pt idx="114">
                  <c:v>46.344099999999997</c:v>
                </c:pt>
                <c:pt idx="115">
                  <c:v>46.750999999999998</c:v>
                </c:pt>
                <c:pt idx="116">
                  <c:v>47.154899999999998</c:v>
                </c:pt>
                <c:pt idx="117">
                  <c:v>47.559899999999999</c:v>
                </c:pt>
                <c:pt idx="118">
                  <c:v>47.965899999999998</c:v>
                </c:pt>
                <c:pt idx="119">
                  <c:v>48.373899999999999</c:v>
                </c:pt>
                <c:pt idx="120">
                  <c:v>48.7836</c:v>
                </c:pt>
                <c:pt idx="121">
                  <c:v>49.188600000000001</c:v>
                </c:pt>
                <c:pt idx="122">
                  <c:v>49.591500000000003</c:v>
                </c:pt>
                <c:pt idx="123">
                  <c:v>49.995399999999997</c:v>
                </c:pt>
                <c:pt idx="124">
                  <c:v>50.403199999999998</c:v>
                </c:pt>
                <c:pt idx="125">
                  <c:v>50.809199999999997</c:v>
                </c:pt>
                <c:pt idx="126">
                  <c:v>51.215299999999999</c:v>
                </c:pt>
                <c:pt idx="127">
                  <c:v>51.625</c:v>
                </c:pt>
                <c:pt idx="128">
                  <c:v>52.0319</c:v>
                </c:pt>
                <c:pt idx="129">
                  <c:v>52.437899999999999</c:v>
                </c:pt>
                <c:pt idx="130">
                  <c:v>52.838900000000002</c:v>
                </c:pt>
                <c:pt idx="131">
                  <c:v>53.247300000000003</c:v>
                </c:pt>
                <c:pt idx="132">
                  <c:v>53.656799999999997</c:v>
                </c:pt>
                <c:pt idx="133">
                  <c:v>54.061500000000002</c:v>
                </c:pt>
                <c:pt idx="134">
                  <c:v>54.468299999999999</c:v>
                </c:pt>
                <c:pt idx="135">
                  <c:v>54.873600000000003</c:v>
                </c:pt>
                <c:pt idx="136">
                  <c:v>55.278700000000001</c:v>
                </c:pt>
                <c:pt idx="137">
                  <c:v>55.686100000000003</c:v>
                </c:pt>
                <c:pt idx="138">
                  <c:v>56.093000000000004</c:v>
                </c:pt>
                <c:pt idx="139">
                  <c:v>56.499899999999997</c:v>
                </c:pt>
                <c:pt idx="140">
                  <c:v>56.905799999999999</c:v>
                </c:pt>
                <c:pt idx="141">
                  <c:v>57.308900000000001</c:v>
                </c:pt>
                <c:pt idx="142">
                  <c:v>57.7166</c:v>
                </c:pt>
                <c:pt idx="143">
                  <c:v>58.126600000000003</c:v>
                </c:pt>
                <c:pt idx="144">
                  <c:v>58.530500000000004</c:v>
                </c:pt>
                <c:pt idx="145">
                  <c:v>58.9345</c:v>
                </c:pt>
                <c:pt idx="146">
                  <c:v>59.343699999999998</c:v>
                </c:pt>
                <c:pt idx="147">
                  <c:v>59.749299999999998</c:v>
                </c:pt>
                <c:pt idx="148">
                  <c:v>60.156399999999998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  <c:pt idx="75">
                  <c:v>29.648400000000002</c:v>
                </c:pt>
                <c:pt idx="76">
                  <c:v>29.758699999999997</c:v>
                </c:pt>
                <c:pt idx="77">
                  <c:v>29.827599999999997</c:v>
                </c:pt>
                <c:pt idx="78">
                  <c:v>29.9207</c:v>
                </c:pt>
                <c:pt idx="79">
                  <c:v>29.981799999999996</c:v>
                </c:pt>
                <c:pt idx="80">
                  <c:v>29.978900000000003</c:v>
                </c:pt>
                <c:pt idx="81">
                  <c:v>30.032199999999996</c:v>
                </c:pt>
                <c:pt idx="82">
                  <c:v>30.0914</c:v>
                </c:pt>
                <c:pt idx="83">
                  <c:v>30.168899999999997</c:v>
                </c:pt>
                <c:pt idx="84">
                  <c:v>30.281999999999996</c:v>
                </c:pt>
                <c:pt idx="85">
                  <c:v>30.454199999999997</c:v>
                </c:pt>
                <c:pt idx="86">
                  <c:v>30.659099999999999</c:v>
                </c:pt>
                <c:pt idx="87">
                  <c:v>30.883899999999997</c:v>
                </c:pt>
                <c:pt idx="88">
                  <c:v>31.113600000000002</c:v>
                </c:pt>
                <c:pt idx="89">
                  <c:v>31.3569</c:v>
                </c:pt>
                <c:pt idx="90">
                  <c:v>31.622600000000002</c:v>
                </c:pt>
                <c:pt idx="91">
                  <c:v>31.920500000000001</c:v>
                </c:pt>
                <c:pt idx="92">
                  <c:v>32.325700000000005</c:v>
                </c:pt>
                <c:pt idx="93">
                  <c:v>32.755699999999997</c:v>
                </c:pt>
                <c:pt idx="94">
                  <c:v>33.197800000000001</c:v>
                </c:pt>
                <c:pt idx="95">
                  <c:v>33.623999999999995</c:v>
                </c:pt>
                <c:pt idx="96">
                  <c:v>34.045299999999997</c:v>
                </c:pt>
                <c:pt idx="97">
                  <c:v>34.4726</c:v>
                </c:pt>
                <c:pt idx="98">
                  <c:v>34.896999999999998</c:v>
                </c:pt>
                <c:pt idx="99">
                  <c:v>35.277900000000002</c:v>
                </c:pt>
                <c:pt idx="100">
                  <c:v>35.6006</c:v>
                </c:pt>
                <c:pt idx="101">
                  <c:v>35.833300000000001</c:v>
                </c:pt>
                <c:pt idx="102">
                  <c:v>36.044599999999996</c:v>
                </c:pt>
                <c:pt idx="103">
                  <c:v>36.251400000000004</c:v>
                </c:pt>
                <c:pt idx="104">
                  <c:v>36.446899999999999</c:v>
                </c:pt>
                <c:pt idx="105">
                  <c:v>36.584000000000003</c:v>
                </c:pt>
                <c:pt idx="106">
                  <c:v>36.697600000000001</c:v>
                </c:pt>
                <c:pt idx="107">
                  <c:v>36.806600000000003</c:v>
                </c:pt>
                <c:pt idx="108">
                  <c:v>36.789899999999996</c:v>
                </c:pt>
                <c:pt idx="109">
                  <c:v>36.645400000000002</c:v>
                </c:pt>
                <c:pt idx="110">
                  <c:v>36.498999999999995</c:v>
                </c:pt>
                <c:pt idx="111">
                  <c:v>36.310700000000004</c:v>
                </c:pt>
                <c:pt idx="112">
                  <c:v>35.9998</c:v>
                </c:pt>
                <c:pt idx="113">
                  <c:v>35.605399999999996</c:v>
                </c:pt>
                <c:pt idx="114">
                  <c:v>35.210799999999999</c:v>
                </c:pt>
                <c:pt idx="115">
                  <c:v>34.7851</c:v>
                </c:pt>
                <c:pt idx="116">
                  <c:v>34.268100000000004</c:v>
                </c:pt>
                <c:pt idx="117">
                  <c:v>33.737000000000002</c:v>
                </c:pt>
                <c:pt idx="118">
                  <c:v>33.262999999999998</c:v>
                </c:pt>
                <c:pt idx="119">
                  <c:v>32.770400000000002</c:v>
                </c:pt>
                <c:pt idx="120">
                  <c:v>32.185699999999997</c:v>
                </c:pt>
                <c:pt idx="121">
                  <c:v>31.566800000000001</c:v>
                </c:pt>
                <c:pt idx="122">
                  <c:v>30.923200000000001</c:v>
                </c:pt>
                <c:pt idx="123">
                  <c:v>30.288599999999999</c:v>
                </c:pt>
                <c:pt idx="124">
                  <c:v>29.760399999999997</c:v>
                </c:pt>
                <c:pt idx="125">
                  <c:v>29.3263</c:v>
                </c:pt>
                <c:pt idx="126">
                  <c:v>28.9038</c:v>
                </c:pt>
                <c:pt idx="127">
                  <c:v>28.448600000000003</c:v>
                </c:pt>
                <c:pt idx="128">
                  <c:v>27.950599999999998</c:v>
                </c:pt>
                <c:pt idx="129">
                  <c:v>27.420400000000001</c:v>
                </c:pt>
                <c:pt idx="130">
                  <c:v>26.881100000000004</c:v>
                </c:pt>
                <c:pt idx="131">
                  <c:v>26.281600000000001</c:v>
                </c:pt>
                <c:pt idx="132">
                  <c:v>25.646200000000004</c:v>
                </c:pt>
                <c:pt idx="133">
                  <c:v>25.050800000000002</c:v>
                </c:pt>
                <c:pt idx="134">
                  <c:v>24.5169</c:v>
                </c:pt>
                <c:pt idx="135">
                  <c:v>23.9849</c:v>
                </c:pt>
                <c:pt idx="136">
                  <c:v>23.514499999999998</c:v>
                </c:pt>
                <c:pt idx="137">
                  <c:v>23.216700000000003</c:v>
                </c:pt>
                <c:pt idx="138">
                  <c:v>23.082599999999999</c:v>
                </c:pt>
                <c:pt idx="139">
                  <c:v>22.943300000000001</c:v>
                </c:pt>
                <c:pt idx="140">
                  <c:v>22.7851</c:v>
                </c:pt>
                <c:pt idx="141">
                  <c:v>22.848600000000001</c:v>
                </c:pt>
                <c:pt idx="142">
                  <c:v>22.9741</c:v>
                </c:pt>
                <c:pt idx="143">
                  <c:v>22.871600000000001</c:v>
                </c:pt>
                <c:pt idx="144">
                  <c:v>22.726199999999999</c:v>
                </c:pt>
                <c:pt idx="145">
                  <c:v>22.891000000000002</c:v>
                </c:pt>
                <c:pt idx="146">
                  <c:v>23.212499999999999</c:v>
                </c:pt>
                <c:pt idx="147">
                  <c:v>23.6645</c:v>
                </c:pt>
                <c:pt idx="148">
                  <c:v>24.1919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0.37321500000000002</c:v>
                </c:pt>
                <c:pt idx="2">
                  <c:v>0.780914</c:v>
                </c:pt>
                <c:pt idx="3">
                  <c:v>1.18685</c:v>
                </c:pt>
                <c:pt idx="4">
                  <c:v>1.5928199999999999</c:v>
                </c:pt>
                <c:pt idx="5">
                  <c:v>1.9997</c:v>
                </c:pt>
                <c:pt idx="6">
                  <c:v>2.4036499999999998</c:v>
                </c:pt>
                <c:pt idx="7">
                  <c:v>2.8105000000000002</c:v>
                </c:pt>
                <c:pt idx="8">
                  <c:v>3.21848</c:v>
                </c:pt>
                <c:pt idx="9">
                  <c:v>3.62541</c:v>
                </c:pt>
                <c:pt idx="10">
                  <c:v>4.03024</c:v>
                </c:pt>
                <c:pt idx="11">
                  <c:v>4.4383100000000004</c:v>
                </c:pt>
                <c:pt idx="12">
                  <c:v>4.8411299999999997</c:v>
                </c:pt>
                <c:pt idx="13">
                  <c:v>5.2481799999999996</c:v>
                </c:pt>
                <c:pt idx="14">
                  <c:v>5.65808</c:v>
                </c:pt>
                <c:pt idx="15">
                  <c:v>6.0637999999999996</c:v>
                </c:pt>
                <c:pt idx="16">
                  <c:v>6.46976</c:v>
                </c:pt>
                <c:pt idx="17">
                  <c:v>6.8738900000000003</c:v>
                </c:pt>
                <c:pt idx="18">
                  <c:v>7.2788599999999999</c:v>
                </c:pt>
                <c:pt idx="19">
                  <c:v>7.6886000000000001</c:v>
                </c:pt>
                <c:pt idx="20">
                  <c:v>8.0944500000000001</c:v>
                </c:pt>
                <c:pt idx="21">
                  <c:v>8.5003499999999992</c:v>
                </c:pt>
                <c:pt idx="22">
                  <c:v>8.9087999999999994</c:v>
                </c:pt>
                <c:pt idx="23">
                  <c:v>9.3103300000000004</c:v>
                </c:pt>
                <c:pt idx="24">
                  <c:v>9.7150599999999994</c:v>
                </c:pt>
                <c:pt idx="25">
                  <c:v>10.1258</c:v>
                </c:pt>
                <c:pt idx="26">
                  <c:v>10.5275</c:v>
                </c:pt>
                <c:pt idx="27">
                  <c:v>10.9358</c:v>
                </c:pt>
                <c:pt idx="28">
                  <c:v>11.340999999999999</c:v>
                </c:pt>
                <c:pt idx="29">
                  <c:v>11.7476</c:v>
                </c:pt>
                <c:pt idx="30">
                  <c:v>12.153600000000001</c:v>
                </c:pt>
                <c:pt idx="31">
                  <c:v>12.5634</c:v>
                </c:pt>
                <c:pt idx="32">
                  <c:v>12.9664</c:v>
                </c:pt>
                <c:pt idx="33">
                  <c:v>13.3727</c:v>
                </c:pt>
                <c:pt idx="34">
                  <c:v>13.7783</c:v>
                </c:pt>
                <c:pt idx="35">
                  <c:v>14.1905</c:v>
                </c:pt>
                <c:pt idx="36">
                  <c:v>14.595000000000001</c:v>
                </c:pt>
                <c:pt idx="37">
                  <c:v>14.994899999999999</c:v>
                </c:pt>
                <c:pt idx="38">
                  <c:v>15.4049</c:v>
                </c:pt>
                <c:pt idx="39">
                  <c:v>15.808</c:v>
                </c:pt>
                <c:pt idx="40">
                  <c:v>16.217600000000001</c:v>
                </c:pt>
                <c:pt idx="41">
                  <c:v>16.623899999999999</c:v>
                </c:pt>
                <c:pt idx="42">
                  <c:v>17.028500000000001</c:v>
                </c:pt>
                <c:pt idx="43">
                  <c:v>17.433399999999999</c:v>
                </c:pt>
                <c:pt idx="44">
                  <c:v>17.845300000000002</c:v>
                </c:pt>
                <c:pt idx="45">
                  <c:v>18.2483</c:v>
                </c:pt>
                <c:pt idx="46">
                  <c:v>18.656099999999999</c:v>
                </c:pt>
                <c:pt idx="47">
                  <c:v>19.064</c:v>
                </c:pt>
                <c:pt idx="48">
                  <c:v>19.465</c:v>
                </c:pt>
                <c:pt idx="49">
                  <c:v>19.873100000000001</c:v>
                </c:pt>
                <c:pt idx="50">
                  <c:v>20.2818</c:v>
                </c:pt>
                <c:pt idx="51">
                  <c:v>20.687799999999999</c:v>
                </c:pt>
                <c:pt idx="52">
                  <c:v>21.0947</c:v>
                </c:pt>
                <c:pt idx="53">
                  <c:v>21.4986</c:v>
                </c:pt>
                <c:pt idx="54">
                  <c:v>21.903600000000001</c:v>
                </c:pt>
                <c:pt idx="55">
                  <c:v>22.3124</c:v>
                </c:pt>
                <c:pt idx="56">
                  <c:v>22.720300000000002</c:v>
                </c:pt>
                <c:pt idx="57">
                  <c:v>23.121200000000002</c:v>
                </c:pt>
                <c:pt idx="58">
                  <c:v>23.5291</c:v>
                </c:pt>
                <c:pt idx="59">
                  <c:v>23.938099999999999</c:v>
                </c:pt>
                <c:pt idx="60">
                  <c:v>24.341100000000001</c:v>
                </c:pt>
                <c:pt idx="61">
                  <c:v>24.7499</c:v>
                </c:pt>
                <c:pt idx="62">
                  <c:v>25.154800000000002</c:v>
                </c:pt>
                <c:pt idx="63">
                  <c:v>25.562799999999999</c:v>
                </c:pt>
                <c:pt idx="64">
                  <c:v>25.9649</c:v>
                </c:pt>
                <c:pt idx="65">
                  <c:v>26.372499999999999</c:v>
                </c:pt>
                <c:pt idx="66">
                  <c:v>26.778500000000001</c:v>
                </c:pt>
                <c:pt idx="67">
                  <c:v>27.186299999999999</c:v>
                </c:pt>
                <c:pt idx="68">
                  <c:v>27.590499999999999</c:v>
                </c:pt>
                <c:pt idx="69">
                  <c:v>27.997199999999999</c:v>
                </c:pt>
                <c:pt idx="70">
                  <c:v>28.4041</c:v>
                </c:pt>
                <c:pt idx="71">
                  <c:v>28.81</c:v>
                </c:pt>
                <c:pt idx="72">
                  <c:v>29.216000000000001</c:v>
                </c:pt>
                <c:pt idx="73">
                  <c:v>29.625800000000002</c:v>
                </c:pt>
                <c:pt idx="74">
                  <c:v>30.0307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30.0307</c:v>
                </c:pt>
                <c:pt idx="1">
                  <c:v>30.606400000000001</c:v>
                </c:pt>
                <c:pt idx="2">
                  <c:v>30.984200000000001</c:v>
                </c:pt>
                <c:pt idx="3">
                  <c:v>31.360099999999999</c:v>
                </c:pt>
                <c:pt idx="4">
                  <c:v>31.735299999999999</c:v>
                </c:pt>
                <c:pt idx="5">
                  <c:v>32.1233</c:v>
                </c:pt>
                <c:pt idx="6">
                  <c:v>32.533999999999999</c:v>
                </c:pt>
                <c:pt idx="7">
                  <c:v>32.938099999999999</c:v>
                </c:pt>
                <c:pt idx="8">
                  <c:v>33.342100000000002</c:v>
                </c:pt>
                <c:pt idx="9">
                  <c:v>33.7498</c:v>
                </c:pt>
                <c:pt idx="10">
                  <c:v>34.158700000000003</c:v>
                </c:pt>
                <c:pt idx="11">
                  <c:v>34.562600000000003</c:v>
                </c:pt>
                <c:pt idx="12">
                  <c:v>34.967500000000001</c:v>
                </c:pt>
                <c:pt idx="13">
                  <c:v>35.375799999999998</c:v>
                </c:pt>
                <c:pt idx="14">
                  <c:v>35.779299999999999</c:v>
                </c:pt>
                <c:pt idx="15">
                  <c:v>36.186199999999999</c:v>
                </c:pt>
                <c:pt idx="16">
                  <c:v>36.592199999999998</c:v>
                </c:pt>
                <c:pt idx="17">
                  <c:v>36.999099999999999</c:v>
                </c:pt>
                <c:pt idx="18">
                  <c:v>37.405099999999997</c:v>
                </c:pt>
                <c:pt idx="19">
                  <c:v>37.808999999999997</c:v>
                </c:pt>
                <c:pt idx="20">
                  <c:v>38.218800000000002</c:v>
                </c:pt>
                <c:pt idx="21">
                  <c:v>38.6267</c:v>
                </c:pt>
                <c:pt idx="22">
                  <c:v>39.028799999999997</c:v>
                </c:pt>
                <c:pt idx="23">
                  <c:v>39.432499999999997</c:v>
                </c:pt>
                <c:pt idx="24">
                  <c:v>39.8399</c:v>
                </c:pt>
                <c:pt idx="25">
                  <c:v>40.252400000000002</c:v>
                </c:pt>
                <c:pt idx="26">
                  <c:v>40.657600000000002</c:v>
                </c:pt>
                <c:pt idx="27">
                  <c:v>41.061300000000003</c:v>
                </c:pt>
                <c:pt idx="28">
                  <c:v>41.469299999999997</c:v>
                </c:pt>
                <c:pt idx="29">
                  <c:v>41.872300000000003</c:v>
                </c:pt>
                <c:pt idx="30">
                  <c:v>42.283000000000001</c:v>
                </c:pt>
                <c:pt idx="31">
                  <c:v>42.688899999999997</c:v>
                </c:pt>
                <c:pt idx="32">
                  <c:v>43.0929</c:v>
                </c:pt>
                <c:pt idx="33">
                  <c:v>43.500799999999998</c:v>
                </c:pt>
                <c:pt idx="34">
                  <c:v>43.904699999999998</c:v>
                </c:pt>
                <c:pt idx="35">
                  <c:v>44.3125</c:v>
                </c:pt>
                <c:pt idx="36">
                  <c:v>44.721499999999999</c:v>
                </c:pt>
                <c:pt idx="37">
                  <c:v>45.124499999999998</c:v>
                </c:pt>
                <c:pt idx="38">
                  <c:v>45.529200000000003</c:v>
                </c:pt>
                <c:pt idx="39">
                  <c:v>45.935400000000001</c:v>
                </c:pt>
                <c:pt idx="40">
                  <c:v>46.344099999999997</c:v>
                </c:pt>
                <c:pt idx="41">
                  <c:v>46.750999999999998</c:v>
                </c:pt>
                <c:pt idx="42">
                  <c:v>47.154899999999998</c:v>
                </c:pt>
                <c:pt idx="43">
                  <c:v>47.559899999999999</c:v>
                </c:pt>
                <c:pt idx="44">
                  <c:v>47.965899999999998</c:v>
                </c:pt>
                <c:pt idx="45">
                  <c:v>48.373899999999999</c:v>
                </c:pt>
                <c:pt idx="46">
                  <c:v>48.7836</c:v>
                </c:pt>
                <c:pt idx="47">
                  <c:v>49.188600000000001</c:v>
                </c:pt>
                <c:pt idx="48">
                  <c:v>49.591500000000003</c:v>
                </c:pt>
                <c:pt idx="49">
                  <c:v>49.995399999999997</c:v>
                </c:pt>
                <c:pt idx="50">
                  <c:v>50.403199999999998</c:v>
                </c:pt>
                <c:pt idx="51">
                  <c:v>50.809199999999997</c:v>
                </c:pt>
                <c:pt idx="52">
                  <c:v>51.215299999999999</c:v>
                </c:pt>
                <c:pt idx="53">
                  <c:v>51.625</c:v>
                </c:pt>
                <c:pt idx="54">
                  <c:v>52.0319</c:v>
                </c:pt>
                <c:pt idx="55">
                  <c:v>52.437899999999999</c:v>
                </c:pt>
                <c:pt idx="56">
                  <c:v>52.838900000000002</c:v>
                </c:pt>
                <c:pt idx="57">
                  <c:v>53.247300000000003</c:v>
                </c:pt>
                <c:pt idx="58">
                  <c:v>53.656799999999997</c:v>
                </c:pt>
                <c:pt idx="59">
                  <c:v>54.061500000000002</c:v>
                </c:pt>
                <c:pt idx="60">
                  <c:v>54.468299999999999</c:v>
                </c:pt>
                <c:pt idx="61">
                  <c:v>54.873600000000003</c:v>
                </c:pt>
                <c:pt idx="62">
                  <c:v>55.278700000000001</c:v>
                </c:pt>
                <c:pt idx="63">
                  <c:v>55.686100000000003</c:v>
                </c:pt>
                <c:pt idx="64">
                  <c:v>56.093000000000004</c:v>
                </c:pt>
                <c:pt idx="65">
                  <c:v>56.499899999999997</c:v>
                </c:pt>
                <c:pt idx="66">
                  <c:v>56.905799999999999</c:v>
                </c:pt>
                <c:pt idx="67">
                  <c:v>57.308900000000001</c:v>
                </c:pt>
                <c:pt idx="68">
                  <c:v>57.7166</c:v>
                </c:pt>
                <c:pt idx="69">
                  <c:v>58.126600000000003</c:v>
                </c:pt>
                <c:pt idx="70">
                  <c:v>58.530500000000004</c:v>
                </c:pt>
                <c:pt idx="71">
                  <c:v>58.9345</c:v>
                </c:pt>
                <c:pt idx="72">
                  <c:v>59.343699999999998</c:v>
                </c:pt>
                <c:pt idx="73">
                  <c:v>59.749299999999998</c:v>
                </c:pt>
                <c:pt idx="74">
                  <c:v>60.156399999999998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29.571199999999997</c:v>
                </c:pt>
                <c:pt idx="1">
                  <c:v>29.648400000000002</c:v>
                </c:pt>
                <c:pt idx="2">
                  <c:v>29.758699999999997</c:v>
                </c:pt>
                <c:pt idx="3">
                  <c:v>29.827599999999997</c:v>
                </c:pt>
                <c:pt idx="4">
                  <c:v>29.9207</c:v>
                </c:pt>
                <c:pt idx="5">
                  <c:v>29.981799999999996</c:v>
                </c:pt>
                <c:pt idx="6">
                  <c:v>29.978900000000003</c:v>
                </c:pt>
                <c:pt idx="7">
                  <c:v>30.032199999999996</c:v>
                </c:pt>
                <c:pt idx="8">
                  <c:v>30.0914</c:v>
                </c:pt>
                <c:pt idx="9">
                  <c:v>30.168899999999997</c:v>
                </c:pt>
                <c:pt idx="10">
                  <c:v>30.281999999999996</c:v>
                </c:pt>
                <c:pt idx="11">
                  <c:v>30.454199999999997</c:v>
                </c:pt>
                <c:pt idx="12">
                  <c:v>30.659099999999999</c:v>
                </c:pt>
                <c:pt idx="13">
                  <c:v>30.883899999999997</c:v>
                </c:pt>
                <c:pt idx="14">
                  <c:v>31.113600000000002</c:v>
                </c:pt>
                <c:pt idx="15">
                  <c:v>31.3569</c:v>
                </c:pt>
                <c:pt idx="16">
                  <c:v>31.622600000000002</c:v>
                </c:pt>
                <c:pt idx="17">
                  <c:v>31.920500000000001</c:v>
                </c:pt>
                <c:pt idx="18">
                  <c:v>32.325700000000005</c:v>
                </c:pt>
                <c:pt idx="19">
                  <c:v>32.755699999999997</c:v>
                </c:pt>
                <c:pt idx="20">
                  <c:v>33.197800000000001</c:v>
                </c:pt>
                <c:pt idx="21">
                  <c:v>33.623999999999995</c:v>
                </c:pt>
                <c:pt idx="22">
                  <c:v>34.045299999999997</c:v>
                </c:pt>
                <c:pt idx="23">
                  <c:v>34.4726</c:v>
                </c:pt>
                <c:pt idx="24">
                  <c:v>34.896999999999998</c:v>
                </c:pt>
                <c:pt idx="25">
                  <c:v>35.277900000000002</c:v>
                </c:pt>
                <c:pt idx="26">
                  <c:v>35.6006</c:v>
                </c:pt>
                <c:pt idx="27">
                  <c:v>35.833300000000001</c:v>
                </c:pt>
                <c:pt idx="28">
                  <c:v>36.044599999999996</c:v>
                </c:pt>
                <c:pt idx="29">
                  <c:v>36.251400000000004</c:v>
                </c:pt>
                <c:pt idx="30">
                  <c:v>36.446899999999999</c:v>
                </c:pt>
                <c:pt idx="31">
                  <c:v>36.584000000000003</c:v>
                </c:pt>
                <c:pt idx="32">
                  <c:v>36.697600000000001</c:v>
                </c:pt>
                <c:pt idx="33">
                  <c:v>36.806600000000003</c:v>
                </c:pt>
                <c:pt idx="34">
                  <c:v>36.789899999999996</c:v>
                </c:pt>
                <c:pt idx="35">
                  <c:v>36.645400000000002</c:v>
                </c:pt>
                <c:pt idx="36">
                  <c:v>36.498999999999995</c:v>
                </c:pt>
                <c:pt idx="37">
                  <c:v>36.310700000000004</c:v>
                </c:pt>
                <c:pt idx="38">
                  <c:v>35.9998</c:v>
                </c:pt>
                <c:pt idx="39">
                  <c:v>35.605399999999996</c:v>
                </c:pt>
                <c:pt idx="40">
                  <c:v>35.210799999999999</c:v>
                </c:pt>
                <c:pt idx="41">
                  <c:v>34.7851</c:v>
                </c:pt>
                <c:pt idx="42">
                  <c:v>34.268100000000004</c:v>
                </c:pt>
                <c:pt idx="43">
                  <c:v>33.737000000000002</c:v>
                </c:pt>
                <c:pt idx="44">
                  <c:v>33.262999999999998</c:v>
                </c:pt>
                <c:pt idx="45">
                  <c:v>32.770400000000002</c:v>
                </c:pt>
                <c:pt idx="46">
                  <c:v>32.185699999999997</c:v>
                </c:pt>
                <c:pt idx="47">
                  <c:v>31.566800000000001</c:v>
                </c:pt>
                <c:pt idx="48">
                  <c:v>30.923200000000001</c:v>
                </c:pt>
                <c:pt idx="49">
                  <c:v>30.288599999999999</c:v>
                </c:pt>
                <c:pt idx="50">
                  <c:v>29.760399999999997</c:v>
                </c:pt>
                <c:pt idx="51">
                  <c:v>29.3263</c:v>
                </c:pt>
                <c:pt idx="52">
                  <c:v>28.9038</c:v>
                </c:pt>
                <c:pt idx="53">
                  <c:v>28.448600000000003</c:v>
                </c:pt>
                <c:pt idx="54">
                  <c:v>27.950599999999998</c:v>
                </c:pt>
                <c:pt idx="55">
                  <c:v>27.420400000000001</c:v>
                </c:pt>
                <c:pt idx="56">
                  <c:v>26.881100000000004</c:v>
                </c:pt>
                <c:pt idx="57">
                  <c:v>26.281600000000001</c:v>
                </c:pt>
                <c:pt idx="58">
                  <c:v>25.646200000000004</c:v>
                </c:pt>
                <c:pt idx="59">
                  <c:v>25.050800000000002</c:v>
                </c:pt>
                <c:pt idx="60">
                  <c:v>24.5169</c:v>
                </c:pt>
                <c:pt idx="61">
                  <c:v>23.9849</c:v>
                </c:pt>
                <c:pt idx="62">
                  <c:v>23.514499999999998</c:v>
                </c:pt>
                <c:pt idx="63">
                  <c:v>23.216700000000003</c:v>
                </c:pt>
                <c:pt idx="64">
                  <c:v>23.082599999999999</c:v>
                </c:pt>
                <c:pt idx="65">
                  <c:v>22.943300000000001</c:v>
                </c:pt>
                <c:pt idx="66">
                  <c:v>22.7851</c:v>
                </c:pt>
                <c:pt idx="67">
                  <c:v>22.848600000000001</c:v>
                </c:pt>
                <c:pt idx="68">
                  <c:v>22.9741</c:v>
                </c:pt>
                <c:pt idx="69">
                  <c:v>22.871600000000001</c:v>
                </c:pt>
                <c:pt idx="70">
                  <c:v>22.726199999999999</c:v>
                </c:pt>
                <c:pt idx="71">
                  <c:v>22.891000000000002</c:v>
                </c:pt>
                <c:pt idx="72">
                  <c:v>23.212499999999999</c:v>
                </c:pt>
                <c:pt idx="73">
                  <c:v>23.6645</c:v>
                </c:pt>
                <c:pt idx="74">
                  <c:v>24.1919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15.039099999999999</c:v>
                </c:pt>
                <c:pt idx="1">
                  <c:v>45.1173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40.752818918918919</c:v>
                </c:pt>
                <c:pt idx="1">
                  <c:v>30.484929729729735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  <c:pt idx="75">
                  <c:v>3.7917099999999997</c:v>
                </c:pt>
                <c:pt idx="76">
                  <c:v>3.7923600000000004</c:v>
                </c:pt>
                <c:pt idx="77">
                  <c:v>3.7976900000000002</c:v>
                </c:pt>
                <c:pt idx="78">
                  <c:v>3.8060699999999996</c:v>
                </c:pt>
                <c:pt idx="79">
                  <c:v>3.8151600000000001</c:v>
                </c:pt>
                <c:pt idx="80">
                  <c:v>3.8262900000000002</c:v>
                </c:pt>
                <c:pt idx="81">
                  <c:v>3.8363900000000002</c:v>
                </c:pt>
                <c:pt idx="82">
                  <c:v>3.8484600000000002</c:v>
                </c:pt>
                <c:pt idx="83">
                  <c:v>3.85907</c:v>
                </c:pt>
                <c:pt idx="84">
                  <c:v>3.86835</c:v>
                </c:pt>
                <c:pt idx="85">
                  <c:v>3.8774100000000002</c:v>
                </c:pt>
                <c:pt idx="86">
                  <c:v>3.88652</c:v>
                </c:pt>
                <c:pt idx="87">
                  <c:v>3.8960600000000003</c:v>
                </c:pt>
                <c:pt idx="88">
                  <c:v>3.9058199999999998</c:v>
                </c:pt>
                <c:pt idx="89">
                  <c:v>3.91282</c:v>
                </c:pt>
                <c:pt idx="90">
                  <c:v>3.9187599999999998</c:v>
                </c:pt>
                <c:pt idx="91">
                  <c:v>3.92347</c:v>
                </c:pt>
                <c:pt idx="92">
                  <c:v>3.92624</c:v>
                </c:pt>
                <c:pt idx="93">
                  <c:v>3.9286399999999997</c:v>
                </c:pt>
                <c:pt idx="94">
                  <c:v>3.9318900000000001</c:v>
                </c:pt>
                <c:pt idx="95">
                  <c:v>3.93594</c:v>
                </c:pt>
                <c:pt idx="96">
                  <c:v>3.9424999999999999</c:v>
                </c:pt>
                <c:pt idx="97">
                  <c:v>3.95</c:v>
                </c:pt>
                <c:pt idx="98">
                  <c:v>3.9580700000000002</c:v>
                </c:pt>
                <c:pt idx="99">
                  <c:v>3.9689400000000004</c:v>
                </c:pt>
                <c:pt idx="100">
                  <c:v>3.9826600000000001</c:v>
                </c:pt>
                <c:pt idx="101">
                  <c:v>3.9991700000000003</c:v>
                </c:pt>
                <c:pt idx="102">
                  <c:v>4.0151900000000005</c:v>
                </c:pt>
                <c:pt idx="103">
                  <c:v>4.0312599999999996</c:v>
                </c:pt>
                <c:pt idx="104">
                  <c:v>4.0475699999999994</c:v>
                </c:pt>
                <c:pt idx="105">
                  <c:v>4.06616</c:v>
                </c:pt>
                <c:pt idx="106">
                  <c:v>4.0885400000000001</c:v>
                </c:pt>
                <c:pt idx="107">
                  <c:v>4.1116200000000003</c:v>
                </c:pt>
                <c:pt idx="108">
                  <c:v>4.1390399999999996</c:v>
                </c:pt>
                <c:pt idx="109">
                  <c:v>4.1697299999999995</c:v>
                </c:pt>
                <c:pt idx="110">
                  <c:v>4.2007099999999999</c:v>
                </c:pt>
                <c:pt idx="111">
                  <c:v>4.2299199999999999</c:v>
                </c:pt>
                <c:pt idx="112">
                  <c:v>4.2593800000000002</c:v>
                </c:pt>
                <c:pt idx="113">
                  <c:v>4.2895099999999999</c:v>
                </c:pt>
                <c:pt idx="114">
                  <c:v>4.31785</c:v>
                </c:pt>
                <c:pt idx="115">
                  <c:v>4.3421099999999999</c:v>
                </c:pt>
                <c:pt idx="116">
                  <c:v>4.3670999999999998</c:v>
                </c:pt>
                <c:pt idx="117">
                  <c:v>4.3924900000000004</c:v>
                </c:pt>
                <c:pt idx="118">
                  <c:v>4.4149799999999999</c:v>
                </c:pt>
                <c:pt idx="119">
                  <c:v>4.4359700000000002</c:v>
                </c:pt>
                <c:pt idx="120">
                  <c:v>4.45669</c:v>
                </c:pt>
                <c:pt idx="121">
                  <c:v>4.4742999999999995</c:v>
                </c:pt>
                <c:pt idx="122">
                  <c:v>4.4896200000000004</c:v>
                </c:pt>
                <c:pt idx="123">
                  <c:v>4.50068</c:v>
                </c:pt>
                <c:pt idx="124">
                  <c:v>4.51084</c:v>
                </c:pt>
                <c:pt idx="125">
                  <c:v>4.52332</c:v>
                </c:pt>
                <c:pt idx="126">
                  <c:v>4.5334300000000001</c:v>
                </c:pt>
                <c:pt idx="127">
                  <c:v>4.5431699999999999</c:v>
                </c:pt>
                <c:pt idx="128">
                  <c:v>4.5531199999999998</c:v>
                </c:pt>
                <c:pt idx="129">
                  <c:v>4.5631199999999996</c:v>
                </c:pt>
                <c:pt idx="130">
                  <c:v>4.5688699999999995</c:v>
                </c:pt>
                <c:pt idx="131">
                  <c:v>4.5727000000000002</c:v>
                </c:pt>
                <c:pt idx="132">
                  <c:v>4.5761200000000004</c:v>
                </c:pt>
                <c:pt idx="133">
                  <c:v>4.5732600000000003</c:v>
                </c:pt>
                <c:pt idx="134">
                  <c:v>4.5650399999999998</c:v>
                </c:pt>
                <c:pt idx="135">
                  <c:v>4.5562200000000006</c:v>
                </c:pt>
                <c:pt idx="136">
                  <c:v>4.54697</c:v>
                </c:pt>
                <c:pt idx="137">
                  <c:v>4.5327099999999998</c:v>
                </c:pt>
                <c:pt idx="138">
                  <c:v>4.5130300000000005</c:v>
                </c:pt>
                <c:pt idx="139">
                  <c:v>4.4957599999999998</c:v>
                </c:pt>
                <c:pt idx="140">
                  <c:v>4.4825799999999996</c:v>
                </c:pt>
                <c:pt idx="141">
                  <c:v>4.4632500000000004</c:v>
                </c:pt>
                <c:pt idx="142">
                  <c:v>4.4423399999999997</c:v>
                </c:pt>
                <c:pt idx="143">
                  <c:v>4.4352399999999994</c:v>
                </c:pt>
                <c:pt idx="144">
                  <c:v>4.4283400000000004</c:v>
                </c:pt>
                <c:pt idx="145">
                  <c:v>4.40876</c:v>
                </c:pt>
                <c:pt idx="146">
                  <c:v>4.37967</c:v>
                </c:pt>
                <c:pt idx="147">
                  <c:v>4.3410799999999998</c:v>
                </c:pt>
                <c:pt idx="148">
                  <c:v>4.3140499999999999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  <c:pt idx="75">
                  <c:v>29.648400000000002</c:v>
                </c:pt>
                <c:pt idx="76">
                  <c:v>29.758699999999997</c:v>
                </c:pt>
                <c:pt idx="77">
                  <c:v>29.827599999999997</c:v>
                </c:pt>
                <c:pt idx="78">
                  <c:v>29.9207</c:v>
                </c:pt>
                <c:pt idx="79">
                  <c:v>29.981799999999996</c:v>
                </c:pt>
                <c:pt idx="80">
                  <c:v>29.978900000000003</c:v>
                </c:pt>
                <c:pt idx="81">
                  <c:v>30.032199999999996</c:v>
                </c:pt>
                <c:pt idx="82">
                  <c:v>30.0914</c:v>
                </c:pt>
                <c:pt idx="83">
                  <c:v>30.168899999999997</c:v>
                </c:pt>
                <c:pt idx="84">
                  <c:v>30.281999999999996</c:v>
                </c:pt>
                <c:pt idx="85">
                  <c:v>30.454199999999997</c:v>
                </c:pt>
                <c:pt idx="86">
                  <c:v>30.659099999999999</c:v>
                </c:pt>
                <c:pt idx="87">
                  <c:v>30.883899999999997</c:v>
                </c:pt>
                <c:pt idx="88">
                  <c:v>31.113600000000002</c:v>
                </c:pt>
                <c:pt idx="89">
                  <c:v>31.3569</c:v>
                </c:pt>
                <c:pt idx="90">
                  <c:v>31.622600000000002</c:v>
                </c:pt>
                <c:pt idx="91">
                  <c:v>31.920500000000001</c:v>
                </c:pt>
                <c:pt idx="92">
                  <c:v>32.325700000000005</c:v>
                </c:pt>
                <c:pt idx="93">
                  <c:v>32.755699999999997</c:v>
                </c:pt>
                <c:pt idx="94">
                  <c:v>33.197800000000001</c:v>
                </c:pt>
                <c:pt idx="95">
                  <c:v>33.623999999999995</c:v>
                </c:pt>
                <c:pt idx="96">
                  <c:v>34.045299999999997</c:v>
                </c:pt>
                <c:pt idx="97">
                  <c:v>34.4726</c:v>
                </c:pt>
                <c:pt idx="98">
                  <c:v>34.896999999999998</c:v>
                </c:pt>
                <c:pt idx="99">
                  <c:v>35.277900000000002</c:v>
                </c:pt>
                <c:pt idx="100">
                  <c:v>35.6006</c:v>
                </c:pt>
                <c:pt idx="101">
                  <c:v>35.833300000000001</c:v>
                </c:pt>
                <c:pt idx="102">
                  <c:v>36.044599999999996</c:v>
                </c:pt>
                <c:pt idx="103">
                  <c:v>36.251400000000004</c:v>
                </c:pt>
                <c:pt idx="104">
                  <c:v>36.446899999999999</c:v>
                </c:pt>
                <c:pt idx="105">
                  <c:v>36.584000000000003</c:v>
                </c:pt>
                <c:pt idx="106">
                  <c:v>36.697600000000001</c:v>
                </c:pt>
                <c:pt idx="107">
                  <c:v>36.806600000000003</c:v>
                </c:pt>
                <c:pt idx="108">
                  <c:v>36.789899999999996</c:v>
                </c:pt>
                <c:pt idx="109">
                  <c:v>36.645400000000002</c:v>
                </c:pt>
                <c:pt idx="110">
                  <c:v>36.498999999999995</c:v>
                </c:pt>
                <c:pt idx="111">
                  <c:v>36.310700000000004</c:v>
                </c:pt>
                <c:pt idx="112">
                  <c:v>35.9998</c:v>
                </c:pt>
                <c:pt idx="113">
                  <c:v>35.605399999999996</c:v>
                </c:pt>
                <c:pt idx="114">
                  <c:v>35.210799999999999</c:v>
                </c:pt>
                <c:pt idx="115">
                  <c:v>34.7851</c:v>
                </c:pt>
                <c:pt idx="116">
                  <c:v>34.268100000000004</c:v>
                </c:pt>
                <c:pt idx="117">
                  <c:v>33.737000000000002</c:v>
                </c:pt>
                <c:pt idx="118">
                  <c:v>33.262999999999998</c:v>
                </c:pt>
                <c:pt idx="119">
                  <c:v>32.770400000000002</c:v>
                </c:pt>
                <c:pt idx="120">
                  <c:v>32.185699999999997</c:v>
                </c:pt>
                <c:pt idx="121">
                  <c:v>31.566800000000001</c:v>
                </c:pt>
                <c:pt idx="122">
                  <c:v>30.923200000000001</c:v>
                </c:pt>
                <c:pt idx="123">
                  <c:v>30.288599999999999</c:v>
                </c:pt>
                <c:pt idx="124">
                  <c:v>29.760399999999997</c:v>
                </c:pt>
                <c:pt idx="125">
                  <c:v>29.3263</c:v>
                </c:pt>
                <c:pt idx="126">
                  <c:v>28.9038</c:v>
                </c:pt>
                <c:pt idx="127">
                  <c:v>28.448600000000003</c:v>
                </c:pt>
                <c:pt idx="128">
                  <c:v>27.950599999999998</c:v>
                </c:pt>
                <c:pt idx="129">
                  <c:v>27.420400000000001</c:v>
                </c:pt>
                <c:pt idx="130">
                  <c:v>26.881100000000004</c:v>
                </c:pt>
                <c:pt idx="131">
                  <c:v>26.281600000000001</c:v>
                </c:pt>
                <c:pt idx="132">
                  <c:v>25.646200000000004</c:v>
                </c:pt>
                <c:pt idx="133">
                  <c:v>25.050800000000002</c:v>
                </c:pt>
                <c:pt idx="134">
                  <c:v>24.5169</c:v>
                </c:pt>
                <c:pt idx="135">
                  <c:v>23.9849</c:v>
                </c:pt>
                <c:pt idx="136">
                  <c:v>23.514499999999998</c:v>
                </c:pt>
                <c:pt idx="137">
                  <c:v>23.216700000000003</c:v>
                </c:pt>
                <c:pt idx="138">
                  <c:v>23.082599999999999</c:v>
                </c:pt>
                <c:pt idx="139">
                  <c:v>22.943300000000001</c:v>
                </c:pt>
                <c:pt idx="140">
                  <c:v>22.7851</c:v>
                </c:pt>
                <c:pt idx="141">
                  <c:v>22.848600000000001</c:v>
                </c:pt>
                <c:pt idx="142">
                  <c:v>22.9741</c:v>
                </c:pt>
                <c:pt idx="143">
                  <c:v>22.871600000000001</c:v>
                </c:pt>
                <c:pt idx="144">
                  <c:v>22.726199999999999</c:v>
                </c:pt>
                <c:pt idx="145">
                  <c:v>22.891000000000002</c:v>
                </c:pt>
                <c:pt idx="146">
                  <c:v>23.212499999999999</c:v>
                </c:pt>
                <c:pt idx="147">
                  <c:v>23.6645</c:v>
                </c:pt>
                <c:pt idx="148">
                  <c:v>24.1919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2.1079999999999997</c:v>
                </c:pt>
                <c:pt idx="1">
                  <c:v>2.1880899999999999</c:v>
                </c:pt>
                <c:pt idx="2">
                  <c:v>2.2699600000000002</c:v>
                </c:pt>
                <c:pt idx="3">
                  <c:v>2.3502300000000003</c:v>
                </c:pt>
                <c:pt idx="4">
                  <c:v>2.4274100000000001</c:v>
                </c:pt>
                <c:pt idx="5">
                  <c:v>2.5016300000000005</c:v>
                </c:pt>
                <c:pt idx="6">
                  <c:v>2.5735799999999998</c:v>
                </c:pt>
                <c:pt idx="7">
                  <c:v>2.64357</c:v>
                </c:pt>
                <c:pt idx="8">
                  <c:v>2.7110499999999997</c:v>
                </c:pt>
                <c:pt idx="9">
                  <c:v>2.7762700000000002</c:v>
                </c:pt>
                <c:pt idx="10">
                  <c:v>2.8404000000000003</c:v>
                </c:pt>
                <c:pt idx="11">
                  <c:v>2.9028499999999999</c:v>
                </c:pt>
                <c:pt idx="12">
                  <c:v>2.9633599999999998</c:v>
                </c:pt>
                <c:pt idx="13">
                  <c:v>3.0221799999999996</c:v>
                </c:pt>
                <c:pt idx="14">
                  <c:v>3.0811199999999999</c:v>
                </c:pt>
                <c:pt idx="15">
                  <c:v>3.1392899999999999</c:v>
                </c:pt>
                <c:pt idx="16">
                  <c:v>3.1948599999999998</c:v>
                </c:pt>
                <c:pt idx="17">
                  <c:v>3.2478400000000001</c:v>
                </c:pt>
                <c:pt idx="18">
                  <c:v>3.3012999999999999</c:v>
                </c:pt>
                <c:pt idx="19">
                  <c:v>3.3496999999999999</c:v>
                </c:pt>
                <c:pt idx="20">
                  <c:v>3.3927899999999998</c:v>
                </c:pt>
                <c:pt idx="21">
                  <c:v>3.4299800000000005</c:v>
                </c:pt>
                <c:pt idx="22">
                  <c:v>3.4623999999999997</c:v>
                </c:pt>
                <c:pt idx="23">
                  <c:v>3.4899499999999999</c:v>
                </c:pt>
                <c:pt idx="24">
                  <c:v>3.5150300000000003</c:v>
                </c:pt>
                <c:pt idx="25">
                  <c:v>3.54006</c:v>
                </c:pt>
                <c:pt idx="26">
                  <c:v>3.5646800000000001</c:v>
                </c:pt>
                <c:pt idx="27">
                  <c:v>3.5850300000000002</c:v>
                </c:pt>
                <c:pt idx="28">
                  <c:v>3.6038600000000001</c:v>
                </c:pt>
                <c:pt idx="29">
                  <c:v>3.6239100000000004</c:v>
                </c:pt>
                <c:pt idx="30">
                  <c:v>3.6433399999999998</c:v>
                </c:pt>
                <c:pt idx="31">
                  <c:v>3.6614300000000002</c:v>
                </c:pt>
                <c:pt idx="32">
                  <c:v>3.6792999999999996</c:v>
                </c:pt>
                <c:pt idx="33">
                  <c:v>3.69685</c:v>
                </c:pt>
                <c:pt idx="34">
                  <c:v>3.7136499999999999</c:v>
                </c:pt>
                <c:pt idx="35">
                  <c:v>3.7290200000000002</c:v>
                </c:pt>
                <c:pt idx="36">
                  <c:v>3.7441200000000001</c:v>
                </c:pt>
                <c:pt idx="37">
                  <c:v>3.7562099999999998</c:v>
                </c:pt>
                <c:pt idx="38">
                  <c:v>3.7646000000000002</c:v>
                </c:pt>
                <c:pt idx="39">
                  <c:v>3.7695299999999996</c:v>
                </c:pt>
                <c:pt idx="40">
                  <c:v>3.7702599999999995</c:v>
                </c:pt>
                <c:pt idx="41">
                  <c:v>3.76783</c:v>
                </c:pt>
                <c:pt idx="42">
                  <c:v>3.76458</c:v>
                </c:pt>
                <c:pt idx="43">
                  <c:v>3.7606999999999999</c:v>
                </c:pt>
                <c:pt idx="44">
                  <c:v>3.76173</c:v>
                </c:pt>
                <c:pt idx="45">
                  <c:v>3.7629099999999998</c:v>
                </c:pt>
                <c:pt idx="46">
                  <c:v>3.7652299999999999</c:v>
                </c:pt>
                <c:pt idx="47">
                  <c:v>3.7687500000000003</c:v>
                </c:pt>
                <c:pt idx="48">
                  <c:v>3.7736799999999997</c:v>
                </c:pt>
                <c:pt idx="49">
                  <c:v>3.7786</c:v>
                </c:pt>
                <c:pt idx="50">
                  <c:v>3.7828200000000001</c:v>
                </c:pt>
                <c:pt idx="51">
                  <c:v>3.7893500000000002</c:v>
                </c:pt>
                <c:pt idx="52">
                  <c:v>3.7960100000000003</c:v>
                </c:pt>
                <c:pt idx="53">
                  <c:v>3.8001100000000001</c:v>
                </c:pt>
                <c:pt idx="54">
                  <c:v>3.8011400000000002</c:v>
                </c:pt>
                <c:pt idx="55">
                  <c:v>3.8010100000000002</c:v>
                </c:pt>
                <c:pt idx="56">
                  <c:v>3.7994699999999999</c:v>
                </c:pt>
                <c:pt idx="57">
                  <c:v>3.7945800000000003</c:v>
                </c:pt>
                <c:pt idx="58">
                  <c:v>3.7855600000000003</c:v>
                </c:pt>
                <c:pt idx="59">
                  <c:v>3.77739</c:v>
                </c:pt>
                <c:pt idx="60">
                  <c:v>3.7665199999999999</c:v>
                </c:pt>
                <c:pt idx="61">
                  <c:v>3.7538999999999998</c:v>
                </c:pt>
                <c:pt idx="62">
                  <c:v>3.7439400000000003</c:v>
                </c:pt>
                <c:pt idx="63">
                  <c:v>3.73543</c:v>
                </c:pt>
                <c:pt idx="64">
                  <c:v>3.7304599999999999</c:v>
                </c:pt>
                <c:pt idx="65">
                  <c:v>3.7320199999999999</c:v>
                </c:pt>
                <c:pt idx="66">
                  <c:v>3.7387900000000003</c:v>
                </c:pt>
                <c:pt idx="67">
                  <c:v>3.7460500000000003</c:v>
                </c:pt>
                <c:pt idx="68">
                  <c:v>3.75054</c:v>
                </c:pt>
                <c:pt idx="69">
                  <c:v>3.7520199999999999</c:v>
                </c:pt>
                <c:pt idx="70">
                  <c:v>3.7566999999999999</c:v>
                </c:pt>
                <c:pt idx="71">
                  <c:v>3.7629400000000004</c:v>
                </c:pt>
                <c:pt idx="72">
                  <c:v>3.7694899999999998</c:v>
                </c:pt>
                <c:pt idx="73">
                  <c:v>3.7774200000000002</c:v>
                </c:pt>
                <c:pt idx="74">
                  <c:v>3.7857600000000002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60.020200000000003</c:v>
                </c:pt>
                <c:pt idx="1">
                  <c:v>59.184400000000004</c:v>
                </c:pt>
                <c:pt idx="2">
                  <c:v>58.338699999999996</c:v>
                </c:pt>
                <c:pt idx="3">
                  <c:v>57.637899999999995</c:v>
                </c:pt>
                <c:pt idx="4">
                  <c:v>57.102399999999996</c:v>
                </c:pt>
                <c:pt idx="5">
                  <c:v>56.679000000000002</c:v>
                </c:pt>
                <c:pt idx="6">
                  <c:v>56.300899999999999</c:v>
                </c:pt>
                <c:pt idx="7">
                  <c:v>55.907200000000003</c:v>
                </c:pt>
                <c:pt idx="8">
                  <c:v>55.482299999999995</c:v>
                </c:pt>
                <c:pt idx="9">
                  <c:v>55.073599999999999</c:v>
                </c:pt>
                <c:pt idx="10">
                  <c:v>54.601299999999995</c:v>
                </c:pt>
                <c:pt idx="11">
                  <c:v>54.120800000000003</c:v>
                </c:pt>
                <c:pt idx="12">
                  <c:v>53.628900000000002</c:v>
                </c:pt>
                <c:pt idx="13">
                  <c:v>53.0794</c:v>
                </c:pt>
                <c:pt idx="14">
                  <c:v>52.539400000000001</c:v>
                </c:pt>
                <c:pt idx="15">
                  <c:v>52.054199999999994</c:v>
                </c:pt>
                <c:pt idx="16">
                  <c:v>51.556999999999995</c:v>
                </c:pt>
                <c:pt idx="17">
                  <c:v>51.001200000000004</c:v>
                </c:pt>
                <c:pt idx="18">
                  <c:v>50.335099999999997</c:v>
                </c:pt>
                <c:pt idx="19">
                  <c:v>49.744100000000003</c:v>
                </c:pt>
                <c:pt idx="20">
                  <c:v>49.161700000000003</c:v>
                </c:pt>
                <c:pt idx="21">
                  <c:v>48.586600000000004</c:v>
                </c:pt>
                <c:pt idx="22">
                  <c:v>47.958600000000004</c:v>
                </c:pt>
                <c:pt idx="23">
                  <c:v>47.294599999999996</c:v>
                </c:pt>
                <c:pt idx="24">
                  <c:v>46.553199999999997</c:v>
                </c:pt>
                <c:pt idx="25">
                  <c:v>45.774700000000003</c:v>
                </c:pt>
                <c:pt idx="26">
                  <c:v>45.002199999999995</c:v>
                </c:pt>
                <c:pt idx="27">
                  <c:v>44.235500000000002</c:v>
                </c:pt>
                <c:pt idx="28">
                  <c:v>43.474899999999998</c:v>
                </c:pt>
                <c:pt idx="29">
                  <c:v>42.726599999999998</c:v>
                </c:pt>
                <c:pt idx="30">
                  <c:v>41.991900000000001</c:v>
                </c:pt>
                <c:pt idx="31">
                  <c:v>41.270800000000001</c:v>
                </c:pt>
                <c:pt idx="32">
                  <c:v>40.561799999999998</c:v>
                </c:pt>
                <c:pt idx="33">
                  <c:v>39.835100000000004</c:v>
                </c:pt>
                <c:pt idx="34">
                  <c:v>39.123799999999996</c:v>
                </c:pt>
                <c:pt idx="35">
                  <c:v>38.407599999999995</c:v>
                </c:pt>
                <c:pt idx="36">
                  <c:v>37.669699999999999</c:v>
                </c:pt>
                <c:pt idx="37">
                  <c:v>36.967100000000002</c:v>
                </c:pt>
                <c:pt idx="38">
                  <c:v>36.311399999999999</c:v>
                </c:pt>
                <c:pt idx="39">
                  <c:v>35.759399999999999</c:v>
                </c:pt>
                <c:pt idx="40">
                  <c:v>35.281800000000004</c:v>
                </c:pt>
                <c:pt idx="41">
                  <c:v>34.809899999999999</c:v>
                </c:pt>
                <c:pt idx="42">
                  <c:v>34.375499999999995</c:v>
                </c:pt>
                <c:pt idx="43">
                  <c:v>33.989000000000004</c:v>
                </c:pt>
                <c:pt idx="44">
                  <c:v>33.615699999999997</c:v>
                </c:pt>
                <c:pt idx="45">
                  <c:v>33.315199999999997</c:v>
                </c:pt>
                <c:pt idx="46">
                  <c:v>33.082999999999998</c:v>
                </c:pt>
                <c:pt idx="47">
                  <c:v>32.906700000000001</c:v>
                </c:pt>
                <c:pt idx="48">
                  <c:v>32.752600000000001</c:v>
                </c:pt>
                <c:pt idx="49">
                  <c:v>32.584400000000002</c:v>
                </c:pt>
                <c:pt idx="50">
                  <c:v>32.452599999999997</c:v>
                </c:pt>
                <c:pt idx="51">
                  <c:v>32.207799999999999</c:v>
                </c:pt>
                <c:pt idx="52">
                  <c:v>31.970199999999998</c:v>
                </c:pt>
                <c:pt idx="53">
                  <c:v>31.746600000000001</c:v>
                </c:pt>
                <c:pt idx="54">
                  <c:v>31.506499999999999</c:v>
                </c:pt>
                <c:pt idx="55">
                  <c:v>31.330300000000001</c:v>
                </c:pt>
                <c:pt idx="56">
                  <c:v>31.132199999999997</c:v>
                </c:pt>
                <c:pt idx="57">
                  <c:v>30.935200000000002</c:v>
                </c:pt>
                <c:pt idx="58">
                  <c:v>30.7593</c:v>
                </c:pt>
                <c:pt idx="59">
                  <c:v>30.645699999999998</c:v>
                </c:pt>
                <c:pt idx="60">
                  <c:v>30.548399999999997</c:v>
                </c:pt>
                <c:pt idx="61">
                  <c:v>30.5045</c:v>
                </c:pt>
                <c:pt idx="62">
                  <c:v>30.431799999999999</c:v>
                </c:pt>
                <c:pt idx="63">
                  <c:v>30.382100000000001</c:v>
                </c:pt>
                <c:pt idx="64">
                  <c:v>30.298500000000001</c:v>
                </c:pt>
                <c:pt idx="65">
                  <c:v>30.197200000000002</c:v>
                </c:pt>
                <c:pt idx="66">
                  <c:v>30.128599999999999</c:v>
                </c:pt>
                <c:pt idx="67">
                  <c:v>30.0381</c:v>
                </c:pt>
                <c:pt idx="68">
                  <c:v>29.941299999999998</c:v>
                </c:pt>
                <c:pt idx="69">
                  <c:v>29.892600000000002</c:v>
                </c:pt>
                <c:pt idx="70">
                  <c:v>29.8367</c:v>
                </c:pt>
                <c:pt idx="71">
                  <c:v>29.756100000000004</c:v>
                </c:pt>
                <c:pt idx="72">
                  <c:v>29.6831</c:v>
                </c:pt>
                <c:pt idx="73">
                  <c:v>29.6142</c:v>
                </c:pt>
                <c:pt idx="74">
                  <c:v>29.571199999999997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3.7857600000000002</c:v>
                </c:pt>
                <c:pt idx="1">
                  <c:v>3.7917099999999997</c:v>
                </c:pt>
                <c:pt idx="2">
                  <c:v>3.7923600000000004</c:v>
                </c:pt>
                <c:pt idx="3">
                  <c:v>3.7976900000000002</c:v>
                </c:pt>
                <c:pt idx="4">
                  <c:v>3.8060699999999996</c:v>
                </c:pt>
                <c:pt idx="5">
                  <c:v>3.8151600000000001</c:v>
                </c:pt>
                <c:pt idx="6">
                  <c:v>3.8262900000000002</c:v>
                </c:pt>
                <c:pt idx="7">
                  <c:v>3.8363900000000002</c:v>
                </c:pt>
                <c:pt idx="8">
                  <c:v>3.8484600000000002</c:v>
                </c:pt>
                <c:pt idx="9">
                  <c:v>3.85907</c:v>
                </c:pt>
                <c:pt idx="10">
                  <c:v>3.86835</c:v>
                </c:pt>
                <c:pt idx="11">
                  <c:v>3.8774100000000002</c:v>
                </c:pt>
                <c:pt idx="12">
                  <c:v>3.88652</c:v>
                </c:pt>
                <c:pt idx="13">
                  <c:v>3.8960600000000003</c:v>
                </c:pt>
                <c:pt idx="14">
                  <c:v>3.9058199999999998</c:v>
                </c:pt>
                <c:pt idx="15">
                  <c:v>3.91282</c:v>
                </c:pt>
                <c:pt idx="16">
                  <c:v>3.9187599999999998</c:v>
                </c:pt>
                <c:pt idx="17">
                  <c:v>3.92347</c:v>
                </c:pt>
                <c:pt idx="18">
                  <c:v>3.92624</c:v>
                </c:pt>
                <c:pt idx="19">
                  <c:v>3.9286399999999997</c:v>
                </c:pt>
                <c:pt idx="20">
                  <c:v>3.9318900000000001</c:v>
                </c:pt>
                <c:pt idx="21">
                  <c:v>3.93594</c:v>
                </c:pt>
                <c:pt idx="22">
                  <c:v>3.9424999999999999</c:v>
                </c:pt>
                <c:pt idx="23">
                  <c:v>3.95</c:v>
                </c:pt>
                <c:pt idx="24">
                  <c:v>3.9580700000000002</c:v>
                </c:pt>
                <c:pt idx="25">
                  <c:v>3.9689400000000004</c:v>
                </c:pt>
                <c:pt idx="26">
                  <c:v>3.9826600000000001</c:v>
                </c:pt>
                <c:pt idx="27">
                  <c:v>3.9991700000000003</c:v>
                </c:pt>
                <c:pt idx="28">
                  <c:v>4.0151900000000005</c:v>
                </c:pt>
                <c:pt idx="29">
                  <c:v>4.0312599999999996</c:v>
                </c:pt>
                <c:pt idx="30">
                  <c:v>4.0475699999999994</c:v>
                </c:pt>
                <c:pt idx="31">
                  <c:v>4.06616</c:v>
                </c:pt>
                <c:pt idx="32">
                  <c:v>4.0885400000000001</c:v>
                </c:pt>
                <c:pt idx="33">
                  <c:v>4.1116200000000003</c:v>
                </c:pt>
                <c:pt idx="34">
                  <c:v>4.1390399999999996</c:v>
                </c:pt>
                <c:pt idx="35">
                  <c:v>4.1697299999999995</c:v>
                </c:pt>
                <c:pt idx="36">
                  <c:v>4.2007099999999999</c:v>
                </c:pt>
                <c:pt idx="37">
                  <c:v>4.2299199999999999</c:v>
                </c:pt>
                <c:pt idx="38">
                  <c:v>4.2593800000000002</c:v>
                </c:pt>
                <c:pt idx="39">
                  <c:v>4.2895099999999999</c:v>
                </c:pt>
                <c:pt idx="40">
                  <c:v>4.31785</c:v>
                </c:pt>
                <c:pt idx="41">
                  <c:v>4.3421099999999999</c:v>
                </c:pt>
                <c:pt idx="42">
                  <c:v>4.3670999999999998</c:v>
                </c:pt>
                <c:pt idx="43">
                  <c:v>4.3924900000000004</c:v>
                </c:pt>
                <c:pt idx="44">
                  <c:v>4.4149799999999999</c:v>
                </c:pt>
                <c:pt idx="45">
                  <c:v>4.4359700000000002</c:v>
                </c:pt>
                <c:pt idx="46">
                  <c:v>4.45669</c:v>
                </c:pt>
                <c:pt idx="47">
                  <c:v>4.4742999999999995</c:v>
                </c:pt>
                <c:pt idx="48">
                  <c:v>4.4896200000000004</c:v>
                </c:pt>
                <c:pt idx="49">
                  <c:v>4.50068</c:v>
                </c:pt>
                <c:pt idx="50">
                  <c:v>4.51084</c:v>
                </c:pt>
                <c:pt idx="51">
                  <c:v>4.52332</c:v>
                </c:pt>
                <c:pt idx="52">
                  <c:v>4.5334300000000001</c:v>
                </c:pt>
                <c:pt idx="53">
                  <c:v>4.5431699999999999</c:v>
                </c:pt>
                <c:pt idx="54">
                  <c:v>4.5531199999999998</c:v>
                </c:pt>
                <c:pt idx="55">
                  <c:v>4.5631199999999996</c:v>
                </c:pt>
                <c:pt idx="56">
                  <c:v>4.5688699999999995</c:v>
                </c:pt>
                <c:pt idx="57">
                  <c:v>4.5727000000000002</c:v>
                </c:pt>
                <c:pt idx="58">
                  <c:v>4.5761200000000004</c:v>
                </c:pt>
                <c:pt idx="59">
                  <c:v>4.5732600000000003</c:v>
                </c:pt>
                <c:pt idx="60">
                  <c:v>4.5650399999999998</c:v>
                </c:pt>
                <c:pt idx="61">
                  <c:v>4.5562200000000006</c:v>
                </c:pt>
                <c:pt idx="62">
                  <c:v>4.54697</c:v>
                </c:pt>
                <c:pt idx="63">
                  <c:v>4.5327099999999998</c:v>
                </c:pt>
                <c:pt idx="64">
                  <c:v>4.5130300000000005</c:v>
                </c:pt>
                <c:pt idx="65">
                  <c:v>4.4957599999999998</c:v>
                </c:pt>
                <c:pt idx="66">
                  <c:v>4.4825799999999996</c:v>
                </c:pt>
                <c:pt idx="67">
                  <c:v>4.4632500000000004</c:v>
                </c:pt>
                <c:pt idx="68">
                  <c:v>4.4423399999999997</c:v>
                </c:pt>
                <c:pt idx="69">
                  <c:v>4.4352399999999994</c:v>
                </c:pt>
                <c:pt idx="70">
                  <c:v>4.4283400000000004</c:v>
                </c:pt>
                <c:pt idx="71">
                  <c:v>4.40876</c:v>
                </c:pt>
                <c:pt idx="72">
                  <c:v>4.37967</c:v>
                </c:pt>
                <c:pt idx="73">
                  <c:v>4.3410799999999998</c:v>
                </c:pt>
                <c:pt idx="74">
                  <c:v>4.3140499999999999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29.571199999999997</c:v>
                </c:pt>
                <c:pt idx="1">
                  <c:v>29.648400000000002</c:v>
                </c:pt>
                <c:pt idx="2">
                  <c:v>29.758699999999997</c:v>
                </c:pt>
                <c:pt idx="3">
                  <c:v>29.827599999999997</c:v>
                </c:pt>
                <c:pt idx="4">
                  <c:v>29.9207</c:v>
                </c:pt>
                <c:pt idx="5">
                  <c:v>29.981799999999996</c:v>
                </c:pt>
                <c:pt idx="6">
                  <c:v>29.978900000000003</c:v>
                </c:pt>
                <c:pt idx="7">
                  <c:v>30.032199999999996</c:v>
                </c:pt>
                <c:pt idx="8">
                  <c:v>30.0914</c:v>
                </c:pt>
                <c:pt idx="9">
                  <c:v>30.168899999999997</c:v>
                </c:pt>
                <c:pt idx="10">
                  <c:v>30.281999999999996</c:v>
                </c:pt>
                <c:pt idx="11">
                  <c:v>30.454199999999997</c:v>
                </c:pt>
                <c:pt idx="12">
                  <c:v>30.659099999999999</c:v>
                </c:pt>
                <c:pt idx="13">
                  <c:v>30.883899999999997</c:v>
                </c:pt>
                <c:pt idx="14">
                  <c:v>31.113600000000002</c:v>
                </c:pt>
                <c:pt idx="15">
                  <c:v>31.3569</c:v>
                </c:pt>
                <c:pt idx="16">
                  <c:v>31.622600000000002</c:v>
                </c:pt>
                <c:pt idx="17">
                  <c:v>31.920500000000001</c:v>
                </c:pt>
                <c:pt idx="18">
                  <c:v>32.325700000000005</c:v>
                </c:pt>
                <c:pt idx="19">
                  <c:v>32.755699999999997</c:v>
                </c:pt>
                <c:pt idx="20">
                  <c:v>33.197800000000001</c:v>
                </c:pt>
                <c:pt idx="21">
                  <c:v>33.623999999999995</c:v>
                </c:pt>
                <c:pt idx="22">
                  <c:v>34.045299999999997</c:v>
                </c:pt>
                <c:pt idx="23">
                  <c:v>34.4726</c:v>
                </c:pt>
                <c:pt idx="24">
                  <c:v>34.896999999999998</c:v>
                </c:pt>
                <c:pt idx="25">
                  <c:v>35.277900000000002</c:v>
                </c:pt>
                <c:pt idx="26">
                  <c:v>35.6006</c:v>
                </c:pt>
                <c:pt idx="27">
                  <c:v>35.833300000000001</c:v>
                </c:pt>
                <c:pt idx="28">
                  <c:v>36.044599999999996</c:v>
                </c:pt>
                <c:pt idx="29">
                  <c:v>36.251400000000004</c:v>
                </c:pt>
                <c:pt idx="30">
                  <c:v>36.446899999999999</c:v>
                </c:pt>
                <c:pt idx="31">
                  <c:v>36.584000000000003</c:v>
                </c:pt>
                <c:pt idx="32">
                  <c:v>36.697600000000001</c:v>
                </c:pt>
                <c:pt idx="33">
                  <c:v>36.806600000000003</c:v>
                </c:pt>
                <c:pt idx="34">
                  <c:v>36.789899999999996</c:v>
                </c:pt>
                <c:pt idx="35">
                  <c:v>36.645400000000002</c:v>
                </c:pt>
                <c:pt idx="36">
                  <c:v>36.498999999999995</c:v>
                </c:pt>
                <c:pt idx="37">
                  <c:v>36.310700000000004</c:v>
                </c:pt>
                <c:pt idx="38">
                  <c:v>35.9998</c:v>
                </c:pt>
                <c:pt idx="39">
                  <c:v>35.605399999999996</c:v>
                </c:pt>
                <c:pt idx="40">
                  <c:v>35.210799999999999</c:v>
                </c:pt>
                <c:pt idx="41">
                  <c:v>34.7851</c:v>
                </c:pt>
                <c:pt idx="42">
                  <c:v>34.268100000000004</c:v>
                </c:pt>
                <c:pt idx="43">
                  <c:v>33.737000000000002</c:v>
                </c:pt>
                <c:pt idx="44">
                  <c:v>33.262999999999998</c:v>
                </c:pt>
                <c:pt idx="45">
                  <c:v>32.770400000000002</c:v>
                </c:pt>
                <c:pt idx="46">
                  <c:v>32.185699999999997</c:v>
                </c:pt>
                <c:pt idx="47">
                  <c:v>31.566800000000001</c:v>
                </c:pt>
                <c:pt idx="48">
                  <c:v>30.923200000000001</c:v>
                </c:pt>
                <c:pt idx="49">
                  <c:v>30.288599999999999</c:v>
                </c:pt>
                <c:pt idx="50">
                  <c:v>29.760399999999997</c:v>
                </c:pt>
                <c:pt idx="51">
                  <c:v>29.3263</c:v>
                </c:pt>
                <c:pt idx="52">
                  <c:v>28.9038</c:v>
                </c:pt>
                <c:pt idx="53">
                  <c:v>28.448600000000003</c:v>
                </c:pt>
                <c:pt idx="54">
                  <c:v>27.950599999999998</c:v>
                </c:pt>
                <c:pt idx="55">
                  <c:v>27.420400000000001</c:v>
                </c:pt>
                <c:pt idx="56">
                  <c:v>26.881100000000004</c:v>
                </c:pt>
                <c:pt idx="57">
                  <c:v>26.281600000000001</c:v>
                </c:pt>
                <c:pt idx="58">
                  <c:v>25.646200000000004</c:v>
                </c:pt>
                <c:pt idx="59">
                  <c:v>25.050800000000002</c:v>
                </c:pt>
                <c:pt idx="60">
                  <c:v>24.5169</c:v>
                </c:pt>
                <c:pt idx="61">
                  <c:v>23.9849</c:v>
                </c:pt>
                <c:pt idx="62">
                  <c:v>23.514499999999998</c:v>
                </c:pt>
                <c:pt idx="63">
                  <c:v>23.216700000000003</c:v>
                </c:pt>
                <c:pt idx="64">
                  <c:v>23.082599999999999</c:v>
                </c:pt>
                <c:pt idx="65">
                  <c:v>22.943300000000001</c:v>
                </c:pt>
                <c:pt idx="66">
                  <c:v>22.7851</c:v>
                </c:pt>
                <c:pt idx="67">
                  <c:v>22.848600000000001</c:v>
                </c:pt>
                <c:pt idx="68">
                  <c:v>22.9741</c:v>
                </c:pt>
                <c:pt idx="69">
                  <c:v>22.871600000000001</c:v>
                </c:pt>
                <c:pt idx="70">
                  <c:v>22.726199999999999</c:v>
                </c:pt>
                <c:pt idx="71">
                  <c:v>22.891000000000002</c:v>
                </c:pt>
                <c:pt idx="72">
                  <c:v>23.212499999999999</c:v>
                </c:pt>
                <c:pt idx="73">
                  <c:v>23.6645</c:v>
                </c:pt>
                <c:pt idx="74">
                  <c:v>24.1919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2.1079999999999997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60.020200000000003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3.46049135135135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40.752818918918919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4.2002916216216226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30.484929729729735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4.2002916216216226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30.484929729729735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570</v>
      </c>
      <c r="D5" s="191"/>
      <c r="E5" s="191"/>
      <c r="F5" s="192"/>
      <c r="G5" s="48" t="str">
        <f>lang!B27</f>
        <v>编号</v>
      </c>
      <c r="H5" s="190">
        <v>9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569</v>
      </c>
      <c r="D6" s="145"/>
      <c r="E6" s="145"/>
      <c r="F6" s="146"/>
      <c r="G6" s="49" t="str">
        <f>lang!B28</f>
        <v xml:space="preserve"> 日期</v>
      </c>
      <c r="H6" s="129">
        <f>FH_info!A2</f>
        <v>43608.390879629631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24</v>
      </c>
      <c r="D7" s="148"/>
      <c r="E7" s="148"/>
      <c r="F7" s="149"/>
      <c r="G7" s="50" t="str">
        <f>lang!B29</f>
        <v>误差率（%）</v>
      </c>
      <c r="H7" s="132">
        <f>M!B17*1</f>
        <v>19.272300000000001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46.597700000000003</v>
      </c>
      <c r="O8" s="59">
        <f>M!C5*1</f>
        <v>11.5123</v>
      </c>
      <c r="P8" s="59">
        <f>M!D5*1</f>
        <v>24.7057</v>
      </c>
      <c r="Q8" s="59">
        <f>M!E5*1</f>
        <v>20</v>
      </c>
      <c r="R8" s="59">
        <f>M!F5*1</f>
        <v>9.0805500000000006</v>
      </c>
      <c r="S8" s="59">
        <f>M!G5*1</f>
        <v>50</v>
      </c>
      <c r="T8" s="59">
        <f>M!H5*1</f>
        <v>61.764000000000003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25.009</v>
      </c>
      <c r="O9" s="59">
        <f>M!C6*1</f>
        <v>3.3729</v>
      </c>
      <c r="P9" s="59">
        <f>M!D6*1</f>
        <v>13.486700000000001</v>
      </c>
      <c r="Q9" s="59">
        <f>M!E6*1</f>
        <v>20</v>
      </c>
      <c r="R9" s="59">
        <f>M!F6*1</f>
        <v>16.697700000000001</v>
      </c>
      <c r="S9" s="59">
        <f>M!G6*1</f>
        <v>40</v>
      </c>
      <c r="T9" s="59">
        <f>M!H6*1</f>
        <v>32.061199999999999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9.0805500000000006</v>
      </c>
      <c r="D10" s="99">
        <f>N8</f>
        <v>46.597700000000003</v>
      </c>
      <c r="E10" s="100">
        <f>T8</f>
        <v>61.764000000000003</v>
      </c>
      <c r="F10" s="91">
        <f>P8</f>
        <v>24.7057</v>
      </c>
      <c r="G10" s="81" t="str">
        <f>CONCATENATE(M9,"
(20 ~ 40)")</f>
        <v>压力
(20 ~ 40)</v>
      </c>
      <c r="H10" s="98">
        <f>R9</f>
        <v>16.697700000000001</v>
      </c>
      <c r="I10" s="108">
        <f>N9</f>
        <v>25.009</v>
      </c>
      <c r="J10" s="98">
        <f>T9</f>
        <v>32.061199999999999</v>
      </c>
      <c r="K10" s="92">
        <f>P9</f>
        <v>13.486700000000001</v>
      </c>
      <c r="L10" s="6"/>
      <c r="M10" s="27" t="str">
        <f>lang!B16</f>
        <v>焦虑</v>
      </c>
      <c r="N10" s="59">
        <f>M!B7*1</f>
        <v>19.448599999999999</v>
      </c>
      <c r="O10" s="59">
        <f>M!C7*1</f>
        <v>8.6748600000000007</v>
      </c>
      <c r="P10" s="59">
        <f>M!D7*1</f>
        <v>44.603999999999999</v>
      </c>
      <c r="Q10" s="59">
        <f>M!E7*1</f>
        <v>15</v>
      </c>
      <c r="R10" s="59">
        <f>M!F7*1</f>
        <v>5.5175200000000002</v>
      </c>
      <c r="S10" s="59">
        <f>M!G7*1</f>
        <v>40</v>
      </c>
      <c r="T10" s="59">
        <f>M!H7*1</f>
        <v>41.758899999999997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5.5175200000000002</v>
      </c>
      <c r="D11" s="102">
        <f>N10</f>
        <v>19.448599999999999</v>
      </c>
      <c r="E11" s="103">
        <f>T10</f>
        <v>41.758899999999997</v>
      </c>
      <c r="F11" s="94">
        <f>P10</f>
        <v>44.603999999999999</v>
      </c>
      <c r="G11" s="52" t="str">
        <f>CONCATENATE(M11,"
(20 ~ 50)")</f>
        <v>可疑
(20 ~ 50)</v>
      </c>
      <c r="H11" s="101">
        <f>R11</f>
        <v>12.413500000000001</v>
      </c>
      <c r="I11" s="104">
        <f>N11</f>
        <v>31.1266</v>
      </c>
      <c r="J11" s="101">
        <f>T11</f>
        <v>39.384500000000003</v>
      </c>
      <c r="K11" s="95">
        <f>P11</f>
        <v>20.632899999999999</v>
      </c>
      <c r="L11" s="4"/>
      <c r="M11" s="27" t="str">
        <f>lang!B17</f>
        <v>可疑</v>
      </c>
      <c r="N11" s="59">
        <f>M!B8*1</f>
        <v>31.1266</v>
      </c>
      <c r="O11" s="59">
        <f>M!C8*1</f>
        <v>6.4223400000000002</v>
      </c>
      <c r="P11" s="59">
        <f>M!D8*1</f>
        <v>20.632899999999999</v>
      </c>
      <c r="Q11" s="59">
        <f>M!E8*1</f>
        <v>20</v>
      </c>
      <c r="R11" s="59">
        <f>M!F8*1</f>
        <v>12.413500000000001</v>
      </c>
      <c r="S11" s="59">
        <f>M!G8*1</f>
        <v>50</v>
      </c>
      <c r="T11" s="59">
        <f>M!H8*1</f>
        <v>39.384500000000003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48.8386</v>
      </c>
      <c r="D12" s="104">
        <f>N12</f>
        <v>63.465000000000003</v>
      </c>
      <c r="E12" s="101">
        <f>T12</f>
        <v>92.708100000000002</v>
      </c>
      <c r="F12" s="93">
        <f>P12</f>
        <v>11.255599999999999</v>
      </c>
      <c r="G12" s="52" t="str">
        <f>CONCATENATE(M13,"
(40 ~ 100)")</f>
        <v>自信
(40 ~ 100)</v>
      </c>
      <c r="H12" s="101">
        <f>R13</f>
        <v>75.679400000000001</v>
      </c>
      <c r="I12" s="104">
        <f>N13</f>
        <v>81.671599999999998</v>
      </c>
      <c r="J12" s="101">
        <f>T13</f>
        <v>86.808000000000007</v>
      </c>
      <c r="K12" s="95">
        <f>P13</f>
        <v>3.43363</v>
      </c>
      <c r="L12" s="4"/>
      <c r="M12" s="27" t="str">
        <f>lang!B18</f>
        <v>平衡</v>
      </c>
      <c r="N12" s="59">
        <f>M!B9*1</f>
        <v>63.465000000000003</v>
      </c>
      <c r="O12" s="59">
        <f>M!C9*1</f>
        <v>7.14337</v>
      </c>
      <c r="P12" s="59">
        <f>M!D9*1</f>
        <v>11.255599999999999</v>
      </c>
      <c r="Q12" s="59">
        <f>M!E9*1</f>
        <v>50</v>
      </c>
      <c r="R12" s="59">
        <f>M!F9*1</f>
        <v>48.8386</v>
      </c>
      <c r="S12" s="59">
        <f>M!G9*1</f>
        <v>100</v>
      </c>
      <c r="T12" s="59">
        <f>M!H9*1</f>
        <v>92.708100000000002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7.9518399999999998</v>
      </c>
      <c r="D13" s="102">
        <f>N14</f>
        <v>24.7163</v>
      </c>
      <c r="E13" s="103">
        <f>T14</f>
        <v>33.0291</v>
      </c>
      <c r="F13" s="94">
        <f>P14</f>
        <v>20.997</v>
      </c>
      <c r="G13" s="52" t="str">
        <f>CONCATENATE(M15,"
(50 ~ 100)")</f>
        <v>自我调节
(50 ~ 100)</v>
      </c>
      <c r="H13" s="101">
        <f>R15</f>
        <v>62.662199999999999</v>
      </c>
      <c r="I13" s="104">
        <f>N15</f>
        <v>72.147199999999998</v>
      </c>
      <c r="J13" s="101">
        <f>T15</f>
        <v>89.636499999999998</v>
      </c>
      <c r="K13" s="95">
        <f>P15</f>
        <v>6.3626100000000001</v>
      </c>
      <c r="L13" s="4"/>
      <c r="M13" s="27" t="str">
        <f>lang!B19</f>
        <v>自信</v>
      </c>
      <c r="N13" s="59">
        <f>M!B10*1</f>
        <v>81.671599999999998</v>
      </c>
      <c r="O13" s="59">
        <f>M!C10*1</f>
        <v>2.8043</v>
      </c>
      <c r="P13" s="59">
        <f>M!D10*1</f>
        <v>3.43363</v>
      </c>
      <c r="Q13" s="59">
        <f>M!E10*1</f>
        <v>40</v>
      </c>
      <c r="R13" s="59">
        <f>M!F10*1</f>
        <v>75.679400000000001</v>
      </c>
      <c r="S13" s="59">
        <f>M!G10*1</f>
        <v>100</v>
      </c>
      <c r="T13" s="59">
        <f>M!H10*1</f>
        <v>86.808000000000007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17.106000000000002</v>
      </c>
      <c r="D14" s="106">
        <f>N16</f>
        <v>22.602599999999999</v>
      </c>
      <c r="E14" s="107">
        <f>T16</f>
        <v>34.909700000000001</v>
      </c>
      <c r="F14" s="96">
        <f>P16</f>
        <v>14.769399999999999</v>
      </c>
      <c r="G14" s="112" t="str">
        <f>CONCATENATE(M17,"
(10 ~ 50)")</f>
        <v>神经质
(10 ~ 50)</v>
      </c>
      <c r="H14" s="105">
        <f>R17</f>
        <v>3.5086499999999998</v>
      </c>
      <c r="I14" s="106">
        <f>N17</f>
        <v>33.3827</v>
      </c>
      <c r="J14" s="107">
        <f>T17</f>
        <v>35.252600000000001</v>
      </c>
      <c r="K14" s="97">
        <f>P17</f>
        <v>32.4756</v>
      </c>
      <c r="M14" s="27" t="str">
        <f>lang!B20</f>
        <v>活力</v>
      </c>
      <c r="N14" s="59">
        <f>M!B11*1</f>
        <v>24.7163</v>
      </c>
      <c r="O14" s="59">
        <f>M!C11*1</f>
        <v>5.1896899999999997</v>
      </c>
      <c r="P14" s="59">
        <f>M!D11*1</f>
        <v>20.997</v>
      </c>
      <c r="Q14" s="59">
        <f>M!E11*1</f>
        <v>10</v>
      </c>
      <c r="R14" s="59">
        <f>M!F11*1</f>
        <v>7.9518399999999998</v>
      </c>
      <c r="S14" s="59">
        <f>M!G11*1</f>
        <v>50</v>
      </c>
      <c r="T14" s="59">
        <f>M!H11*1</f>
        <v>33.0291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72.147199999999998</v>
      </c>
      <c r="O15" s="59">
        <f>M!C12*1</f>
        <v>4.5904400000000001</v>
      </c>
      <c r="P15" s="59">
        <f>M!D12*1</f>
        <v>6.3626100000000001</v>
      </c>
      <c r="Q15" s="59">
        <f>M!E12*1</f>
        <v>50</v>
      </c>
      <c r="R15" s="59">
        <f>M!F12*1</f>
        <v>62.662199999999999</v>
      </c>
      <c r="S15" s="59">
        <f>M!G12*1</f>
        <v>100</v>
      </c>
      <c r="T15" s="59">
        <f>M!H12*1</f>
        <v>89.636499999999998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22.602599999999999</v>
      </c>
      <c r="O16" s="59">
        <f>M!C13*1</f>
        <v>3.3382700000000001</v>
      </c>
      <c r="P16" s="59">
        <f>M!D13*1</f>
        <v>14.769399999999999</v>
      </c>
      <c r="Q16" s="59">
        <f>M!E13*1</f>
        <v>10</v>
      </c>
      <c r="R16" s="59">
        <f>M!F13*1</f>
        <v>17.106000000000002</v>
      </c>
      <c r="S16" s="59">
        <f>M!G13*1</f>
        <v>25</v>
      </c>
      <c r="T16" s="59">
        <f>M!H13*1</f>
        <v>34.909700000000001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33.3827</v>
      </c>
      <c r="O17" s="59">
        <f>M!C14*1</f>
        <v>10.841200000000001</v>
      </c>
      <c r="P17" s="59">
        <f>M!D14*1</f>
        <v>32.4756</v>
      </c>
      <c r="Q17" s="59">
        <f>M!E14*1</f>
        <v>10</v>
      </c>
      <c r="R17" s="59">
        <f>M!F14*1</f>
        <v>3.5086499999999998</v>
      </c>
      <c r="S17" s="59">
        <f>M!G14*1</f>
        <v>50</v>
      </c>
      <c r="T17" s="59">
        <f>M!H14*1</f>
        <v>35.252600000000001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60.500024999999994</v>
      </c>
      <c r="O18" s="22">
        <f>N18/(N18+N19+N20)</f>
        <v>0.50824063546014453</v>
      </c>
      <c r="P18" s="65">
        <f>SUM(P12:P15)/4</f>
        <v>10.51221</v>
      </c>
      <c r="Q18" s="22">
        <f>P18/(P18+P19+P20)</f>
        <v>0.17522676135256954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30.545475</v>
      </c>
      <c r="O19" s="22">
        <f>N19/(N18+N19+N20)</f>
        <v>0.25660240015490837</v>
      </c>
      <c r="P19" s="18">
        <f>SUM(P8:P11)/4</f>
        <v>25.857325000000003</v>
      </c>
      <c r="Q19" s="22">
        <f>P19/(P18+P19+P20)</f>
        <v>0.43101263359377628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27.992649999999998</v>
      </c>
      <c r="O20" s="22">
        <f>N20/(N18+N19+N20)</f>
        <v>0.23515696438494718</v>
      </c>
      <c r="P20" s="18">
        <f>(P16+P17)/2</f>
        <v>23.622499999999999</v>
      </c>
      <c r="Q20" s="22">
        <f>P20/(P18+P19+P20)</f>
        <v>0.39376060505365418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-0.17665891891891911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1.8343740070058239</v>
      </c>
      <c r="D25" s="44" t="str">
        <f>lang!B11</f>
        <v>频率方差</v>
      </c>
      <c r="E25" s="182">
        <f ca="1">FH!L3</f>
        <v>0.69988433967818309</v>
      </c>
      <c r="F25" s="183"/>
      <c r="G25" s="174" t="str">
        <f>lang!B12</f>
        <v>生理变化率</v>
      </c>
      <c r="H25" s="175"/>
      <c r="I25" s="62" t="str">
        <f ca="1">CONCATENATE(info!M7,"-",info!M8)</f>
        <v>22.7-60</v>
      </c>
      <c r="J25" s="42" t="str">
        <f>lang!B13</f>
        <v>千卡l/分钟</v>
      </c>
      <c r="K25" s="41" t="str">
        <f ca="1">CONCATENATE(info!M5,"-",info!M6)</f>
        <v>2.1-4.6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46.796700000000001</v>
      </c>
      <c r="F28" s="121"/>
      <c r="G28" s="135" t="str">
        <f>lang!B33</f>
        <v>稳定性</v>
      </c>
      <c r="H28" s="136"/>
      <c r="I28" s="137"/>
      <c r="J28" s="138">
        <f>M!B19*100</f>
        <v>52.834000000000003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43608.390879629631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6.8932000000000002</v>
      </c>
      <c r="O7" s="59">
        <f t="shared" ref="O7:T7" si="2">AG7-X7</f>
        <v>-7.6616</v>
      </c>
      <c r="P7" s="59">
        <f t="shared" si="2"/>
        <v>-20.661999999999999</v>
      </c>
      <c r="Q7" s="59">
        <f t="shared" si="2"/>
        <v>0</v>
      </c>
      <c r="R7" s="59">
        <f t="shared" si="2"/>
        <v>31.375949999999996</v>
      </c>
      <c r="S7" s="59">
        <f t="shared" si="2"/>
        <v>0</v>
      </c>
      <c r="T7" s="59">
        <f t="shared" si="2"/>
        <v>11.0535</v>
      </c>
      <c r="U7" s="14"/>
      <c r="V7" s="27" t="str">
        <f>M7</f>
        <v>攻击性</v>
      </c>
      <c r="W7" s="59">
        <f>'M1'!B5*1</f>
        <v>40.768099999999997</v>
      </c>
      <c r="X7" s="59">
        <f>'M1'!C5*1</f>
        <v>12.9298</v>
      </c>
      <c r="Y7" s="59">
        <f>'M1'!D5*1</f>
        <v>31.715399999999999</v>
      </c>
      <c r="Z7" s="59">
        <f>'M1'!E5*1</f>
        <v>20</v>
      </c>
      <c r="AA7" s="59">
        <f>'M1'!F5*1</f>
        <v>9.0805500000000006</v>
      </c>
      <c r="AB7" s="59">
        <f>'M1'!G5*1</f>
        <v>50</v>
      </c>
      <c r="AC7" s="59">
        <f>'M1'!H5*1</f>
        <v>50.710500000000003</v>
      </c>
      <c r="AE7" s="27" t="str">
        <f>V7</f>
        <v>攻击性</v>
      </c>
      <c r="AF7" s="59">
        <f>'M2'!B5*1</f>
        <v>47.661299999999997</v>
      </c>
      <c r="AG7" s="59">
        <f>'M2'!C5*1</f>
        <v>5.2682000000000002</v>
      </c>
      <c r="AH7" s="59">
        <f>'M2'!D5*1</f>
        <v>11.0534</v>
      </c>
      <c r="AI7" s="59">
        <f>'M2'!E5*1</f>
        <v>20</v>
      </c>
      <c r="AJ7" s="59">
        <f>'M2'!F5*1</f>
        <v>40.456499999999998</v>
      </c>
      <c r="AK7" s="59">
        <f>'M2'!G5*1</f>
        <v>50</v>
      </c>
      <c r="AL7" s="59">
        <f>'M2'!H5*1</f>
        <v>61.764000000000003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-0.23540000000000205</v>
      </c>
      <c r="O8" s="59">
        <f t="shared" ref="O8:O16" si="5">AG8-X8</f>
        <v>-1.4823499999999998</v>
      </c>
      <c r="P8" s="59">
        <f t="shared" ref="P8:P16" si="6">AH8-Y8</f>
        <v>-5.7809200000000001</v>
      </c>
      <c r="Q8" s="59">
        <f t="shared" ref="Q8:Q16" si="7">AI8-Z8</f>
        <v>0</v>
      </c>
      <c r="R8" s="59">
        <f t="shared" ref="R8:R16" si="8">AJ8-AA8</f>
        <v>5.8720999999999997</v>
      </c>
      <c r="S8" s="59">
        <f t="shared" ref="S8:S16" si="9">AK8-AB8</f>
        <v>0</v>
      </c>
      <c r="T8" s="59">
        <f t="shared" ref="T8:T16" si="10">AL8-AC8</f>
        <v>2.5164000000000009</v>
      </c>
      <c r="U8" s="15"/>
      <c r="V8" s="27" t="str">
        <f t="shared" ref="V8:V16" si="11">M8</f>
        <v>压力</v>
      </c>
      <c r="W8" s="59">
        <f>'M1'!B6*1</f>
        <v>25.238700000000001</v>
      </c>
      <c r="X8" s="59">
        <f>'M1'!C6*1</f>
        <v>3.95892</v>
      </c>
      <c r="Y8" s="59">
        <f>'M1'!D6*1</f>
        <v>15.6859</v>
      </c>
      <c r="Z8" s="59">
        <f>'M1'!E6*1</f>
        <v>20</v>
      </c>
      <c r="AA8" s="59">
        <f>'M1'!F6*1</f>
        <v>16.697700000000001</v>
      </c>
      <c r="AB8" s="59">
        <f>'M1'!G6*1</f>
        <v>40</v>
      </c>
      <c r="AC8" s="59">
        <f>'M1'!H6*1</f>
        <v>29.544799999999999</v>
      </c>
      <c r="AE8" s="27" t="str">
        <f t="shared" ref="AE8:AE16" si="12">V8</f>
        <v>压力</v>
      </c>
      <c r="AF8" s="59">
        <f>'M2'!B6*1</f>
        <v>25.003299999999999</v>
      </c>
      <c r="AG8" s="59">
        <f>'M2'!C6*1</f>
        <v>2.4765700000000002</v>
      </c>
      <c r="AH8" s="59">
        <f>'M2'!D6*1</f>
        <v>9.9049800000000001</v>
      </c>
      <c r="AI8" s="59">
        <f>'M2'!E6*1</f>
        <v>20</v>
      </c>
      <c r="AJ8" s="59">
        <f>'M2'!F6*1</f>
        <v>22.569800000000001</v>
      </c>
      <c r="AK8" s="59">
        <f>'M2'!G6*1</f>
        <v>40</v>
      </c>
      <c r="AL8" s="59">
        <f>'M2'!H6*1</f>
        <v>32.061199999999999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31.375949999999996</v>
      </c>
      <c r="D9" s="78">
        <f>N7</f>
        <v>6.8932000000000002</v>
      </c>
      <c r="E9" s="79">
        <f>T7</f>
        <v>11.0535</v>
      </c>
      <c r="F9" s="79">
        <f>P7</f>
        <v>-20.661999999999999</v>
      </c>
      <c r="G9" s="80" t="str">
        <f>CONCATENATE(M8,"
(20 ~ 40)")</f>
        <v>压力
(20 ~ 40)</v>
      </c>
      <c r="H9" s="77">
        <f>R8</f>
        <v>5.8720999999999997</v>
      </c>
      <c r="I9" s="81">
        <f>N8</f>
        <v>-0.23540000000000205</v>
      </c>
      <c r="J9" s="77">
        <f>T8</f>
        <v>2.5164000000000009</v>
      </c>
      <c r="K9" s="82">
        <f>P8</f>
        <v>-5.7809200000000001</v>
      </c>
      <c r="L9" s="6"/>
      <c r="M9" s="27" t="str">
        <f>lang!B16</f>
        <v>焦虑</v>
      </c>
      <c r="N9" s="59">
        <f t="shared" si="4"/>
        <v>4.172699999999999</v>
      </c>
      <c r="O9" s="59">
        <f t="shared" si="5"/>
        <v>1.927010000000001</v>
      </c>
      <c r="P9" s="59">
        <f t="shared" si="6"/>
        <v>-8.0499999999993577E-2</v>
      </c>
      <c r="Q9" s="59">
        <f t="shared" si="7"/>
        <v>0</v>
      </c>
      <c r="R9" s="59">
        <f t="shared" si="8"/>
        <v>-5.1865800000000002</v>
      </c>
      <c r="S9" s="59">
        <f t="shared" si="9"/>
        <v>0</v>
      </c>
      <c r="T9" s="59">
        <f t="shared" si="10"/>
        <v>-0.71099999999999852</v>
      </c>
      <c r="U9" s="14"/>
      <c r="V9" s="27" t="str">
        <f t="shared" si="11"/>
        <v>焦虑</v>
      </c>
      <c r="W9" s="59">
        <f>'M1'!B7*1</f>
        <v>16.441800000000001</v>
      </c>
      <c r="X9" s="59">
        <f>'M1'!C7*1</f>
        <v>7.6584599999999998</v>
      </c>
      <c r="Y9" s="59">
        <f>'M1'!D7*1</f>
        <v>46.579099999999997</v>
      </c>
      <c r="Z9" s="59">
        <f>'M1'!E7*1</f>
        <v>15</v>
      </c>
      <c r="AA9" s="59">
        <f>'M1'!F7*1</f>
        <v>10.7041</v>
      </c>
      <c r="AB9" s="59">
        <f>'M1'!G7*1</f>
        <v>40</v>
      </c>
      <c r="AC9" s="59">
        <f>'M1'!H7*1</f>
        <v>41.758899999999997</v>
      </c>
      <c r="AE9" s="27" t="str">
        <f t="shared" si="12"/>
        <v>焦虑</v>
      </c>
      <c r="AF9" s="59">
        <f>'M2'!B7*1</f>
        <v>20.6145</v>
      </c>
      <c r="AG9" s="59">
        <f>'M2'!C7*1</f>
        <v>9.5854700000000008</v>
      </c>
      <c r="AH9" s="59">
        <f>'M2'!D7*1</f>
        <v>46.498600000000003</v>
      </c>
      <c r="AI9" s="59">
        <f>'M2'!E7*1</f>
        <v>15</v>
      </c>
      <c r="AJ9" s="59">
        <f>'M2'!F7*1</f>
        <v>5.5175200000000002</v>
      </c>
      <c r="AK9" s="59">
        <f>'M2'!G7*1</f>
        <v>40</v>
      </c>
      <c r="AL9" s="59">
        <f>'M2'!H7*1</f>
        <v>41.047899999999998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-5.1865800000000002</v>
      </c>
      <c r="D10" s="51">
        <f>N9</f>
        <v>4.172699999999999</v>
      </c>
      <c r="E10" s="53">
        <f>T9</f>
        <v>-0.71099999999999852</v>
      </c>
      <c r="F10" s="53">
        <f>P9</f>
        <v>-8.0499999999993577E-2</v>
      </c>
      <c r="G10" s="73" t="str">
        <f>CONCATENATE(M10,"
(20 ~ 50)")</f>
        <v>可疑
(20 ~ 50)</v>
      </c>
      <c r="H10" s="24">
        <f>R10</f>
        <v>13.568</v>
      </c>
      <c r="I10" s="52">
        <f>N10</f>
        <v>2.2342000000000013</v>
      </c>
      <c r="J10" s="24">
        <f>T10</f>
        <v>2.2921000000000049</v>
      </c>
      <c r="K10" s="25">
        <f>P10</f>
        <v>-12.972999999999999</v>
      </c>
      <c r="L10" s="4"/>
      <c r="M10" s="27" t="str">
        <f>lang!B17</f>
        <v>可疑</v>
      </c>
      <c r="N10" s="59">
        <f t="shared" si="4"/>
        <v>2.2342000000000013</v>
      </c>
      <c r="O10" s="59">
        <f t="shared" si="5"/>
        <v>-3.6586100000000004</v>
      </c>
      <c r="P10" s="59">
        <f t="shared" si="6"/>
        <v>-12.972999999999999</v>
      </c>
      <c r="Q10" s="59">
        <f t="shared" si="7"/>
        <v>0</v>
      </c>
      <c r="R10" s="59">
        <f t="shared" si="8"/>
        <v>13.568</v>
      </c>
      <c r="S10" s="59">
        <f t="shared" si="9"/>
        <v>0</v>
      </c>
      <c r="T10" s="59">
        <f t="shared" si="10"/>
        <v>2.2921000000000049</v>
      </c>
      <c r="U10" s="14"/>
      <c r="V10" s="27" t="str">
        <f t="shared" si="11"/>
        <v>可疑</v>
      </c>
      <c r="W10" s="59">
        <f>'M1'!B8*1</f>
        <v>30.179600000000001</v>
      </c>
      <c r="X10" s="59">
        <f>'M1'!C8*1</f>
        <v>7.3808600000000002</v>
      </c>
      <c r="Y10" s="59">
        <f>'M1'!D8*1</f>
        <v>24.456499999999998</v>
      </c>
      <c r="Z10" s="59">
        <f>'M1'!E8*1</f>
        <v>20</v>
      </c>
      <c r="AA10" s="59">
        <f>'M1'!F8*1</f>
        <v>12.413500000000001</v>
      </c>
      <c r="AB10" s="59">
        <f>'M1'!G8*1</f>
        <v>50</v>
      </c>
      <c r="AC10" s="59">
        <f>'M1'!H8*1</f>
        <v>37.092399999999998</v>
      </c>
      <c r="AE10" s="27" t="str">
        <f t="shared" si="12"/>
        <v>可疑</v>
      </c>
      <c r="AF10" s="59">
        <f>'M2'!B8*1</f>
        <v>32.413800000000002</v>
      </c>
      <c r="AG10" s="59">
        <f>'M2'!C8*1</f>
        <v>3.7222499999999998</v>
      </c>
      <c r="AH10" s="59">
        <f>'M2'!D8*1</f>
        <v>11.483499999999999</v>
      </c>
      <c r="AI10" s="59">
        <f>'M2'!E8*1</f>
        <v>20</v>
      </c>
      <c r="AJ10" s="59">
        <f>'M2'!F8*1</f>
        <v>25.9815</v>
      </c>
      <c r="AK10" s="59">
        <f>'M2'!G8*1</f>
        <v>50</v>
      </c>
      <c r="AL10" s="59">
        <f>'M2'!H8*1</f>
        <v>39.384500000000003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-4.7257000000000033</v>
      </c>
      <c r="D11" s="52">
        <f>N11</f>
        <v>-5.3589999999999947</v>
      </c>
      <c r="E11" s="24">
        <f>T11</f>
        <v>-24.936599999999999</v>
      </c>
      <c r="F11" s="24">
        <f>P11</f>
        <v>-4.8112200000000005</v>
      </c>
      <c r="G11" s="73" t="str">
        <f>CONCATENATE(M12,"
(40 ~ 100)")</f>
        <v>自信
(40 ~ 100)</v>
      </c>
      <c r="H11" s="24">
        <f>R12</f>
        <v>-1.515900000000002</v>
      </c>
      <c r="I11" s="52">
        <f>N12</f>
        <v>1.9244000000000057</v>
      </c>
      <c r="J11" s="24">
        <f>T12</f>
        <v>-3.3920000000000101</v>
      </c>
      <c r="K11" s="25">
        <f>P12</f>
        <v>-1.3266599999999995</v>
      </c>
      <c r="L11" s="4"/>
      <c r="M11" s="27" t="str">
        <f>lang!B18</f>
        <v>平衡</v>
      </c>
      <c r="N11" s="59">
        <f t="shared" si="4"/>
        <v>-5.3589999999999947</v>
      </c>
      <c r="O11" s="59">
        <f t="shared" si="5"/>
        <v>-3.5904000000000007</v>
      </c>
      <c r="P11" s="59">
        <f t="shared" si="6"/>
        <v>-4.8112200000000005</v>
      </c>
      <c r="Q11" s="59">
        <f t="shared" si="7"/>
        <v>0</v>
      </c>
      <c r="R11" s="59">
        <f t="shared" si="8"/>
        <v>-4.7257000000000033</v>
      </c>
      <c r="S11" s="59">
        <f t="shared" si="9"/>
        <v>0</v>
      </c>
      <c r="T11" s="59">
        <f t="shared" si="10"/>
        <v>-24.936599999999999</v>
      </c>
      <c r="U11" s="14"/>
      <c r="V11" s="27" t="str">
        <f t="shared" si="11"/>
        <v>平衡</v>
      </c>
      <c r="W11" s="59">
        <f>'M1'!B9*1</f>
        <v>66.907399999999996</v>
      </c>
      <c r="X11" s="59">
        <f>'M1'!C9*1</f>
        <v>7.8552600000000004</v>
      </c>
      <c r="Y11" s="59">
        <f>'M1'!D9*1</f>
        <v>11.740500000000001</v>
      </c>
      <c r="Z11" s="59">
        <f>'M1'!E9*1</f>
        <v>50</v>
      </c>
      <c r="AA11" s="59">
        <f>'M1'!F9*1</f>
        <v>53.564300000000003</v>
      </c>
      <c r="AB11" s="59">
        <f>'M1'!G9*1</f>
        <v>100</v>
      </c>
      <c r="AC11" s="59">
        <f>'M1'!H9*1</f>
        <v>92.708100000000002</v>
      </c>
      <c r="AE11" s="27" t="str">
        <f t="shared" si="12"/>
        <v>平衡</v>
      </c>
      <c r="AF11" s="59">
        <f>'M2'!B9*1</f>
        <v>61.548400000000001</v>
      </c>
      <c r="AG11" s="59">
        <f>'M2'!C9*1</f>
        <v>4.2648599999999997</v>
      </c>
      <c r="AH11" s="59">
        <f>'M2'!D9*1</f>
        <v>6.9292800000000003</v>
      </c>
      <c r="AI11" s="59">
        <f>'M2'!E9*1</f>
        <v>50</v>
      </c>
      <c r="AJ11" s="59">
        <f>'M2'!F9*1</f>
        <v>48.8386</v>
      </c>
      <c r="AK11" s="59">
        <f>'M2'!G9*1</f>
        <v>100</v>
      </c>
      <c r="AL11" s="59">
        <f>'M2'!H9*1</f>
        <v>67.771500000000003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13.960760000000001</v>
      </c>
      <c r="D12" s="51">
        <f>N13</f>
        <v>2.192499999999999</v>
      </c>
      <c r="E12" s="53">
        <f>T13</f>
        <v>6.3533000000000008</v>
      </c>
      <c r="F12" s="53">
        <f>P13</f>
        <v>-9.0189999999999984</v>
      </c>
      <c r="G12" s="73" t="str">
        <f>CONCATENATE(M14,"
(50 ~ 100)")</f>
        <v>自我调节
(50 ~ 100)</v>
      </c>
      <c r="H12" s="24">
        <f>R14</f>
        <v>-2.8028000000000048</v>
      </c>
      <c r="I12" s="52">
        <f>N14</f>
        <v>-1.6140000000000043</v>
      </c>
      <c r="J12" s="24">
        <f>T14</f>
        <v>-14.165599999999998</v>
      </c>
      <c r="K12" s="25">
        <f>P14</f>
        <v>-3.5907399999999998</v>
      </c>
      <c r="L12" s="4"/>
      <c r="M12" s="27" t="str">
        <f>lang!B19</f>
        <v>自信</v>
      </c>
      <c r="N12" s="59">
        <f t="shared" si="4"/>
        <v>1.9244000000000057</v>
      </c>
      <c r="O12" s="59">
        <f t="shared" si="5"/>
        <v>-1.0091399999999999</v>
      </c>
      <c r="P12" s="59">
        <f t="shared" si="6"/>
        <v>-1.3266599999999995</v>
      </c>
      <c r="Q12" s="59">
        <f t="shared" si="7"/>
        <v>0</v>
      </c>
      <c r="R12" s="59">
        <f t="shared" si="8"/>
        <v>-1.515900000000002</v>
      </c>
      <c r="S12" s="59">
        <f t="shared" si="9"/>
        <v>0</v>
      </c>
      <c r="T12" s="59">
        <f t="shared" si="10"/>
        <v>-3.3920000000000101</v>
      </c>
      <c r="U12" s="15"/>
      <c r="V12" s="27" t="str">
        <f t="shared" si="11"/>
        <v>自信</v>
      </c>
      <c r="W12" s="59">
        <f>'M1'!B10*1</f>
        <v>80.062299999999993</v>
      </c>
      <c r="X12" s="59">
        <f>'M1'!C10*1</f>
        <v>3.2677299999999998</v>
      </c>
      <c r="Y12" s="59">
        <f>'M1'!D10*1</f>
        <v>4.0814899999999996</v>
      </c>
      <c r="Z12" s="59">
        <f>'M1'!E10*1</f>
        <v>40</v>
      </c>
      <c r="AA12" s="59">
        <f>'M1'!F10*1</f>
        <v>77.195300000000003</v>
      </c>
      <c r="AB12" s="59">
        <f>'M1'!G10*1</f>
        <v>100</v>
      </c>
      <c r="AC12" s="59">
        <f>'M1'!H10*1</f>
        <v>86.808000000000007</v>
      </c>
      <c r="AE12" s="27" t="str">
        <f t="shared" si="12"/>
        <v>自信</v>
      </c>
      <c r="AF12" s="59">
        <f>'M2'!B10*1</f>
        <v>81.986699999999999</v>
      </c>
      <c r="AG12" s="59">
        <f>'M2'!C10*1</f>
        <v>2.2585899999999999</v>
      </c>
      <c r="AH12" s="59">
        <f>'M2'!D10*1</f>
        <v>2.7548300000000001</v>
      </c>
      <c r="AI12" s="59">
        <f>'M2'!E10*1</f>
        <v>40</v>
      </c>
      <c r="AJ12" s="59">
        <f>'M2'!F10*1</f>
        <v>75.679400000000001</v>
      </c>
      <c r="AK12" s="59">
        <f>'M2'!G10*1</f>
        <v>100</v>
      </c>
      <c r="AL12" s="59">
        <f>'M2'!H10*1</f>
        <v>83.415999999999997</v>
      </c>
    </row>
    <row r="13" spans="2:38" ht="25.5" customHeight="1" thickBot="1">
      <c r="B13" s="72" t="str">
        <f>CONCATENATE(M15,"
(10 ~ 25)")</f>
        <v>抑郁
(10 ~ 25)</v>
      </c>
      <c r="C13" s="54">
        <f>R15</f>
        <v>0.77869999999999706</v>
      </c>
      <c r="D13" s="55">
        <f>N15</f>
        <v>2.1936</v>
      </c>
      <c r="E13" s="56">
        <f>T15</f>
        <v>3.7404000000000011</v>
      </c>
      <c r="F13" s="56">
        <f>P15</f>
        <v>0.10559999999999903</v>
      </c>
      <c r="G13" s="74" t="str">
        <f>CONCATENATE(M16,"
(10 ~ 50)")</f>
        <v>神经质
(10 ~ 50)</v>
      </c>
      <c r="H13" s="54">
        <f>R16</f>
        <v>0.31594000000000033</v>
      </c>
      <c r="I13" s="55">
        <f>N16</f>
        <v>3.4142999999999972</v>
      </c>
      <c r="J13" s="56">
        <f>T16</f>
        <v>0.94310000000000116</v>
      </c>
      <c r="K13" s="57">
        <f>P16</f>
        <v>0.59559999999999746</v>
      </c>
      <c r="M13" s="27" t="str">
        <f>lang!B20</f>
        <v>活力</v>
      </c>
      <c r="N13" s="59">
        <f t="shared" si="4"/>
        <v>2.192499999999999</v>
      </c>
      <c r="O13" s="59">
        <f t="shared" si="5"/>
        <v>-1.8659299999999996</v>
      </c>
      <c r="P13" s="59">
        <f t="shared" si="6"/>
        <v>-9.0189999999999984</v>
      </c>
      <c r="Q13" s="59">
        <f t="shared" si="7"/>
        <v>0</v>
      </c>
      <c r="R13" s="59">
        <f t="shared" si="8"/>
        <v>13.960760000000001</v>
      </c>
      <c r="S13" s="59">
        <f t="shared" si="9"/>
        <v>0</v>
      </c>
      <c r="T13" s="59">
        <f t="shared" si="10"/>
        <v>6.3533000000000008</v>
      </c>
      <c r="U13" s="14"/>
      <c r="V13" s="27" t="str">
        <f t="shared" si="11"/>
        <v>活力</v>
      </c>
      <c r="W13" s="59">
        <f>'M1'!B11*1</f>
        <v>23.761500000000002</v>
      </c>
      <c r="X13" s="59">
        <f>'M1'!C11*1</f>
        <v>5.1465199999999998</v>
      </c>
      <c r="Y13" s="59">
        <f>'M1'!D11*1</f>
        <v>21.658999999999999</v>
      </c>
      <c r="Z13" s="59">
        <f>'M1'!E11*1</f>
        <v>10</v>
      </c>
      <c r="AA13" s="59">
        <f>'M1'!F11*1</f>
        <v>7.9518399999999998</v>
      </c>
      <c r="AB13" s="59">
        <f>'M1'!G11*1</f>
        <v>50</v>
      </c>
      <c r="AC13" s="59">
        <f>'M1'!H11*1</f>
        <v>26.675799999999999</v>
      </c>
      <c r="AE13" s="27" t="str">
        <f t="shared" si="12"/>
        <v>活力</v>
      </c>
      <c r="AF13" s="59">
        <f>'M2'!B11*1</f>
        <v>25.954000000000001</v>
      </c>
      <c r="AG13" s="59">
        <f>'M2'!C11*1</f>
        <v>3.2805900000000001</v>
      </c>
      <c r="AH13" s="59">
        <f>'M2'!D11*1</f>
        <v>12.64</v>
      </c>
      <c r="AI13" s="59">
        <f>'M2'!E11*1</f>
        <v>10</v>
      </c>
      <c r="AJ13" s="59">
        <f>'M2'!F11*1</f>
        <v>21.912600000000001</v>
      </c>
      <c r="AK13" s="59">
        <f>'M2'!G11*1</f>
        <v>50</v>
      </c>
      <c r="AL13" s="59">
        <f>'M2'!H11*1</f>
        <v>33.0291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-1.6140000000000043</v>
      </c>
      <c r="O14" s="59">
        <f t="shared" si="5"/>
        <v>-2.6866099999999999</v>
      </c>
      <c r="P14" s="59">
        <f t="shared" si="6"/>
        <v>-3.5907399999999998</v>
      </c>
      <c r="Q14" s="59">
        <f t="shared" si="7"/>
        <v>0</v>
      </c>
      <c r="R14" s="59">
        <f t="shared" si="8"/>
        <v>-2.8028000000000048</v>
      </c>
      <c r="S14" s="59">
        <f t="shared" si="9"/>
        <v>0</v>
      </c>
      <c r="T14" s="59">
        <f t="shared" si="10"/>
        <v>-14.165599999999998</v>
      </c>
      <c r="U14" s="14"/>
      <c r="V14" s="27" t="str">
        <f t="shared" si="11"/>
        <v>自我调节</v>
      </c>
      <c r="W14" s="59">
        <f>'M1'!B12*1</f>
        <v>73.105800000000002</v>
      </c>
      <c r="X14" s="59">
        <f>'M1'!C12*1</f>
        <v>5.41378</v>
      </c>
      <c r="Y14" s="59">
        <f>'M1'!D12*1</f>
        <v>7.4054099999999998</v>
      </c>
      <c r="Z14" s="59">
        <f>'M1'!E12*1</f>
        <v>50</v>
      </c>
      <c r="AA14" s="59">
        <f>'M1'!F12*1</f>
        <v>65.465000000000003</v>
      </c>
      <c r="AB14" s="59">
        <f>'M1'!G12*1</f>
        <v>100</v>
      </c>
      <c r="AC14" s="59">
        <f>'M1'!H12*1</f>
        <v>89.636499999999998</v>
      </c>
      <c r="AE14" s="27" t="str">
        <f t="shared" si="12"/>
        <v>自我调节</v>
      </c>
      <c r="AF14" s="59">
        <f>'M2'!B12*1</f>
        <v>71.491799999999998</v>
      </c>
      <c r="AG14" s="59">
        <f>'M2'!C12*1</f>
        <v>2.7271700000000001</v>
      </c>
      <c r="AH14" s="59">
        <f>'M2'!D12*1</f>
        <v>3.81467</v>
      </c>
      <c r="AI14" s="59">
        <f>'M2'!E12*1</f>
        <v>50</v>
      </c>
      <c r="AJ14" s="59">
        <f>'M2'!F12*1</f>
        <v>62.662199999999999</v>
      </c>
      <c r="AK14" s="59">
        <f>'M2'!G12*1</f>
        <v>100</v>
      </c>
      <c r="AL14" s="59">
        <f>'M2'!H12*1</f>
        <v>75.4709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2.1936</v>
      </c>
      <c r="O15" s="59">
        <f t="shared" si="5"/>
        <v>0.3414299999999999</v>
      </c>
      <c r="P15" s="59">
        <f t="shared" si="6"/>
        <v>0.10559999999999903</v>
      </c>
      <c r="Q15" s="59">
        <f t="shared" si="7"/>
        <v>0</v>
      </c>
      <c r="R15" s="59">
        <f t="shared" si="8"/>
        <v>0.77869999999999706</v>
      </c>
      <c r="S15" s="59">
        <f t="shared" si="9"/>
        <v>0</v>
      </c>
      <c r="T15" s="59">
        <f t="shared" si="10"/>
        <v>3.7404000000000011</v>
      </c>
      <c r="U15" s="14"/>
      <c r="V15" s="27" t="str">
        <f t="shared" si="11"/>
        <v>抑郁</v>
      </c>
      <c r="W15" s="59">
        <f>'M1'!B13*1</f>
        <v>21.410499999999999</v>
      </c>
      <c r="X15" s="59">
        <f>'M1'!C13*1</f>
        <v>3.0891700000000002</v>
      </c>
      <c r="Y15" s="59">
        <f>'M1'!D13*1</f>
        <v>14.4283</v>
      </c>
      <c r="Z15" s="59">
        <f>'M1'!E13*1</f>
        <v>10</v>
      </c>
      <c r="AA15" s="59">
        <f>'M1'!F13*1</f>
        <v>17.106000000000002</v>
      </c>
      <c r="AB15" s="59">
        <f>'M1'!G13*1</f>
        <v>25</v>
      </c>
      <c r="AC15" s="59">
        <f>'M1'!H13*1</f>
        <v>31.1693</v>
      </c>
      <c r="AE15" s="27" t="str">
        <f t="shared" si="12"/>
        <v>抑郁</v>
      </c>
      <c r="AF15" s="59">
        <f>'M2'!B13*1</f>
        <v>23.604099999999999</v>
      </c>
      <c r="AG15" s="59">
        <f>'M2'!C13*1</f>
        <v>3.4306000000000001</v>
      </c>
      <c r="AH15" s="59">
        <f>'M2'!D13*1</f>
        <v>14.533899999999999</v>
      </c>
      <c r="AI15" s="59">
        <f>'M2'!E13*1</f>
        <v>10</v>
      </c>
      <c r="AJ15" s="59">
        <f>'M2'!F13*1</f>
        <v>17.884699999999999</v>
      </c>
      <c r="AK15" s="59">
        <f>'M2'!G13*1</f>
        <v>25</v>
      </c>
      <c r="AL15" s="59">
        <f>'M2'!H13*1</f>
        <v>34.909700000000001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3.4142999999999972</v>
      </c>
      <c r="O16" s="59">
        <f t="shared" si="5"/>
        <v>1.3231000000000002</v>
      </c>
      <c r="P16" s="59">
        <f t="shared" si="6"/>
        <v>0.59559999999999746</v>
      </c>
      <c r="Q16" s="59">
        <f t="shared" si="7"/>
        <v>0</v>
      </c>
      <c r="R16" s="59">
        <f t="shared" si="8"/>
        <v>0.31594000000000033</v>
      </c>
      <c r="S16" s="59">
        <f t="shared" si="9"/>
        <v>0</v>
      </c>
      <c r="T16" s="59">
        <f t="shared" si="10"/>
        <v>0.94310000000000116</v>
      </c>
      <c r="U16" s="15"/>
      <c r="V16" s="27" t="str">
        <f t="shared" si="11"/>
        <v>神经质</v>
      </c>
      <c r="W16" s="59">
        <f>'M1'!B14*1</f>
        <v>30.8917</v>
      </c>
      <c r="X16" s="59">
        <f>'M1'!C14*1</f>
        <v>10.1228</v>
      </c>
      <c r="Y16" s="59">
        <f>'M1'!D14*1</f>
        <v>32.768599999999999</v>
      </c>
      <c r="Z16" s="59">
        <f>'M1'!E14*1</f>
        <v>10</v>
      </c>
      <c r="AA16" s="59">
        <f>'M1'!F14*1</f>
        <v>3.5086499999999998</v>
      </c>
      <c r="AB16" s="59">
        <f>'M1'!G14*1</f>
        <v>50</v>
      </c>
      <c r="AC16" s="59">
        <f>'M1'!H14*1</f>
        <v>34.3095</v>
      </c>
      <c r="AE16" s="27" t="str">
        <f t="shared" si="12"/>
        <v>神经质</v>
      </c>
      <c r="AF16" s="59">
        <f>'M2'!B14*1</f>
        <v>34.305999999999997</v>
      </c>
      <c r="AG16" s="59">
        <f>'M2'!C14*1</f>
        <v>11.4459</v>
      </c>
      <c r="AH16" s="59">
        <f>'M2'!D14*1</f>
        <v>33.364199999999997</v>
      </c>
      <c r="AI16" s="59">
        <f>'M2'!E14*1</f>
        <v>10</v>
      </c>
      <c r="AJ16" s="59">
        <f>'M2'!F14*1</f>
        <v>3.8245900000000002</v>
      </c>
      <c r="AK16" s="59">
        <f>'M2'!G14*1</f>
        <v>50</v>
      </c>
      <c r="AL16" s="59">
        <f>'M2'!H14*1</f>
        <v>35.252600000000001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-0.71402499999999858</v>
      </c>
      <c r="O17" s="22">
        <f>N17/(N17+N18+N19)</f>
        <v>-0.13331061780026487</v>
      </c>
      <c r="P17" s="65">
        <f>SUM(P11:P14)/4</f>
        <v>-4.6869049999999994</v>
      </c>
      <c r="Q17" s="22">
        <f>P17/(P17+P18+P19)</f>
        <v>0.32982194039440099</v>
      </c>
      <c r="R17" s="14"/>
      <c r="S17" s="14"/>
      <c r="T17" s="14"/>
      <c r="U17" s="14"/>
      <c r="V17" s="21" t="str">
        <f>M17</f>
        <v>Positive</v>
      </c>
      <c r="W17" s="65">
        <f>SUM(W11:W14)/4</f>
        <v>60.959249999999997</v>
      </c>
      <c r="X17" s="22">
        <f>W17/(W17+W18+W19)</f>
        <v>0.52885074184027747</v>
      </c>
      <c r="Y17" s="65">
        <f>SUM(Y11:Y14)/4</f>
        <v>11.221599999999999</v>
      </c>
      <c r="Z17" s="22">
        <f>Y17/(Y17+Y18+Y19)</f>
        <v>0.1741692732069389</v>
      </c>
      <c r="AA17" s="14"/>
      <c r="AB17" s="14"/>
      <c r="AC17" s="14"/>
      <c r="AE17" s="21" t="str">
        <f>V17</f>
        <v>Positive</v>
      </c>
      <c r="AF17" s="65">
        <f>SUM(AF11:AF14)/4</f>
        <v>60.245225000000005</v>
      </c>
      <c r="AG17" s="22">
        <f>AF17/(AF17+AF18+AF19)</f>
        <v>0.49944849055117785</v>
      </c>
      <c r="AH17" s="65">
        <f>SUM(AH11:AH14)/4</f>
        <v>6.5346950000000001</v>
      </c>
      <c r="AI17" s="22">
        <f>AH17/(AH17+AH18+AH19)</f>
        <v>0.13012430687153126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3.2661749999999996</v>
      </c>
      <c r="O18" s="22">
        <f>N18/(N17+N18+N19)</f>
        <v>0.60980470864995051</v>
      </c>
      <c r="P18" s="18">
        <f>SUM(P7:P10)/4</f>
        <v>-9.8741049999999984</v>
      </c>
      <c r="Q18" s="22">
        <f>P18/(P17+P18+P19)</f>
        <v>0.69485011340278002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28.157049999999998</v>
      </c>
      <c r="X18" s="22">
        <f>W18/(W17+W18+W19)</f>
        <v>0.24427591842966875</v>
      </c>
      <c r="Y18" s="18">
        <f>SUM(Y7:Y10)/4</f>
        <v>29.609225000000002</v>
      </c>
      <c r="Z18" s="22">
        <f>Y18/(Y17+Y18+Y19)</f>
        <v>0.45956166664920567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31.423225000000002</v>
      </c>
      <c r="AG18" s="22">
        <f>AF18/(AF17+AF18+AF19)</f>
        <v>0.26050665915016558</v>
      </c>
      <c r="AH18" s="18">
        <f>SUM(AH7:AH10)/4</f>
        <v>19.735120000000002</v>
      </c>
      <c r="AI18" s="22">
        <f>AH18/(AH17+AH18+AH19)</f>
        <v>0.3929821990202288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2.8039499999999986</v>
      </c>
      <c r="O19" s="22">
        <f>N19/(N17+N18+N19)</f>
        <v>0.52350590915031436</v>
      </c>
      <c r="P19" s="18">
        <f>(P15+P16)/2</f>
        <v>0.35059999999999825</v>
      </c>
      <c r="Q19" s="22">
        <f>P19/(P17+P18+P19)</f>
        <v>-2.4672053797180959E-2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26.1511</v>
      </c>
      <c r="X19" s="22">
        <f>W19/(W17+W18+W19)</f>
        <v>0.22687333973005377</v>
      </c>
      <c r="Y19" s="18">
        <f>(Y15+Y16)/2</f>
        <v>23.59845</v>
      </c>
      <c r="Z19" s="22">
        <f>Y19/(Y17+Y18+Y19)</f>
        <v>0.36626906014385541</v>
      </c>
      <c r="AA19" s="14"/>
      <c r="AB19" s="14"/>
      <c r="AC19" s="14"/>
      <c r="AE19" s="21" t="str">
        <f t="shared" si="14"/>
        <v>Physiological</v>
      </c>
      <c r="AF19" s="18">
        <f>(AF15+AF16)/2</f>
        <v>28.95505</v>
      </c>
      <c r="AG19" s="22">
        <f>AF19/(AF17+AF18+AF19)</f>
        <v>0.24004485029865655</v>
      </c>
      <c r="AH19" s="18">
        <f>(AH15+AH16)/2</f>
        <v>23.94905</v>
      </c>
      <c r="AI19" s="22">
        <f>AH19/(AH17+AH18+AH19)</f>
        <v>0.47689349410824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1.62/2.01</v>
      </c>
      <c r="D24" s="44" t="str">
        <f>lang!B11</f>
        <v>频率方差</v>
      </c>
      <c r="E24" s="182" t="str">
        <f ca="1">CONCATENATE(ROUND('FH1'!L3,2),"/",ROUND('FH2'!L3,2))</f>
        <v>0.65/0.69</v>
      </c>
      <c r="F24" s="183"/>
      <c r="G24" s="174" t="str">
        <f>lang!B12</f>
        <v>生理变化率</v>
      </c>
      <c r="H24" s="175"/>
      <c r="I24" s="62" t="str">
        <f ca="1">CONCATENATE(info!M7,"-",info!M8)</f>
        <v>22.7-60</v>
      </c>
      <c r="J24" s="42" t="str">
        <f>lang!B13</f>
        <v>千卡l/分钟</v>
      </c>
      <c r="K24" s="41" t="str">
        <f ca="1">CONCATENATE(info!M5,"-",info!M6)</f>
        <v>2.1-4.6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8.8198000000000008</v>
      </c>
      <c r="F27" s="121"/>
      <c r="G27" s="135" t="str">
        <f>lang!B33</f>
        <v>稳定性</v>
      </c>
      <c r="H27" s="136"/>
      <c r="I27" s="137"/>
      <c r="J27" s="138">
        <f>dM!B19*100</f>
        <v>5.2175000000000029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-0.90155364888855571</v>
      </c>
      <c r="C2">
        <f t="array" aca="1" ref="C2" ca="1">CORREL(FT_E02,FT_PH02)</f>
        <v>-0.49137505579126473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2.1079999999999997</v>
      </c>
      <c r="G2" s="61">
        <f>IF(FT!B2&lt;&gt;"",FT!B2*100,"")</f>
        <v>60.020200000000003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2.1880899999999999</v>
      </c>
      <c r="G3" s="61">
        <f>IF(FT!B3&lt;&gt;"",FT!B3*100,"")</f>
        <v>59.184400000000004</v>
      </c>
      <c r="H3" s="61">
        <f t="shared" ref="H3:H66" si="1">(IF(F3&lt;&gt;"",1,""))</f>
        <v>1</v>
      </c>
      <c r="I3" t="str">
        <f>IF(FT!B3&lt;&gt;"",FT!E3,"")</f>
        <v>1 [0.373215]</v>
      </c>
      <c r="J3">
        <f>IF(FT!B3&lt;&gt;"",FT!C3,"")</f>
        <v>0.37321500000000002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0.4075281891891892</v>
      </c>
      <c r="V3">
        <f ca="1">AVERAGE(OFFSET(FT!B2,info!$L$3/2,0,info!$L$3/2,1))</f>
        <v>0.30484929729729737</v>
      </c>
      <c r="W3">
        <f ca="1">AVERAGE(OFFSET(FT!A2,0,0,info!$L$3/2,1))</f>
        <v>0.34604913513513502</v>
      </c>
      <c r="X3">
        <f ca="1">AVERAGE(OFFSET(FT!A2,info!$L$3/2,0,info!$L$3/2,1))</f>
        <v>0.4200291621621623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2.2699600000000002</v>
      </c>
      <c r="G4" s="61">
        <f>IF(FT!B4&lt;&gt;"",FT!B4*100,"")</f>
        <v>58.338699999999996</v>
      </c>
      <c r="H4" s="61">
        <f t="shared" si="1"/>
        <v>1</v>
      </c>
      <c r="I4" t="str">
        <f>IF(FT!B4&lt;&gt;"",FT!E4,"")</f>
        <v>1 [0.780914]</v>
      </c>
      <c r="J4">
        <f>IF(FT!B4&lt;&gt;"",FT!C4,"")</f>
        <v>0.780914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15.039099999999999</v>
      </c>
      <c r="V4">
        <f>U4*3</f>
        <v>45.1173</v>
      </c>
      <c r="W4">
        <f>U4</f>
        <v>15.039099999999999</v>
      </c>
      <c r="X4">
        <f>V4</f>
        <v>45.1173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2.3502300000000003</v>
      </c>
      <c r="G5" s="61">
        <f>IF(FT!B5&lt;&gt;"",FT!B5*100,"")</f>
        <v>57.637899999999995</v>
      </c>
      <c r="H5" s="61">
        <f t="shared" si="1"/>
        <v>1</v>
      </c>
      <c r="I5" t="str">
        <f>IF(FT!B5&lt;&gt;"",FT!E5,"")</f>
        <v>1 [1.186853]</v>
      </c>
      <c r="J5">
        <f>IF(FT!B5&lt;&gt;"",FT!C5,"")</f>
        <v>1.18685</v>
      </c>
      <c r="K5" t="s">
        <v>53</v>
      </c>
      <c r="L5" s="63">
        <f ca="1">MIN(FT_E)</f>
        <v>2.1079999999999997</v>
      </c>
      <c r="M5" s="63">
        <f ca="1">ROUND(L5,1)</f>
        <v>2.1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40.752818918918919</v>
      </c>
      <c r="V5">
        <f ca="1">V3*100</f>
        <v>30.484929729729735</v>
      </c>
      <c r="W5">
        <f ca="1">W3*10</f>
        <v>3.46049135135135</v>
      </c>
      <c r="X5">
        <f ca="1">X3*10</f>
        <v>4.2002916216216226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2.4274100000000001</v>
      </c>
      <c r="G6" s="61">
        <f>IF(FT!B6&lt;&gt;"",FT!B6*100,"")</f>
        <v>57.102399999999996</v>
      </c>
      <c r="H6" s="61">
        <f t="shared" si="1"/>
        <v>1</v>
      </c>
      <c r="I6" t="str">
        <f>IF(FT!B6&lt;&gt;"",FT!E6,"")</f>
        <v>1 [1.592817]</v>
      </c>
      <c r="J6">
        <f>IF(FT!B6&lt;&gt;"",FT!C6,"")</f>
        <v>1.5928199999999999</v>
      </c>
      <c r="K6" t="s">
        <v>54</v>
      </c>
      <c r="L6" s="63">
        <f ca="1">MAX(FT_E)</f>
        <v>4.5761200000000004</v>
      </c>
      <c r="M6" s="63">
        <f ca="1">ROUND(L6,1)</f>
        <v>4.5999999999999996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2.5016300000000005</v>
      </c>
      <c r="G7" s="61">
        <f>IF(FT!B7&lt;&gt;"",FT!B7*100,"")</f>
        <v>56.679000000000002</v>
      </c>
      <c r="H7" s="61">
        <f t="shared" si="1"/>
        <v>1</v>
      </c>
      <c r="I7" t="str">
        <f>IF(FT!B7&lt;&gt;"",FT!E7,"")</f>
        <v>1 [1.999704]</v>
      </c>
      <c r="J7">
        <f>IF(FT!B7&lt;&gt;"",FT!C7,"")</f>
        <v>1.9997</v>
      </c>
      <c r="K7" t="s">
        <v>55</v>
      </c>
      <c r="L7" s="63">
        <f ca="1">MIN(FT_PH)</f>
        <v>22.726199999999999</v>
      </c>
      <c r="M7" s="63">
        <f ca="1">ROUND(L7,1)</f>
        <v>22.7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343</v>
      </c>
      <c r="D8" s="61">
        <f>FH!B8*1</f>
        <v>343</v>
      </c>
      <c r="E8">
        <f t="shared" si="3"/>
        <v>6</v>
      </c>
      <c r="F8" s="61">
        <f>IF(FT!A8&lt;&gt;"",FT!A8*10,"")</f>
        <v>2.5735799999999998</v>
      </c>
      <c r="G8" s="61">
        <f>IF(FT!B8&lt;&gt;"",FT!B8*100,"")</f>
        <v>56.300899999999999</v>
      </c>
      <c r="H8" s="61">
        <f t="shared" si="1"/>
        <v>1</v>
      </c>
      <c r="I8" t="str">
        <f>IF(FT!B8&lt;&gt;"",FT!E8,"")</f>
        <v>1 [2.403654]</v>
      </c>
      <c r="J8">
        <f>IF(FT!B8&lt;&gt;"",FT!C8,"")</f>
        <v>2.4036499999999998</v>
      </c>
      <c r="K8" t="s">
        <v>56</v>
      </c>
      <c r="L8" s="63">
        <f ca="1">MAX(FT_PH)</f>
        <v>60.020200000000003</v>
      </c>
      <c r="M8" s="63">
        <f ca="1">ROUND(L8,1)</f>
        <v>60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2.64357</v>
      </c>
      <c r="G9" s="61">
        <f>IF(FT!B9&lt;&gt;"",FT!B9*100,"")</f>
        <v>55.907200000000003</v>
      </c>
      <c r="H9" s="61">
        <f t="shared" si="1"/>
        <v>1</v>
      </c>
      <c r="I9" t="str">
        <f>IF(FT!B9&lt;&gt;"",FT!E9,"")</f>
        <v>1 [2.810497]</v>
      </c>
      <c r="J9">
        <f>IF(FT!B9&lt;&gt;"",FT!C9,"")</f>
        <v>2.8105000000000002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1592</v>
      </c>
      <c r="D10" s="61">
        <f>FH!B10*1</f>
        <v>1592</v>
      </c>
      <c r="E10">
        <f t="shared" si="3"/>
        <v>8</v>
      </c>
      <c r="F10" s="61">
        <f>IF(FT!A10&lt;&gt;"",FT!A10*10,"")</f>
        <v>2.7110499999999997</v>
      </c>
      <c r="G10" s="61">
        <f>IF(FT!B10&lt;&gt;"",FT!B10*100,"")</f>
        <v>55.482299999999995</v>
      </c>
      <c r="H10" s="61">
        <f t="shared" si="1"/>
        <v>1</v>
      </c>
      <c r="I10" t="str">
        <f>IF(FT!B10&lt;&gt;"",FT!E10,"")</f>
        <v>1 [3.218475]</v>
      </c>
      <c r="J10">
        <f>IF(FT!B10&lt;&gt;"",FT!C10,"")</f>
        <v>3.21848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2.7762700000000002</v>
      </c>
      <c r="G11" s="61">
        <f>IF(FT!B11&lt;&gt;"",FT!B11*100,"")</f>
        <v>55.073599999999999</v>
      </c>
      <c r="H11" s="61">
        <f t="shared" si="1"/>
        <v>1</v>
      </c>
      <c r="I11" t="str">
        <f>IF(FT!B11&lt;&gt;"",FT!E11,"")</f>
        <v>1 [3.625411]</v>
      </c>
      <c r="J11">
        <f>IF(FT!B11&lt;&gt;"",FT!C11,"")</f>
        <v>3.62541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2.8404000000000003</v>
      </c>
      <c r="G12" s="61">
        <f>IF(FT!B12&lt;&gt;"",FT!B12*100,"")</f>
        <v>54.601299999999995</v>
      </c>
      <c r="H12" s="61">
        <f t="shared" si="1"/>
        <v>1</v>
      </c>
      <c r="I12" t="str">
        <f>IF(FT!B12&lt;&gt;"",FT!E12,"")</f>
        <v>1 [4.030243]</v>
      </c>
      <c r="J12">
        <f>IF(FT!B12&lt;&gt;"",FT!C12,"")</f>
        <v>4.03024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2902</v>
      </c>
      <c r="D13" s="61">
        <f>FH!B13*1</f>
        <v>2902</v>
      </c>
      <c r="E13">
        <f t="shared" si="3"/>
        <v>11</v>
      </c>
      <c r="F13" s="61">
        <f>IF(FT!A13&lt;&gt;"",FT!A13*10,"")</f>
        <v>2.9028499999999999</v>
      </c>
      <c r="G13" s="61">
        <f>IF(FT!B13&lt;&gt;"",FT!B13*100,"")</f>
        <v>54.120800000000003</v>
      </c>
      <c r="H13" s="61">
        <f t="shared" si="1"/>
        <v>1</v>
      </c>
      <c r="I13" t="str">
        <f>IF(FT!B13&lt;&gt;"",FT!E13,"")</f>
        <v>1 [4.438310]</v>
      </c>
      <c r="J13">
        <f>IF(FT!B13&lt;&gt;"",FT!C13,"")</f>
        <v>4.4383100000000004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2.9633599999999998</v>
      </c>
      <c r="G14" s="61">
        <f>IF(FT!B14&lt;&gt;"",FT!B14*100,"")</f>
        <v>53.628900000000002</v>
      </c>
      <c r="H14" s="61">
        <f t="shared" si="1"/>
        <v>1</v>
      </c>
      <c r="I14" t="str">
        <f>IF(FT!B14&lt;&gt;"",FT!E14,"")</f>
        <v>1 [4.841129]</v>
      </c>
      <c r="J14">
        <f>IF(FT!B14&lt;&gt;"",FT!C14,"")</f>
        <v>4.8411299999999997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2976</v>
      </c>
      <c r="D15" s="61">
        <f>FH!B15*1</f>
        <v>2976</v>
      </c>
      <c r="E15">
        <f t="shared" si="3"/>
        <v>13</v>
      </c>
      <c r="F15" s="61">
        <f>IF(FT!A15&lt;&gt;"",FT!A15*10,"")</f>
        <v>3.0221799999999996</v>
      </c>
      <c r="G15" s="61">
        <f>IF(FT!B15&lt;&gt;"",FT!B15*100,"")</f>
        <v>53.0794</v>
      </c>
      <c r="H15" s="61">
        <f t="shared" si="1"/>
        <v>1</v>
      </c>
      <c r="I15" t="str">
        <f>IF(FT!B15&lt;&gt;"",FT!E15,"")</f>
        <v>1 [5.248182]</v>
      </c>
      <c r="J15">
        <f>IF(FT!B15&lt;&gt;"",FT!C15,"")</f>
        <v>5.2481799999999996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3.0811199999999999</v>
      </c>
      <c r="G16" s="61">
        <f>IF(FT!B16&lt;&gt;"",FT!B16*100,"")</f>
        <v>52.539400000000001</v>
      </c>
      <c r="H16" s="61">
        <f t="shared" si="1"/>
        <v>1</v>
      </c>
      <c r="I16" t="str">
        <f>IF(FT!B16&lt;&gt;"",FT!E16,"")</f>
        <v>1 [5.658079]</v>
      </c>
      <c r="J16">
        <f>IF(FT!B16&lt;&gt;"",FT!C16,"")</f>
        <v>5.65808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3.1392899999999999</v>
      </c>
      <c r="G17" s="61">
        <f>IF(FT!B17&lt;&gt;"",FT!B17*100,"")</f>
        <v>52.054199999999994</v>
      </c>
      <c r="H17" s="61">
        <f t="shared" si="1"/>
        <v>1</v>
      </c>
      <c r="I17" t="str">
        <f>IF(FT!B17&lt;&gt;"",FT!E17,"")</f>
        <v>1 [6.063795]</v>
      </c>
      <c r="J17">
        <f>IF(FT!B17&lt;&gt;"",FT!C17,"")</f>
        <v>6.0637999999999996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6429</v>
      </c>
      <c r="D18" s="61">
        <f>FH!B18*1</f>
        <v>6429</v>
      </c>
      <c r="E18">
        <f t="shared" si="3"/>
        <v>16</v>
      </c>
      <c r="F18" s="61">
        <f>IF(FT!A18&lt;&gt;"",FT!A18*10,"")</f>
        <v>3.1948599999999998</v>
      </c>
      <c r="G18" s="61">
        <f>IF(FT!B18&lt;&gt;"",FT!B18*100,"")</f>
        <v>51.556999999999995</v>
      </c>
      <c r="H18" s="61">
        <f t="shared" si="1"/>
        <v>1</v>
      </c>
      <c r="I18" t="str">
        <f>IF(FT!B18&lt;&gt;"",FT!E18,"")</f>
        <v>1 [6.469760]</v>
      </c>
      <c r="J18">
        <f>IF(FT!B18&lt;&gt;"",FT!C18,"")</f>
        <v>6.46976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3.2478400000000001</v>
      </c>
      <c r="G19" s="61">
        <f>IF(FT!B19&lt;&gt;"",FT!B19*100,"")</f>
        <v>51.001200000000004</v>
      </c>
      <c r="H19" s="61">
        <f t="shared" si="1"/>
        <v>1</v>
      </c>
      <c r="I19" t="str">
        <f>IF(FT!B19&lt;&gt;"",FT!E19,"")</f>
        <v>1 [6.873890]</v>
      </c>
      <c r="J19">
        <f>IF(FT!B19&lt;&gt;"",FT!C19,"")</f>
        <v>6.8738900000000003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3.3012999999999999</v>
      </c>
      <c r="G20" s="61">
        <f>IF(FT!B20&lt;&gt;"",FT!B20*100,"")</f>
        <v>50.335099999999997</v>
      </c>
      <c r="H20" s="61">
        <f t="shared" si="1"/>
        <v>1</v>
      </c>
      <c r="I20" t="str">
        <f>IF(FT!B20&lt;&gt;"",FT!E20,"")</f>
        <v>1 [7.278863]</v>
      </c>
      <c r="J20">
        <f>IF(FT!B20&lt;&gt;"",FT!C20,"")</f>
        <v>7.2788599999999999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8481</v>
      </c>
      <c r="D21" s="61">
        <f>FH!B21*1</f>
        <v>8481</v>
      </c>
      <c r="E21">
        <f t="shared" si="3"/>
        <v>19</v>
      </c>
      <c r="F21" s="61">
        <f>IF(FT!A21&lt;&gt;"",FT!A21*10,"")</f>
        <v>3.3496999999999999</v>
      </c>
      <c r="G21" s="61">
        <f>IF(FT!B21&lt;&gt;"",FT!B21*100,"")</f>
        <v>49.744100000000003</v>
      </c>
      <c r="H21" s="61">
        <f t="shared" si="1"/>
        <v>1</v>
      </c>
      <c r="I21" t="str">
        <f>IF(FT!B21&lt;&gt;"",FT!E21,"")</f>
        <v>1 [7.688596]</v>
      </c>
      <c r="J21">
        <f>IF(FT!B21&lt;&gt;"",FT!C21,"")</f>
        <v>7.6886000000000001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3.3927899999999998</v>
      </c>
      <c r="G22" s="61">
        <f>IF(FT!B22&lt;&gt;"",FT!B22*100,"")</f>
        <v>49.161700000000003</v>
      </c>
      <c r="H22" s="61">
        <f t="shared" si="1"/>
        <v>1</v>
      </c>
      <c r="I22" t="str">
        <f>IF(FT!B22&lt;&gt;"",FT!E22,"")</f>
        <v>1 [8.094451]</v>
      </c>
      <c r="J22">
        <f>IF(FT!B22&lt;&gt;"",FT!C22,"")</f>
        <v>8.0944500000000001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14197</v>
      </c>
      <c r="D23" s="61">
        <f>FH!B23*1</f>
        <v>14197</v>
      </c>
      <c r="E23">
        <f t="shared" si="3"/>
        <v>21</v>
      </c>
      <c r="F23" s="61">
        <f>IF(FT!A23&lt;&gt;"",FT!A23*10,"")</f>
        <v>3.4299800000000005</v>
      </c>
      <c r="G23" s="61">
        <f>IF(FT!B23&lt;&gt;"",FT!B23*100,"")</f>
        <v>48.586600000000004</v>
      </c>
      <c r="H23" s="61">
        <f t="shared" si="1"/>
        <v>1</v>
      </c>
      <c r="I23" t="str">
        <f>IF(FT!B23&lt;&gt;"",FT!E23,"")</f>
        <v>1 [8.500346]</v>
      </c>
      <c r="J23">
        <f>IF(FT!B23&lt;&gt;"",FT!C23,"")</f>
        <v>8.5003499999999992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3.4623999999999997</v>
      </c>
      <c r="G24" s="61">
        <f>IF(FT!B24&lt;&gt;"",FT!B24*100,"")</f>
        <v>47.958600000000004</v>
      </c>
      <c r="H24" s="61">
        <f t="shared" si="1"/>
        <v>1</v>
      </c>
      <c r="I24" t="str">
        <f>IF(FT!B24&lt;&gt;"",FT!E24,"")</f>
        <v>1 [8.908798]</v>
      </c>
      <c r="J24">
        <f>IF(FT!B24&lt;&gt;"",FT!C24,"")</f>
        <v>8.9087999999999994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3.4899499999999999</v>
      </c>
      <c r="G25" s="61">
        <f>IF(FT!B25&lt;&gt;"",FT!B25*100,"")</f>
        <v>47.294599999999996</v>
      </c>
      <c r="H25" s="61">
        <f t="shared" si="1"/>
        <v>1</v>
      </c>
      <c r="I25" t="str">
        <f>IF(FT!B25&lt;&gt;"",FT!E25,"")</f>
        <v>1 [9.310328]</v>
      </c>
      <c r="J25">
        <f>IF(FT!B25&lt;&gt;"",FT!C25,"")</f>
        <v>9.3103300000000004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21240</v>
      </c>
      <c r="D26" s="61">
        <f>FH!B26*1</f>
        <v>21240</v>
      </c>
      <c r="E26">
        <f t="shared" si="3"/>
        <v>24</v>
      </c>
      <c r="F26" s="61">
        <f>IF(FT!A26&lt;&gt;"",FT!A26*10,"")</f>
        <v>3.5150300000000003</v>
      </c>
      <c r="G26" s="61">
        <f>IF(FT!B26&lt;&gt;"",FT!B26*100,"")</f>
        <v>46.553199999999997</v>
      </c>
      <c r="H26" s="61">
        <f t="shared" si="1"/>
        <v>1</v>
      </c>
      <c r="I26" t="str">
        <f>IF(FT!B26&lt;&gt;"",FT!E26,"")</f>
        <v>1 [9.715059]</v>
      </c>
      <c r="J26">
        <f>IF(FT!B26&lt;&gt;"",FT!C26,"")</f>
        <v>9.7150599999999994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3.54006</v>
      </c>
      <c r="G27" s="61">
        <f>IF(FT!B27&lt;&gt;"",FT!B27*100,"")</f>
        <v>45.774700000000003</v>
      </c>
      <c r="H27" s="61">
        <f t="shared" si="1"/>
        <v>1</v>
      </c>
      <c r="I27" t="str">
        <f>IF(FT!B27&lt;&gt;"",FT!E27,"")</f>
        <v>1 [10.125782]</v>
      </c>
      <c r="J27">
        <f>IF(FT!B27&lt;&gt;"",FT!C27,"")</f>
        <v>10.1258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29872</v>
      </c>
      <c r="D28" s="61">
        <f>FH!B28*1</f>
        <v>29872</v>
      </c>
      <c r="E28">
        <f t="shared" si="3"/>
        <v>26</v>
      </c>
      <c r="F28" s="61">
        <f>IF(FT!A28&lt;&gt;"",FT!A28*10,"")</f>
        <v>3.5646800000000001</v>
      </c>
      <c r="G28" s="61">
        <f>IF(FT!B28&lt;&gt;"",FT!B28*100,"")</f>
        <v>45.002199999999995</v>
      </c>
      <c r="H28" s="61">
        <f t="shared" si="1"/>
        <v>1</v>
      </c>
      <c r="I28" t="str">
        <f>IF(FT!B28&lt;&gt;"",FT!E28,"")</f>
        <v>1 [10.527497]</v>
      </c>
      <c r="J28">
        <f>IF(FT!B28&lt;&gt;"",FT!C28,"")</f>
        <v>10.5275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3.5850300000000002</v>
      </c>
      <c r="G29" s="61">
        <f>IF(FT!B29&lt;&gt;"",FT!B29*100,"")</f>
        <v>44.235500000000002</v>
      </c>
      <c r="H29" s="61">
        <f t="shared" si="1"/>
        <v>1</v>
      </c>
      <c r="I29" t="str">
        <f>IF(FT!B29&lt;&gt;"",FT!E29,"")</f>
        <v>1 [10.935752]</v>
      </c>
      <c r="J29">
        <f>IF(FT!B29&lt;&gt;"",FT!C29,"")</f>
        <v>10.9358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3.6038600000000001</v>
      </c>
      <c r="G30" s="61">
        <f>IF(FT!B30&lt;&gt;"",FT!B30*100,"")</f>
        <v>43.474899999999998</v>
      </c>
      <c r="H30" s="61">
        <f t="shared" si="1"/>
        <v>1</v>
      </c>
      <c r="I30" t="str">
        <f>IF(FT!B30&lt;&gt;"",FT!E30,"")</f>
        <v>1 [11.340963]</v>
      </c>
      <c r="J30">
        <f>IF(FT!B30&lt;&gt;"",FT!C30,"")</f>
        <v>11.340999999999999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36568</v>
      </c>
      <c r="D31" s="61">
        <f>FH!B31*1</f>
        <v>36568</v>
      </c>
      <c r="E31">
        <f t="shared" si="3"/>
        <v>29</v>
      </c>
      <c r="F31" s="61">
        <f>IF(FT!A31&lt;&gt;"",FT!A31*10,"")</f>
        <v>3.6239100000000004</v>
      </c>
      <c r="G31" s="61">
        <f>IF(FT!B31&lt;&gt;"",FT!B31*100,"")</f>
        <v>42.726599999999998</v>
      </c>
      <c r="H31" s="61">
        <f t="shared" si="1"/>
        <v>1</v>
      </c>
      <c r="I31" t="str">
        <f>IF(FT!B31&lt;&gt;"",FT!E31,"")</f>
        <v>1 [11.747587]</v>
      </c>
      <c r="J31">
        <f>IF(FT!B31&lt;&gt;"",FT!C31,"")</f>
        <v>11.7476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3.6433399999999998</v>
      </c>
      <c r="G32" s="61">
        <f>IF(FT!B32&lt;&gt;"",FT!B32*100,"")</f>
        <v>41.991900000000001</v>
      </c>
      <c r="H32" s="61">
        <f t="shared" si="1"/>
        <v>1</v>
      </c>
      <c r="I32" t="str">
        <f>IF(FT!B32&lt;&gt;"",FT!E32,"")</f>
        <v>1 [12.153551]</v>
      </c>
      <c r="J32">
        <f>IF(FT!B32&lt;&gt;"",FT!C32,"")</f>
        <v>12.153600000000001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46565</v>
      </c>
      <c r="D33" s="61">
        <f>FH!B33*1</f>
        <v>46565</v>
      </c>
      <c r="E33">
        <f t="shared" si="3"/>
        <v>31</v>
      </c>
      <c r="F33" s="61">
        <f>IF(FT!A33&lt;&gt;"",FT!A33*10,"")</f>
        <v>3.6614300000000002</v>
      </c>
      <c r="G33" s="61">
        <f>IF(FT!B33&lt;&gt;"",FT!B33*100,"")</f>
        <v>41.270800000000001</v>
      </c>
      <c r="H33" s="61">
        <f t="shared" si="1"/>
        <v>1</v>
      </c>
      <c r="I33" t="str">
        <f>IF(FT!B33&lt;&gt;"",FT!E33,"")</f>
        <v>1 [12.563401]</v>
      </c>
      <c r="J33">
        <f>IF(FT!B33&lt;&gt;"",FT!C33,"")</f>
        <v>12.5634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3.6792999999999996</v>
      </c>
      <c r="G34" s="61">
        <f>IF(FT!B34&lt;&gt;"",FT!B34*100,"")</f>
        <v>40.561799999999998</v>
      </c>
      <c r="H34" s="61">
        <f t="shared" si="1"/>
        <v>1</v>
      </c>
      <c r="I34" t="str">
        <f>IF(FT!B34&lt;&gt;"",FT!E34,"")</f>
        <v>1 [12.966361]</v>
      </c>
      <c r="J34">
        <f>IF(FT!B34&lt;&gt;"",FT!C34,"")</f>
        <v>12.9664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3.69685</v>
      </c>
      <c r="G35" s="61">
        <f>IF(FT!B35&lt;&gt;"",FT!B35*100,"")</f>
        <v>39.835100000000004</v>
      </c>
      <c r="H35" s="61">
        <f t="shared" si="1"/>
        <v>1</v>
      </c>
      <c r="I35" t="str">
        <f>IF(FT!B35&lt;&gt;"",FT!E35,"")</f>
        <v>1 [13.372718]</v>
      </c>
      <c r="J35">
        <f>IF(FT!B35&lt;&gt;"",FT!C35,"")</f>
        <v>13.3727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51179</v>
      </c>
      <c r="D36" s="61">
        <f>FH!B36*1</f>
        <v>51179</v>
      </c>
      <c r="E36">
        <f t="shared" si="3"/>
        <v>34</v>
      </c>
      <c r="F36" s="61">
        <f>IF(FT!A36&lt;&gt;"",FT!A36*10,"")</f>
        <v>3.7136499999999999</v>
      </c>
      <c r="G36" s="61">
        <f>IF(FT!B36&lt;&gt;"",FT!B36*100,"")</f>
        <v>39.123799999999996</v>
      </c>
      <c r="H36" s="61">
        <f t="shared" si="1"/>
        <v>1</v>
      </c>
      <c r="I36" t="str">
        <f>IF(FT!B36&lt;&gt;"",FT!E36,"")</f>
        <v>1 [13.778338]</v>
      </c>
      <c r="J36">
        <f>IF(FT!B36&lt;&gt;"",FT!C36,"")</f>
        <v>13.7783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3.7290200000000002</v>
      </c>
      <c r="G37" s="61">
        <f>IF(FT!B37&lt;&gt;"",FT!B37*100,"")</f>
        <v>38.407599999999995</v>
      </c>
      <c r="H37" s="61">
        <f t="shared" si="1"/>
        <v>1</v>
      </c>
      <c r="I37" t="str">
        <f>IF(FT!B37&lt;&gt;"",FT!E37,"")</f>
        <v>1 [14.190461]</v>
      </c>
      <c r="J37">
        <f>IF(FT!B37&lt;&gt;"",FT!C37,"")</f>
        <v>14.1905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3.7441200000000001</v>
      </c>
      <c r="G38" s="61">
        <f>IF(FT!B38&lt;&gt;"",FT!B38*100,"")</f>
        <v>37.669699999999999</v>
      </c>
      <c r="H38" s="61">
        <f t="shared" si="1"/>
        <v>1</v>
      </c>
      <c r="I38" t="str">
        <f>IF(FT!B38&lt;&gt;"",FT!E38,"")</f>
        <v>1 [14.594989]</v>
      </c>
      <c r="J38">
        <f>IF(FT!B38&lt;&gt;"",FT!C38,"")</f>
        <v>14.595000000000001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59006</v>
      </c>
      <c r="D39" s="61">
        <f>FH!B39*1</f>
        <v>59006</v>
      </c>
      <c r="E39">
        <f t="shared" si="3"/>
        <v>37</v>
      </c>
      <c r="F39" s="61">
        <f>IF(FT!A39&lt;&gt;"",FT!A39*10,"")</f>
        <v>3.7562099999999998</v>
      </c>
      <c r="G39" s="61">
        <f>IF(FT!B39&lt;&gt;"",FT!B39*100,"")</f>
        <v>36.967100000000002</v>
      </c>
      <c r="H39" s="61">
        <f t="shared" si="1"/>
        <v>1</v>
      </c>
      <c r="I39" t="str">
        <f>IF(FT!B39&lt;&gt;"",FT!E39,"")</f>
        <v>1 [14.994877]</v>
      </c>
      <c r="J39">
        <f>IF(FT!B39&lt;&gt;"",FT!C39,"")</f>
        <v>14.994899999999999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3.7646000000000002</v>
      </c>
      <c r="G40" s="61">
        <f>IF(FT!B40&lt;&gt;"",FT!B40*100,"")</f>
        <v>36.311399999999999</v>
      </c>
      <c r="H40" s="61">
        <f t="shared" si="1"/>
        <v>1</v>
      </c>
      <c r="I40" t="str">
        <f>IF(FT!B40&lt;&gt;"",FT!E40,"")</f>
        <v>1 [15.404905]</v>
      </c>
      <c r="J40">
        <f>IF(FT!B40&lt;&gt;"",FT!C40,"")</f>
        <v>15.4049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65314</v>
      </c>
      <c r="D41" s="61">
        <f>FH!B41*1</f>
        <v>65314</v>
      </c>
      <c r="E41">
        <f t="shared" si="3"/>
        <v>39</v>
      </c>
      <c r="F41" s="61">
        <f>IF(FT!A41&lt;&gt;"",FT!A41*10,"")</f>
        <v>3.7695299999999996</v>
      </c>
      <c r="G41" s="61">
        <f>IF(FT!B41&lt;&gt;"",FT!B41*100,"")</f>
        <v>35.759399999999999</v>
      </c>
      <c r="H41" s="61">
        <f t="shared" si="1"/>
        <v>1</v>
      </c>
      <c r="I41" t="str">
        <f>IF(FT!B41&lt;&gt;"",FT!E41,"")</f>
        <v>1 [15.807962]</v>
      </c>
      <c r="J41">
        <f>IF(FT!B41&lt;&gt;"",FT!C41,"")</f>
        <v>15.808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3.7702599999999995</v>
      </c>
      <c r="G42" s="61">
        <f>IF(FT!B42&lt;&gt;"",FT!B42*100,"")</f>
        <v>35.281800000000004</v>
      </c>
      <c r="H42" s="61">
        <f t="shared" si="1"/>
        <v>1</v>
      </c>
      <c r="I42" t="str">
        <f>IF(FT!B42&lt;&gt;"",FT!E42,"")</f>
        <v>1 [16.217613]</v>
      </c>
      <c r="J42">
        <f>IF(FT!B42&lt;&gt;"",FT!C42,"")</f>
        <v>16.217600000000001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3.76783</v>
      </c>
      <c r="G43" s="61">
        <f>IF(FT!B43&lt;&gt;"",FT!B43*100,"")</f>
        <v>34.809899999999999</v>
      </c>
      <c r="H43" s="61">
        <f t="shared" si="1"/>
        <v>1</v>
      </c>
      <c r="I43" t="str">
        <f>IF(FT!B43&lt;&gt;"",FT!E43,"")</f>
        <v>1 [16.623940]</v>
      </c>
      <c r="J43">
        <f>IF(FT!B43&lt;&gt;"",FT!C43,"")</f>
        <v>16.623899999999999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76636</v>
      </c>
      <c r="D44" s="61">
        <f>FH!B44*1</f>
        <v>76636</v>
      </c>
      <c r="E44">
        <f t="shared" si="3"/>
        <v>42</v>
      </c>
      <c r="F44" s="61">
        <f>IF(FT!A44&lt;&gt;"",FT!A44*10,"")</f>
        <v>3.76458</v>
      </c>
      <c r="G44" s="61">
        <f>IF(FT!B44&lt;&gt;"",FT!B44*100,"")</f>
        <v>34.375499999999995</v>
      </c>
      <c r="H44" s="61">
        <f t="shared" si="1"/>
        <v>1</v>
      </c>
      <c r="I44" t="str">
        <f>IF(FT!B44&lt;&gt;"",FT!E44,"")</f>
        <v>1 [17.028509]</v>
      </c>
      <c r="J44">
        <f>IF(FT!B44&lt;&gt;"",FT!C44,"")</f>
        <v>17.028500000000001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3.7606999999999999</v>
      </c>
      <c r="G45" s="61">
        <f>IF(FT!B45&lt;&gt;"",FT!B45*100,"")</f>
        <v>33.989000000000004</v>
      </c>
      <c r="H45" s="61">
        <f t="shared" si="1"/>
        <v>1</v>
      </c>
      <c r="I45" t="str">
        <f>IF(FT!B45&lt;&gt;"",FT!E45,"")</f>
        <v>1 [17.433356]</v>
      </c>
      <c r="J45">
        <f>IF(FT!B45&lt;&gt;"",FT!C45,"")</f>
        <v>17.433399999999999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94364</v>
      </c>
      <c r="D46" s="61">
        <f>FH!B46*1</f>
        <v>94364</v>
      </c>
      <c r="E46">
        <f t="shared" si="3"/>
        <v>44</v>
      </c>
      <c r="F46" s="61">
        <f>IF(FT!A46&lt;&gt;"",FT!A46*10,"")</f>
        <v>3.76173</v>
      </c>
      <c r="G46" s="61">
        <f>IF(FT!B46&lt;&gt;"",FT!B46*100,"")</f>
        <v>33.615699999999997</v>
      </c>
      <c r="H46" s="61">
        <f t="shared" si="1"/>
        <v>1</v>
      </c>
      <c r="I46" t="str">
        <f>IF(FT!B46&lt;&gt;"",FT!E46,"")</f>
        <v>1 [17.845337]</v>
      </c>
      <c r="J46">
        <f>IF(FT!B46&lt;&gt;"",FT!C46,"")</f>
        <v>17.845300000000002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3.7629099999999998</v>
      </c>
      <c r="G47" s="61">
        <f>IF(FT!B47&lt;&gt;"",FT!B47*100,"")</f>
        <v>33.315199999999997</v>
      </c>
      <c r="H47" s="61">
        <f t="shared" si="1"/>
        <v>1</v>
      </c>
      <c r="I47" t="str">
        <f>IF(FT!B47&lt;&gt;"",FT!E47,"")</f>
        <v>1 [18.248316]</v>
      </c>
      <c r="J47">
        <f>IF(FT!B47&lt;&gt;"",FT!C47,"")</f>
        <v>18.2483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3.7652299999999999</v>
      </c>
      <c r="G48" s="61">
        <f>IF(FT!B48&lt;&gt;"",FT!B48*100,"")</f>
        <v>33.082999999999998</v>
      </c>
      <c r="H48" s="61">
        <f t="shared" si="1"/>
        <v>1</v>
      </c>
      <c r="I48" t="str">
        <f>IF(FT!B48&lt;&gt;"",FT!E48,"")</f>
        <v>1 [18.656116]</v>
      </c>
      <c r="J48">
        <f>IF(FT!B48&lt;&gt;"",FT!C48,"")</f>
        <v>18.656099999999999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100766</v>
      </c>
      <c r="D49" s="61">
        <f>FH!B49*1</f>
        <v>100766</v>
      </c>
      <c r="E49">
        <f t="shared" si="3"/>
        <v>47</v>
      </c>
      <c r="F49" s="61">
        <f>IF(FT!A49&lt;&gt;"",FT!A49*10,"")</f>
        <v>3.7687500000000003</v>
      </c>
      <c r="G49" s="61">
        <f>IF(FT!B49&lt;&gt;"",FT!B49*100,"")</f>
        <v>32.906700000000001</v>
      </c>
      <c r="H49" s="61">
        <f t="shared" si="1"/>
        <v>1</v>
      </c>
      <c r="I49" t="str">
        <f>IF(FT!B49&lt;&gt;"",FT!E49,"")</f>
        <v>1 [19.064022]</v>
      </c>
      <c r="J49">
        <f>IF(FT!B49&lt;&gt;"",FT!C49,"")</f>
        <v>19.064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3.7736799999999997</v>
      </c>
      <c r="G50" s="61">
        <f>IF(FT!B50&lt;&gt;"",FT!B50*100,"")</f>
        <v>32.752600000000001</v>
      </c>
      <c r="H50" s="61">
        <f t="shared" si="1"/>
        <v>1</v>
      </c>
      <c r="I50" t="str">
        <f>IF(FT!B50&lt;&gt;"",FT!E50,"")</f>
        <v>1 [19.464996]</v>
      </c>
      <c r="J50">
        <f>IF(FT!B50&lt;&gt;"",FT!C50,"")</f>
        <v>19.465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114851</v>
      </c>
      <c r="D51" s="61">
        <f>FH!B51*1</f>
        <v>114851</v>
      </c>
      <c r="E51">
        <f t="shared" si="3"/>
        <v>49</v>
      </c>
      <c r="F51" s="61">
        <f>IF(FT!A51&lt;&gt;"",FT!A51*10,"")</f>
        <v>3.7786</v>
      </c>
      <c r="G51" s="61">
        <f>IF(FT!B51&lt;&gt;"",FT!B51*100,"")</f>
        <v>32.584400000000002</v>
      </c>
      <c r="H51" s="61">
        <f t="shared" si="1"/>
        <v>1</v>
      </c>
      <c r="I51" t="str">
        <f>IF(FT!B51&lt;&gt;"",FT!E51,"")</f>
        <v>1 [19.873070]</v>
      </c>
      <c r="J51">
        <f>IF(FT!B51&lt;&gt;"",FT!C51,"")</f>
        <v>19.873100000000001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3.7828200000000001</v>
      </c>
      <c r="G52" s="61">
        <f>IF(FT!B52&lt;&gt;"",FT!B52*100,"")</f>
        <v>32.452599999999997</v>
      </c>
      <c r="H52" s="61">
        <f t="shared" si="1"/>
        <v>1</v>
      </c>
      <c r="I52" t="str">
        <f>IF(FT!B52&lt;&gt;"",FT!E52,"")</f>
        <v>1 [20.281778]</v>
      </c>
      <c r="J52">
        <f>IF(FT!B52&lt;&gt;"",FT!C52,"")</f>
        <v>20.2818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3.7893500000000002</v>
      </c>
      <c r="G53" s="61">
        <f>IF(FT!B53&lt;&gt;"",FT!B53*100,"")</f>
        <v>32.207799999999999</v>
      </c>
      <c r="H53" s="61">
        <f t="shared" si="1"/>
        <v>1</v>
      </c>
      <c r="I53" t="str">
        <f>IF(FT!B53&lt;&gt;"",FT!E53,"")</f>
        <v>1 [20.687765]</v>
      </c>
      <c r="J53">
        <f>IF(FT!B53&lt;&gt;"",FT!C53,"")</f>
        <v>20.687799999999999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109816</v>
      </c>
      <c r="D54" s="61">
        <f>FH!B54*1</f>
        <v>109816</v>
      </c>
      <c r="E54">
        <f t="shared" si="3"/>
        <v>52</v>
      </c>
      <c r="F54" s="61">
        <f>IF(FT!A54&lt;&gt;"",FT!A54*10,"")</f>
        <v>3.7960100000000003</v>
      </c>
      <c r="G54" s="61">
        <f>IF(FT!B54&lt;&gt;"",FT!B54*100,"")</f>
        <v>31.970199999999998</v>
      </c>
      <c r="H54" s="61">
        <f t="shared" si="1"/>
        <v>1</v>
      </c>
      <c r="I54" t="str">
        <f>IF(FT!B54&lt;&gt;"",FT!E54,"")</f>
        <v>1 [21.094653]</v>
      </c>
      <c r="J54">
        <f>IF(FT!B54&lt;&gt;"",FT!C54,"")</f>
        <v>21.0947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3.8001100000000001</v>
      </c>
      <c r="G55" s="61">
        <f>IF(FT!B55&lt;&gt;"",FT!B55*100,"")</f>
        <v>31.746600000000001</v>
      </c>
      <c r="H55" s="61">
        <f t="shared" si="1"/>
        <v>1</v>
      </c>
      <c r="I55" t="str">
        <f>IF(FT!B55&lt;&gt;"",FT!E55,"")</f>
        <v>1 [21.498618]</v>
      </c>
      <c r="J55">
        <f>IF(FT!B55&lt;&gt;"",FT!C55,"")</f>
        <v>21.4986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3.8011400000000002</v>
      </c>
      <c r="G56" s="61">
        <f>IF(FT!B56&lt;&gt;"",FT!B56*100,"")</f>
        <v>31.506499999999999</v>
      </c>
      <c r="H56" s="61">
        <f t="shared" si="1"/>
        <v>1</v>
      </c>
      <c r="I56" t="str">
        <f>IF(FT!B56&lt;&gt;"",FT!E56,"")</f>
        <v>1 [21.903594]</v>
      </c>
      <c r="J56">
        <f>IF(FT!B56&lt;&gt;"",FT!C56,"")</f>
        <v>21.903600000000001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127664</v>
      </c>
      <c r="D57" s="61">
        <f>FH!B57*1</f>
        <v>127664</v>
      </c>
      <c r="E57">
        <f t="shared" si="3"/>
        <v>55</v>
      </c>
      <c r="F57" s="61">
        <f>IF(FT!A57&lt;&gt;"",FT!A57*10,"")</f>
        <v>3.8010100000000002</v>
      </c>
      <c r="G57" s="61">
        <f>IF(FT!B57&lt;&gt;"",FT!B57*100,"")</f>
        <v>31.330300000000001</v>
      </c>
      <c r="H57" s="61">
        <f t="shared" si="1"/>
        <v>1</v>
      </c>
      <c r="I57" t="str">
        <f>IF(FT!B57&lt;&gt;"",FT!E57,"")</f>
        <v>1 [22.312379]</v>
      </c>
      <c r="J57">
        <f>IF(FT!B57&lt;&gt;"",FT!C57,"")</f>
        <v>22.3124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3.7994699999999999</v>
      </c>
      <c r="G58" s="61">
        <f>IF(FT!B58&lt;&gt;"",FT!B58*100,"")</f>
        <v>31.132199999999997</v>
      </c>
      <c r="H58" s="61">
        <f t="shared" si="1"/>
        <v>1</v>
      </c>
      <c r="I58" t="str">
        <f>IF(FT!B58&lt;&gt;"",FT!E58,"")</f>
        <v>1 [22.720305]</v>
      </c>
      <c r="J58">
        <f>IF(FT!B58&lt;&gt;"",FT!C58,"")</f>
        <v>22.720300000000002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141673</v>
      </c>
      <c r="D59" s="61">
        <f>FH!B59*1</f>
        <v>141673</v>
      </c>
      <c r="E59">
        <f t="shared" si="3"/>
        <v>57</v>
      </c>
      <c r="F59" s="61">
        <f>IF(FT!A59&lt;&gt;"",FT!A59*10,"")</f>
        <v>3.7945800000000003</v>
      </c>
      <c r="G59" s="61">
        <f>IF(FT!B59&lt;&gt;"",FT!B59*100,"")</f>
        <v>30.935200000000002</v>
      </c>
      <c r="H59" s="61">
        <f t="shared" si="1"/>
        <v>1</v>
      </c>
      <c r="I59" t="str">
        <f>IF(FT!B59&lt;&gt;"",FT!E59,"")</f>
        <v>1 [23.121250]</v>
      </c>
      <c r="J59">
        <f>IF(FT!B59&lt;&gt;"",FT!C59,"")</f>
        <v>23.121200000000002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3.7855600000000003</v>
      </c>
      <c r="G60" s="61">
        <f>IF(FT!B60&lt;&gt;"",FT!B60*100,"")</f>
        <v>30.7593</v>
      </c>
      <c r="H60" s="61">
        <f t="shared" si="1"/>
        <v>1</v>
      </c>
      <c r="I60" t="str">
        <f>IF(FT!B60&lt;&gt;"",FT!E60,"")</f>
        <v>1 [23.529117]</v>
      </c>
      <c r="J60">
        <f>IF(FT!B60&lt;&gt;"",FT!C60,"")</f>
        <v>23.5291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3.77739</v>
      </c>
      <c r="G61" s="61">
        <f>IF(FT!B61&lt;&gt;"",FT!B61*100,"")</f>
        <v>30.645699999999998</v>
      </c>
      <c r="H61" s="61">
        <f t="shared" si="1"/>
        <v>1</v>
      </c>
      <c r="I61" t="str">
        <f>IF(FT!B61&lt;&gt;"",FT!E61,"")</f>
        <v>1 [23.938135]</v>
      </c>
      <c r="J61">
        <f>IF(FT!B61&lt;&gt;"",FT!C61,"")</f>
        <v>23.938099999999999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142958</v>
      </c>
      <c r="D62" s="61">
        <f>FH!B62*1</f>
        <v>142958</v>
      </c>
      <c r="E62">
        <f t="shared" si="3"/>
        <v>60</v>
      </c>
      <c r="F62" s="61">
        <f>IF(FT!A62&lt;&gt;"",FT!A62*10,"")</f>
        <v>3.7665199999999999</v>
      </c>
      <c r="G62" s="61">
        <f>IF(FT!B62&lt;&gt;"",FT!B62*100,"")</f>
        <v>30.548399999999997</v>
      </c>
      <c r="H62" s="61">
        <f t="shared" si="1"/>
        <v>1</v>
      </c>
      <c r="I62" t="str">
        <f>IF(FT!B62&lt;&gt;"",FT!E62,"")</f>
        <v>1 [24.341104]</v>
      </c>
      <c r="J62">
        <f>IF(FT!B62&lt;&gt;"",FT!C62,"")</f>
        <v>24.341100000000001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3.7538999999999998</v>
      </c>
      <c r="G63" s="61">
        <f>IF(FT!B63&lt;&gt;"",FT!B63*100,"")</f>
        <v>30.5045</v>
      </c>
      <c r="H63" s="61">
        <f t="shared" si="1"/>
        <v>1</v>
      </c>
      <c r="I63" t="str">
        <f>IF(FT!B63&lt;&gt;"",FT!E63,"")</f>
        <v>1 [24.749874]</v>
      </c>
      <c r="J63">
        <f>IF(FT!B63&lt;&gt;"",FT!C63,"")</f>
        <v>24.7499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140680</v>
      </c>
      <c r="D64" s="61">
        <f>FH!B64*1</f>
        <v>140680</v>
      </c>
      <c r="E64">
        <f t="shared" si="3"/>
        <v>62</v>
      </c>
      <c r="F64" s="61">
        <f>IF(FT!A64&lt;&gt;"",FT!A64*10,"")</f>
        <v>3.7439400000000003</v>
      </c>
      <c r="G64" s="61">
        <f>IF(FT!B64&lt;&gt;"",FT!B64*100,"")</f>
        <v>30.431799999999999</v>
      </c>
      <c r="H64" s="61">
        <f t="shared" si="1"/>
        <v>1</v>
      </c>
      <c r="I64" t="str">
        <f>IF(FT!B64&lt;&gt;"",FT!E64,"")</f>
        <v>1 [25.154795]</v>
      </c>
      <c r="J64">
        <f>IF(FT!B64&lt;&gt;"",FT!C64,"")</f>
        <v>25.154800000000002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3.73543</v>
      </c>
      <c r="G65" s="61">
        <f>IF(FT!B65&lt;&gt;"",FT!B65*100,"")</f>
        <v>30.382100000000001</v>
      </c>
      <c r="H65" s="61">
        <f t="shared" si="1"/>
        <v>1</v>
      </c>
      <c r="I65" t="str">
        <f>IF(FT!B65&lt;&gt;"",FT!E65,"")</f>
        <v>1 [25.562755]</v>
      </c>
      <c r="J65">
        <f>IF(FT!B65&lt;&gt;"",FT!C65,"")</f>
        <v>25.562799999999999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3.7304599999999999</v>
      </c>
      <c r="G66" s="61">
        <f>IF(FT!B66&lt;&gt;"",FT!B66*100,"")</f>
        <v>30.298500000000001</v>
      </c>
      <c r="H66" s="61">
        <f t="shared" si="1"/>
        <v>1</v>
      </c>
      <c r="I66" t="str">
        <f>IF(FT!B66&lt;&gt;"",FT!E66,"")</f>
        <v>1 [25.964942]</v>
      </c>
      <c r="J66">
        <f>IF(FT!B66&lt;&gt;"",FT!C66,"")</f>
        <v>25.9649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146466</v>
      </c>
      <c r="D67" s="61">
        <f>FH!B67*1</f>
        <v>146466</v>
      </c>
      <c r="E67">
        <f t="shared" si="3"/>
        <v>65</v>
      </c>
      <c r="F67" s="61">
        <f>IF(FT!A67&lt;&gt;"",FT!A67*10,"")</f>
        <v>3.7320199999999999</v>
      </c>
      <c r="G67" s="61">
        <f>IF(FT!B67&lt;&gt;"",FT!B67*100,"")</f>
        <v>30.197200000000002</v>
      </c>
      <c r="H67" s="61">
        <f t="shared" ref="H67:H130" si="9">(IF(F67&lt;&gt;"",1,""))</f>
        <v>1</v>
      </c>
      <c r="I67" t="str">
        <f>IF(FT!B67&lt;&gt;"",FT!E67,"")</f>
        <v>1 [26.372462]</v>
      </c>
      <c r="J67">
        <f>IF(FT!B67&lt;&gt;"",FT!C67,"")</f>
        <v>26.372499999999999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3.7387900000000003</v>
      </c>
      <c r="G68" s="61">
        <f>IF(FT!B68&lt;&gt;"",FT!B68*100,"")</f>
        <v>30.128599999999999</v>
      </c>
      <c r="H68" s="61">
        <f t="shared" si="9"/>
        <v>1</v>
      </c>
      <c r="I68" t="str">
        <f>IF(FT!B68&lt;&gt;"",FT!E68,"")</f>
        <v>1 [26.778468]</v>
      </c>
      <c r="J68">
        <f>IF(FT!B68&lt;&gt;"",FT!C68,"")</f>
        <v>26.778500000000001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150345</v>
      </c>
      <c r="D69" s="61">
        <f>FH!B69*1</f>
        <v>150345</v>
      </c>
      <c r="E69">
        <f t="shared" si="11"/>
        <v>67</v>
      </c>
      <c r="F69" s="61">
        <f>IF(FT!A69&lt;&gt;"",FT!A69*10,"")</f>
        <v>3.7460500000000003</v>
      </c>
      <c r="G69" s="61">
        <f>IF(FT!B69&lt;&gt;"",FT!B69*100,"")</f>
        <v>30.0381</v>
      </c>
      <c r="H69" s="61">
        <f t="shared" si="9"/>
        <v>1</v>
      </c>
      <c r="I69" t="str">
        <f>IF(FT!B69&lt;&gt;"",FT!E69,"")</f>
        <v>1 [27.186341]</v>
      </c>
      <c r="J69">
        <f>IF(FT!B69&lt;&gt;"",FT!C69,"")</f>
        <v>27.186299999999999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3.75054</v>
      </c>
      <c r="G70" s="61">
        <f>IF(FT!B70&lt;&gt;"",FT!B70*100,"")</f>
        <v>29.941299999999998</v>
      </c>
      <c r="H70" s="61">
        <f t="shared" si="9"/>
        <v>1</v>
      </c>
      <c r="I70" t="str">
        <f>IF(FT!B70&lt;&gt;"",FT!E70,"")</f>
        <v>1 [27.590525]</v>
      </c>
      <c r="J70">
        <f>IF(FT!B70&lt;&gt;"",FT!C70,"")</f>
        <v>27.590499999999999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3.7520199999999999</v>
      </c>
      <c r="G71" s="61">
        <f>IF(FT!B71&lt;&gt;"",FT!B71*100,"")</f>
        <v>29.892600000000002</v>
      </c>
      <c r="H71" s="61">
        <f t="shared" si="9"/>
        <v>1</v>
      </c>
      <c r="I71" t="str">
        <f>IF(FT!B71&lt;&gt;"",FT!E71,"")</f>
        <v>1 [27.997229]</v>
      </c>
      <c r="J71">
        <f>IF(FT!B71&lt;&gt;"",FT!C71,"")</f>
        <v>27.997199999999999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142659</v>
      </c>
      <c r="D72" s="61">
        <f>FH!B72*1</f>
        <v>142659</v>
      </c>
      <c r="E72">
        <f t="shared" si="11"/>
        <v>70</v>
      </c>
      <c r="F72" s="61">
        <f>IF(FT!A72&lt;&gt;"",FT!A72*10,"")</f>
        <v>3.7566999999999999</v>
      </c>
      <c r="G72" s="61">
        <f>IF(FT!B72&lt;&gt;"",FT!B72*100,"")</f>
        <v>29.8367</v>
      </c>
      <c r="H72" s="61">
        <f t="shared" si="9"/>
        <v>1</v>
      </c>
      <c r="I72" t="str">
        <f>IF(FT!B72&lt;&gt;"",FT!E72,"")</f>
        <v>1 [28.404096]</v>
      </c>
      <c r="J72">
        <f>IF(FT!B72&lt;&gt;"",FT!C72,"")</f>
        <v>28.4041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3.7629400000000004</v>
      </c>
      <c r="G73" s="61">
        <f>IF(FT!B73&lt;&gt;"",FT!B73*100,"")</f>
        <v>29.756100000000004</v>
      </c>
      <c r="H73" s="61">
        <f t="shared" si="9"/>
        <v>1</v>
      </c>
      <c r="I73" t="str">
        <f>IF(FT!B73&lt;&gt;"",FT!E73,"")</f>
        <v>1 [28.809964]</v>
      </c>
      <c r="J73">
        <f>IF(FT!B73&lt;&gt;"",FT!C73,"")</f>
        <v>28.81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3.7694899999999998</v>
      </c>
      <c r="G74" s="61">
        <f>IF(FT!B74&lt;&gt;"",FT!B74*100,"")</f>
        <v>29.6831</v>
      </c>
      <c r="H74" s="61">
        <f t="shared" si="9"/>
        <v>1</v>
      </c>
      <c r="I74" t="str">
        <f>IF(FT!B74&lt;&gt;"",FT!E74,"")</f>
        <v>1 [29.216006]</v>
      </c>
      <c r="J74">
        <f>IF(FT!B74&lt;&gt;"",FT!C74,"")</f>
        <v>29.216000000000001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147420</v>
      </c>
      <c r="D75" s="61">
        <f>FH!B75*1</f>
        <v>147420</v>
      </c>
      <c r="E75">
        <f t="shared" si="11"/>
        <v>73</v>
      </c>
      <c r="F75" s="61">
        <f>IF(FT!A75&lt;&gt;"",FT!A75*10,"")</f>
        <v>3.7774200000000002</v>
      </c>
      <c r="G75" s="61">
        <f>IF(FT!B75&lt;&gt;"",FT!B75*100,"")</f>
        <v>29.6142</v>
      </c>
      <c r="H75" s="61">
        <f t="shared" si="9"/>
        <v>1</v>
      </c>
      <c r="I75" t="str">
        <f>IF(FT!B75&lt;&gt;"",FT!E75,"")</f>
        <v>1 [29.625826]</v>
      </c>
      <c r="J75">
        <f>IF(FT!B75&lt;&gt;"",FT!C75,"")</f>
        <v>29.625800000000002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3.7857600000000002</v>
      </c>
      <c r="G76" s="61">
        <f>IF(FT!B76&lt;&gt;"",FT!B76*100,"")</f>
        <v>29.571199999999997</v>
      </c>
      <c r="H76" s="61">
        <f t="shared" si="9"/>
        <v>1</v>
      </c>
      <c r="I76" t="str">
        <f>IF(FT!B76&lt;&gt;"",FT!E76,"")</f>
        <v>1 [30.030691]</v>
      </c>
      <c r="J76">
        <f>IF(FT!B76&lt;&gt;"",FT!C76,"")</f>
        <v>30.0307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145638</v>
      </c>
      <c r="D77" s="61">
        <f>FH!B77*1</f>
        <v>145638</v>
      </c>
      <c r="E77">
        <f t="shared" si="11"/>
        <v>75</v>
      </c>
      <c r="F77" s="61">
        <f>IF(FT!A77&lt;&gt;"",FT!A77*10,"")</f>
        <v>3.7917099999999997</v>
      </c>
      <c r="G77" s="61">
        <f>IF(FT!B77&lt;&gt;"",FT!B77*100,"")</f>
        <v>29.648400000000002</v>
      </c>
      <c r="H77" s="61">
        <f t="shared" si="9"/>
        <v>1</v>
      </c>
      <c r="I77" t="str">
        <f>IF(FT!B77&lt;&gt;"",FT!E77,"")</f>
        <v>2 [30.606436]</v>
      </c>
      <c r="J77">
        <f>IF(FT!B77&lt;&gt;"",FT!C77,"")</f>
        <v>30.606400000000001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3.7923600000000004</v>
      </c>
      <c r="G78" s="61">
        <f>IF(FT!B78&lt;&gt;"",FT!B78*100,"")</f>
        <v>29.758699999999997</v>
      </c>
      <c r="H78" s="61">
        <f t="shared" si="9"/>
        <v>1</v>
      </c>
      <c r="I78" t="str">
        <f>IF(FT!B78&lt;&gt;"",FT!E78,"")</f>
        <v>2 [30.984162]</v>
      </c>
      <c r="J78">
        <f>IF(FT!B78&lt;&gt;"",FT!C78,"")</f>
        <v>30.984200000000001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3.7976900000000002</v>
      </c>
      <c r="G79" s="61">
        <f>IF(FT!B79&lt;&gt;"",FT!B79*100,"")</f>
        <v>29.827599999999997</v>
      </c>
      <c r="H79" s="61">
        <f t="shared" si="9"/>
        <v>1</v>
      </c>
      <c r="I79" t="str">
        <f>IF(FT!B79&lt;&gt;"",FT!E79,"")</f>
        <v>2 [31.360137]</v>
      </c>
      <c r="J79">
        <f>IF(FT!B79&lt;&gt;"",FT!C79,"")</f>
        <v>31.360099999999999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154080</v>
      </c>
      <c r="D80" s="61">
        <f>FH!B80*1</f>
        <v>154080</v>
      </c>
      <c r="E80">
        <f t="shared" si="11"/>
        <v>78</v>
      </c>
      <c r="F80" s="61">
        <f>IF(FT!A80&lt;&gt;"",FT!A80*10,"")</f>
        <v>3.8060699999999996</v>
      </c>
      <c r="G80" s="61">
        <f>IF(FT!B80&lt;&gt;"",FT!B80*100,"")</f>
        <v>29.9207</v>
      </c>
      <c r="H80" s="61">
        <f t="shared" si="9"/>
        <v>1</v>
      </c>
      <c r="I80" t="str">
        <f>IF(FT!B80&lt;&gt;"",FT!E80,"")</f>
        <v>2 [31.735319]</v>
      </c>
      <c r="J80">
        <f>IF(FT!B80&lt;&gt;"",FT!C80,"")</f>
        <v>31.735299999999999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3.8151600000000001</v>
      </c>
      <c r="G81" s="61">
        <f>IF(FT!B81&lt;&gt;"",FT!B81*100,"")</f>
        <v>29.981799999999996</v>
      </c>
      <c r="H81" s="61">
        <f t="shared" si="9"/>
        <v>1</v>
      </c>
      <c r="I81" t="str">
        <f>IF(FT!B81&lt;&gt;"",FT!E81,"")</f>
        <v>2 [32.123313]</v>
      </c>
      <c r="J81">
        <f>IF(FT!B81&lt;&gt;"",FT!C81,"")</f>
        <v>32.1233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160575</v>
      </c>
      <c r="D82" s="61">
        <f>FH!B82*1</f>
        <v>160575</v>
      </c>
      <c r="E82">
        <f t="shared" si="11"/>
        <v>80</v>
      </c>
      <c r="F82" s="61">
        <f>IF(FT!A82&lt;&gt;"",FT!A82*10,"")</f>
        <v>3.8262900000000002</v>
      </c>
      <c r="G82" s="61">
        <f>IF(FT!B82&lt;&gt;"",FT!B82*100,"")</f>
        <v>29.978900000000003</v>
      </c>
      <c r="H82" s="61">
        <f t="shared" si="9"/>
        <v>1</v>
      </c>
      <c r="I82" t="str">
        <f>IF(FT!B82&lt;&gt;"",FT!E82,"")</f>
        <v>2 [32.534011]</v>
      </c>
      <c r="J82">
        <f>IF(FT!B82&lt;&gt;"",FT!C82,"")</f>
        <v>32.533999999999999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3.8363900000000002</v>
      </c>
      <c r="G83" s="61">
        <f>IF(FT!B83&lt;&gt;"",FT!B83*100,"")</f>
        <v>30.032199999999996</v>
      </c>
      <c r="H83" s="61">
        <f t="shared" si="9"/>
        <v>1</v>
      </c>
      <c r="I83" t="str">
        <f>IF(FT!B83&lt;&gt;"",FT!E83,"")</f>
        <v>2 [32.938062]</v>
      </c>
      <c r="J83">
        <f>IF(FT!B83&lt;&gt;"",FT!C83,"")</f>
        <v>32.938099999999999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3.8484600000000002</v>
      </c>
      <c r="G84" s="61">
        <f>IF(FT!B84&lt;&gt;"",FT!B84*100,"")</f>
        <v>30.0914</v>
      </c>
      <c r="H84" s="61">
        <f t="shared" si="9"/>
        <v>1</v>
      </c>
      <c r="I84" t="str">
        <f>IF(FT!B84&lt;&gt;"",FT!E84,"")</f>
        <v>2 [33.342142]</v>
      </c>
      <c r="J84">
        <f>IF(FT!B84&lt;&gt;"",FT!C84,"")</f>
        <v>33.342100000000002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162139</v>
      </c>
      <c r="D85" s="61">
        <f>FH!B85*1</f>
        <v>162139</v>
      </c>
      <c r="E85">
        <f t="shared" si="11"/>
        <v>83</v>
      </c>
      <c r="F85" s="61">
        <f>IF(FT!A85&lt;&gt;"",FT!A85*10,"")</f>
        <v>3.85907</v>
      </c>
      <c r="G85" s="61">
        <f>IF(FT!B85&lt;&gt;"",FT!B85*100,"")</f>
        <v>30.168899999999997</v>
      </c>
      <c r="H85" s="61">
        <f t="shared" si="9"/>
        <v>1</v>
      </c>
      <c r="I85" t="str">
        <f>IF(FT!B85&lt;&gt;"",FT!E85,"")</f>
        <v>2 [33.749763]</v>
      </c>
      <c r="J85">
        <f>IF(FT!B85&lt;&gt;"",FT!C85,"")</f>
        <v>33.7498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3.86835</v>
      </c>
      <c r="G86" s="61">
        <f>IF(FT!B86&lt;&gt;"",FT!B86*100,"")</f>
        <v>30.281999999999996</v>
      </c>
      <c r="H86" s="61">
        <f t="shared" si="9"/>
        <v>1</v>
      </c>
      <c r="I86" t="str">
        <f>IF(FT!B86&lt;&gt;"",FT!E86,"")</f>
        <v>2 [34.158704]</v>
      </c>
      <c r="J86">
        <f>IF(FT!B86&lt;&gt;"",FT!C86,"")</f>
        <v>34.158700000000003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3.8774100000000002</v>
      </c>
      <c r="G87" s="61">
        <f>IF(FT!B87&lt;&gt;"",FT!B87*100,"")</f>
        <v>30.454199999999997</v>
      </c>
      <c r="H87" s="61">
        <f t="shared" si="9"/>
        <v>1</v>
      </c>
      <c r="I87" t="str">
        <f>IF(FT!B87&lt;&gt;"",FT!E87,"")</f>
        <v>2 [34.562568]</v>
      </c>
      <c r="J87">
        <f>IF(FT!B87&lt;&gt;"",FT!C87,"")</f>
        <v>34.562600000000003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159861</v>
      </c>
      <c r="D88" s="61">
        <f>FH!B88*1</f>
        <v>159861</v>
      </c>
      <c r="E88">
        <f t="shared" si="11"/>
        <v>86</v>
      </c>
      <c r="F88" s="61">
        <f>IF(FT!A88&lt;&gt;"",FT!A88*10,"")</f>
        <v>3.88652</v>
      </c>
      <c r="G88" s="61">
        <f>IF(FT!B88&lt;&gt;"",FT!B88*100,"")</f>
        <v>30.659099999999999</v>
      </c>
      <c r="H88" s="61">
        <f t="shared" si="9"/>
        <v>1</v>
      </c>
      <c r="I88" t="str">
        <f>IF(FT!B88&lt;&gt;"",FT!E88,"")</f>
        <v>2 [34.967500]</v>
      </c>
      <c r="J88">
        <f>IF(FT!B88&lt;&gt;"",FT!C88,"")</f>
        <v>34.967500000000001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3.8960600000000003</v>
      </c>
      <c r="G89" s="61">
        <f>IF(FT!B89&lt;&gt;"",FT!B89*100,"")</f>
        <v>30.883899999999997</v>
      </c>
      <c r="H89" s="61">
        <f t="shared" si="9"/>
        <v>1</v>
      </c>
      <c r="I89" t="str">
        <f>IF(FT!B89&lt;&gt;"",FT!E89,"")</f>
        <v>2 [35.375770]</v>
      </c>
      <c r="J89">
        <f>IF(FT!B89&lt;&gt;"",FT!C89,"")</f>
        <v>35.375799999999998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158782</v>
      </c>
      <c r="D90" s="61">
        <f>FH!B90*1</f>
        <v>158782</v>
      </c>
      <c r="E90">
        <f t="shared" si="11"/>
        <v>88</v>
      </c>
      <c r="F90" s="61">
        <f>IF(FT!A90&lt;&gt;"",FT!A90*10,"")</f>
        <v>3.9058199999999998</v>
      </c>
      <c r="G90" s="61">
        <f>IF(FT!B90&lt;&gt;"",FT!B90*100,"")</f>
        <v>31.113600000000002</v>
      </c>
      <c r="H90" s="61">
        <f t="shared" si="9"/>
        <v>1</v>
      </c>
      <c r="I90" t="str">
        <f>IF(FT!B90&lt;&gt;"",FT!E90,"")</f>
        <v>2 [35.779321]</v>
      </c>
      <c r="J90">
        <f>IF(FT!B90&lt;&gt;"",FT!C90,"")</f>
        <v>35.779299999999999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3.91282</v>
      </c>
      <c r="G91" s="61">
        <f>IF(FT!B91&lt;&gt;"",FT!B91*100,"")</f>
        <v>31.3569</v>
      </c>
      <c r="H91" s="61">
        <f t="shared" si="9"/>
        <v>1</v>
      </c>
      <c r="I91" t="str">
        <f>IF(FT!B91&lt;&gt;"",FT!E91,"")</f>
        <v>2 [36.186249]</v>
      </c>
      <c r="J91">
        <f>IF(FT!B91&lt;&gt;"",FT!C91,"")</f>
        <v>36.186199999999999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3.9187599999999998</v>
      </c>
      <c r="G92" s="61">
        <f>IF(FT!B92&lt;&gt;"",FT!B92*100,"")</f>
        <v>31.622600000000002</v>
      </c>
      <c r="H92" s="61">
        <f t="shared" si="9"/>
        <v>1</v>
      </c>
      <c r="I92" t="str">
        <f>IF(FT!B92&lt;&gt;"",FT!E92,"")</f>
        <v>2 [36.592221]</v>
      </c>
      <c r="J92">
        <f>IF(FT!B92&lt;&gt;"",FT!C92,"")</f>
        <v>36.592199999999998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167022</v>
      </c>
      <c r="D93" s="61">
        <f>FH!B93*1</f>
        <v>167022</v>
      </c>
      <c r="E93">
        <f t="shared" si="11"/>
        <v>91</v>
      </c>
      <c r="F93" s="61">
        <f>IF(FT!A93&lt;&gt;"",FT!A93*10,"")</f>
        <v>3.92347</v>
      </c>
      <c r="G93" s="61">
        <f>IF(FT!B93&lt;&gt;"",FT!B93*100,"")</f>
        <v>31.920500000000001</v>
      </c>
      <c r="H93" s="61">
        <f t="shared" si="9"/>
        <v>1</v>
      </c>
      <c r="I93" t="str">
        <f>IF(FT!B93&lt;&gt;"",FT!E93,"")</f>
        <v>2 [36.999125]</v>
      </c>
      <c r="J93">
        <f>IF(FT!B93&lt;&gt;"",FT!C93,"")</f>
        <v>36.999099999999999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3.92624</v>
      </c>
      <c r="G94" s="61">
        <f>IF(FT!B94&lt;&gt;"",FT!B94*100,"")</f>
        <v>32.325700000000005</v>
      </c>
      <c r="H94" s="61">
        <f t="shared" si="9"/>
        <v>1</v>
      </c>
      <c r="I94" t="str">
        <f>IF(FT!B94&lt;&gt;"",FT!E94,"")</f>
        <v>2 [37.405056]</v>
      </c>
      <c r="J94">
        <f>IF(FT!B94&lt;&gt;"",FT!C94,"")</f>
        <v>37.405099999999997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175052</v>
      </c>
      <c r="D95" s="61">
        <f>FH!B95*1</f>
        <v>175052</v>
      </c>
      <c r="E95">
        <f t="shared" si="11"/>
        <v>93</v>
      </c>
      <c r="F95" s="61">
        <f>IF(FT!A95&lt;&gt;"",FT!A95*10,"")</f>
        <v>3.9286399999999997</v>
      </c>
      <c r="G95" s="61">
        <f>IF(FT!B95&lt;&gt;"",FT!B95*100,"")</f>
        <v>32.755699999999997</v>
      </c>
      <c r="H95" s="61">
        <f t="shared" si="9"/>
        <v>1</v>
      </c>
      <c r="I95" t="str">
        <f>IF(FT!B95&lt;&gt;"",FT!E95,"")</f>
        <v>2 [37.809030]</v>
      </c>
      <c r="J95">
        <f>IF(FT!B95&lt;&gt;"",FT!C95,"")</f>
        <v>37.808999999999997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3.9318900000000001</v>
      </c>
      <c r="G96" s="61">
        <f>IF(FT!B96&lt;&gt;"",FT!B96*100,"")</f>
        <v>33.197800000000001</v>
      </c>
      <c r="H96" s="61">
        <f t="shared" si="9"/>
        <v>1</v>
      </c>
      <c r="I96" t="str">
        <f>IF(FT!B96&lt;&gt;"",FT!E96,"")</f>
        <v>2 [38.218839]</v>
      </c>
      <c r="J96">
        <f>IF(FT!B96&lt;&gt;"",FT!C96,"")</f>
        <v>38.218800000000002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3.93594</v>
      </c>
      <c r="G97" s="61">
        <f>IF(FT!B97&lt;&gt;"",FT!B97*100,"")</f>
        <v>33.623999999999995</v>
      </c>
      <c r="H97" s="61">
        <f t="shared" si="9"/>
        <v>1</v>
      </c>
      <c r="I97" t="str">
        <f>IF(FT!B97&lt;&gt;"",FT!E97,"")</f>
        <v>2 [38.626727]</v>
      </c>
      <c r="J97">
        <f>IF(FT!B97&lt;&gt;"",FT!C97,"")</f>
        <v>38.6267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170196</v>
      </c>
      <c r="D98" s="61">
        <f>FH!B98*1</f>
        <v>170196</v>
      </c>
      <c r="E98">
        <f t="shared" si="11"/>
        <v>96</v>
      </c>
      <c r="F98" s="61">
        <f>IF(FT!A98&lt;&gt;"",FT!A98*10,"")</f>
        <v>3.9424999999999999</v>
      </c>
      <c r="G98" s="61">
        <f>IF(FT!B98&lt;&gt;"",FT!B98*100,"")</f>
        <v>34.045299999999997</v>
      </c>
      <c r="H98" s="61">
        <f t="shared" si="9"/>
        <v>1</v>
      </c>
      <c r="I98" t="str">
        <f>IF(FT!B98&lt;&gt;"",FT!E98,"")</f>
        <v>2 [39.028766]</v>
      </c>
      <c r="J98">
        <f>IF(FT!B98&lt;&gt;"",FT!C98,"")</f>
        <v>39.028799999999997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3.95</v>
      </c>
      <c r="G99" s="61">
        <f>IF(FT!B99&lt;&gt;"",FT!B99*100,"")</f>
        <v>34.4726</v>
      </c>
      <c r="H99" s="61">
        <f t="shared" si="9"/>
        <v>1</v>
      </c>
      <c r="I99" t="str">
        <f>IF(FT!B99&lt;&gt;"",FT!E99,"")</f>
        <v>2 [39.432534]</v>
      </c>
      <c r="J99">
        <f>IF(FT!B99&lt;&gt;"",FT!C99,"")</f>
        <v>39.432499999999997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180349</v>
      </c>
      <c r="D100" s="61">
        <f>FH!B100*1</f>
        <v>180349</v>
      </c>
      <c r="E100">
        <f t="shared" si="11"/>
        <v>98</v>
      </c>
      <c r="F100" s="61">
        <f>IF(FT!A100&lt;&gt;"",FT!A100*10,"")</f>
        <v>3.9580700000000002</v>
      </c>
      <c r="G100" s="61">
        <f>IF(FT!B100&lt;&gt;"",FT!B100*100,"")</f>
        <v>34.896999999999998</v>
      </c>
      <c r="H100" s="61">
        <f t="shared" si="9"/>
        <v>1</v>
      </c>
      <c r="I100" t="str">
        <f>IF(FT!B100&lt;&gt;"",FT!E100,"")</f>
        <v>2 [39.839853]</v>
      </c>
      <c r="J100">
        <f>IF(FT!B100&lt;&gt;"",FT!C100,"")</f>
        <v>39.8399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3.9689400000000004</v>
      </c>
      <c r="G101" s="61">
        <f>IF(FT!B101&lt;&gt;"",FT!B101*100,"")</f>
        <v>35.277900000000002</v>
      </c>
      <c r="H101" s="61">
        <f t="shared" si="9"/>
        <v>1</v>
      </c>
      <c r="I101" t="str">
        <f>IF(FT!B101&lt;&gt;"",FT!E101,"")</f>
        <v>2 [40.252430]</v>
      </c>
      <c r="J101">
        <f>IF(FT!B101&lt;&gt;"",FT!C101,"")</f>
        <v>40.252400000000002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3.9826600000000001</v>
      </c>
      <c r="G102" s="61">
        <f>IF(FT!B102&lt;&gt;"",FT!B102*100,"")</f>
        <v>35.6006</v>
      </c>
      <c r="H102" s="61">
        <f t="shared" si="9"/>
        <v>1</v>
      </c>
      <c r="I102" t="str">
        <f>IF(FT!B102&lt;&gt;"",FT!E102,"")</f>
        <v>2 [40.657573]</v>
      </c>
      <c r="J102">
        <f>IF(FT!B102&lt;&gt;"",FT!C102,"")</f>
        <v>40.657600000000002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182336</v>
      </c>
      <c r="D103" s="61">
        <f>FH!B103*1</f>
        <v>182336</v>
      </c>
      <c r="E103">
        <f t="shared" si="11"/>
        <v>101</v>
      </c>
      <c r="F103" s="61">
        <f>IF(FT!A103&lt;&gt;"",FT!A103*10,"")</f>
        <v>3.9991700000000003</v>
      </c>
      <c r="G103" s="61">
        <f>IF(FT!B103&lt;&gt;"",FT!B103*100,"")</f>
        <v>35.833300000000001</v>
      </c>
      <c r="H103" s="61">
        <f t="shared" si="9"/>
        <v>1</v>
      </c>
      <c r="I103" t="str">
        <f>IF(FT!B103&lt;&gt;"",FT!E103,"")</f>
        <v>2 [41.061260]</v>
      </c>
      <c r="J103">
        <f>IF(FT!B103&lt;&gt;"",FT!C103,"")</f>
        <v>41.061300000000003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4.0151900000000005</v>
      </c>
      <c r="G104" s="61">
        <f>IF(FT!B104&lt;&gt;"",FT!B104*100,"")</f>
        <v>36.044599999999996</v>
      </c>
      <c r="H104" s="61">
        <f t="shared" si="9"/>
        <v>1</v>
      </c>
      <c r="I104" t="str">
        <f>IF(FT!B104&lt;&gt;"",FT!E104,"")</f>
        <v>2 [41.469313]</v>
      </c>
      <c r="J104">
        <f>IF(FT!B104&lt;&gt;"",FT!C104,"")</f>
        <v>41.469299999999997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4.0312599999999996</v>
      </c>
      <c r="G105" s="61">
        <f>IF(FT!B105&lt;&gt;"",FT!B105*100,"")</f>
        <v>36.251400000000004</v>
      </c>
      <c r="H105" s="61">
        <f t="shared" si="9"/>
        <v>1</v>
      </c>
      <c r="I105" t="str">
        <f>IF(FT!B105&lt;&gt;"",FT!E105,"")</f>
        <v>2 [41.872273]</v>
      </c>
      <c r="J105">
        <f>IF(FT!B105&lt;&gt;"",FT!C105,"")</f>
        <v>41.872300000000003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195046</v>
      </c>
      <c r="D106" s="61">
        <f>FH!B106*1</f>
        <v>195046</v>
      </c>
      <c r="E106">
        <f t="shared" si="11"/>
        <v>104</v>
      </c>
      <c r="F106" s="61">
        <f>IF(FT!A106&lt;&gt;"",FT!A106*10,"")</f>
        <v>4.0475699999999994</v>
      </c>
      <c r="G106" s="61">
        <f>IF(FT!B106&lt;&gt;"",FT!B106*100,"")</f>
        <v>36.446899999999999</v>
      </c>
      <c r="H106" s="61">
        <f t="shared" si="9"/>
        <v>1</v>
      </c>
      <c r="I106" t="str">
        <f>IF(FT!B106&lt;&gt;"",FT!E106,"")</f>
        <v>2 [42.282959]</v>
      </c>
      <c r="J106">
        <f>IF(FT!B106&lt;&gt;"",FT!C106,"")</f>
        <v>42.283000000000001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4.06616</v>
      </c>
      <c r="G107" s="61">
        <f>IF(FT!B107&lt;&gt;"",FT!B107*100,"")</f>
        <v>36.584000000000003</v>
      </c>
      <c r="H107" s="61">
        <f t="shared" si="9"/>
        <v>1</v>
      </c>
      <c r="I107" t="str">
        <f>IF(FT!B107&lt;&gt;"",FT!E107,"")</f>
        <v>2 [42.688851]</v>
      </c>
      <c r="J107">
        <f>IF(FT!B107&lt;&gt;"",FT!C107,"")</f>
        <v>42.688899999999997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181976</v>
      </c>
      <c r="D108" s="61">
        <f>FH!B108*1</f>
        <v>181976</v>
      </c>
      <c r="E108">
        <f t="shared" si="11"/>
        <v>106</v>
      </c>
      <c r="F108" s="61">
        <f>IF(FT!A108&lt;&gt;"",FT!A108*10,"")</f>
        <v>4.0885400000000001</v>
      </c>
      <c r="G108" s="61">
        <f>IF(FT!B108&lt;&gt;"",FT!B108*100,"")</f>
        <v>36.697600000000001</v>
      </c>
      <c r="H108" s="61">
        <f t="shared" si="9"/>
        <v>1</v>
      </c>
      <c r="I108" t="str">
        <f>IF(FT!B108&lt;&gt;"",FT!E108,"")</f>
        <v>2 [43.092861]</v>
      </c>
      <c r="J108">
        <f>IF(FT!B108&lt;&gt;"",FT!C108,"")</f>
        <v>43.0929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4.1116200000000003</v>
      </c>
      <c r="G109" s="61">
        <f>IF(FT!B109&lt;&gt;"",FT!B109*100,"")</f>
        <v>36.806600000000003</v>
      </c>
      <c r="H109" s="61">
        <f t="shared" si="9"/>
        <v>1</v>
      </c>
      <c r="I109" t="str">
        <f>IF(FT!B109&lt;&gt;"",FT!E109,"")</f>
        <v>2 [43.500768]</v>
      </c>
      <c r="J109">
        <f>IF(FT!B109&lt;&gt;"",FT!C109,"")</f>
        <v>43.500799999999998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4.1390399999999996</v>
      </c>
      <c r="G110" s="61">
        <f>IF(FT!B110&lt;&gt;"",FT!B110*100,"")</f>
        <v>36.789899999999996</v>
      </c>
      <c r="H110" s="61">
        <f t="shared" si="9"/>
        <v>1</v>
      </c>
      <c r="I110" t="str">
        <f>IF(FT!B110&lt;&gt;"",FT!E110,"")</f>
        <v>2 [43.904735]</v>
      </c>
      <c r="J110">
        <f>IF(FT!B110&lt;&gt;"",FT!C110,"")</f>
        <v>43.904699999999998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171848</v>
      </c>
      <c r="D111" s="61">
        <f>FH!B111*1</f>
        <v>171848</v>
      </c>
      <c r="E111">
        <f t="shared" si="11"/>
        <v>109</v>
      </c>
      <c r="F111" s="61">
        <f>IF(FT!A111&lt;&gt;"",FT!A111*10,"")</f>
        <v>4.1697299999999995</v>
      </c>
      <c r="G111" s="61">
        <f>IF(FT!B111&lt;&gt;"",FT!B111*100,"")</f>
        <v>36.645400000000002</v>
      </c>
      <c r="H111" s="61">
        <f t="shared" si="9"/>
        <v>1</v>
      </c>
      <c r="I111" t="str">
        <f>IF(FT!B111&lt;&gt;"",FT!E111,"")</f>
        <v>2 [44.312490]</v>
      </c>
      <c r="J111">
        <f>IF(FT!B111&lt;&gt;"",FT!C111,"")</f>
        <v>44.3125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4.2007099999999999</v>
      </c>
      <c r="G112" s="61">
        <f>IF(FT!B112&lt;&gt;"",FT!B112*100,"")</f>
        <v>36.498999999999995</v>
      </c>
      <c r="H112" s="61">
        <f t="shared" si="9"/>
        <v>1</v>
      </c>
      <c r="I112" t="str">
        <f>IF(FT!B112&lt;&gt;"",FT!E112,"")</f>
        <v>2 [44.721473]</v>
      </c>
      <c r="J112">
        <f>IF(FT!B112&lt;&gt;"",FT!C112,"")</f>
        <v>44.721499999999999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170835</v>
      </c>
      <c r="D113" s="61">
        <f>FH!B113*1</f>
        <v>170835</v>
      </c>
      <c r="E113">
        <f t="shared" si="11"/>
        <v>111</v>
      </c>
      <c r="F113" s="61">
        <f>IF(FT!A113&lt;&gt;"",FT!A113*10,"")</f>
        <v>4.2299199999999999</v>
      </c>
      <c r="G113" s="61">
        <f>IF(FT!B113&lt;&gt;"",FT!B113*100,"")</f>
        <v>36.310700000000004</v>
      </c>
      <c r="H113" s="61">
        <f t="shared" si="9"/>
        <v>1</v>
      </c>
      <c r="I113" t="str">
        <f>IF(FT!B113&lt;&gt;"",FT!E113,"")</f>
        <v>2 [45.124479]</v>
      </c>
      <c r="J113">
        <f>IF(FT!B113&lt;&gt;"",FT!C113,"")</f>
        <v>45.124499999999998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4.2593800000000002</v>
      </c>
      <c r="G114" s="61">
        <f>IF(FT!B114&lt;&gt;"",FT!B114*100,"")</f>
        <v>35.9998</v>
      </c>
      <c r="H114" s="61">
        <f t="shared" si="9"/>
        <v>1</v>
      </c>
      <c r="I114" t="str">
        <f>IF(FT!B114&lt;&gt;"",FT!E114,"")</f>
        <v>2 [45.529226]</v>
      </c>
      <c r="J114">
        <f>IF(FT!B114&lt;&gt;"",FT!C114,"")</f>
        <v>45.529200000000003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4.2895099999999999</v>
      </c>
      <c r="G115" s="61">
        <f>IF(FT!B115&lt;&gt;"",FT!B115*100,"")</f>
        <v>35.605399999999996</v>
      </c>
      <c r="H115" s="61">
        <f t="shared" si="9"/>
        <v>1</v>
      </c>
      <c r="I115" t="str">
        <f>IF(FT!B115&lt;&gt;"",FT!E115,"")</f>
        <v>2 [45.935415]</v>
      </c>
      <c r="J115">
        <f>IF(FT!B115&lt;&gt;"",FT!C115,"")</f>
        <v>45.935400000000001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154161</v>
      </c>
      <c r="D116" s="61">
        <f>FH!B116*1</f>
        <v>154161</v>
      </c>
      <c r="E116">
        <f t="shared" si="11"/>
        <v>114</v>
      </c>
      <c r="F116" s="61">
        <f>IF(FT!A116&lt;&gt;"",FT!A116*10,"")</f>
        <v>4.31785</v>
      </c>
      <c r="G116" s="61">
        <f>IF(FT!B116&lt;&gt;"",FT!B116*100,"")</f>
        <v>35.210799999999999</v>
      </c>
      <c r="H116" s="61">
        <f t="shared" si="9"/>
        <v>1</v>
      </c>
      <c r="I116" t="str">
        <f>IF(FT!B116&lt;&gt;"",FT!E116,"")</f>
        <v>2 [46.344082]</v>
      </c>
      <c r="J116">
        <f>IF(FT!B116&lt;&gt;"",FT!C116,"")</f>
        <v>46.344099999999997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4.3421099999999999</v>
      </c>
      <c r="G117" s="61">
        <f>IF(FT!B117&lt;&gt;"",FT!B117*100,"")</f>
        <v>34.7851</v>
      </c>
      <c r="H117" s="61">
        <f t="shared" si="9"/>
        <v>1</v>
      </c>
      <c r="I117" t="str">
        <f>IF(FT!B117&lt;&gt;"",FT!E117,"")</f>
        <v>2 [46.750969]</v>
      </c>
      <c r="J117">
        <f>IF(FT!B117&lt;&gt;"",FT!C117,"")</f>
        <v>46.750999999999998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150691</v>
      </c>
      <c r="D118" s="61">
        <f>FH!B118*1</f>
        <v>150691</v>
      </c>
      <c r="E118">
        <f t="shared" si="11"/>
        <v>116</v>
      </c>
      <c r="F118" s="61">
        <f>IF(FT!A118&lt;&gt;"",FT!A118*10,"")</f>
        <v>4.3670999999999998</v>
      </c>
      <c r="G118" s="61">
        <f>IF(FT!B118&lt;&gt;"",FT!B118*100,"")</f>
        <v>34.268100000000004</v>
      </c>
      <c r="H118" s="61">
        <f t="shared" si="9"/>
        <v>1</v>
      </c>
      <c r="I118" t="str">
        <f>IF(FT!B118&lt;&gt;"",FT!E118,"")</f>
        <v>2 [47.154911]</v>
      </c>
      <c r="J118">
        <f>IF(FT!B118&lt;&gt;"",FT!C118,"")</f>
        <v>47.154899999999998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4.3924900000000004</v>
      </c>
      <c r="G119" s="61">
        <f>IF(FT!B119&lt;&gt;"",FT!B119*100,"")</f>
        <v>33.737000000000002</v>
      </c>
      <c r="H119" s="61">
        <f t="shared" si="9"/>
        <v>1</v>
      </c>
      <c r="I119" t="str">
        <f>IF(FT!B119&lt;&gt;"",FT!E119,"")</f>
        <v>2 [47.559868]</v>
      </c>
      <c r="J119">
        <f>IF(FT!B119&lt;&gt;"",FT!C119,"")</f>
        <v>47.559899999999999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4.4149799999999999</v>
      </c>
      <c r="G120" s="61">
        <f>IF(FT!B120&lt;&gt;"",FT!B120*100,"")</f>
        <v>33.262999999999998</v>
      </c>
      <c r="H120" s="61">
        <f t="shared" si="9"/>
        <v>1</v>
      </c>
      <c r="I120" t="str">
        <f>IF(FT!B120&lt;&gt;"",FT!E120,"")</f>
        <v>2 [47.965876]</v>
      </c>
      <c r="J120">
        <f>IF(FT!B120&lt;&gt;"",FT!C120,"")</f>
        <v>47.965899999999998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139740</v>
      </c>
      <c r="D121" s="61">
        <f>FH!B121*1</f>
        <v>139740</v>
      </c>
      <c r="E121">
        <f t="shared" si="11"/>
        <v>119</v>
      </c>
      <c r="F121" s="61">
        <f>IF(FT!A121&lt;&gt;"",FT!A121*10,"")</f>
        <v>4.4359700000000002</v>
      </c>
      <c r="G121" s="61">
        <f>IF(FT!B121&lt;&gt;"",FT!B121*100,"")</f>
        <v>32.770400000000002</v>
      </c>
      <c r="H121" s="61">
        <f t="shared" si="9"/>
        <v>1</v>
      </c>
      <c r="I121" t="str">
        <f>IF(FT!B121&lt;&gt;"",FT!E121,"")</f>
        <v>2 [48.373921]</v>
      </c>
      <c r="J121">
        <f>IF(FT!B121&lt;&gt;"",FT!C121,"")</f>
        <v>48.373899999999999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4.45669</v>
      </c>
      <c r="G122" s="61">
        <f>IF(FT!B122&lt;&gt;"",FT!B122*100,"")</f>
        <v>32.185699999999997</v>
      </c>
      <c r="H122" s="61">
        <f t="shared" si="9"/>
        <v>1</v>
      </c>
      <c r="I122" t="str">
        <f>IF(FT!B122&lt;&gt;"",FT!E122,"")</f>
        <v>2 [48.783563]</v>
      </c>
      <c r="J122">
        <f>IF(FT!B122&lt;&gt;"",FT!C122,"")</f>
        <v>48.7836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4.4742999999999995</v>
      </c>
      <c r="G123" s="61">
        <f>IF(FT!B123&lt;&gt;"",FT!B123*100,"")</f>
        <v>31.566800000000001</v>
      </c>
      <c r="H123" s="61">
        <f t="shared" si="9"/>
        <v>1</v>
      </c>
      <c r="I123" t="str">
        <f>IF(FT!B123&lt;&gt;"",FT!E123,"")</f>
        <v>2 [49.188606]</v>
      </c>
      <c r="J123">
        <f>IF(FT!B123&lt;&gt;"",FT!C123,"")</f>
        <v>49.188600000000001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117232</v>
      </c>
      <c r="D124" s="61">
        <f>FH!B124*1</f>
        <v>117232</v>
      </c>
      <c r="E124">
        <f t="shared" si="11"/>
        <v>122</v>
      </c>
      <c r="F124" s="61">
        <f>IF(FT!A124&lt;&gt;"",FT!A124*10,"")</f>
        <v>4.4896200000000004</v>
      </c>
      <c r="G124" s="61">
        <f>IF(FT!B124&lt;&gt;"",FT!B124*100,"")</f>
        <v>30.923200000000001</v>
      </c>
      <c r="H124" s="61">
        <f t="shared" si="9"/>
        <v>1</v>
      </c>
      <c r="I124" t="str">
        <f>IF(FT!B124&lt;&gt;"",FT!E124,"")</f>
        <v>2 [49.591503]</v>
      </c>
      <c r="J124">
        <f>IF(FT!B124&lt;&gt;"",FT!C124,"")</f>
        <v>49.591500000000003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4.50068</v>
      </c>
      <c r="G125" s="61">
        <f>IF(FT!B125&lt;&gt;"",FT!B125*100,"")</f>
        <v>30.288599999999999</v>
      </c>
      <c r="H125" s="61">
        <f t="shared" si="9"/>
        <v>1</v>
      </c>
      <c r="I125" t="str">
        <f>IF(FT!B125&lt;&gt;"",FT!E125,"")</f>
        <v>2 [49.995417]</v>
      </c>
      <c r="J125">
        <f>IF(FT!B125&lt;&gt;"",FT!C125,"")</f>
        <v>49.995399999999997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108373</v>
      </c>
      <c r="D126" s="61">
        <f>FH!B126*1</f>
        <v>108373</v>
      </c>
      <c r="E126">
        <f t="shared" si="11"/>
        <v>124</v>
      </c>
      <c r="F126" s="61">
        <f>IF(FT!A126&lt;&gt;"",FT!A126*10,"")</f>
        <v>4.51084</v>
      </c>
      <c r="G126" s="61">
        <f>IF(FT!B126&lt;&gt;"",FT!B126*100,"")</f>
        <v>29.760399999999997</v>
      </c>
      <c r="H126" s="61">
        <f t="shared" si="9"/>
        <v>1</v>
      </c>
      <c r="I126" t="str">
        <f>IF(FT!B126&lt;&gt;"",FT!E126,"")</f>
        <v>2 [50.403211]</v>
      </c>
      <c r="J126">
        <f>IF(FT!B126&lt;&gt;"",FT!C126,"")</f>
        <v>50.403199999999998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4.52332</v>
      </c>
      <c r="G127" s="61">
        <f>IF(FT!B127&lt;&gt;"",FT!B127*100,"")</f>
        <v>29.3263</v>
      </c>
      <c r="H127" s="61">
        <f t="shared" si="9"/>
        <v>1</v>
      </c>
      <c r="I127" t="str">
        <f>IF(FT!B127&lt;&gt;"",FT!E127,"")</f>
        <v>2 [50.809156]</v>
      </c>
      <c r="J127">
        <f>IF(FT!B127&lt;&gt;"",FT!C127,"")</f>
        <v>50.809199999999997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4.5334300000000001</v>
      </c>
      <c r="G128" s="61">
        <f>IF(FT!B128&lt;&gt;"",FT!B128*100,"")</f>
        <v>28.9038</v>
      </c>
      <c r="H128" s="61">
        <f t="shared" si="9"/>
        <v>1</v>
      </c>
      <c r="I128" t="str">
        <f>IF(FT!B128&lt;&gt;"",FT!E128,"")</f>
        <v>2 [51.215309]</v>
      </c>
      <c r="J128">
        <f>IF(FT!B128&lt;&gt;"",FT!C128,"")</f>
        <v>51.215299999999999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96814</v>
      </c>
      <c r="D129" s="61">
        <f>FH!B129*1</f>
        <v>96814</v>
      </c>
      <c r="E129">
        <f t="shared" si="11"/>
        <v>127</v>
      </c>
      <c r="F129" s="61">
        <f>IF(FT!A129&lt;&gt;"",FT!A129*10,"")</f>
        <v>4.5431699999999999</v>
      </c>
      <c r="G129" s="61">
        <f>IF(FT!B129&lt;&gt;"",FT!B129*100,"")</f>
        <v>28.448600000000003</v>
      </c>
      <c r="H129" s="61">
        <f t="shared" si="9"/>
        <v>1</v>
      </c>
      <c r="I129" t="str">
        <f>IF(FT!B129&lt;&gt;"",FT!E129,"")</f>
        <v>2 [51.624968]</v>
      </c>
      <c r="J129">
        <f>IF(FT!B129&lt;&gt;"",FT!C129,"")</f>
        <v>51.625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4.5531199999999998</v>
      </c>
      <c r="G130" s="61">
        <f>IF(FT!B130&lt;&gt;"",FT!B130*100,"")</f>
        <v>27.950599999999998</v>
      </c>
      <c r="H130" s="61">
        <f t="shared" si="9"/>
        <v>1</v>
      </c>
      <c r="I130" t="str">
        <f>IF(FT!B130&lt;&gt;"",FT!E130,"")</f>
        <v>2 [52.031922]</v>
      </c>
      <c r="J130">
        <f>IF(FT!B130&lt;&gt;"",FT!C130,"")</f>
        <v>52.0319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83414</v>
      </c>
      <c r="D131" s="61">
        <f>FH!B131*1</f>
        <v>83414</v>
      </c>
      <c r="E131">
        <f t="shared" si="11"/>
        <v>129</v>
      </c>
      <c r="F131" s="61">
        <f>IF(FT!A131&lt;&gt;"",FT!A131*10,"")</f>
        <v>4.5631199999999996</v>
      </c>
      <c r="G131" s="61">
        <f>IF(FT!B131&lt;&gt;"",FT!B131*100,"")</f>
        <v>27.420400000000001</v>
      </c>
      <c r="H131" s="61">
        <f t="shared" ref="H131:H194" si="13">(IF(F131&lt;&gt;"",1,""))</f>
        <v>1</v>
      </c>
      <c r="I131" t="str">
        <f>IF(FT!B131&lt;&gt;"",FT!E131,"")</f>
        <v>2 [52.437888]</v>
      </c>
      <c r="J131">
        <f>IF(FT!B131&lt;&gt;"",FT!C131,"")</f>
        <v>52.437899999999999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4.5688699999999995</v>
      </c>
      <c r="G132" s="61">
        <f>IF(FT!B132&lt;&gt;"",FT!B132*100,"")</f>
        <v>26.881100000000004</v>
      </c>
      <c r="H132" s="61">
        <f t="shared" si="13"/>
        <v>1</v>
      </c>
      <c r="I132" t="str">
        <f>IF(FT!B132&lt;&gt;"",FT!E132,"")</f>
        <v>2 [52.838868]</v>
      </c>
      <c r="J132">
        <f>IF(FT!B132&lt;&gt;"",FT!C132,"")</f>
        <v>52.838900000000002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4.5727000000000002</v>
      </c>
      <c r="G133" s="61">
        <f>IF(FT!B133&lt;&gt;"",FT!B133*100,"")</f>
        <v>26.281600000000001</v>
      </c>
      <c r="H133" s="61">
        <f t="shared" si="13"/>
        <v>1</v>
      </c>
      <c r="I133" t="str">
        <f>IF(FT!B133&lt;&gt;"",FT!E133,"")</f>
        <v>2 [53.247275]</v>
      </c>
      <c r="J133">
        <f>IF(FT!B133&lt;&gt;"",FT!C133,"")</f>
        <v>53.247300000000003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81096</v>
      </c>
      <c r="D134" s="61">
        <f>FH!B134*1</f>
        <v>81096</v>
      </c>
      <c r="E134">
        <f t="shared" si="15"/>
        <v>132</v>
      </c>
      <c r="F134" s="61">
        <f>IF(FT!A134&lt;&gt;"",FT!A134*10,"")</f>
        <v>4.5761200000000004</v>
      </c>
      <c r="G134" s="61">
        <f>IF(FT!B134&lt;&gt;"",FT!B134*100,"")</f>
        <v>25.646200000000004</v>
      </c>
      <c r="H134" s="61">
        <f t="shared" si="13"/>
        <v>1</v>
      </c>
      <c r="I134" t="str">
        <f>IF(FT!B134&lt;&gt;"",FT!E134,"")</f>
        <v>2 [53.656768]</v>
      </c>
      <c r="J134">
        <f>IF(FT!B134&lt;&gt;"",FT!C134,"")</f>
        <v>53.656799999999997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4.5732600000000003</v>
      </c>
      <c r="G135" s="61">
        <f>IF(FT!B135&lt;&gt;"",FT!B135*100,"")</f>
        <v>25.050800000000002</v>
      </c>
      <c r="H135" s="61">
        <f t="shared" si="13"/>
        <v>1</v>
      </c>
      <c r="I135" t="str">
        <f>IF(FT!B135&lt;&gt;"",FT!E135,"")</f>
        <v>2 [54.061453]</v>
      </c>
      <c r="J135">
        <f>IF(FT!B135&lt;&gt;"",FT!C135,"")</f>
        <v>54.061500000000002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73387</v>
      </c>
      <c r="D136" s="61">
        <f>FH!B136*1</f>
        <v>73387</v>
      </c>
      <c r="E136">
        <f t="shared" si="15"/>
        <v>134</v>
      </c>
      <c r="F136" s="61">
        <f>IF(FT!A136&lt;&gt;"",FT!A136*10,"")</f>
        <v>4.5650399999999998</v>
      </c>
      <c r="G136" s="61">
        <f>IF(FT!B136&lt;&gt;"",FT!B136*100,"")</f>
        <v>24.5169</v>
      </c>
      <c r="H136" s="61">
        <f t="shared" si="13"/>
        <v>1</v>
      </c>
      <c r="I136" t="str">
        <f>IF(FT!B136&lt;&gt;"",FT!E136,"")</f>
        <v>2 [54.468335]</v>
      </c>
      <c r="J136">
        <f>IF(FT!B136&lt;&gt;"",FT!C136,"")</f>
        <v>54.468299999999999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4.5562200000000006</v>
      </c>
      <c r="G137" s="61">
        <f>IF(FT!B137&lt;&gt;"",FT!B137*100,"")</f>
        <v>23.9849</v>
      </c>
      <c r="H137" s="61">
        <f t="shared" si="13"/>
        <v>1</v>
      </c>
      <c r="I137" t="str">
        <f>IF(FT!B137&lt;&gt;"",FT!E137,"")</f>
        <v>2 [54.873591]</v>
      </c>
      <c r="J137">
        <f>IF(FT!B137&lt;&gt;"",FT!C137,"")</f>
        <v>54.873600000000003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4.54697</v>
      </c>
      <c r="G138" s="61">
        <f>IF(FT!B138&lt;&gt;"",FT!B138*100,"")</f>
        <v>23.514499999999998</v>
      </c>
      <c r="H138" s="61">
        <f t="shared" si="13"/>
        <v>1</v>
      </c>
      <c r="I138" t="str">
        <f>IF(FT!B138&lt;&gt;"",FT!E138,"")</f>
        <v>2 [55.278680]</v>
      </c>
      <c r="J138">
        <f>IF(FT!B138&lt;&gt;"",FT!C138,"")</f>
        <v>55.278700000000001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75042</v>
      </c>
      <c r="D139" s="61">
        <f>FH!B139*1</f>
        <v>75042</v>
      </c>
      <c r="E139">
        <f t="shared" si="15"/>
        <v>137</v>
      </c>
      <c r="F139" s="61">
        <f>IF(FT!A139&lt;&gt;"",FT!A139*10,"")</f>
        <v>4.5327099999999998</v>
      </c>
      <c r="G139" s="61">
        <f>IF(FT!B139&lt;&gt;"",FT!B139*100,"")</f>
        <v>23.216700000000003</v>
      </c>
      <c r="H139" s="61">
        <f t="shared" si="13"/>
        <v>1</v>
      </c>
      <c r="I139" t="str">
        <f>IF(FT!B139&lt;&gt;"",FT!E139,"")</f>
        <v>2 [55.686071]</v>
      </c>
      <c r="J139">
        <f>IF(FT!B139&lt;&gt;"",FT!C139,"")</f>
        <v>55.686100000000003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4.5130300000000005</v>
      </c>
      <c r="G140" s="61">
        <f>IF(FT!B140&lt;&gt;"",FT!B140*100,"")</f>
        <v>23.082599999999999</v>
      </c>
      <c r="H140" s="61">
        <f t="shared" si="13"/>
        <v>1</v>
      </c>
      <c r="I140" t="str">
        <f>IF(FT!B140&lt;&gt;"",FT!E140,"")</f>
        <v>2 [56.093009]</v>
      </c>
      <c r="J140">
        <f>IF(FT!B140&lt;&gt;"",FT!C140,"")</f>
        <v>56.093000000000004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4.4957599999999998</v>
      </c>
      <c r="G141" s="61">
        <f>IF(FT!B141&lt;&gt;"",FT!B141*100,"")</f>
        <v>22.943300000000001</v>
      </c>
      <c r="H141" s="61">
        <f t="shared" si="13"/>
        <v>1</v>
      </c>
      <c r="I141" t="str">
        <f>IF(FT!B141&lt;&gt;"",FT!E141,"")</f>
        <v>2 [56.499889]</v>
      </c>
      <c r="J141">
        <f>IF(FT!B141&lt;&gt;"",FT!C141,"")</f>
        <v>56.499899999999997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73495</v>
      </c>
      <c r="D142" s="61">
        <f>FH!B142*1</f>
        <v>73495</v>
      </c>
      <c r="E142">
        <f t="shared" si="15"/>
        <v>140</v>
      </c>
      <c r="F142" s="61">
        <f>IF(FT!A142&lt;&gt;"",FT!A142*10,"")</f>
        <v>4.4825799999999996</v>
      </c>
      <c r="G142" s="61">
        <f>IF(FT!B142&lt;&gt;"",FT!B142*100,"")</f>
        <v>22.7851</v>
      </c>
      <c r="H142" s="61">
        <f t="shared" si="13"/>
        <v>1</v>
      </c>
      <c r="I142" t="str">
        <f>IF(FT!B142&lt;&gt;"",FT!E142,"")</f>
        <v>2 [56.905808]</v>
      </c>
      <c r="J142">
        <f>IF(FT!B142&lt;&gt;"",FT!C142,"")</f>
        <v>56.905799999999999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4.4632500000000004</v>
      </c>
      <c r="G143" s="61">
        <f>IF(FT!B143&lt;&gt;"",FT!B143*100,"")</f>
        <v>22.848600000000001</v>
      </c>
      <c r="H143" s="61">
        <f t="shared" si="13"/>
        <v>1</v>
      </c>
      <c r="I143" t="str">
        <f>IF(FT!B143&lt;&gt;"",FT!E143,"")</f>
        <v>2 [57.308899]</v>
      </c>
      <c r="J143">
        <f>IF(FT!B143&lt;&gt;"",FT!C143,"")</f>
        <v>57.308900000000001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65667</v>
      </c>
      <c r="D144" s="61">
        <f>FH!B144*1</f>
        <v>65667</v>
      </c>
      <c r="E144">
        <f t="shared" si="15"/>
        <v>142</v>
      </c>
      <c r="F144" s="61">
        <f>IF(FT!A144&lt;&gt;"",FT!A144*10,"")</f>
        <v>4.4423399999999997</v>
      </c>
      <c r="G144" s="61">
        <f>IF(FT!B144&lt;&gt;"",FT!B144*100,"")</f>
        <v>22.9741</v>
      </c>
      <c r="H144" s="61">
        <f t="shared" si="13"/>
        <v>1</v>
      </c>
      <c r="I144" t="str">
        <f>IF(FT!B144&lt;&gt;"",FT!E144,"")</f>
        <v>2 [57.716624]</v>
      </c>
      <c r="J144">
        <f>IF(FT!B144&lt;&gt;"",FT!C144,"")</f>
        <v>57.7166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4.4352399999999994</v>
      </c>
      <c r="G145" s="61">
        <f>IF(FT!B145&lt;&gt;"",FT!B145*100,"")</f>
        <v>22.871600000000001</v>
      </c>
      <c r="H145" s="61">
        <f t="shared" si="13"/>
        <v>1</v>
      </c>
      <c r="I145" t="str">
        <f>IF(FT!B145&lt;&gt;"",FT!E145,"")</f>
        <v>2 [58.126579]</v>
      </c>
      <c r="J145">
        <f>IF(FT!B145&lt;&gt;"",FT!C145,"")</f>
        <v>58.126600000000003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4.4283400000000004</v>
      </c>
      <c r="G146" s="61">
        <f>IF(FT!B146&lt;&gt;"",FT!B146*100,"")</f>
        <v>22.726199999999999</v>
      </c>
      <c r="H146" s="61">
        <f t="shared" si="13"/>
        <v>1</v>
      </c>
      <c r="I146" t="str">
        <f>IF(FT!B146&lt;&gt;"",FT!E146,"")</f>
        <v>2 [58.530494]</v>
      </c>
      <c r="J146">
        <f>IF(FT!B146&lt;&gt;"",FT!C146,"")</f>
        <v>58.530500000000004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59847</v>
      </c>
      <c r="D147" s="61">
        <f>FH!B147*1</f>
        <v>59847</v>
      </c>
      <c r="E147">
        <f t="shared" si="15"/>
        <v>145</v>
      </c>
      <c r="F147" s="61">
        <f>IF(FT!A147&lt;&gt;"",FT!A147*10,"")</f>
        <v>4.40876</v>
      </c>
      <c r="G147" s="61">
        <f>IF(FT!B147&lt;&gt;"",FT!B147*100,"")</f>
        <v>22.891000000000002</v>
      </c>
      <c r="H147" s="61">
        <f t="shared" si="13"/>
        <v>1</v>
      </c>
      <c r="I147" t="str">
        <f>IF(FT!B147&lt;&gt;"",FT!E147,"")</f>
        <v>2 [58.934460]</v>
      </c>
      <c r="J147">
        <f>IF(FT!B147&lt;&gt;"",FT!C147,"")</f>
        <v>58.9345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4.37967</v>
      </c>
      <c r="G148" s="61">
        <f>IF(FT!B148&lt;&gt;"",FT!B148*100,"")</f>
        <v>23.212499999999999</v>
      </c>
      <c r="H148" s="61">
        <f t="shared" si="13"/>
        <v>1</v>
      </c>
      <c r="I148" t="str">
        <f>IF(FT!B148&lt;&gt;"",FT!E148,"")</f>
        <v>2 [59.343709]</v>
      </c>
      <c r="J148">
        <f>IF(FT!B148&lt;&gt;"",FT!C148,"")</f>
        <v>59.343699999999998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57210</v>
      </c>
      <c r="D149" s="61">
        <f>FH!B149*1</f>
        <v>57210</v>
      </c>
      <c r="E149">
        <f t="shared" si="15"/>
        <v>147</v>
      </c>
      <c r="F149" s="61">
        <f>IF(FT!A149&lt;&gt;"",FT!A149*10,"")</f>
        <v>4.3410799999999998</v>
      </c>
      <c r="G149" s="61">
        <f>IF(FT!B149&lt;&gt;"",FT!B149*100,"")</f>
        <v>23.6645</v>
      </c>
      <c r="H149" s="61">
        <f t="shared" si="13"/>
        <v>1</v>
      </c>
      <c r="I149" t="str">
        <f>IF(FT!B149&lt;&gt;"",FT!E149,"")</f>
        <v>2 [59.749263]</v>
      </c>
      <c r="J149">
        <f>IF(FT!B149&lt;&gt;"",FT!C149,"")</f>
        <v>59.749299999999998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4.3140499999999999</v>
      </c>
      <c r="G150" s="61">
        <f>IF(FT!B150&lt;&gt;"",FT!B150*100,"")</f>
        <v>24.1919</v>
      </c>
      <c r="H150" s="61">
        <f t="shared" si="13"/>
        <v>1</v>
      </c>
      <c r="I150" t="str">
        <f>IF(FT!B150&lt;&gt;"",FT!E150,"")</f>
        <v>2 [60.156358]</v>
      </c>
      <c r="J150">
        <f>IF(FT!B150&lt;&gt;"",FT!C150,"")</f>
        <v>60.156399999999998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53923</v>
      </c>
      <c r="D152" s="61">
        <f>FH!B152*1</f>
        <v>53923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51648</v>
      </c>
      <c r="D154" s="61">
        <f>FH!B154*1</f>
        <v>51648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50784</v>
      </c>
      <c r="D157" s="61">
        <f>FH!B157*1</f>
        <v>50784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47751</v>
      </c>
      <c r="D160" s="61">
        <f>FH!B160*1</f>
        <v>47751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50307</v>
      </c>
      <c r="D162" s="61">
        <f>FH!B162*1</f>
        <v>50307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50846</v>
      </c>
      <c r="D165" s="61">
        <f>FH!B165*1</f>
        <v>50846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48482</v>
      </c>
      <c r="D167" s="61">
        <f>FH!B167*1</f>
        <v>48482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46567</v>
      </c>
      <c r="D170" s="61">
        <f>FH!B170*1</f>
        <v>46567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39845</v>
      </c>
      <c r="D173" s="61">
        <f>FH!B173*1</f>
        <v>39845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36727</v>
      </c>
      <c r="D175" s="61">
        <f>FH!B175*1</f>
        <v>36727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29694</v>
      </c>
      <c r="D178" s="61">
        <f>FH!B178*1</f>
        <v>29694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24536</v>
      </c>
      <c r="D180" s="61">
        <f>FH!B180*1</f>
        <v>24536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17787</v>
      </c>
      <c r="D183" s="61">
        <f>FH!B183*1</f>
        <v>17787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13702</v>
      </c>
      <c r="D185" s="61">
        <f>FH!B185*1</f>
        <v>13702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9511</v>
      </c>
      <c r="D188" s="61">
        <f>FH!B188*1</f>
        <v>9511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5709</v>
      </c>
      <c r="D191" s="61">
        <f>FH!B191*1</f>
        <v>5709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4227</v>
      </c>
      <c r="D193" s="61">
        <f>FH!B193*1</f>
        <v>4227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3317</v>
      </c>
      <c r="D196" s="61">
        <f>FH!B196*1</f>
        <v>3317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1560</v>
      </c>
      <c r="D198" s="61">
        <f>FH!B198*1</f>
        <v>1560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1246</v>
      </c>
      <c r="D201" s="61">
        <f>FH!B201*1</f>
        <v>1246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506</v>
      </c>
      <c r="D203" s="61">
        <f>FH!B203*1</f>
        <v>506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46.597700000000003</v>
      </c>
      <c r="C5" s="66">
        <v>11.5123</v>
      </c>
      <c r="D5" s="66">
        <v>24.7057</v>
      </c>
      <c r="E5" s="66">
        <v>20</v>
      </c>
      <c r="F5" s="66">
        <v>9.0805500000000006</v>
      </c>
      <c r="G5" s="66">
        <v>50</v>
      </c>
      <c r="H5" s="66">
        <v>61.764000000000003</v>
      </c>
    </row>
    <row r="6" spans="1:8">
      <c r="A6" s="58" t="s">
        <v>303</v>
      </c>
      <c r="B6" s="66">
        <v>25.009</v>
      </c>
      <c r="C6" s="66">
        <v>3.3729</v>
      </c>
      <c r="D6" s="66">
        <v>13.486700000000001</v>
      </c>
      <c r="E6" s="66">
        <v>20</v>
      </c>
      <c r="F6" s="66">
        <v>16.697700000000001</v>
      </c>
      <c r="G6" s="66">
        <v>40</v>
      </c>
      <c r="H6" s="66">
        <v>32.061199999999999</v>
      </c>
    </row>
    <row r="7" spans="1:8">
      <c r="A7" s="58" t="s">
        <v>304</v>
      </c>
      <c r="B7" s="66">
        <v>19.448599999999999</v>
      </c>
      <c r="C7" s="66">
        <v>8.6748600000000007</v>
      </c>
      <c r="D7" s="66">
        <v>44.603999999999999</v>
      </c>
      <c r="E7" s="66">
        <v>15</v>
      </c>
      <c r="F7" s="66">
        <v>5.5175200000000002</v>
      </c>
      <c r="G7" s="66">
        <v>40</v>
      </c>
      <c r="H7" s="66">
        <v>41.758899999999997</v>
      </c>
    </row>
    <row r="8" spans="1:8">
      <c r="A8" s="58" t="s">
        <v>305</v>
      </c>
      <c r="B8" s="66">
        <v>31.1266</v>
      </c>
      <c r="C8" s="66">
        <v>6.4223400000000002</v>
      </c>
      <c r="D8" s="66">
        <v>20.632899999999999</v>
      </c>
      <c r="E8" s="66">
        <v>20</v>
      </c>
      <c r="F8" s="66">
        <v>12.413500000000001</v>
      </c>
      <c r="G8" s="66">
        <v>50</v>
      </c>
      <c r="H8" s="66">
        <v>39.384500000000003</v>
      </c>
    </row>
    <row r="9" spans="1:8">
      <c r="A9" s="58" t="s">
        <v>306</v>
      </c>
      <c r="B9" s="66">
        <v>63.465000000000003</v>
      </c>
      <c r="C9" s="66">
        <v>7.14337</v>
      </c>
      <c r="D9" s="66">
        <v>11.255599999999999</v>
      </c>
      <c r="E9" s="66">
        <v>50</v>
      </c>
      <c r="F9" s="66">
        <v>48.8386</v>
      </c>
      <c r="G9" s="66">
        <v>100</v>
      </c>
      <c r="H9" s="66">
        <v>92.708100000000002</v>
      </c>
    </row>
    <row r="10" spans="1:8">
      <c r="A10" s="58" t="s">
        <v>307</v>
      </c>
      <c r="B10" s="66">
        <v>81.671599999999998</v>
      </c>
      <c r="C10" s="66">
        <v>2.8043</v>
      </c>
      <c r="D10" s="66">
        <v>3.43363</v>
      </c>
      <c r="E10" s="66">
        <v>40</v>
      </c>
      <c r="F10" s="66">
        <v>75.679400000000001</v>
      </c>
      <c r="G10" s="66">
        <v>100</v>
      </c>
      <c r="H10" s="66">
        <v>86.808000000000007</v>
      </c>
    </row>
    <row r="11" spans="1:8">
      <c r="A11" s="58" t="s">
        <v>308</v>
      </c>
      <c r="B11" s="66">
        <v>24.7163</v>
      </c>
      <c r="C11" s="66">
        <v>5.1896899999999997</v>
      </c>
      <c r="D11" s="66">
        <v>20.997</v>
      </c>
      <c r="E11" s="66">
        <v>10</v>
      </c>
      <c r="F11" s="66">
        <v>7.9518399999999998</v>
      </c>
      <c r="G11" s="66">
        <v>50</v>
      </c>
      <c r="H11" s="66">
        <v>33.0291</v>
      </c>
    </row>
    <row r="12" spans="1:8">
      <c r="A12" s="58" t="s">
        <v>309</v>
      </c>
      <c r="B12" s="66">
        <v>72.147199999999998</v>
      </c>
      <c r="C12" s="66">
        <v>4.5904400000000001</v>
      </c>
      <c r="D12" s="66">
        <v>6.3626100000000001</v>
      </c>
      <c r="E12" s="66">
        <v>50</v>
      </c>
      <c r="F12" s="66">
        <v>62.662199999999999</v>
      </c>
      <c r="G12" s="66">
        <v>100</v>
      </c>
      <c r="H12" s="66">
        <v>89.636499999999998</v>
      </c>
    </row>
    <row r="13" spans="1:8">
      <c r="A13" s="58" t="s">
        <v>310</v>
      </c>
      <c r="B13" s="66">
        <v>22.602599999999999</v>
      </c>
      <c r="C13" s="66">
        <v>3.3382700000000001</v>
      </c>
      <c r="D13" s="66">
        <v>14.769399999999999</v>
      </c>
      <c r="E13" s="66">
        <v>10</v>
      </c>
      <c r="F13" s="66">
        <v>17.106000000000002</v>
      </c>
      <c r="G13" s="66">
        <v>25</v>
      </c>
      <c r="H13" s="66">
        <v>34.909700000000001</v>
      </c>
    </row>
    <row r="14" spans="1:8">
      <c r="A14" s="58" t="s">
        <v>311</v>
      </c>
      <c r="B14" s="66">
        <v>33.3827</v>
      </c>
      <c r="C14" s="66">
        <v>10.841200000000001</v>
      </c>
      <c r="D14" s="66">
        <v>32.4756</v>
      </c>
      <c r="E14" s="66">
        <v>10</v>
      </c>
      <c r="F14" s="66">
        <v>3.5086499999999998</v>
      </c>
      <c r="G14" s="66">
        <v>50</v>
      </c>
      <c r="H14" s="66">
        <v>35.252600000000001</v>
      </c>
    </row>
    <row r="15" spans="1:8">
      <c r="A15" s="58" t="s">
        <v>312</v>
      </c>
      <c r="B15" s="66">
        <v>5.4122799999999999E-2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7.4540899999999993E-2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19.272300000000001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0.46796700000000002</v>
      </c>
      <c r="C18" s="66">
        <v>4.3534200000000002E-2</v>
      </c>
      <c r="D18" s="66">
        <v>9.3028299999999994E-2</v>
      </c>
      <c r="E18" s="66">
        <v>0</v>
      </c>
      <c r="F18" s="66">
        <v>0.42443199999999998</v>
      </c>
      <c r="G18" s="66">
        <v>0</v>
      </c>
      <c r="H18" s="66">
        <v>0.51150099999999998</v>
      </c>
    </row>
    <row r="19" spans="1:8">
      <c r="A19" s="58" t="s">
        <v>316</v>
      </c>
      <c r="B19" s="66">
        <v>0.52834000000000003</v>
      </c>
      <c r="C19" s="66">
        <v>3.8144200000000003E-2</v>
      </c>
      <c r="D19" s="66">
        <v>7.2196300000000005E-2</v>
      </c>
      <c r="E19" s="66">
        <v>0</v>
      </c>
      <c r="F19" s="66">
        <v>0.49019600000000002</v>
      </c>
      <c r="G19" s="66">
        <v>0</v>
      </c>
      <c r="H19" s="66">
        <v>0.56648500000000002</v>
      </c>
    </row>
    <row r="20" spans="1:8">
      <c r="A20" s="58" t="s">
        <v>317</v>
      </c>
      <c r="B20" s="66">
        <v>1.1492900000000001E-3</v>
      </c>
      <c r="C20" s="66">
        <v>3.9180399999999997E-2</v>
      </c>
      <c r="D20" s="66">
        <v>34.091000000000001</v>
      </c>
      <c r="E20" s="66">
        <v>0</v>
      </c>
      <c r="F20" s="66">
        <v>0</v>
      </c>
      <c r="G20" s="66">
        <v>0</v>
      </c>
      <c r="H20" s="66">
        <v>0.555087</v>
      </c>
    </row>
    <row r="21" spans="1:8">
      <c r="A21" s="58" t="s">
        <v>318</v>
      </c>
      <c r="B21" s="66">
        <v>0.13559599999999999</v>
      </c>
      <c r="C21" s="66">
        <v>0.43954199999999999</v>
      </c>
      <c r="D21" s="66">
        <v>3.2415500000000002</v>
      </c>
      <c r="E21" s="66">
        <v>0</v>
      </c>
      <c r="F21" s="66">
        <v>3.0981900000000002E-4</v>
      </c>
      <c r="G21" s="66">
        <v>0</v>
      </c>
      <c r="H21" s="66">
        <v>3.1640000000000001</v>
      </c>
    </row>
    <row r="22" spans="1:8">
      <c r="A22" s="58" t="s">
        <v>319</v>
      </c>
      <c r="B22" s="66">
        <v>46.159599999999998</v>
      </c>
      <c r="C22" s="66">
        <v>13.706099999999999</v>
      </c>
      <c r="D22" s="66">
        <v>0.29692800000000003</v>
      </c>
      <c r="E22" s="66">
        <v>0</v>
      </c>
      <c r="F22" s="66">
        <v>29.276299999999999</v>
      </c>
      <c r="G22" s="66">
        <v>0</v>
      </c>
      <c r="H22" s="66">
        <v>98.330200000000005</v>
      </c>
    </row>
    <row r="23" spans="1:8">
      <c r="A23" s="58" t="s">
        <v>320</v>
      </c>
      <c r="B23" s="66">
        <v>21.167200000000001</v>
      </c>
      <c r="C23" s="66">
        <v>3.6618200000000001</v>
      </c>
      <c r="D23" s="66">
        <v>0.17299400000000001</v>
      </c>
      <c r="E23" s="66">
        <v>0</v>
      </c>
      <c r="F23" s="66">
        <v>11.913500000000001</v>
      </c>
      <c r="G23" s="66">
        <v>0</v>
      </c>
      <c r="H23" s="66">
        <v>26.823</v>
      </c>
    </row>
    <row r="24" spans="1:8">
      <c r="A24" s="58" t="s">
        <v>321</v>
      </c>
      <c r="B24" s="66">
        <v>2.3522899999999999E-3</v>
      </c>
      <c r="C24" s="66">
        <v>2.9520399999999999E-2</v>
      </c>
      <c r="D24" s="66">
        <v>12.5496</v>
      </c>
      <c r="E24" s="66">
        <v>0</v>
      </c>
      <c r="F24" s="196">
        <v>6.6528399999999998E-5</v>
      </c>
      <c r="G24" s="66">
        <v>0</v>
      </c>
      <c r="H24" s="66">
        <v>0.307174</v>
      </c>
    </row>
    <row r="25" spans="1:8">
      <c r="A25" s="58" t="s">
        <v>322</v>
      </c>
      <c r="B25" s="66">
        <v>0.17822499999999999</v>
      </c>
      <c r="C25" s="66">
        <v>0.322903</v>
      </c>
      <c r="D25" s="66">
        <v>1.8117700000000001</v>
      </c>
      <c r="E25" s="66">
        <v>0</v>
      </c>
      <c r="F25" s="66">
        <v>4.5005400000000001E-2</v>
      </c>
      <c r="G25" s="66">
        <v>0</v>
      </c>
      <c r="H25" s="66">
        <v>1.64588</v>
      </c>
    </row>
    <row r="26" spans="1:8">
      <c r="A26" s="58" t="s">
        <v>323</v>
      </c>
      <c r="B26" s="66">
        <v>3.7093E-4</v>
      </c>
      <c r="C26" s="66">
        <v>4.2251500000000004E-3</v>
      </c>
      <c r="D26" s="66">
        <v>11.390700000000001</v>
      </c>
      <c r="E26" s="66">
        <v>0</v>
      </c>
      <c r="F26" s="66">
        <v>0</v>
      </c>
      <c r="G26" s="66">
        <v>0</v>
      </c>
      <c r="H26" s="66">
        <v>5.2054900000000001E-2</v>
      </c>
    </row>
    <row r="27" spans="1:8">
      <c r="A27" s="58" t="s">
        <v>324</v>
      </c>
      <c r="B27" s="196">
        <v>-6.5651299999999996E-6</v>
      </c>
      <c r="C27" s="66">
        <v>1.76545E-3</v>
      </c>
      <c r="D27" s="66">
        <v>-268.91399999999999</v>
      </c>
      <c r="E27" s="66">
        <v>0</v>
      </c>
      <c r="F27" s="66">
        <v>-2.4320499999999998E-2</v>
      </c>
      <c r="G27" s="66">
        <v>0</v>
      </c>
      <c r="H27" s="66">
        <v>1.95345E-2</v>
      </c>
    </row>
    <row r="28" spans="1:8">
      <c r="A28" s="58" t="s">
        <v>325</v>
      </c>
      <c r="B28" s="66">
        <v>1.67904E-2</v>
      </c>
      <c r="C28" s="66">
        <v>2.7385400000000001E-2</v>
      </c>
      <c r="D28" s="66">
        <v>1.6310199999999999</v>
      </c>
      <c r="E28" s="66">
        <v>0</v>
      </c>
      <c r="F28" s="66">
        <v>1.0416699999999999E-4</v>
      </c>
      <c r="G28" s="66">
        <v>0</v>
      </c>
      <c r="H28" s="66">
        <v>0.16922499999999999</v>
      </c>
    </row>
    <row r="29" spans="1:8">
      <c r="A29" s="58" t="s">
        <v>326</v>
      </c>
      <c r="B29" s="66">
        <v>74.856499999999997</v>
      </c>
      <c r="C29" s="66">
        <v>8.4337800000000005</v>
      </c>
      <c r="D29" s="66">
        <v>0.112666</v>
      </c>
      <c r="E29" s="66">
        <v>0</v>
      </c>
      <c r="F29" s="66">
        <v>51.587800000000001</v>
      </c>
      <c r="G29" s="66">
        <v>0</v>
      </c>
      <c r="H29" s="66">
        <v>103.413</v>
      </c>
    </row>
    <row r="30" spans="1:8">
      <c r="A30" s="58" t="s">
        <v>327</v>
      </c>
      <c r="B30" s="66">
        <v>26.584399999999999</v>
      </c>
      <c r="C30" s="66">
        <v>4.6780799999999996</v>
      </c>
      <c r="D30" s="66">
        <v>0.17597099999999999</v>
      </c>
      <c r="E30" s="66">
        <v>0</v>
      </c>
      <c r="F30" s="66">
        <v>11.162699999999999</v>
      </c>
      <c r="G30" s="66">
        <v>0</v>
      </c>
      <c r="H30" s="66">
        <v>30.826000000000001</v>
      </c>
    </row>
    <row r="31" spans="1:8">
      <c r="A31" s="58" t="s">
        <v>328</v>
      </c>
      <c r="B31" s="66">
        <v>164.15</v>
      </c>
      <c r="C31" s="66">
        <v>31.041599999999999</v>
      </c>
      <c r="D31" s="66">
        <v>0.189105</v>
      </c>
      <c r="E31" s="66">
        <v>0</v>
      </c>
      <c r="F31" s="66">
        <v>73.875</v>
      </c>
      <c r="G31" s="66">
        <v>0</v>
      </c>
      <c r="H31" s="66">
        <v>203.98099999999999</v>
      </c>
    </row>
    <row r="32" spans="1:8">
      <c r="A32" s="58" t="s">
        <v>329</v>
      </c>
      <c r="B32" s="66">
        <v>0.19448599999999999</v>
      </c>
      <c r="C32" s="66">
        <v>8.6748599999999995E-2</v>
      </c>
      <c r="D32" s="66">
        <v>0.44603999999999999</v>
      </c>
      <c r="E32" s="66">
        <v>0.15</v>
      </c>
      <c r="F32" s="66">
        <v>5.5175200000000001E-2</v>
      </c>
      <c r="G32" s="66">
        <v>0.4</v>
      </c>
      <c r="H32" s="66">
        <v>0.41758899999999999</v>
      </c>
    </row>
    <row r="33" spans="1:8">
      <c r="A33" s="58" t="s">
        <v>330</v>
      </c>
      <c r="B33" s="66">
        <v>0.41502600000000001</v>
      </c>
      <c r="C33" s="66">
        <v>2.53263E-2</v>
      </c>
      <c r="D33" s="66">
        <v>6.1023300000000003E-2</v>
      </c>
      <c r="E33" s="66">
        <v>0</v>
      </c>
      <c r="F33" s="66">
        <v>0.33924100000000001</v>
      </c>
      <c r="G33" s="66">
        <v>0</v>
      </c>
      <c r="H33" s="66">
        <v>0.44991500000000001</v>
      </c>
    </row>
    <row r="34" spans="1:8">
      <c r="A34" s="58" t="s">
        <v>331</v>
      </c>
      <c r="B34" s="66">
        <v>0.226026</v>
      </c>
      <c r="C34" s="66">
        <v>3.3382700000000001E-2</v>
      </c>
      <c r="D34" s="66">
        <v>0.14769399999999999</v>
      </c>
      <c r="E34" s="66">
        <v>0.1</v>
      </c>
      <c r="F34" s="66">
        <v>0.17105999999999999</v>
      </c>
      <c r="G34" s="66">
        <v>0.25</v>
      </c>
      <c r="H34" s="66">
        <v>0.34909699999999999</v>
      </c>
    </row>
    <row r="35" spans="1:8">
      <c r="A35" s="58" t="s">
        <v>332</v>
      </c>
      <c r="B35" s="66">
        <v>8.8112399999999994E-2</v>
      </c>
      <c r="C35" s="66">
        <v>2.5058199999999999E-2</v>
      </c>
      <c r="D35" s="66">
        <v>0.28438999999999998</v>
      </c>
      <c r="E35" s="66">
        <v>0</v>
      </c>
      <c r="F35" s="66">
        <v>3.8497700000000003E-2</v>
      </c>
      <c r="G35" s="66">
        <v>0</v>
      </c>
      <c r="H35" s="66">
        <v>0.16173100000000001</v>
      </c>
    </row>
    <row r="36" spans="1:8">
      <c r="A36" s="58" t="s">
        <v>333</v>
      </c>
      <c r="B36" s="66">
        <v>0.21215999999999999</v>
      </c>
      <c r="C36" s="66">
        <v>0.100455</v>
      </c>
      <c r="D36" s="66">
        <v>0.47348699999999999</v>
      </c>
      <c r="E36" s="66">
        <v>0</v>
      </c>
      <c r="F36" s="66">
        <v>3.3729099999999998E-2</v>
      </c>
      <c r="G36" s="66">
        <v>0</v>
      </c>
      <c r="H36" s="66">
        <v>0.585036</v>
      </c>
    </row>
    <row r="37" spans="1:8">
      <c r="A37" s="58" t="s">
        <v>334</v>
      </c>
      <c r="B37" s="66">
        <v>0.33382699999999998</v>
      </c>
      <c r="C37" s="66">
        <v>0.10841199999999999</v>
      </c>
      <c r="D37" s="66">
        <v>0.32475599999999999</v>
      </c>
      <c r="E37" s="66">
        <v>0.1</v>
      </c>
      <c r="F37" s="66">
        <v>3.50865E-2</v>
      </c>
      <c r="G37" s="66">
        <v>0.5</v>
      </c>
      <c r="H37" s="66">
        <v>0.35252600000000001</v>
      </c>
    </row>
    <row r="38" spans="1:8">
      <c r="A38" s="58" t="s">
        <v>335</v>
      </c>
      <c r="B38" s="66">
        <v>-16.2425</v>
      </c>
      <c r="C38" s="66">
        <v>42.376199999999997</v>
      </c>
      <c r="D38" s="66">
        <v>-2.6089600000000002</v>
      </c>
      <c r="E38" s="66">
        <v>0</v>
      </c>
      <c r="F38" s="66">
        <v>-341.07600000000002</v>
      </c>
      <c r="G38" s="66">
        <v>0</v>
      </c>
      <c r="H38" s="66">
        <v>99.417599999999993</v>
      </c>
    </row>
    <row r="39" spans="1:8">
      <c r="A39" s="58" t="s">
        <v>336</v>
      </c>
      <c r="B39" s="66">
        <v>-5.28653</v>
      </c>
      <c r="C39" s="66">
        <v>4.5438799999999997</v>
      </c>
      <c r="D39" s="66">
        <v>-0.85952099999999998</v>
      </c>
      <c r="E39" s="66">
        <v>0</v>
      </c>
      <c r="F39" s="66">
        <v>-19.9209</v>
      </c>
      <c r="G39" s="66">
        <v>0</v>
      </c>
      <c r="H39" s="66">
        <v>3.16032</v>
      </c>
    </row>
    <row r="40" spans="1:8">
      <c r="A40" s="58" t="s">
        <v>337</v>
      </c>
      <c r="B40" s="66">
        <v>-2.4886200000000001</v>
      </c>
      <c r="C40" s="66">
        <v>0.71447499999999997</v>
      </c>
      <c r="D40" s="66">
        <v>-0.28709699999999999</v>
      </c>
      <c r="E40" s="66">
        <v>0</v>
      </c>
      <c r="F40" s="66">
        <v>-3.92889</v>
      </c>
      <c r="G40" s="66">
        <v>0</v>
      </c>
      <c r="H40" s="66">
        <v>-0.42474699999999999</v>
      </c>
    </row>
    <row r="41" spans="1:8">
      <c r="A41" s="58" t="s">
        <v>338</v>
      </c>
      <c r="B41" s="66">
        <v>-8.0639299999999997E-2</v>
      </c>
      <c r="C41" s="66">
        <v>0.25184000000000001</v>
      </c>
      <c r="D41" s="66">
        <v>-3.12304</v>
      </c>
      <c r="E41" s="66">
        <v>0</v>
      </c>
      <c r="F41" s="66">
        <v>-0.73643400000000003</v>
      </c>
      <c r="G41" s="66">
        <v>0</v>
      </c>
      <c r="H41" s="66">
        <v>1</v>
      </c>
    </row>
    <row r="42" spans="1:8">
      <c r="A42" s="58" t="s">
        <v>339</v>
      </c>
      <c r="B42" s="66">
        <v>-0.11935900000000001</v>
      </c>
      <c r="C42" s="66">
        <v>7.6785000000000006E-2</v>
      </c>
      <c r="D42" s="66">
        <v>-0.64331000000000005</v>
      </c>
      <c r="E42" s="66">
        <v>0</v>
      </c>
      <c r="F42" s="66">
        <v>-0.32073200000000002</v>
      </c>
      <c r="G42" s="66">
        <v>0</v>
      </c>
      <c r="H42" s="66">
        <v>5.9683300000000002E-2</v>
      </c>
    </row>
    <row r="43" spans="1:8">
      <c r="A43" s="58" t="s">
        <v>340</v>
      </c>
      <c r="B43" s="66">
        <v>-7.6970499999999997E-2</v>
      </c>
      <c r="C43" s="66">
        <v>5.6163999999999999E-2</v>
      </c>
      <c r="D43" s="66">
        <v>-0.72968299999999997</v>
      </c>
      <c r="E43" s="66">
        <v>0</v>
      </c>
      <c r="F43" s="66">
        <v>-0.218525</v>
      </c>
      <c r="G43" s="66">
        <v>0</v>
      </c>
      <c r="H43" s="66">
        <v>-9.4831299999999993E-3</v>
      </c>
    </row>
    <row r="44" spans="1:8">
      <c r="A44" s="58" t="s">
        <v>341</v>
      </c>
      <c r="B44" s="66">
        <v>-11.461399999999999</v>
      </c>
      <c r="C44" s="66">
        <v>11.297000000000001</v>
      </c>
      <c r="D44" s="66">
        <v>-0.98566299999999996</v>
      </c>
      <c r="E44" s="66">
        <v>0</v>
      </c>
      <c r="F44" s="66">
        <v>-35.081400000000002</v>
      </c>
      <c r="G44" s="66">
        <v>0</v>
      </c>
      <c r="H44" s="66">
        <v>19.0961</v>
      </c>
    </row>
    <row r="45" spans="1:8">
      <c r="A45" s="58" t="s">
        <v>342</v>
      </c>
      <c r="B45" s="66">
        <v>51.928699999999999</v>
      </c>
      <c r="C45" s="66">
        <v>9.0054700000000008</v>
      </c>
      <c r="D45" s="66">
        <v>0.17341999999999999</v>
      </c>
      <c r="E45" s="66">
        <v>0</v>
      </c>
      <c r="F45" s="66">
        <v>32.6083</v>
      </c>
      <c r="G45" s="66">
        <v>0</v>
      </c>
      <c r="H45" s="66">
        <v>77.597800000000007</v>
      </c>
    </row>
    <row r="46" spans="1:8">
      <c r="A46" s="58" t="s">
        <v>343</v>
      </c>
      <c r="B46" s="66">
        <v>33.333799999999997</v>
      </c>
      <c r="C46" s="66">
        <v>8.7132699999999996</v>
      </c>
      <c r="D46" s="66">
        <v>0.26139499999999999</v>
      </c>
      <c r="E46" s="66">
        <v>0</v>
      </c>
      <c r="F46" s="66">
        <v>5.4749600000000003</v>
      </c>
      <c r="G46" s="66">
        <v>0</v>
      </c>
      <c r="H46" s="66">
        <v>42.089700000000001</v>
      </c>
    </row>
    <row r="47" spans="1:8">
      <c r="A47" s="58" t="s">
        <v>344</v>
      </c>
      <c r="B47" s="66">
        <v>1.19001</v>
      </c>
      <c r="C47" s="66">
        <v>0.94557800000000003</v>
      </c>
      <c r="D47" s="66">
        <v>0.79459400000000002</v>
      </c>
      <c r="E47" s="66">
        <v>0</v>
      </c>
      <c r="F47" s="66">
        <v>0.53399300000000005</v>
      </c>
      <c r="G47" s="66">
        <v>0</v>
      </c>
      <c r="H47" s="66">
        <v>7.5360899999999997</v>
      </c>
    </row>
    <row r="48" spans="1:8">
      <c r="A48" s="58" t="s">
        <v>345</v>
      </c>
      <c r="B48" s="66">
        <v>0.99819199999999997</v>
      </c>
      <c r="C48" s="66">
        <v>0.32188800000000001</v>
      </c>
      <c r="D48" s="66">
        <v>0.32247100000000001</v>
      </c>
      <c r="E48" s="66">
        <v>0</v>
      </c>
      <c r="F48" s="66">
        <v>0.73880400000000002</v>
      </c>
      <c r="G48" s="66">
        <v>0</v>
      </c>
      <c r="H48" s="66">
        <v>1.9508399999999999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6.8932000000000002</v>
      </c>
      <c r="C5" s="66">
        <f>'M2'!C5-'M1'!C5</f>
        <v>-7.6616</v>
      </c>
      <c r="D5" s="66">
        <f>'M2'!D5-'M1'!D5</f>
        <v>-20.661999999999999</v>
      </c>
      <c r="E5" s="66">
        <f>'M2'!E5-'M1'!E5</f>
        <v>0</v>
      </c>
      <c r="F5" s="66">
        <f>'M2'!F5-'M1'!F5</f>
        <v>31.375949999999996</v>
      </c>
      <c r="G5" s="66">
        <f>'M2'!G5-'M1'!G5</f>
        <v>0</v>
      </c>
      <c r="H5" s="66">
        <f>'M2'!H5-'M1'!H5</f>
        <v>11.0535</v>
      </c>
    </row>
    <row r="6" spans="1:8">
      <c r="A6" s="66" t="s">
        <v>244</v>
      </c>
      <c r="B6" s="66">
        <f>'M2'!B6-'M1'!B6</f>
        <v>-0.23540000000000205</v>
      </c>
      <c r="C6" s="66">
        <f>'M2'!C6-'M1'!C6</f>
        <v>-1.4823499999999998</v>
      </c>
      <c r="D6" s="66">
        <f>'M2'!D6-'M1'!D6</f>
        <v>-5.7809200000000001</v>
      </c>
      <c r="E6" s="66">
        <f>'M2'!E6-'M1'!E6</f>
        <v>0</v>
      </c>
      <c r="F6" s="66">
        <f>'M2'!F6-'M1'!F6</f>
        <v>5.8720999999999997</v>
      </c>
      <c r="G6" s="66">
        <f>'M2'!G6-'M1'!G6</f>
        <v>0</v>
      </c>
      <c r="H6" s="66">
        <f>'M2'!H6-'M1'!H6</f>
        <v>2.5164000000000009</v>
      </c>
    </row>
    <row r="7" spans="1:8">
      <c r="A7" s="66" t="s">
        <v>245</v>
      </c>
      <c r="B7" s="66">
        <f>'M2'!B7-'M1'!B7</f>
        <v>4.172699999999999</v>
      </c>
      <c r="C7" s="66">
        <f>'M2'!C7-'M1'!C7</f>
        <v>1.927010000000001</v>
      </c>
      <c r="D7" s="66">
        <f>'M2'!D7-'M1'!D7</f>
        <v>-8.0499999999993577E-2</v>
      </c>
      <c r="E7" s="66">
        <f>'M2'!E7-'M1'!E7</f>
        <v>0</v>
      </c>
      <c r="F7" s="66">
        <f>'M2'!F7-'M1'!F7</f>
        <v>-5.1865800000000002</v>
      </c>
      <c r="G7" s="66">
        <f>'M2'!G7-'M1'!G7</f>
        <v>0</v>
      </c>
      <c r="H7" s="66">
        <f>'M2'!H7-'M1'!H7</f>
        <v>-0.71099999999999852</v>
      </c>
    </row>
    <row r="8" spans="1:8">
      <c r="A8" s="66" t="s">
        <v>246</v>
      </c>
      <c r="B8" s="66">
        <f>'M2'!B8-'M1'!B8</f>
        <v>2.2342000000000013</v>
      </c>
      <c r="C8" s="66">
        <f>'M2'!C8-'M1'!C8</f>
        <v>-3.6586100000000004</v>
      </c>
      <c r="D8" s="66">
        <f>'M2'!D8-'M1'!D8</f>
        <v>-12.972999999999999</v>
      </c>
      <c r="E8" s="66">
        <f>'M2'!E8-'M1'!E8</f>
        <v>0</v>
      </c>
      <c r="F8" s="66">
        <f>'M2'!F8-'M1'!F8</f>
        <v>13.568</v>
      </c>
      <c r="G8" s="66">
        <f>'M2'!G8-'M1'!G8</f>
        <v>0</v>
      </c>
      <c r="H8" s="66">
        <f>'M2'!H8-'M1'!H8</f>
        <v>2.2921000000000049</v>
      </c>
    </row>
    <row r="9" spans="1:8">
      <c r="A9" s="66" t="s">
        <v>247</v>
      </c>
      <c r="B9" s="66">
        <f>'M2'!B9-'M1'!B9</f>
        <v>-5.3589999999999947</v>
      </c>
      <c r="C9" s="66">
        <f>'M2'!C9-'M1'!C9</f>
        <v>-3.5904000000000007</v>
      </c>
      <c r="D9" s="66">
        <f>'M2'!D9-'M1'!D9</f>
        <v>-4.8112200000000005</v>
      </c>
      <c r="E9" s="66">
        <f>'M2'!E9-'M1'!E9</f>
        <v>0</v>
      </c>
      <c r="F9" s="66">
        <f>'M2'!F9-'M1'!F9</f>
        <v>-4.7257000000000033</v>
      </c>
      <c r="G9" s="66">
        <f>'M2'!G9-'M1'!G9</f>
        <v>0</v>
      </c>
      <c r="H9" s="66">
        <f>'M2'!H9-'M1'!H9</f>
        <v>-24.936599999999999</v>
      </c>
    </row>
    <row r="10" spans="1:8">
      <c r="A10" s="66" t="s">
        <v>248</v>
      </c>
      <c r="B10" s="66">
        <f>'M2'!B10-'M1'!B10</f>
        <v>1.9244000000000057</v>
      </c>
      <c r="C10" s="66">
        <f>'M2'!C10-'M1'!C10</f>
        <v>-1.0091399999999999</v>
      </c>
      <c r="D10" s="66">
        <f>'M2'!D10-'M1'!D10</f>
        <v>-1.3266599999999995</v>
      </c>
      <c r="E10" s="66">
        <f>'M2'!E10-'M1'!E10</f>
        <v>0</v>
      </c>
      <c r="F10" s="66">
        <f>'M2'!F10-'M1'!F10</f>
        <v>-1.515900000000002</v>
      </c>
      <c r="G10" s="66">
        <f>'M2'!G10-'M1'!G10</f>
        <v>0</v>
      </c>
      <c r="H10" s="66">
        <f>'M2'!H10-'M1'!H10</f>
        <v>-3.3920000000000101</v>
      </c>
    </row>
    <row r="11" spans="1:8">
      <c r="A11" s="66" t="s">
        <v>249</v>
      </c>
      <c r="B11" s="66">
        <f>'M2'!B11-'M1'!B11</f>
        <v>2.192499999999999</v>
      </c>
      <c r="C11" s="66">
        <f>'M2'!C11-'M1'!C11</f>
        <v>-1.8659299999999996</v>
      </c>
      <c r="D11" s="66">
        <f>'M2'!D11-'M1'!D11</f>
        <v>-9.0189999999999984</v>
      </c>
      <c r="E11" s="66">
        <f>'M2'!E11-'M1'!E11</f>
        <v>0</v>
      </c>
      <c r="F11" s="66">
        <f>'M2'!F11-'M1'!F11</f>
        <v>13.960760000000001</v>
      </c>
      <c r="G11" s="66">
        <f>'M2'!G11-'M1'!G11</f>
        <v>0</v>
      </c>
      <c r="H11" s="66">
        <f>'M2'!H11-'M1'!H11</f>
        <v>6.3533000000000008</v>
      </c>
    </row>
    <row r="12" spans="1:8">
      <c r="A12" s="66" t="s">
        <v>250</v>
      </c>
      <c r="B12" s="66">
        <f>'M2'!B12-'M1'!B12</f>
        <v>-1.6140000000000043</v>
      </c>
      <c r="C12" s="66">
        <f>'M2'!C12-'M1'!C12</f>
        <v>-2.6866099999999999</v>
      </c>
      <c r="D12" s="66">
        <f>'M2'!D12-'M1'!D12</f>
        <v>-3.5907399999999998</v>
      </c>
      <c r="E12" s="66">
        <f>'M2'!E12-'M1'!E12</f>
        <v>0</v>
      </c>
      <c r="F12" s="66">
        <f>'M2'!F12-'M1'!F12</f>
        <v>-2.8028000000000048</v>
      </c>
      <c r="G12" s="66">
        <f>'M2'!G12-'M1'!G12</f>
        <v>0</v>
      </c>
      <c r="H12" s="66">
        <f>'M2'!H12-'M1'!H12</f>
        <v>-14.165599999999998</v>
      </c>
    </row>
    <row r="13" spans="1:8">
      <c r="A13" s="66" t="s">
        <v>251</v>
      </c>
      <c r="B13" s="66">
        <f>'M2'!B13-'M1'!B13</f>
        <v>2.1936</v>
      </c>
      <c r="C13" s="66">
        <f>'M2'!C13-'M1'!C13</f>
        <v>0.3414299999999999</v>
      </c>
      <c r="D13" s="66">
        <f>'M2'!D13-'M1'!D13</f>
        <v>0.10559999999999903</v>
      </c>
      <c r="E13" s="66">
        <f>'M2'!E13-'M1'!E13</f>
        <v>0</v>
      </c>
      <c r="F13" s="66">
        <f>'M2'!F13-'M1'!F13</f>
        <v>0.77869999999999706</v>
      </c>
      <c r="G13" s="66">
        <f>'M2'!G13-'M1'!G13</f>
        <v>0</v>
      </c>
      <c r="H13" s="66">
        <f>'M2'!H13-'M1'!H13</f>
        <v>3.7404000000000011</v>
      </c>
    </row>
    <row r="14" spans="1:8">
      <c r="A14" s="66" t="s">
        <v>252</v>
      </c>
      <c r="B14" s="66">
        <f>'M2'!B14-'M1'!B14</f>
        <v>3.4142999999999972</v>
      </c>
      <c r="C14" s="66">
        <f>'M2'!C14-'M1'!C14</f>
        <v>1.3231000000000002</v>
      </c>
      <c r="D14" s="66">
        <f>'M2'!D14-'M1'!D14</f>
        <v>0.59559999999999746</v>
      </c>
      <c r="E14" s="66">
        <f>'M2'!E14-'M1'!E14</f>
        <v>0</v>
      </c>
      <c r="F14" s="66">
        <f>'M2'!F14-'M1'!F14</f>
        <v>0.31594000000000033</v>
      </c>
      <c r="G14" s="66">
        <f>'M2'!G14-'M1'!G14</f>
        <v>0</v>
      </c>
      <c r="H14" s="66">
        <f>'M2'!H14-'M1'!H14</f>
        <v>0.94310000000000116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8.8197999999999999E-2</v>
      </c>
      <c r="C18" s="66">
        <f>'M2'!C18-'M1'!C18</f>
        <v>4.3534200000000002E-2</v>
      </c>
      <c r="D18" s="66">
        <f>'M2'!D18-'M1'!D18</f>
        <v>9.3028299999999994E-2</v>
      </c>
      <c r="E18" s="66">
        <f>'M2'!E18-'M1'!E18</f>
        <v>0</v>
      </c>
      <c r="F18" s="66">
        <f>'M2'!F18-'M1'!F18</f>
        <v>0.42443199999999998</v>
      </c>
      <c r="G18" s="66">
        <f>'M2'!G18-'M1'!G18</f>
        <v>0</v>
      </c>
      <c r="H18" s="66">
        <f>'M2'!H18-'M1'!H18</f>
        <v>0.51150099999999998</v>
      </c>
    </row>
    <row r="19" spans="1:8">
      <c r="A19" s="66" t="s">
        <v>256</v>
      </c>
      <c r="B19" s="66">
        <f>'M2'!B19-'M1'!B19</f>
        <v>5.2175000000000027E-2</v>
      </c>
      <c r="C19" s="66">
        <f>'M2'!C19-'M1'!C19</f>
        <v>3.8144200000000003E-2</v>
      </c>
      <c r="D19" s="66">
        <f>'M2'!D19-'M1'!D19</f>
        <v>7.2196300000000005E-2</v>
      </c>
      <c r="E19" s="66">
        <f>'M2'!E19-'M1'!E19</f>
        <v>0</v>
      </c>
      <c r="F19" s="66">
        <f>'M2'!F19-'M1'!F19</f>
        <v>0.49019600000000002</v>
      </c>
      <c r="G19" s="66">
        <f>'M2'!G19-'M1'!G19</f>
        <v>0</v>
      </c>
      <c r="H19" s="66">
        <f>'M2'!H19-'M1'!H19</f>
        <v>0.56648500000000002</v>
      </c>
    </row>
    <row r="20" spans="1:8">
      <c r="A20" s="66" t="s">
        <v>63</v>
      </c>
      <c r="B20" s="66">
        <f>'M2'!B20-'M1'!B20</f>
        <v>6.9416299999999992E-4</v>
      </c>
      <c r="C20" s="66">
        <f>'M2'!C20-'M1'!C20</f>
        <v>2.7101800000000002E-2</v>
      </c>
      <c r="D20" s="66">
        <f>'M2'!D20-'M1'!D20</f>
        <v>5.9434999999999967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0.34037200000000001</v>
      </c>
    </row>
    <row r="21" spans="1:8">
      <c r="A21" s="66" t="s">
        <v>64</v>
      </c>
      <c r="B21" s="66">
        <f>'M2'!B21-'M1'!B21</f>
        <v>1.6459000000000001E-2</v>
      </c>
      <c r="C21" s="66">
        <f>'M2'!C21-'M1'!C21</f>
        <v>0.32994399999999996</v>
      </c>
      <c r="D21" s="66">
        <f>'M2'!D21-'M1'!D21</f>
        <v>2.0755499999999998</v>
      </c>
      <c r="E21" s="66">
        <f>'M2'!E21-'M1'!E21</f>
        <v>0</v>
      </c>
      <c r="F21" s="66">
        <f>'M2'!F21-'M1'!F21</f>
        <v>-4.5023709999999998E-3</v>
      </c>
      <c r="G21" s="66">
        <f>'M2'!G21-'M1'!G21</f>
        <v>0</v>
      </c>
      <c r="H21" s="66">
        <f>'M2'!H21-'M1'!H21</f>
        <v>1.9946400000000002</v>
      </c>
    </row>
    <row r="22" spans="1:8">
      <c r="A22" s="66" t="s">
        <v>65</v>
      </c>
      <c r="B22" s="66">
        <f>'M2'!B22-'M1'!B22</f>
        <v>-1.8447000000000031</v>
      </c>
      <c r="C22" s="66">
        <f>'M2'!C22-'M1'!C22</f>
        <v>7.1369399999999992</v>
      </c>
      <c r="D22" s="66">
        <f>'M2'!D22-'M1'!D22</f>
        <v>0.16645600000000002</v>
      </c>
      <c r="E22" s="66">
        <f>'M2'!E22-'M1'!E22</f>
        <v>0</v>
      </c>
      <c r="F22" s="66">
        <f>'M2'!F22-'M1'!F22</f>
        <v>1.2960999999999991</v>
      </c>
      <c r="G22" s="66">
        <f>'M2'!G22-'M1'!G22</f>
        <v>0</v>
      </c>
      <c r="H22" s="66">
        <f>'M2'!H22-'M1'!H22</f>
        <v>18.961200000000005</v>
      </c>
    </row>
    <row r="23" spans="1:8">
      <c r="A23" s="66" t="s">
        <v>66</v>
      </c>
      <c r="B23" s="66">
        <f>'M2'!B23-'M1'!B23</f>
        <v>2.8222000000000023</v>
      </c>
      <c r="C23" s="66">
        <f>'M2'!C23-'M1'!C23</f>
        <v>4.7410000000000174E-2</v>
      </c>
      <c r="D23" s="66">
        <f>'M2'!D23-'M1'!D23</f>
        <v>-1.6416000000000014E-2</v>
      </c>
      <c r="E23" s="66">
        <f>'M2'!E23-'M1'!E23</f>
        <v>0</v>
      </c>
      <c r="F23" s="66">
        <f>'M2'!F23-'M1'!F23</f>
        <v>6.4364000000000008</v>
      </c>
      <c r="G23" s="66">
        <f>'M2'!G23-'M1'!G23</f>
        <v>0</v>
      </c>
      <c r="H23" s="66">
        <f>'M2'!H23-'M1'!H23</f>
        <v>3.1335000000000015</v>
      </c>
    </row>
    <row r="24" spans="1:8">
      <c r="A24" s="66" t="s">
        <v>67</v>
      </c>
      <c r="B24" s="66">
        <f>'M2'!B24-'M1'!B24</f>
        <v>1.0584399999999999E-3</v>
      </c>
      <c r="C24" s="66">
        <f>'M2'!C24-'M1'!C24</f>
        <v>2.4577000000000002E-2</v>
      </c>
      <c r="D24" s="66">
        <f>'M2'!D24-'M1'!D24</f>
        <v>5.5715700000000004</v>
      </c>
      <c r="E24" s="66">
        <f>'M2'!E24-'M1'!E24</f>
        <v>0</v>
      </c>
      <c r="F24" s="66">
        <f>'M2'!F24-'M1'!F24</f>
        <v>-2.75691E-5</v>
      </c>
      <c r="G24" s="66">
        <f>'M2'!G24-'M1'!G24</f>
        <v>0</v>
      </c>
      <c r="H24" s="66">
        <f>'M2'!H24-'M1'!H24</f>
        <v>0.21971830000000001</v>
      </c>
    </row>
    <row r="25" spans="1:8">
      <c r="A25" s="66" t="s">
        <v>68</v>
      </c>
      <c r="B25" s="66">
        <f>'M2'!B25-'M1'!B25</f>
        <v>-4.2745000000000005E-2</v>
      </c>
      <c r="C25" s="66">
        <f>'M2'!C25-'M1'!C25</f>
        <v>0.247666</v>
      </c>
      <c r="D25" s="66">
        <f>'M2'!D25-'M1'!D25</f>
        <v>1.7635019999999999</v>
      </c>
      <c r="E25" s="66">
        <f>'M2'!E25-'M1'!E25</f>
        <v>0</v>
      </c>
      <c r="F25" s="66">
        <f>'M2'!F25-'M1'!F25</f>
        <v>-2.3586000000000024E-3</v>
      </c>
      <c r="G25" s="66">
        <f>'M2'!G25-'M1'!G25</f>
        <v>0</v>
      </c>
      <c r="H25" s="66">
        <f>'M2'!H25-'M1'!H25</f>
        <v>0.68098000000000003</v>
      </c>
    </row>
    <row r="26" spans="1:8">
      <c r="A26" s="66" t="s">
        <v>69</v>
      </c>
      <c r="B26" s="66">
        <f>'M2'!B26-'M1'!B26</f>
        <v>1.9367199999999998E-4</v>
      </c>
      <c r="C26" s="66">
        <f>'M2'!C26-'M1'!C26</f>
        <v>3.2847200000000001E-3</v>
      </c>
      <c r="D26" s="66">
        <f>'M2'!D26-'M1'!D26</f>
        <v>3.8028299999999993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2.9549600000000002E-2</v>
      </c>
    </row>
    <row r="27" spans="1:8">
      <c r="A27" s="66" t="s">
        <v>70</v>
      </c>
      <c r="B27" s="66">
        <f>'M2'!B27-'M1'!B27</f>
        <v>-3.2825699999999997E-6</v>
      </c>
      <c r="C27" s="66">
        <f>'M2'!C27-'M1'!C27</f>
        <v>8.0112999999999994E-4</v>
      </c>
      <c r="D27" s="66">
        <f>'M2'!D27-'M1'!D27</f>
        <v>79.138000000000034</v>
      </c>
      <c r="E27" s="66">
        <f>'M2'!E27-'M1'!E27</f>
        <v>0</v>
      </c>
      <c r="F27" s="66">
        <f>'M2'!F27-'M1'!F27</f>
        <v>-1.5864619999999996E-2</v>
      </c>
      <c r="G27" s="66">
        <f>'M2'!G27-'M1'!G27</f>
        <v>0</v>
      </c>
      <c r="H27" s="66">
        <f>'M2'!H27-'M1'!H27</f>
        <v>1.0248129999999999E-2</v>
      </c>
    </row>
    <row r="28" spans="1:8">
      <c r="A28" s="66" t="s">
        <v>71</v>
      </c>
      <c r="B28" s="66">
        <f>'M2'!B28-'M1'!B28</f>
        <v>3.8493000000000017E-3</v>
      </c>
      <c r="C28" s="66">
        <f>'M2'!C28-'M1'!C28</f>
        <v>1.6043200000000001E-2</v>
      </c>
      <c r="D28" s="66">
        <f>'M2'!D28-'M1'!D28</f>
        <v>0.62304999999999988</v>
      </c>
      <c r="E28" s="66">
        <f>'M2'!E28-'M1'!E28</f>
        <v>0</v>
      </c>
      <c r="F28" s="66">
        <f>'M2'!F28-'M1'!F28</f>
        <v>-1.334633E-3</v>
      </c>
      <c r="G28" s="66">
        <f>'M2'!G28-'M1'!G28</f>
        <v>0</v>
      </c>
      <c r="H28" s="66">
        <f>'M2'!H28-'M1'!H28</f>
        <v>8.2574599999999984E-2</v>
      </c>
    </row>
    <row r="29" spans="1:8">
      <c r="A29" s="66" t="s">
        <v>72</v>
      </c>
      <c r="B29" s="66">
        <f>'M2'!B29-'M1'!B29</f>
        <v>5.4093000000000018</v>
      </c>
      <c r="C29" s="66">
        <f>'M2'!C29-'M1'!C29</f>
        <v>0.35373999999999928</v>
      </c>
      <c r="D29" s="66">
        <f>'M2'!D29-'M1'!D29</f>
        <v>-2.916999999999989E-3</v>
      </c>
      <c r="E29" s="66">
        <f>'M2'!E29-'M1'!E29</f>
        <v>0</v>
      </c>
      <c r="F29" s="66">
        <f>'M2'!F29-'M1'!F29</f>
        <v>7.7010999999999967</v>
      </c>
      <c r="G29" s="66">
        <f>'M2'!G29-'M1'!G29</f>
        <v>0</v>
      </c>
      <c r="H29" s="66">
        <f>'M2'!H29-'M1'!H29</f>
        <v>10.2256</v>
      </c>
    </row>
    <row r="30" spans="1:8">
      <c r="A30" s="66" t="s">
        <v>73</v>
      </c>
      <c r="B30" s="66">
        <f>'M2'!B30-'M1'!B30</f>
        <v>0.83109999999999928</v>
      </c>
      <c r="C30" s="66">
        <f>'M2'!C30-'M1'!C30</f>
        <v>-2.76546</v>
      </c>
      <c r="D30" s="66">
        <f>'M2'!D30-'M1'!D30</f>
        <v>-0.10858510000000002</v>
      </c>
      <c r="E30" s="66">
        <f>'M2'!E30-'M1'!E30</f>
        <v>0</v>
      </c>
      <c r="F30" s="66">
        <f>'M2'!F30-'M1'!F30</f>
        <v>11.796100000000001</v>
      </c>
      <c r="G30" s="66">
        <f>'M2'!G30-'M1'!G30</f>
        <v>0</v>
      </c>
      <c r="H30" s="66">
        <f>'M2'!H30-'M1'!H30</f>
        <v>1.712299999999999</v>
      </c>
    </row>
    <row r="31" spans="1:8">
      <c r="A31" s="66" t="s">
        <v>74</v>
      </c>
      <c r="B31" s="66">
        <f>'M2'!B31-'M1'!B31</f>
        <v>13.977000000000004</v>
      </c>
      <c r="C31" s="66">
        <f>'M2'!C31-'M1'!C31</f>
        <v>-24.452300000000001</v>
      </c>
      <c r="D31" s="66">
        <f>'M2'!D31-'M1'!D31</f>
        <v>-0.161963</v>
      </c>
      <c r="E31" s="66">
        <f>'M2'!E31-'M1'!E31</f>
        <v>0</v>
      </c>
      <c r="F31" s="66">
        <f>'M2'!F31-'M1'!F31</f>
        <v>68.609000000000009</v>
      </c>
      <c r="G31" s="66">
        <f>'M2'!G31-'M1'!G31</f>
        <v>0</v>
      </c>
      <c r="H31" s="66">
        <f>'M2'!H31-'M1'!H31</f>
        <v>-10.021999999999991</v>
      </c>
    </row>
    <row r="32" spans="1:8">
      <c r="A32" s="66" t="s">
        <v>75</v>
      </c>
      <c r="B32" s="66">
        <f>'M2'!B32-'M1'!B32</f>
        <v>4.1726999999999986E-2</v>
      </c>
      <c r="C32" s="66">
        <f>'M2'!C32-'M1'!C32</f>
        <v>1.9270099999999998E-2</v>
      </c>
      <c r="D32" s="66">
        <f>'M2'!D32-'M1'!D32</f>
        <v>-8.0500000000000016E-4</v>
      </c>
      <c r="E32" s="66">
        <f>'M2'!E32-'M1'!E32</f>
        <v>0</v>
      </c>
      <c r="F32" s="66">
        <f>'M2'!F32-'M1'!F32</f>
        <v>-5.1865799999999997E-2</v>
      </c>
      <c r="G32" s="66">
        <f>'M2'!G32-'M1'!G32</f>
        <v>0</v>
      </c>
      <c r="H32" s="66">
        <f>'M2'!H32-'M1'!H32</f>
        <v>-7.1100000000000052E-3</v>
      </c>
    </row>
    <row r="33" spans="1:8">
      <c r="A33" s="66" t="s">
        <v>76</v>
      </c>
      <c r="B33" s="66">
        <f>'M2'!B33-'M1'!B33</f>
        <v>3.3968999999999971E-2</v>
      </c>
      <c r="C33" s="66">
        <f>'M2'!C33-'M1'!C33</f>
        <v>-1.2370700000000002E-2</v>
      </c>
      <c r="D33" s="66">
        <f>'M2'!D33-'M1'!D33</f>
        <v>-3.41553E-2</v>
      </c>
      <c r="E33" s="66">
        <f>'M2'!E33-'M1'!E33</f>
        <v>0</v>
      </c>
      <c r="F33" s="66">
        <f>'M2'!F33-'M1'!F33</f>
        <v>5.0334999999999963E-2</v>
      </c>
      <c r="G33" s="66">
        <f>'M2'!G33-'M1'!G33</f>
        <v>0</v>
      </c>
      <c r="H33" s="66">
        <f>'M2'!H33-'M1'!H33</f>
        <v>4.9460000000000059E-3</v>
      </c>
    </row>
    <row r="34" spans="1:8">
      <c r="A34" s="66" t="s">
        <v>77</v>
      </c>
      <c r="B34" s="66">
        <f>'M2'!B34-'M1'!B34</f>
        <v>2.1936000000000011E-2</v>
      </c>
      <c r="C34" s="66">
        <f>'M2'!C34-'M1'!C34</f>
        <v>3.4143000000000021E-3</v>
      </c>
      <c r="D34" s="66">
        <f>'M2'!D34-'M1'!D34</f>
        <v>1.0560000000000014E-3</v>
      </c>
      <c r="E34" s="66">
        <f>'M2'!E34-'M1'!E34</f>
        <v>0</v>
      </c>
      <c r="F34" s="66">
        <f>'M2'!F34-'M1'!F34</f>
        <v>7.7870000000000161E-3</v>
      </c>
      <c r="G34" s="66">
        <f>'M2'!G34-'M1'!G34</f>
        <v>0</v>
      </c>
      <c r="H34" s="66">
        <f>'M2'!H34-'M1'!H34</f>
        <v>3.7403999999999993E-2</v>
      </c>
    </row>
    <row r="35" spans="1:8">
      <c r="A35" s="66" t="s">
        <v>78</v>
      </c>
      <c r="B35" s="66">
        <f>'M2'!B35-'M1'!B35</f>
        <v>3.6507999999999957E-3</v>
      </c>
      <c r="C35" s="66">
        <f>'M2'!C35-'M1'!C35</f>
        <v>-7.2832999999999995E-3</v>
      </c>
      <c r="D35" s="66">
        <f>'M2'!D35-'M1'!D35</f>
        <v>-9.4213999999999992E-2</v>
      </c>
      <c r="E35" s="66">
        <f>'M2'!E35-'M1'!E35</f>
        <v>0</v>
      </c>
      <c r="F35" s="66">
        <f>'M2'!F35-'M1'!F35</f>
        <v>6.6219999999999474E-4</v>
      </c>
      <c r="G35" s="66">
        <f>'M2'!G35-'M1'!G35</f>
        <v>0</v>
      </c>
      <c r="H35" s="66">
        <f>'M2'!H35-'M1'!H35</f>
        <v>-2.6770000000000016E-2</v>
      </c>
    </row>
    <row r="36" spans="1:8">
      <c r="A36" s="66" t="s">
        <v>79</v>
      </c>
      <c r="B36" s="66">
        <f>'M2'!B36-'M1'!B36</f>
        <v>3.891E-2</v>
      </c>
      <c r="C36" s="66">
        <f>'M2'!C36-'M1'!C36</f>
        <v>-4.9349999999999394E-4</v>
      </c>
      <c r="D36" s="66">
        <f>'M2'!D36-'M1'!D36</f>
        <v>-8.6755999999999944E-2</v>
      </c>
      <c r="E36" s="66">
        <f>'M2'!E36-'M1'!E36</f>
        <v>0</v>
      </c>
      <c r="F36" s="66">
        <f>'M2'!F36-'M1'!F36</f>
        <v>1.0571500000000005E-2</v>
      </c>
      <c r="G36" s="66">
        <f>'M2'!G36-'M1'!G36</f>
        <v>0</v>
      </c>
      <c r="H36" s="66">
        <f>'M2'!H36-'M1'!H36</f>
        <v>-7.1253000000000011E-2</v>
      </c>
    </row>
    <row r="37" spans="1:8">
      <c r="A37" s="66" t="s">
        <v>80</v>
      </c>
      <c r="B37" s="66">
        <f>'M2'!B37-'M1'!B37</f>
        <v>3.4142999999999979E-2</v>
      </c>
      <c r="C37" s="66">
        <f>'M2'!C37-'M1'!C37</f>
        <v>1.3231000000000007E-2</v>
      </c>
      <c r="D37" s="66">
        <f>'M2'!D37-'M1'!D37</f>
        <v>5.9560000000000168E-3</v>
      </c>
      <c r="E37" s="66">
        <f>'M2'!E37-'M1'!E37</f>
        <v>0</v>
      </c>
      <c r="F37" s="66">
        <f>'M2'!F37-'M1'!F37</f>
        <v>3.1593999999999997E-3</v>
      </c>
      <c r="G37" s="66">
        <f>'M2'!G37-'M1'!G37</f>
        <v>0</v>
      </c>
      <c r="H37" s="66">
        <f>'M2'!H37-'M1'!H37</f>
        <v>9.4310000000000227E-3</v>
      </c>
    </row>
    <row r="38" spans="1:8">
      <c r="A38" s="66" t="s">
        <v>81</v>
      </c>
      <c r="B38" s="66">
        <f>'M2'!B38-'M1'!B38</f>
        <v>9.561300000000001</v>
      </c>
      <c r="C38" s="66">
        <f>'M2'!C38-'M1'!C38</f>
        <v>-16.436799999999998</v>
      </c>
      <c r="D38" s="66">
        <f>'M2'!D38-'M1'!D38</f>
        <v>-0.77810999999999986</v>
      </c>
      <c r="E38" s="66">
        <f>'M2'!E38-'M1'!E38</f>
        <v>0</v>
      </c>
      <c r="F38" s="66">
        <f>'M2'!F38-'M1'!F38</f>
        <v>262.8827</v>
      </c>
      <c r="G38" s="66">
        <f>'M2'!G38-'M1'!G38</f>
        <v>0</v>
      </c>
      <c r="H38" s="66">
        <f>'M2'!H38-'M1'!H38</f>
        <v>29.6023</v>
      </c>
    </row>
    <row r="39" spans="1:8">
      <c r="A39" s="66" t="s">
        <v>82</v>
      </c>
      <c r="B39" s="66">
        <f>'M2'!B39-'M1'!B39</f>
        <v>0.75903000000000009</v>
      </c>
      <c r="C39" s="66">
        <f>'M2'!C39-'M1'!C39</f>
        <v>0.68227999999999955</v>
      </c>
      <c r="D39" s="66">
        <f>'M2'!D39-'M1'!D39</f>
        <v>-0.25439199999999995</v>
      </c>
      <c r="E39" s="66">
        <f>'M2'!E39-'M1'!E39</f>
        <v>0</v>
      </c>
      <c r="F39" s="66">
        <f>'M2'!F39-'M1'!F39</f>
        <v>-4.5064999999999991</v>
      </c>
      <c r="G39" s="66">
        <f>'M2'!G39-'M1'!G39</f>
        <v>0</v>
      </c>
      <c r="H39" s="66">
        <f>'M2'!H39-'M1'!H39</f>
        <v>-0.5070800000000002</v>
      </c>
    </row>
    <row r="40" spans="1:8">
      <c r="A40" s="66" t="s">
        <v>83</v>
      </c>
      <c r="B40" s="66">
        <f>'M2'!B40-'M1'!B40</f>
        <v>-0.12433000000000005</v>
      </c>
      <c r="C40" s="66">
        <f>'M2'!C40-'M1'!C40</f>
        <v>-1.3182000000000027E-2</v>
      </c>
      <c r="D40" s="66">
        <f>'M2'!D40-'M1'!D40</f>
        <v>2.0143999999999995E-2</v>
      </c>
      <c r="E40" s="66">
        <f>'M2'!E40-'M1'!E40</f>
        <v>0</v>
      </c>
      <c r="F40" s="66">
        <f>'M2'!F40-'M1'!F40</f>
        <v>-0.33747000000000016</v>
      </c>
      <c r="G40" s="66">
        <f>'M2'!G40-'M1'!G40</f>
        <v>0</v>
      </c>
      <c r="H40" s="66">
        <f>'M2'!H40-'M1'!H40</f>
        <v>0.68743299999999996</v>
      </c>
    </row>
    <row r="41" spans="1:8">
      <c r="A41" s="66" t="s">
        <v>84</v>
      </c>
      <c r="B41" s="66">
        <f>'M2'!B41-'M1'!B41</f>
        <v>3.4766199999999997E-2</v>
      </c>
      <c r="C41" s="66">
        <f>'M2'!C41-'M1'!C41</f>
        <v>1.2736000000000025E-2</v>
      </c>
      <c r="D41" s="66">
        <f>'M2'!D41-'M1'!D41</f>
        <v>-1.4028399999999999</v>
      </c>
      <c r="E41" s="66">
        <f>'M2'!E41-'M1'!E41</f>
        <v>0</v>
      </c>
      <c r="F41" s="66">
        <f>'M2'!F41-'M1'!F41</f>
        <v>1.2296000000000085E-2</v>
      </c>
      <c r="G41" s="66">
        <f>'M2'!G41-'M1'!G41</f>
        <v>0</v>
      </c>
      <c r="H41" s="66">
        <f>'M2'!H41-'M1'!H41</f>
        <v>0.41469800000000001</v>
      </c>
    </row>
    <row r="42" spans="1:8">
      <c r="A42" s="66" t="s">
        <v>85</v>
      </c>
      <c r="B42" s="66">
        <f>'M2'!B42-'M1'!B42</f>
        <v>4.3952199999999997E-2</v>
      </c>
      <c r="C42" s="66">
        <f>'M2'!C42-'M1'!C42</f>
        <v>-1.2757499999999991E-2</v>
      </c>
      <c r="D42" s="66">
        <f>'M2'!D42-'M1'!D42</f>
        <v>-0.12441499999999994</v>
      </c>
      <c r="E42" s="66">
        <f>'M2'!E42-'M1'!E42</f>
        <v>0</v>
      </c>
      <c r="F42" s="66">
        <f>'M2'!F42-'M1'!F42</f>
        <v>4.4204000000000021E-2</v>
      </c>
      <c r="G42" s="66">
        <f>'M2'!G42-'M1'!G42</f>
        <v>0</v>
      </c>
      <c r="H42" s="66">
        <f>'M2'!H42-'M1'!H42</f>
        <v>4.4027800000000006E-2</v>
      </c>
    </row>
    <row r="43" spans="1:8">
      <c r="A43" s="66" t="s">
        <v>86</v>
      </c>
      <c r="B43" s="66">
        <f>'M2'!B43-'M1'!B43</f>
        <v>4.0201500000000008E-2</v>
      </c>
      <c r="C43" s="66">
        <f>'M2'!C43-'M1'!C43</f>
        <v>1.4131899999999996E-2</v>
      </c>
      <c r="D43" s="66">
        <f>'M2'!D43-'M1'!D43</f>
        <v>-0.85477700000000001</v>
      </c>
      <c r="E43" s="66">
        <f>'M2'!E43-'M1'!E43</f>
        <v>0</v>
      </c>
      <c r="F43" s="66">
        <f>'M2'!F43-'M1'!F43</f>
        <v>-1.8475999999999992E-2</v>
      </c>
      <c r="G43" s="66">
        <f>'M2'!G43-'M1'!G43</f>
        <v>0</v>
      </c>
      <c r="H43" s="66">
        <f>'M2'!H43-'M1'!H43</f>
        <v>2.6619870000000004E-2</v>
      </c>
    </row>
    <row r="44" spans="1:8">
      <c r="A44" s="66" t="s">
        <v>87</v>
      </c>
      <c r="B44" s="66">
        <f>'M2'!B44-'M1'!B44</f>
        <v>-1.8325300000000002</v>
      </c>
      <c r="C44" s="66">
        <f>'M2'!C44-'M1'!C44</f>
        <v>-3.6538799999999991</v>
      </c>
      <c r="D44" s="66">
        <f>'M2'!D44-'M1'!D44</f>
        <v>0.52804499999999988</v>
      </c>
      <c r="E44" s="66">
        <f>'M2'!E44-'M1'!E44</f>
        <v>0</v>
      </c>
      <c r="F44" s="66">
        <f>'M2'!F44-'M1'!F44</f>
        <v>-11.915100000000002</v>
      </c>
      <c r="G44" s="66">
        <f>'M2'!G44-'M1'!G44</f>
        <v>0</v>
      </c>
      <c r="H44" s="66">
        <f>'M2'!H44-'M1'!H44</f>
        <v>-10.619809999999999</v>
      </c>
    </row>
    <row r="45" spans="1:8">
      <c r="A45" s="66" t="s">
        <v>88</v>
      </c>
      <c r="B45" s="66">
        <f>'M2'!B45-'M1'!B45</f>
        <v>-2.0352999999999994</v>
      </c>
      <c r="C45" s="66">
        <f>'M2'!C45-'M1'!C45</f>
        <v>3.1150600000000006</v>
      </c>
      <c r="D45" s="66">
        <f>'M2'!D45-'M1'!D45</f>
        <v>6.6816000000000014E-2</v>
      </c>
      <c r="E45" s="66">
        <f>'M2'!E45-'M1'!E45</f>
        <v>0</v>
      </c>
      <c r="F45" s="66">
        <f>'M2'!F45-'M1'!F45</f>
        <v>-3.3430000000000035</v>
      </c>
      <c r="G45" s="66">
        <f>'M2'!G45-'M1'!G45</f>
        <v>0</v>
      </c>
      <c r="H45" s="66">
        <f>'M2'!H45-'M1'!H45</f>
        <v>8.2033000000000129</v>
      </c>
    </row>
    <row r="46" spans="1:8">
      <c r="A46" s="66" t="s">
        <v>89</v>
      </c>
      <c r="B46" s="66">
        <f>'M2'!B46-'M1'!B46</f>
        <v>7.7089999999999996</v>
      </c>
      <c r="C46" s="66">
        <f>'M2'!C46-'M1'!C46</f>
        <v>-5.9288399999999992</v>
      </c>
      <c r="D46" s="66">
        <f>'M2'!D46-'M1'!D46</f>
        <v>-0.25339499999999998</v>
      </c>
      <c r="E46" s="66">
        <f>'M2'!E46-'M1'!E46</f>
        <v>0</v>
      </c>
      <c r="F46" s="66">
        <f>'M2'!F46-'M1'!F46</f>
        <v>22.967739999999999</v>
      </c>
      <c r="G46" s="66">
        <f>'M2'!G46-'M1'!G46</f>
        <v>0</v>
      </c>
      <c r="H46" s="66">
        <f>'M2'!H46-'M1'!H46</f>
        <v>4.9243999999999986</v>
      </c>
    </row>
    <row r="47" spans="1:8">
      <c r="A47" s="66" t="s">
        <v>90</v>
      </c>
      <c r="B47" s="66">
        <f>'M2'!B47-'M1'!B47</f>
        <v>0.17161000000000004</v>
      </c>
      <c r="C47" s="66">
        <f>'M2'!C47-'M1'!C47</f>
        <v>0.74618700000000004</v>
      </c>
      <c r="D47" s="66">
        <f>'M2'!D47-'M1'!D47</f>
        <v>0.53954100000000005</v>
      </c>
      <c r="E47" s="66">
        <f>'M2'!E47-'M1'!E47</f>
        <v>0</v>
      </c>
      <c r="F47" s="66">
        <f>'M2'!F47-'M1'!F47</f>
        <v>0.1061899999999999</v>
      </c>
      <c r="G47" s="66">
        <f>'M2'!G47-'M1'!G47</f>
        <v>0</v>
      </c>
      <c r="H47" s="66">
        <f>'M2'!H47-'M1'!H47</f>
        <v>4.7872500000000002</v>
      </c>
    </row>
    <row r="48" spans="1:8">
      <c r="A48" s="66" t="s">
        <v>91</v>
      </c>
      <c r="B48" s="66">
        <f>'M2'!B48-'M1'!B48</f>
        <v>-0.2868719999999999</v>
      </c>
      <c r="C48" s="66">
        <f>'M2'!C48-'M1'!C48</f>
        <v>-0.11662099999999997</v>
      </c>
      <c r="D48" s="66">
        <f>'M2'!D48-'M1'!D48</f>
        <v>-3.3318000000000014E-2</v>
      </c>
      <c r="E48" s="66">
        <f>'M2'!E48-'M1'!E48</f>
        <v>0</v>
      </c>
      <c r="F48" s="66">
        <f>'M2'!F48-'M1'!F48</f>
        <v>-6.7139999999999977E-3</v>
      </c>
      <c r="G48" s="66">
        <f>'M2'!G48-'M1'!G48</f>
        <v>0</v>
      </c>
      <c r="H48" s="66">
        <f>'M2'!H48-'M1'!H48</f>
        <v>-0.39635999999999982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40.768099999999997</v>
      </c>
      <c r="C5" s="66">
        <v>12.9298</v>
      </c>
      <c r="D5" s="66">
        <v>31.715399999999999</v>
      </c>
      <c r="E5" s="66">
        <v>20</v>
      </c>
      <c r="F5" s="66">
        <v>9.0805500000000006</v>
      </c>
      <c r="G5" s="66">
        <v>50</v>
      </c>
      <c r="H5" s="66">
        <v>50.710500000000003</v>
      </c>
    </row>
    <row r="6" spans="1:8">
      <c r="A6" s="66" t="s">
        <v>358</v>
      </c>
      <c r="B6" s="66">
        <v>25.238700000000001</v>
      </c>
      <c r="C6" s="66">
        <v>3.95892</v>
      </c>
      <c r="D6" s="66">
        <v>15.6859</v>
      </c>
      <c r="E6" s="66">
        <v>20</v>
      </c>
      <c r="F6" s="66">
        <v>16.697700000000001</v>
      </c>
      <c r="G6" s="66">
        <v>40</v>
      </c>
      <c r="H6" s="66">
        <v>29.544799999999999</v>
      </c>
    </row>
    <row r="7" spans="1:8">
      <c r="A7" s="66" t="s">
        <v>359</v>
      </c>
      <c r="B7" s="66">
        <v>16.441800000000001</v>
      </c>
      <c r="C7" s="66">
        <v>7.6584599999999998</v>
      </c>
      <c r="D7" s="66">
        <v>46.579099999999997</v>
      </c>
      <c r="E7" s="66">
        <v>15</v>
      </c>
      <c r="F7" s="66">
        <v>10.7041</v>
      </c>
      <c r="G7" s="66">
        <v>40</v>
      </c>
      <c r="H7" s="66">
        <v>41.758899999999997</v>
      </c>
    </row>
    <row r="8" spans="1:8">
      <c r="A8" s="66" t="s">
        <v>360</v>
      </c>
      <c r="B8" s="66">
        <v>30.179600000000001</v>
      </c>
      <c r="C8" s="66">
        <v>7.3808600000000002</v>
      </c>
      <c r="D8" s="66">
        <v>24.456499999999998</v>
      </c>
      <c r="E8" s="66">
        <v>20</v>
      </c>
      <c r="F8" s="66">
        <v>12.413500000000001</v>
      </c>
      <c r="G8" s="66">
        <v>50</v>
      </c>
      <c r="H8" s="66">
        <v>37.092399999999998</v>
      </c>
    </row>
    <row r="9" spans="1:8">
      <c r="A9" s="66" t="s">
        <v>361</v>
      </c>
      <c r="B9" s="66">
        <v>66.907399999999996</v>
      </c>
      <c r="C9" s="66">
        <v>7.8552600000000004</v>
      </c>
      <c r="D9" s="66">
        <v>11.740500000000001</v>
      </c>
      <c r="E9" s="66">
        <v>50</v>
      </c>
      <c r="F9" s="66">
        <v>53.564300000000003</v>
      </c>
      <c r="G9" s="66">
        <v>100</v>
      </c>
      <c r="H9" s="66">
        <v>92.708100000000002</v>
      </c>
    </row>
    <row r="10" spans="1:8">
      <c r="A10" s="66" t="s">
        <v>362</v>
      </c>
      <c r="B10" s="66">
        <v>80.062299999999993</v>
      </c>
      <c r="C10" s="66">
        <v>3.2677299999999998</v>
      </c>
      <c r="D10" s="66">
        <v>4.0814899999999996</v>
      </c>
      <c r="E10" s="66">
        <v>40</v>
      </c>
      <c r="F10" s="66">
        <v>77.195300000000003</v>
      </c>
      <c r="G10" s="66">
        <v>100</v>
      </c>
      <c r="H10" s="66">
        <v>86.808000000000007</v>
      </c>
    </row>
    <row r="11" spans="1:8">
      <c r="A11" s="66" t="s">
        <v>363</v>
      </c>
      <c r="B11" s="66">
        <v>23.761500000000002</v>
      </c>
      <c r="C11" s="66">
        <v>5.1465199999999998</v>
      </c>
      <c r="D11" s="66">
        <v>21.658999999999999</v>
      </c>
      <c r="E11" s="66">
        <v>10</v>
      </c>
      <c r="F11" s="66">
        <v>7.9518399999999998</v>
      </c>
      <c r="G11" s="66">
        <v>50</v>
      </c>
      <c r="H11" s="66">
        <v>26.675799999999999</v>
      </c>
    </row>
    <row r="12" spans="1:8">
      <c r="A12" s="66" t="s">
        <v>364</v>
      </c>
      <c r="B12" s="66">
        <v>73.105800000000002</v>
      </c>
      <c r="C12" s="66">
        <v>5.41378</v>
      </c>
      <c r="D12" s="66">
        <v>7.4054099999999998</v>
      </c>
      <c r="E12" s="66">
        <v>50</v>
      </c>
      <c r="F12" s="66">
        <v>65.465000000000003</v>
      </c>
      <c r="G12" s="66">
        <v>100</v>
      </c>
      <c r="H12" s="66">
        <v>89.636499999999998</v>
      </c>
    </row>
    <row r="13" spans="1:8">
      <c r="A13" s="66" t="s">
        <v>365</v>
      </c>
      <c r="B13" s="66">
        <v>21.410499999999999</v>
      </c>
      <c r="C13" s="66">
        <v>3.0891700000000002</v>
      </c>
      <c r="D13" s="66">
        <v>14.4283</v>
      </c>
      <c r="E13" s="66">
        <v>10</v>
      </c>
      <c r="F13" s="66">
        <v>17.106000000000002</v>
      </c>
      <c r="G13" s="66">
        <v>25</v>
      </c>
      <c r="H13" s="66">
        <v>31.1693</v>
      </c>
    </row>
    <row r="14" spans="1:8">
      <c r="A14" s="66" t="s">
        <v>366</v>
      </c>
      <c r="B14" s="66">
        <v>30.8917</v>
      </c>
      <c r="C14" s="66">
        <v>10.1228</v>
      </c>
      <c r="D14" s="66">
        <v>32.768599999999999</v>
      </c>
      <c r="E14" s="66">
        <v>10</v>
      </c>
      <c r="F14" s="66">
        <v>3.5086499999999998</v>
      </c>
      <c r="G14" s="66">
        <v>50</v>
      </c>
      <c r="H14" s="66">
        <v>34.3095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0.37976900000000002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0.476165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9.0060699999999999E-4</v>
      </c>
      <c r="C20" s="66">
        <v>2.2864599999999999E-2</v>
      </c>
      <c r="D20" s="66">
        <v>25.388000000000002</v>
      </c>
      <c r="E20" s="66">
        <v>0</v>
      </c>
      <c r="F20" s="66">
        <v>0</v>
      </c>
      <c r="G20" s="66">
        <v>0</v>
      </c>
      <c r="H20" s="66">
        <v>0.21471499999999999</v>
      </c>
    </row>
    <row r="21" spans="1:8">
      <c r="A21" s="66" t="s">
        <v>373</v>
      </c>
      <c r="B21" s="66">
        <v>0.127998</v>
      </c>
      <c r="C21" s="66">
        <v>0.23418800000000001</v>
      </c>
      <c r="D21" s="66">
        <v>1.8296300000000001</v>
      </c>
      <c r="E21" s="66">
        <v>0</v>
      </c>
      <c r="F21" s="66">
        <v>4.81219E-3</v>
      </c>
      <c r="G21" s="66">
        <v>0</v>
      </c>
      <c r="H21" s="66">
        <v>1.16936</v>
      </c>
    </row>
    <row r="22" spans="1:8">
      <c r="A22" s="66" t="s">
        <v>374</v>
      </c>
      <c r="B22" s="66">
        <v>46.953000000000003</v>
      </c>
      <c r="C22" s="66">
        <v>9.4581599999999995</v>
      </c>
      <c r="D22" s="66">
        <v>0.20143900000000001</v>
      </c>
      <c r="E22" s="66">
        <v>0</v>
      </c>
      <c r="F22" s="66">
        <v>29.276299999999999</v>
      </c>
      <c r="G22" s="66">
        <v>0</v>
      </c>
      <c r="H22" s="66">
        <v>79.369</v>
      </c>
    </row>
    <row r="23" spans="1:8">
      <c r="A23" s="66" t="s">
        <v>375</v>
      </c>
      <c r="B23" s="66">
        <v>20.662099999999999</v>
      </c>
      <c r="C23" s="66">
        <v>3.1695199999999999</v>
      </c>
      <c r="D23" s="66">
        <v>0.15339800000000001</v>
      </c>
      <c r="E23" s="66">
        <v>0</v>
      </c>
      <c r="F23" s="66">
        <v>11.913500000000001</v>
      </c>
      <c r="G23" s="66">
        <v>0</v>
      </c>
      <c r="H23" s="66">
        <v>23.689499999999999</v>
      </c>
    </row>
    <row r="24" spans="1:8">
      <c r="A24" s="66" t="s">
        <v>376</v>
      </c>
      <c r="B24" s="66">
        <v>2.0464300000000001E-3</v>
      </c>
      <c r="C24" s="66">
        <v>1.40719E-2</v>
      </c>
      <c r="D24" s="66">
        <v>6.8763300000000003</v>
      </c>
      <c r="E24" s="66">
        <v>0</v>
      </c>
      <c r="F24" s="196">
        <v>9.4097499999999998E-5</v>
      </c>
      <c r="G24" s="66">
        <v>0</v>
      </c>
      <c r="H24" s="66">
        <v>8.7455699999999997E-2</v>
      </c>
    </row>
    <row r="25" spans="1:8">
      <c r="A25" s="66" t="s">
        <v>377</v>
      </c>
      <c r="B25" s="66">
        <v>0.20297000000000001</v>
      </c>
      <c r="C25" s="66">
        <v>0.16567599999999999</v>
      </c>
      <c r="D25" s="66">
        <v>0.81625800000000004</v>
      </c>
      <c r="E25" s="66">
        <v>0</v>
      </c>
      <c r="F25" s="66">
        <v>4.7364000000000003E-2</v>
      </c>
      <c r="G25" s="66">
        <v>0</v>
      </c>
      <c r="H25" s="66">
        <v>0.96489999999999998</v>
      </c>
    </row>
    <row r="26" spans="1:8">
      <c r="A26" s="66" t="s">
        <v>378</v>
      </c>
      <c r="B26" s="66">
        <v>3.0527799999999997E-4</v>
      </c>
      <c r="C26" s="66">
        <v>2.1867599999999998E-3</v>
      </c>
      <c r="D26" s="66">
        <v>7.16317</v>
      </c>
      <c r="E26" s="66">
        <v>0</v>
      </c>
      <c r="F26" s="66">
        <v>0</v>
      </c>
      <c r="G26" s="66">
        <v>0</v>
      </c>
      <c r="H26" s="66">
        <v>2.2505299999999999E-2</v>
      </c>
    </row>
    <row r="27" spans="1:8">
      <c r="A27" s="66" t="s">
        <v>379</v>
      </c>
      <c r="B27" s="196">
        <v>-3.2825599999999999E-6</v>
      </c>
      <c r="C27" s="66">
        <v>1.3206800000000001E-3</v>
      </c>
      <c r="D27" s="66">
        <v>-402.33100000000002</v>
      </c>
      <c r="E27" s="66">
        <v>0</v>
      </c>
      <c r="F27" s="66">
        <v>-8.4558800000000007E-3</v>
      </c>
      <c r="G27" s="66">
        <v>0</v>
      </c>
      <c r="H27" s="66">
        <v>9.2863700000000004E-3</v>
      </c>
    </row>
    <row r="28" spans="1:8">
      <c r="A28" s="66" t="s">
        <v>380</v>
      </c>
      <c r="B28" s="66">
        <v>1.42513E-2</v>
      </c>
      <c r="C28" s="66">
        <v>1.7643699999999998E-2</v>
      </c>
      <c r="D28" s="66">
        <v>1.23804</v>
      </c>
      <c r="E28" s="66">
        <v>0</v>
      </c>
      <c r="F28" s="66">
        <v>1.4388000000000001E-3</v>
      </c>
      <c r="G28" s="66">
        <v>0</v>
      </c>
      <c r="H28" s="66">
        <v>8.6650400000000002E-2</v>
      </c>
    </row>
    <row r="29" spans="1:8">
      <c r="A29" s="66" t="s">
        <v>381</v>
      </c>
      <c r="B29" s="66">
        <v>72.331000000000003</v>
      </c>
      <c r="C29" s="66">
        <v>7.7621799999999999</v>
      </c>
      <c r="D29" s="66">
        <v>0.10731499999999999</v>
      </c>
      <c r="E29" s="66">
        <v>0</v>
      </c>
      <c r="F29" s="66">
        <v>51.587800000000001</v>
      </c>
      <c r="G29" s="66">
        <v>0</v>
      </c>
      <c r="H29" s="66">
        <v>93.187399999999997</v>
      </c>
    </row>
    <row r="30" spans="1:8">
      <c r="A30" s="66" t="s">
        <v>382</v>
      </c>
      <c r="B30" s="66">
        <v>26.215</v>
      </c>
      <c r="C30" s="66">
        <v>5.4052899999999999</v>
      </c>
      <c r="D30" s="66">
        <v>0.20619000000000001</v>
      </c>
      <c r="E30" s="66">
        <v>0</v>
      </c>
      <c r="F30" s="66">
        <v>11.162699999999999</v>
      </c>
      <c r="G30" s="66">
        <v>0</v>
      </c>
      <c r="H30" s="66">
        <v>29.113700000000001</v>
      </c>
    </row>
    <row r="31" spans="1:8">
      <c r="A31" s="66" t="s">
        <v>383</v>
      </c>
      <c r="B31" s="66">
        <v>158.334</v>
      </c>
      <c r="C31" s="66">
        <v>39.148499999999999</v>
      </c>
      <c r="D31" s="66">
        <v>0.247252</v>
      </c>
      <c r="E31" s="66">
        <v>0</v>
      </c>
      <c r="F31" s="66">
        <v>73.875</v>
      </c>
      <c r="G31" s="66">
        <v>0</v>
      </c>
      <c r="H31" s="66">
        <v>203.98099999999999</v>
      </c>
    </row>
    <row r="32" spans="1:8">
      <c r="A32" s="66" t="s">
        <v>384</v>
      </c>
      <c r="B32" s="66">
        <v>0.16441800000000001</v>
      </c>
      <c r="C32" s="66">
        <v>7.6584600000000003E-2</v>
      </c>
      <c r="D32" s="66">
        <v>0.46579100000000001</v>
      </c>
      <c r="E32" s="66">
        <v>0.15</v>
      </c>
      <c r="F32" s="66">
        <v>0.107041</v>
      </c>
      <c r="G32" s="66">
        <v>0.4</v>
      </c>
      <c r="H32" s="66">
        <v>0.41758899999999999</v>
      </c>
    </row>
    <row r="33" spans="1:8">
      <c r="A33" s="66" t="s">
        <v>385</v>
      </c>
      <c r="B33" s="66">
        <v>0.386131</v>
      </c>
      <c r="C33" s="66">
        <v>2.2484400000000002E-2</v>
      </c>
      <c r="D33" s="66">
        <v>5.8229900000000001E-2</v>
      </c>
      <c r="E33" s="66">
        <v>0</v>
      </c>
      <c r="F33" s="66">
        <v>0.33924100000000001</v>
      </c>
      <c r="G33" s="66">
        <v>0</v>
      </c>
      <c r="H33" s="66">
        <v>0.444969</v>
      </c>
    </row>
    <row r="34" spans="1:8">
      <c r="A34" s="66" t="s">
        <v>386</v>
      </c>
      <c r="B34" s="66">
        <v>0.21410499999999999</v>
      </c>
      <c r="C34" s="66">
        <v>3.0891700000000001E-2</v>
      </c>
      <c r="D34" s="66">
        <v>0.14428299999999999</v>
      </c>
      <c r="E34" s="66">
        <v>0.1</v>
      </c>
      <c r="F34" s="66">
        <v>0.17105999999999999</v>
      </c>
      <c r="G34" s="66">
        <v>0.25</v>
      </c>
      <c r="H34" s="66">
        <v>0.311693</v>
      </c>
    </row>
    <row r="35" spans="1:8">
      <c r="A35" s="66" t="s">
        <v>387</v>
      </c>
      <c r="B35" s="66">
        <v>8.63511E-2</v>
      </c>
      <c r="C35" s="66">
        <v>2.8291899999999998E-2</v>
      </c>
      <c r="D35" s="66">
        <v>0.32763799999999998</v>
      </c>
      <c r="E35" s="66">
        <v>0</v>
      </c>
      <c r="F35" s="66">
        <v>3.8497700000000003E-2</v>
      </c>
      <c r="G35" s="66">
        <v>0</v>
      </c>
      <c r="H35" s="66">
        <v>0.16173100000000001</v>
      </c>
    </row>
    <row r="36" spans="1:8">
      <c r="A36" s="66" t="s">
        <v>388</v>
      </c>
      <c r="B36" s="66">
        <v>0.19614599999999999</v>
      </c>
      <c r="C36" s="66">
        <v>0.100313</v>
      </c>
      <c r="D36" s="66">
        <v>0.51141899999999996</v>
      </c>
      <c r="E36" s="66">
        <v>0</v>
      </c>
      <c r="F36" s="66">
        <v>3.3729099999999998E-2</v>
      </c>
      <c r="G36" s="66">
        <v>0</v>
      </c>
      <c r="H36" s="66">
        <v>0.585036</v>
      </c>
    </row>
    <row r="37" spans="1:8">
      <c r="A37" s="66" t="s">
        <v>389</v>
      </c>
      <c r="B37" s="66">
        <v>0.308917</v>
      </c>
      <c r="C37" s="66">
        <v>0.101228</v>
      </c>
      <c r="D37" s="66">
        <v>0.32768599999999998</v>
      </c>
      <c r="E37" s="66">
        <v>0.1</v>
      </c>
      <c r="F37" s="66">
        <v>3.50865E-2</v>
      </c>
      <c r="G37" s="66">
        <v>0.5</v>
      </c>
      <c r="H37" s="66">
        <v>0.34309499999999998</v>
      </c>
    </row>
    <row r="38" spans="1:8">
      <c r="A38" s="66" t="s">
        <v>390</v>
      </c>
      <c r="B38" s="66">
        <v>-19.570900000000002</v>
      </c>
      <c r="C38" s="66">
        <v>49.586799999999997</v>
      </c>
      <c r="D38" s="66">
        <v>-2.5337000000000001</v>
      </c>
      <c r="E38" s="66">
        <v>0</v>
      </c>
      <c r="F38" s="66">
        <v>-341.07600000000002</v>
      </c>
      <c r="G38" s="66">
        <v>0</v>
      </c>
      <c r="H38" s="66">
        <v>69.815299999999993</v>
      </c>
    </row>
    <row r="39" spans="1:8">
      <c r="A39" s="66" t="s">
        <v>391</v>
      </c>
      <c r="B39" s="66">
        <v>-5.6490400000000003</v>
      </c>
      <c r="C39" s="66">
        <v>4.1804300000000003</v>
      </c>
      <c r="D39" s="66">
        <v>-0.74002500000000004</v>
      </c>
      <c r="E39" s="66">
        <v>0</v>
      </c>
      <c r="F39" s="66">
        <v>-15.414400000000001</v>
      </c>
      <c r="G39" s="66">
        <v>0</v>
      </c>
      <c r="H39" s="66">
        <v>3.16032</v>
      </c>
    </row>
    <row r="40" spans="1:8">
      <c r="A40" s="66" t="s">
        <v>392</v>
      </c>
      <c r="B40" s="66">
        <v>-2.3857699999999999</v>
      </c>
      <c r="C40" s="66">
        <v>0.71735400000000005</v>
      </c>
      <c r="D40" s="66">
        <v>-0.30068</v>
      </c>
      <c r="E40" s="66">
        <v>0</v>
      </c>
      <c r="F40" s="66">
        <v>-3.5914199999999998</v>
      </c>
      <c r="G40" s="66">
        <v>0</v>
      </c>
      <c r="H40" s="66">
        <v>-1.1121799999999999</v>
      </c>
    </row>
    <row r="41" spans="1:8">
      <c r="A41" s="66" t="s">
        <v>393</v>
      </c>
      <c r="B41" s="66">
        <v>-0.102821</v>
      </c>
      <c r="C41" s="66">
        <v>0.24468699999999999</v>
      </c>
      <c r="D41" s="66">
        <v>-2.37974</v>
      </c>
      <c r="E41" s="66">
        <v>0</v>
      </c>
      <c r="F41" s="66">
        <v>-0.73643400000000003</v>
      </c>
      <c r="G41" s="66">
        <v>0</v>
      </c>
      <c r="H41" s="66">
        <v>0.58530199999999999</v>
      </c>
    </row>
    <row r="42" spans="1:8">
      <c r="A42" s="66" t="s">
        <v>394</v>
      </c>
      <c r="B42" s="66">
        <v>-0.14219799999999999</v>
      </c>
      <c r="C42" s="66">
        <v>8.0820199999999995E-2</v>
      </c>
      <c r="D42" s="66">
        <v>-0.56836500000000001</v>
      </c>
      <c r="E42" s="66">
        <v>0</v>
      </c>
      <c r="F42" s="66">
        <v>-0.32073200000000002</v>
      </c>
      <c r="G42" s="66">
        <v>0</v>
      </c>
      <c r="H42" s="66">
        <v>1.5655499999999999E-2</v>
      </c>
    </row>
    <row r="43" spans="1:8">
      <c r="A43" s="66" t="s">
        <v>395</v>
      </c>
      <c r="B43" s="66">
        <v>-8.3532400000000007E-2</v>
      </c>
      <c r="C43" s="66">
        <v>4.7595400000000003E-2</v>
      </c>
      <c r="D43" s="66">
        <v>-0.56978300000000004</v>
      </c>
      <c r="E43" s="66">
        <v>0</v>
      </c>
      <c r="F43" s="66">
        <v>-0.200049</v>
      </c>
      <c r="G43" s="66">
        <v>0</v>
      </c>
      <c r="H43" s="66">
        <v>-3.6103000000000003E-2</v>
      </c>
    </row>
    <row r="44" spans="1:8">
      <c r="A44" s="66" t="s">
        <v>396</v>
      </c>
      <c r="B44" s="66">
        <v>-9.6741700000000002</v>
      </c>
      <c r="C44" s="66">
        <v>12.7867</v>
      </c>
      <c r="D44" s="66">
        <v>-1.3217399999999999</v>
      </c>
      <c r="E44" s="66">
        <v>0</v>
      </c>
      <c r="F44" s="66">
        <v>-23.1663</v>
      </c>
      <c r="G44" s="66">
        <v>0</v>
      </c>
      <c r="H44" s="66">
        <v>19.0961</v>
      </c>
    </row>
    <row r="45" spans="1:8">
      <c r="A45" s="66" t="s">
        <v>397</v>
      </c>
      <c r="B45" s="66">
        <v>52.875900000000001</v>
      </c>
      <c r="C45" s="66">
        <v>7.3251400000000002</v>
      </c>
      <c r="D45" s="66">
        <v>0.13853499999999999</v>
      </c>
      <c r="E45" s="66">
        <v>0</v>
      </c>
      <c r="F45" s="66">
        <v>35.951300000000003</v>
      </c>
      <c r="G45" s="66">
        <v>0</v>
      </c>
      <c r="H45" s="66">
        <v>69.394499999999994</v>
      </c>
    </row>
    <row r="46" spans="1:8">
      <c r="A46" s="66" t="s">
        <v>398</v>
      </c>
      <c r="B46" s="66">
        <v>26.5883</v>
      </c>
      <c r="C46" s="66">
        <v>9.5258299999999991</v>
      </c>
      <c r="D46" s="66">
        <v>0.35827199999999998</v>
      </c>
      <c r="E46" s="66">
        <v>0</v>
      </c>
      <c r="F46" s="66">
        <v>5.4749600000000003</v>
      </c>
      <c r="G46" s="66">
        <v>0</v>
      </c>
      <c r="H46" s="66">
        <v>37.165300000000002</v>
      </c>
    </row>
    <row r="47" spans="1:8">
      <c r="A47" s="66" t="s">
        <v>399</v>
      </c>
      <c r="B47" s="66">
        <v>1.08084</v>
      </c>
      <c r="C47" s="66">
        <v>0.44362299999999999</v>
      </c>
      <c r="D47" s="66">
        <v>0.410443</v>
      </c>
      <c r="E47" s="66">
        <v>0</v>
      </c>
      <c r="F47" s="66">
        <v>0.53399300000000005</v>
      </c>
      <c r="G47" s="66">
        <v>0</v>
      </c>
      <c r="H47" s="66">
        <v>2.74884</v>
      </c>
    </row>
    <row r="48" spans="1:8">
      <c r="A48" s="66" t="s">
        <v>400</v>
      </c>
      <c r="B48" s="66">
        <v>1.1947099999999999</v>
      </c>
      <c r="C48" s="66">
        <v>0.35970999999999997</v>
      </c>
      <c r="D48" s="66">
        <v>0.30108499999999999</v>
      </c>
      <c r="E48" s="66">
        <v>0</v>
      </c>
      <c r="F48" s="66">
        <v>0.74551800000000001</v>
      </c>
      <c r="G48" s="66">
        <v>0</v>
      </c>
      <c r="H48" s="66">
        <v>1.9508399999999999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47.661299999999997</v>
      </c>
      <c r="C5" s="66">
        <v>5.2682000000000002</v>
      </c>
      <c r="D5" s="66">
        <v>11.0534</v>
      </c>
      <c r="E5" s="66">
        <v>20</v>
      </c>
      <c r="F5" s="66">
        <v>40.456499999999998</v>
      </c>
      <c r="G5" s="66">
        <v>50</v>
      </c>
      <c r="H5" s="66">
        <v>61.764000000000003</v>
      </c>
    </row>
    <row r="6" spans="1:8">
      <c r="A6" s="66" t="s">
        <v>358</v>
      </c>
      <c r="B6" s="66">
        <v>25.003299999999999</v>
      </c>
      <c r="C6" s="66">
        <v>2.4765700000000002</v>
      </c>
      <c r="D6" s="66">
        <v>9.9049800000000001</v>
      </c>
      <c r="E6" s="66">
        <v>20</v>
      </c>
      <c r="F6" s="66">
        <v>22.569800000000001</v>
      </c>
      <c r="G6" s="66">
        <v>40</v>
      </c>
      <c r="H6" s="66">
        <v>32.061199999999999</v>
      </c>
    </row>
    <row r="7" spans="1:8">
      <c r="A7" s="66" t="s">
        <v>359</v>
      </c>
      <c r="B7" s="66">
        <v>20.6145</v>
      </c>
      <c r="C7" s="66">
        <v>9.5854700000000008</v>
      </c>
      <c r="D7" s="66">
        <v>46.498600000000003</v>
      </c>
      <c r="E7" s="66">
        <v>15</v>
      </c>
      <c r="F7" s="66">
        <v>5.5175200000000002</v>
      </c>
      <c r="G7" s="66">
        <v>40</v>
      </c>
      <c r="H7" s="66">
        <v>41.047899999999998</v>
      </c>
    </row>
    <row r="8" spans="1:8">
      <c r="A8" s="66" t="s">
        <v>360</v>
      </c>
      <c r="B8" s="66">
        <v>32.413800000000002</v>
      </c>
      <c r="C8" s="66">
        <v>3.7222499999999998</v>
      </c>
      <c r="D8" s="66">
        <v>11.483499999999999</v>
      </c>
      <c r="E8" s="66">
        <v>20</v>
      </c>
      <c r="F8" s="66">
        <v>25.9815</v>
      </c>
      <c r="G8" s="66">
        <v>50</v>
      </c>
      <c r="H8" s="66">
        <v>39.384500000000003</v>
      </c>
    </row>
    <row r="9" spans="1:8">
      <c r="A9" s="66" t="s">
        <v>361</v>
      </c>
      <c r="B9" s="66">
        <v>61.548400000000001</v>
      </c>
      <c r="C9" s="66">
        <v>4.2648599999999997</v>
      </c>
      <c r="D9" s="66">
        <v>6.9292800000000003</v>
      </c>
      <c r="E9" s="66">
        <v>50</v>
      </c>
      <c r="F9" s="66">
        <v>48.8386</v>
      </c>
      <c r="G9" s="66">
        <v>100</v>
      </c>
      <c r="H9" s="66">
        <v>67.771500000000003</v>
      </c>
    </row>
    <row r="10" spans="1:8">
      <c r="A10" s="66" t="s">
        <v>362</v>
      </c>
      <c r="B10" s="66">
        <v>81.986699999999999</v>
      </c>
      <c r="C10" s="66">
        <v>2.2585899999999999</v>
      </c>
      <c r="D10" s="66">
        <v>2.7548300000000001</v>
      </c>
      <c r="E10" s="66">
        <v>40</v>
      </c>
      <c r="F10" s="66">
        <v>75.679400000000001</v>
      </c>
      <c r="G10" s="66">
        <v>100</v>
      </c>
      <c r="H10" s="66">
        <v>83.415999999999997</v>
      </c>
    </row>
    <row r="11" spans="1:8">
      <c r="A11" s="66" t="s">
        <v>363</v>
      </c>
      <c r="B11" s="66">
        <v>25.954000000000001</v>
      </c>
      <c r="C11" s="66">
        <v>3.2805900000000001</v>
      </c>
      <c r="D11" s="66">
        <v>12.64</v>
      </c>
      <c r="E11" s="66">
        <v>10</v>
      </c>
      <c r="F11" s="66">
        <v>21.912600000000001</v>
      </c>
      <c r="G11" s="66">
        <v>50</v>
      </c>
      <c r="H11" s="66">
        <v>33.0291</v>
      </c>
    </row>
    <row r="12" spans="1:8">
      <c r="A12" s="66" t="s">
        <v>364</v>
      </c>
      <c r="B12" s="66">
        <v>71.491799999999998</v>
      </c>
      <c r="C12" s="66">
        <v>2.7271700000000001</v>
      </c>
      <c r="D12" s="66">
        <v>3.81467</v>
      </c>
      <c r="E12" s="66">
        <v>50</v>
      </c>
      <c r="F12" s="66">
        <v>62.662199999999999</v>
      </c>
      <c r="G12" s="66">
        <v>100</v>
      </c>
      <c r="H12" s="66">
        <v>75.4709</v>
      </c>
    </row>
    <row r="13" spans="1:8">
      <c r="A13" s="66" t="s">
        <v>365</v>
      </c>
      <c r="B13" s="66">
        <v>23.604099999999999</v>
      </c>
      <c r="C13" s="66">
        <v>3.4306000000000001</v>
      </c>
      <c r="D13" s="66">
        <v>14.533899999999999</v>
      </c>
      <c r="E13" s="66">
        <v>10</v>
      </c>
      <c r="F13" s="66">
        <v>17.884699999999999</v>
      </c>
      <c r="G13" s="66">
        <v>25</v>
      </c>
      <c r="H13" s="66">
        <v>34.909700000000001</v>
      </c>
    </row>
    <row r="14" spans="1:8">
      <c r="A14" s="66" t="s">
        <v>366</v>
      </c>
      <c r="B14" s="66">
        <v>34.305999999999997</v>
      </c>
      <c r="C14" s="66">
        <v>11.4459</v>
      </c>
      <c r="D14" s="66">
        <v>33.364199999999997</v>
      </c>
      <c r="E14" s="66">
        <v>10</v>
      </c>
      <c r="F14" s="66">
        <v>3.8245900000000002</v>
      </c>
      <c r="G14" s="66">
        <v>50</v>
      </c>
      <c r="H14" s="66">
        <v>35.252600000000001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0.46796700000000002</v>
      </c>
      <c r="C18" s="66">
        <v>4.3534200000000002E-2</v>
      </c>
      <c r="D18" s="66">
        <v>9.3028299999999994E-2</v>
      </c>
      <c r="E18" s="66">
        <v>0</v>
      </c>
      <c r="F18" s="66">
        <v>0.42443199999999998</v>
      </c>
      <c r="G18" s="66">
        <v>0</v>
      </c>
      <c r="H18" s="66">
        <v>0.51150099999999998</v>
      </c>
    </row>
    <row r="19" spans="1:8">
      <c r="A19" s="66" t="s">
        <v>371</v>
      </c>
      <c r="B19" s="66">
        <v>0.52834000000000003</v>
      </c>
      <c r="C19" s="66">
        <v>3.8144200000000003E-2</v>
      </c>
      <c r="D19" s="66">
        <v>7.2196300000000005E-2</v>
      </c>
      <c r="E19" s="66">
        <v>0</v>
      </c>
      <c r="F19" s="66">
        <v>0.49019600000000002</v>
      </c>
      <c r="G19" s="66">
        <v>0</v>
      </c>
      <c r="H19" s="66">
        <v>0.56648500000000002</v>
      </c>
    </row>
    <row r="20" spans="1:8">
      <c r="A20" s="66" t="s">
        <v>372</v>
      </c>
      <c r="B20" s="66">
        <v>1.5947699999999999E-3</v>
      </c>
      <c r="C20" s="66">
        <v>4.9966400000000001E-2</v>
      </c>
      <c r="D20" s="66">
        <v>31.331499999999998</v>
      </c>
      <c r="E20" s="66">
        <v>0</v>
      </c>
      <c r="F20" s="66">
        <v>0</v>
      </c>
      <c r="G20" s="66">
        <v>0</v>
      </c>
      <c r="H20" s="66">
        <v>0.555087</v>
      </c>
    </row>
    <row r="21" spans="1:8">
      <c r="A21" s="66" t="s">
        <v>373</v>
      </c>
      <c r="B21" s="66">
        <v>0.144457</v>
      </c>
      <c r="C21" s="66">
        <v>0.56413199999999997</v>
      </c>
      <c r="D21" s="66">
        <v>3.9051800000000001</v>
      </c>
      <c r="E21" s="66">
        <v>0</v>
      </c>
      <c r="F21" s="66">
        <v>3.0981900000000002E-4</v>
      </c>
      <c r="G21" s="66">
        <v>0</v>
      </c>
      <c r="H21" s="66">
        <v>3.1640000000000001</v>
      </c>
    </row>
    <row r="22" spans="1:8">
      <c r="A22" s="66" t="s">
        <v>374</v>
      </c>
      <c r="B22" s="66">
        <v>45.1083</v>
      </c>
      <c r="C22" s="66">
        <v>16.595099999999999</v>
      </c>
      <c r="D22" s="66">
        <v>0.36789500000000003</v>
      </c>
      <c r="E22" s="66">
        <v>0</v>
      </c>
      <c r="F22" s="66">
        <v>30.572399999999998</v>
      </c>
      <c r="G22" s="66">
        <v>0</v>
      </c>
      <c r="H22" s="66">
        <v>98.330200000000005</v>
      </c>
    </row>
    <row r="23" spans="1:8">
      <c r="A23" s="66" t="s">
        <v>375</v>
      </c>
      <c r="B23" s="66">
        <v>23.484300000000001</v>
      </c>
      <c r="C23" s="66">
        <v>3.2169300000000001</v>
      </c>
      <c r="D23" s="66">
        <v>0.13698199999999999</v>
      </c>
      <c r="E23" s="66">
        <v>0</v>
      </c>
      <c r="F23" s="66">
        <v>18.349900000000002</v>
      </c>
      <c r="G23" s="66">
        <v>0</v>
      </c>
      <c r="H23" s="66">
        <v>26.823</v>
      </c>
    </row>
    <row r="24" spans="1:8">
      <c r="A24" s="66" t="s">
        <v>376</v>
      </c>
      <c r="B24" s="66">
        <v>3.10487E-3</v>
      </c>
      <c r="C24" s="66">
        <v>3.86489E-2</v>
      </c>
      <c r="D24" s="66">
        <v>12.447900000000001</v>
      </c>
      <c r="E24" s="66">
        <v>0</v>
      </c>
      <c r="F24" s="196">
        <v>6.6528399999999998E-5</v>
      </c>
      <c r="G24" s="66">
        <v>0</v>
      </c>
      <c r="H24" s="66">
        <v>0.307174</v>
      </c>
    </row>
    <row r="25" spans="1:8">
      <c r="A25" s="66" t="s">
        <v>377</v>
      </c>
      <c r="B25" s="66">
        <v>0.16022500000000001</v>
      </c>
      <c r="C25" s="66">
        <v>0.41334199999999999</v>
      </c>
      <c r="D25" s="66">
        <v>2.5797599999999998</v>
      </c>
      <c r="E25" s="66">
        <v>0</v>
      </c>
      <c r="F25" s="66">
        <v>4.5005400000000001E-2</v>
      </c>
      <c r="G25" s="66">
        <v>0</v>
      </c>
      <c r="H25" s="66">
        <v>1.64588</v>
      </c>
    </row>
    <row r="26" spans="1:8">
      <c r="A26" s="66" t="s">
        <v>378</v>
      </c>
      <c r="B26" s="66">
        <v>4.9894999999999996E-4</v>
      </c>
      <c r="C26" s="66">
        <v>5.4714799999999999E-3</v>
      </c>
      <c r="D26" s="66">
        <v>10.965999999999999</v>
      </c>
      <c r="E26" s="66">
        <v>0</v>
      </c>
      <c r="F26" s="66">
        <v>0</v>
      </c>
      <c r="G26" s="66">
        <v>0</v>
      </c>
      <c r="H26" s="66">
        <v>5.2054900000000001E-2</v>
      </c>
    </row>
    <row r="27" spans="1:8">
      <c r="A27" s="66" t="s">
        <v>379</v>
      </c>
      <c r="B27" s="196">
        <v>-6.5651299999999996E-6</v>
      </c>
      <c r="C27" s="66">
        <v>2.12181E-3</v>
      </c>
      <c r="D27" s="66">
        <v>-323.19299999999998</v>
      </c>
      <c r="E27" s="66">
        <v>0</v>
      </c>
      <c r="F27" s="66">
        <v>-2.4320499999999998E-2</v>
      </c>
      <c r="G27" s="66">
        <v>0</v>
      </c>
      <c r="H27" s="66">
        <v>1.95345E-2</v>
      </c>
    </row>
    <row r="28" spans="1:8">
      <c r="A28" s="66" t="s">
        <v>380</v>
      </c>
      <c r="B28" s="66">
        <v>1.8100600000000001E-2</v>
      </c>
      <c r="C28" s="66">
        <v>3.3686899999999999E-2</v>
      </c>
      <c r="D28" s="66">
        <v>1.8610899999999999</v>
      </c>
      <c r="E28" s="66">
        <v>0</v>
      </c>
      <c r="F28" s="66">
        <v>1.0416699999999999E-4</v>
      </c>
      <c r="G28" s="66">
        <v>0</v>
      </c>
      <c r="H28" s="66">
        <v>0.16922499999999999</v>
      </c>
    </row>
    <row r="29" spans="1:8">
      <c r="A29" s="66" t="s">
        <v>381</v>
      </c>
      <c r="B29" s="66">
        <v>77.740300000000005</v>
      </c>
      <c r="C29" s="66">
        <v>8.1159199999999991</v>
      </c>
      <c r="D29" s="66">
        <v>0.104398</v>
      </c>
      <c r="E29" s="66">
        <v>0</v>
      </c>
      <c r="F29" s="66">
        <v>59.288899999999998</v>
      </c>
      <c r="G29" s="66">
        <v>0</v>
      </c>
      <c r="H29" s="66">
        <v>103.413</v>
      </c>
    </row>
    <row r="30" spans="1:8">
      <c r="A30" s="66" t="s">
        <v>382</v>
      </c>
      <c r="B30" s="66">
        <v>27.046099999999999</v>
      </c>
      <c r="C30" s="66">
        <v>2.6398299999999999</v>
      </c>
      <c r="D30" s="66">
        <v>9.7604899999999994E-2</v>
      </c>
      <c r="E30" s="66">
        <v>0</v>
      </c>
      <c r="F30" s="66">
        <v>22.9588</v>
      </c>
      <c r="G30" s="66">
        <v>0</v>
      </c>
      <c r="H30" s="66">
        <v>30.826000000000001</v>
      </c>
    </row>
    <row r="31" spans="1:8">
      <c r="A31" s="66" t="s">
        <v>383</v>
      </c>
      <c r="B31" s="66">
        <v>172.31100000000001</v>
      </c>
      <c r="C31" s="66">
        <v>14.696199999999999</v>
      </c>
      <c r="D31" s="66">
        <v>8.5289000000000004E-2</v>
      </c>
      <c r="E31" s="66">
        <v>0</v>
      </c>
      <c r="F31" s="66">
        <v>142.48400000000001</v>
      </c>
      <c r="G31" s="66">
        <v>0</v>
      </c>
      <c r="H31" s="66">
        <v>193.959</v>
      </c>
    </row>
    <row r="32" spans="1:8">
      <c r="A32" s="66" t="s">
        <v>384</v>
      </c>
      <c r="B32" s="66">
        <v>0.20614499999999999</v>
      </c>
      <c r="C32" s="66">
        <v>9.5854700000000001E-2</v>
      </c>
      <c r="D32" s="66">
        <v>0.46498600000000001</v>
      </c>
      <c r="E32" s="66">
        <v>0.15</v>
      </c>
      <c r="F32" s="66">
        <v>5.5175200000000001E-2</v>
      </c>
      <c r="G32" s="66">
        <v>0.4</v>
      </c>
      <c r="H32" s="66">
        <v>0.41047899999999998</v>
      </c>
    </row>
    <row r="33" spans="1:8">
      <c r="A33" s="66" t="s">
        <v>385</v>
      </c>
      <c r="B33" s="66">
        <v>0.42009999999999997</v>
      </c>
      <c r="C33" s="66">
        <v>1.01137E-2</v>
      </c>
      <c r="D33" s="66">
        <v>2.4074600000000002E-2</v>
      </c>
      <c r="E33" s="66">
        <v>0</v>
      </c>
      <c r="F33" s="66">
        <v>0.38957599999999998</v>
      </c>
      <c r="G33" s="66">
        <v>0</v>
      </c>
      <c r="H33" s="66">
        <v>0.44991500000000001</v>
      </c>
    </row>
    <row r="34" spans="1:8">
      <c r="A34" s="66" t="s">
        <v>386</v>
      </c>
      <c r="B34" s="66">
        <v>0.236041</v>
      </c>
      <c r="C34" s="66">
        <v>3.4306000000000003E-2</v>
      </c>
      <c r="D34" s="66">
        <v>0.145339</v>
      </c>
      <c r="E34" s="66">
        <v>0.1</v>
      </c>
      <c r="F34" s="66">
        <v>0.17884700000000001</v>
      </c>
      <c r="G34" s="66">
        <v>0.25</v>
      </c>
      <c r="H34" s="66">
        <v>0.34909699999999999</v>
      </c>
    </row>
    <row r="35" spans="1:8">
      <c r="A35" s="66" t="s">
        <v>387</v>
      </c>
      <c r="B35" s="66">
        <v>9.0001899999999996E-2</v>
      </c>
      <c r="C35" s="66">
        <v>2.1008599999999999E-2</v>
      </c>
      <c r="D35" s="66">
        <v>0.23342399999999999</v>
      </c>
      <c r="E35" s="66">
        <v>0</v>
      </c>
      <c r="F35" s="66">
        <v>3.9159899999999997E-2</v>
      </c>
      <c r="G35" s="66">
        <v>0</v>
      </c>
      <c r="H35" s="66">
        <v>0.134961</v>
      </c>
    </row>
    <row r="36" spans="1:8">
      <c r="A36" s="66" t="s">
        <v>388</v>
      </c>
      <c r="B36" s="66">
        <v>0.23505599999999999</v>
      </c>
      <c r="C36" s="66">
        <v>9.9819500000000005E-2</v>
      </c>
      <c r="D36" s="66">
        <v>0.42466300000000001</v>
      </c>
      <c r="E36" s="66">
        <v>0</v>
      </c>
      <c r="F36" s="66">
        <v>4.4300600000000002E-2</v>
      </c>
      <c r="G36" s="66">
        <v>0</v>
      </c>
      <c r="H36" s="66">
        <v>0.51378299999999999</v>
      </c>
    </row>
    <row r="37" spans="1:8">
      <c r="A37" s="66" t="s">
        <v>389</v>
      </c>
      <c r="B37" s="66">
        <v>0.34305999999999998</v>
      </c>
      <c r="C37" s="66">
        <v>0.11445900000000001</v>
      </c>
      <c r="D37" s="66">
        <v>0.33364199999999999</v>
      </c>
      <c r="E37" s="66">
        <v>0.1</v>
      </c>
      <c r="F37" s="66">
        <v>3.8245899999999999E-2</v>
      </c>
      <c r="G37" s="66">
        <v>0.5</v>
      </c>
      <c r="H37" s="66">
        <v>0.35252600000000001</v>
      </c>
    </row>
    <row r="38" spans="1:8">
      <c r="A38" s="66" t="s">
        <v>390</v>
      </c>
      <c r="B38" s="66">
        <v>-10.009600000000001</v>
      </c>
      <c r="C38" s="66">
        <v>33.15</v>
      </c>
      <c r="D38" s="66">
        <v>-3.3118099999999999</v>
      </c>
      <c r="E38" s="66">
        <v>0</v>
      </c>
      <c r="F38" s="66">
        <v>-78.193299999999994</v>
      </c>
      <c r="G38" s="66">
        <v>0</v>
      </c>
      <c r="H38" s="66">
        <v>99.417599999999993</v>
      </c>
    </row>
    <row r="39" spans="1:8">
      <c r="A39" s="66" t="s">
        <v>391</v>
      </c>
      <c r="B39" s="66">
        <v>-4.8900100000000002</v>
      </c>
      <c r="C39" s="66">
        <v>4.8627099999999999</v>
      </c>
      <c r="D39" s="66">
        <v>-0.994417</v>
      </c>
      <c r="E39" s="66">
        <v>0</v>
      </c>
      <c r="F39" s="66">
        <v>-19.9209</v>
      </c>
      <c r="G39" s="66">
        <v>0</v>
      </c>
      <c r="H39" s="66">
        <v>2.6532399999999998</v>
      </c>
    </row>
    <row r="40" spans="1:8">
      <c r="A40" s="66" t="s">
        <v>392</v>
      </c>
      <c r="B40" s="66">
        <v>-2.5101</v>
      </c>
      <c r="C40" s="66">
        <v>0.70417200000000002</v>
      </c>
      <c r="D40" s="66">
        <v>-0.28053600000000001</v>
      </c>
      <c r="E40" s="66">
        <v>0</v>
      </c>
      <c r="F40" s="66">
        <v>-3.92889</v>
      </c>
      <c r="G40" s="66">
        <v>0</v>
      </c>
      <c r="H40" s="66">
        <v>-0.42474699999999999</v>
      </c>
    </row>
    <row r="41" spans="1:8">
      <c r="A41" s="66" t="s">
        <v>393</v>
      </c>
      <c r="B41" s="66">
        <v>-6.8054799999999999E-2</v>
      </c>
      <c r="C41" s="66">
        <v>0.25742300000000001</v>
      </c>
      <c r="D41" s="66">
        <v>-3.7825799999999998</v>
      </c>
      <c r="E41" s="66">
        <v>0</v>
      </c>
      <c r="F41" s="66">
        <v>-0.72413799999999995</v>
      </c>
      <c r="G41" s="66">
        <v>0</v>
      </c>
      <c r="H41" s="66">
        <v>1</v>
      </c>
    </row>
    <row r="42" spans="1:8">
      <c r="A42" s="66" t="s">
        <v>394</v>
      </c>
      <c r="B42" s="66">
        <v>-9.8245799999999994E-2</v>
      </c>
      <c r="C42" s="66">
        <v>6.8062700000000004E-2</v>
      </c>
      <c r="D42" s="66">
        <v>-0.69277999999999995</v>
      </c>
      <c r="E42" s="66">
        <v>0</v>
      </c>
      <c r="F42" s="66">
        <v>-0.276528</v>
      </c>
      <c r="G42" s="66">
        <v>0</v>
      </c>
      <c r="H42" s="66">
        <v>5.9683300000000002E-2</v>
      </c>
    </row>
    <row r="43" spans="1:8">
      <c r="A43" s="66" t="s">
        <v>395</v>
      </c>
      <c r="B43" s="66">
        <v>-4.3330899999999999E-2</v>
      </c>
      <c r="C43" s="66">
        <v>6.1727299999999999E-2</v>
      </c>
      <c r="D43" s="66">
        <v>-1.42456</v>
      </c>
      <c r="E43" s="66">
        <v>0</v>
      </c>
      <c r="F43" s="66">
        <v>-0.218525</v>
      </c>
      <c r="G43" s="66">
        <v>0</v>
      </c>
      <c r="H43" s="66">
        <v>-9.4831299999999993E-3</v>
      </c>
    </row>
    <row r="44" spans="1:8">
      <c r="A44" s="66" t="s">
        <v>396</v>
      </c>
      <c r="B44" s="66">
        <v>-11.5067</v>
      </c>
      <c r="C44" s="66">
        <v>9.1328200000000006</v>
      </c>
      <c r="D44" s="66">
        <v>-0.79369500000000004</v>
      </c>
      <c r="E44" s="66">
        <v>0</v>
      </c>
      <c r="F44" s="66">
        <v>-35.081400000000002</v>
      </c>
      <c r="G44" s="66">
        <v>0</v>
      </c>
      <c r="H44" s="66">
        <v>8.4762900000000005</v>
      </c>
    </row>
    <row r="45" spans="1:8">
      <c r="A45" s="66" t="s">
        <v>397</v>
      </c>
      <c r="B45" s="66">
        <v>50.840600000000002</v>
      </c>
      <c r="C45" s="66">
        <v>10.440200000000001</v>
      </c>
      <c r="D45" s="66">
        <v>0.20535100000000001</v>
      </c>
      <c r="E45" s="66">
        <v>0</v>
      </c>
      <c r="F45" s="66">
        <v>32.6083</v>
      </c>
      <c r="G45" s="66">
        <v>0</v>
      </c>
      <c r="H45" s="66">
        <v>77.597800000000007</v>
      </c>
    </row>
    <row r="46" spans="1:8">
      <c r="A46" s="66" t="s">
        <v>398</v>
      </c>
      <c r="B46" s="66">
        <v>34.2973</v>
      </c>
      <c r="C46" s="66">
        <v>3.5969899999999999</v>
      </c>
      <c r="D46" s="66">
        <v>0.104877</v>
      </c>
      <c r="E46" s="66">
        <v>0</v>
      </c>
      <c r="F46" s="66">
        <v>28.442699999999999</v>
      </c>
      <c r="G46" s="66">
        <v>0</v>
      </c>
      <c r="H46" s="66">
        <v>42.089700000000001</v>
      </c>
    </row>
    <row r="47" spans="1:8">
      <c r="A47" s="66" t="s">
        <v>399</v>
      </c>
      <c r="B47" s="66">
        <v>1.2524500000000001</v>
      </c>
      <c r="C47" s="66">
        <v>1.18981</v>
      </c>
      <c r="D47" s="66">
        <v>0.94998400000000005</v>
      </c>
      <c r="E47" s="66">
        <v>0</v>
      </c>
      <c r="F47" s="66">
        <v>0.64018299999999995</v>
      </c>
      <c r="G47" s="66">
        <v>0</v>
      </c>
      <c r="H47" s="66">
        <v>7.5360899999999997</v>
      </c>
    </row>
    <row r="48" spans="1:8">
      <c r="A48" s="66" t="s">
        <v>400</v>
      </c>
      <c r="B48" s="66">
        <v>0.90783800000000003</v>
      </c>
      <c r="C48" s="66">
        <v>0.243089</v>
      </c>
      <c r="D48" s="66">
        <v>0.26776699999999998</v>
      </c>
      <c r="E48" s="66">
        <v>0</v>
      </c>
      <c r="F48" s="66">
        <v>0.73880400000000002</v>
      </c>
      <c r="G48" s="66">
        <v>0</v>
      </c>
      <c r="H48" s="66">
        <v>1.5544800000000001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95.008413231172128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1.8343740070058239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0.69988433967818309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343</v>
      </c>
      <c r="B8" s="66">
        <v>343</v>
      </c>
      <c r="D8">
        <f t="shared" si="0"/>
        <v>1.7585595192928848E-3</v>
      </c>
      <c r="E8">
        <f t="shared" si="0"/>
        <v>1.7585595192928848E-3</v>
      </c>
      <c r="G8">
        <f t="shared" ca="1" si="1"/>
        <v>6</v>
      </c>
      <c r="H8">
        <f t="shared" ca="1" si="2"/>
        <v>1.0551357115757309E-2</v>
      </c>
      <c r="I8">
        <f t="shared" ca="1" si="3"/>
        <v>13.932183616656411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1592</v>
      </c>
      <c r="B10" s="66">
        <v>1592</v>
      </c>
      <c r="D10">
        <f t="shared" si="0"/>
        <v>8.1621771274468582E-3</v>
      </c>
      <c r="E10">
        <f t="shared" si="0"/>
        <v>8.1621771274468582E-3</v>
      </c>
      <c r="G10">
        <f t="shared" ca="1" si="1"/>
        <v>8</v>
      </c>
      <c r="H10">
        <f t="shared" ca="1" si="2"/>
        <v>6.5297417019574866E-2</v>
      </c>
      <c r="I10">
        <f t="shared" ca="1" si="3"/>
        <v>61.791467884633384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2902</v>
      </c>
      <c r="B13" s="66">
        <v>2902</v>
      </c>
      <c r="D13">
        <f t="shared" si="0"/>
        <v>1.4878541472268081E-2</v>
      </c>
      <c r="E13">
        <f t="shared" si="0"/>
        <v>1.4878541472268081E-2</v>
      </c>
      <c r="G13">
        <f t="shared" ca="1" si="1"/>
        <v>11</v>
      </c>
      <c r="H13">
        <f t="shared" ca="1" si="2"/>
        <v>0.16366395619494889</v>
      </c>
      <c r="I13">
        <f t="shared" ca="1" si="3"/>
        <v>105.00401935176025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2976</v>
      </c>
      <c r="B15" s="66">
        <v>2976</v>
      </c>
      <c r="D15">
        <f t="shared" si="0"/>
        <v>1.5257939152815233E-2</v>
      </c>
      <c r="E15">
        <f t="shared" si="0"/>
        <v>1.5257939152815233E-2</v>
      </c>
      <c r="G15">
        <f t="shared" ca="1" si="1"/>
        <v>13</v>
      </c>
      <c r="H15">
        <f t="shared" ca="1" si="2"/>
        <v>0.19835320898659803</v>
      </c>
      <c r="I15">
        <f t="shared" ca="1" si="3"/>
        <v>102.61543638888975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6429</v>
      </c>
      <c r="B18" s="66">
        <v>6429</v>
      </c>
      <c r="D18">
        <f t="shared" si="0"/>
        <v>3.2961455246454684E-2</v>
      </c>
      <c r="E18">
        <f t="shared" si="0"/>
        <v>3.2961455246454684E-2</v>
      </c>
      <c r="G18">
        <f t="shared" ca="1" si="1"/>
        <v>16</v>
      </c>
      <c r="H18">
        <f t="shared" ca="1" si="2"/>
        <v>0.52738328394327494</v>
      </c>
      <c r="I18">
        <f t="shared" ca="1" si="3"/>
        <v>205.75625987637233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8481</v>
      </c>
      <c r="B21" s="66">
        <v>8481</v>
      </c>
      <c r="D21">
        <f t="shared" si="0"/>
        <v>4.348205038811357E-2</v>
      </c>
      <c r="E21">
        <f t="shared" si="0"/>
        <v>4.348205038811357E-2</v>
      </c>
      <c r="G21">
        <f t="shared" ca="1" si="1"/>
        <v>19</v>
      </c>
      <c r="H21">
        <f t="shared" ca="1" si="2"/>
        <v>0.82615895737415779</v>
      </c>
      <c r="I21">
        <f t="shared" ca="1" si="3"/>
        <v>251.20793144985694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14197</v>
      </c>
      <c r="B23" s="66">
        <v>14197</v>
      </c>
      <c r="D23">
        <f t="shared" si="0"/>
        <v>7.2787957712539611E-2</v>
      </c>
      <c r="E23">
        <f t="shared" si="0"/>
        <v>7.2787957712539611E-2</v>
      </c>
      <c r="G23">
        <f t="shared" ca="1" si="1"/>
        <v>21</v>
      </c>
      <c r="H23">
        <f t="shared" ca="1" si="2"/>
        <v>1.5285471119633318</v>
      </c>
      <c r="I23">
        <f t="shared" ca="1" si="3"/>
        <v>398.67749410936534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21240</v>
      </c>
      <c r="B26" s="66">
        <v>21240</v>
      </c>
      <c r="D26">
        <f t="shared" si="0"/>
        <v>0.10889738830839904</v>
      </c>
      <c r="E26">
        <f t="shared" si="0"/>
        <v>0.10889738830839904</v>
      </c>
      <c r="G26">
        <f t="shared" ca="1" si="1"/>
        <v>24</v>
      </c>
      <c r="H26">
        <f t="shared" ca="1" si="2"/>
        <v>2.6135373194015772</v>
      </c>
      <c r="I26">
        <f t="shared" ca="1" si="3"/>
        <v>549.08183957473136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29872</v>
      </c>
      <c r="B28" s="66">
        <v>29872</v>
      </c>
      <c r="D28">
        <f t="shared" si="0"/>
        <v>0.15315361504465613</v>
      </c>
      <c r="E28">
        <f t="shared" si="0"/>
        <v>0.15315361504465613</v>
      </c>
      <c r="G28">
        <f t="shared" ca="1" si="1"/>
        <v>26</v>
      </c>
      <c r="H28">
        <f t="shared" ca="1" si="2"/>
        <v>3.9819939911610596</v>
      </c>
      <c r="I28">
        <f t="shared" ca="1" si="3"/>
        <v>729.34218738221136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36568</v>
      </c>
      <c r="B31" s="66">
        <v>36568</v>
      </c>
      <c r="D31">
        <f t="shared" si="0"/>
        <v>0.18748397813849041</v>
      </c>
      <c r="E31">
        <f t="shared" si="0"/>
        <v>0.18748397813849041</v>
      </c>
      <c r="G31">
        <f t="shared" ca="1" si="1"/>
        <v>29</v>
      </c>
      <c r="H31">
        <f t="shared" ca="1" si="2"/>
        <v>5.4370353660162216</v>
      </c>
      <c r="I31">
        <f t="shared" ca="1" si="3"/>
        <v>816.88843172032887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46565</v>
      </c>
      <c r="B33" s="66">
        <v>46565</v>
      </c>
      <c r="D33">
        <f t="shared" si="0"/>
        <v>0.23873855398213756</v>
      </c>
      <c r="E33">
        <f t="shared" si="0"/>
        <v>0.23873855398213756</v>
      </c>
      <c r="G33">
        <f t="shared" ca="1" si="1"/>
        <v>31</v>
      </c>
      <c r="H33">
        <f t="shared" ca="1" si="2"/>
        <v>7.4008951734462647</v>
      </c>
      <c r="I33">
        <f t="shared" ca="1" si="3"/>
        <v>978.13023002781415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51179</v>
      </c>
      <c r="B36" s="66">
        <v>51179</v>
      </c>
      <c r="D36">
        <f t="shared" si="0"/>
        <v>0.26239451206382086</v>
      </c>
      <c r="E36">
        <f t="shared" si="0"/>
        <v>0.26239451206382086</v>
      </c>
      <c r="G36">
        <f t="shared" ca="1" si="1"/>
        <v>34</v>
      </c>
      <c r="H36">
        <f t="shared" ca="1" si="2"/>
        <v>8.9214134101699099</v>
      </c>
      <c r="I36">
        <f t="shared" ca="1" si="3"/>
        <v>976.63932341637758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59006</v>
      </c>
      <c r="B39" s="66">
        <v>59006</v>
      </c>
      <c r="D39">
        <f t="shared" si="0"/>
        <v>0.30252350727520688</v>
      </c>
      <c r="E39">
        <f t="shared" si="0"/>
        <v>0.30252350727520688</v>
      </c>
      <c r="G39">
        <f t="shared" ca="1" si="1"/>
        <v>37</v>
      </c>
      <c r="H39">
        <f t="shared" ca="1" si="2"/>
        <v>11.193369769182654</v>
      </c>
      <c r="I39">
        <f t="shared" ca="1" si="3"/>
        <v>1017.9843431105519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65314</v>
      </c>
      <c r="B41" s="66">
        <v>65314</v>
      </c>
      <c r="D41">
        <f t="shared" si="0"/>
        <v>0.33486459604401014</v>
      </c>
      <c r="E41">
        <f t="shared" si="0"/>
        <v>0.33486459604401014</v>
      </c>
      <c r="G41">
        <f t="shared" ca="1" si="1"/>
        <v>39</v>
      </c>
      <c r="H41">
        <f t="shared" ca="1" si="2"/>
        <v>13.059719245716396</v>
      </c>
      <c r="I41">
        <f t="shared" ca="1" si="3"/>
        <v>1050.4509337414377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76636</v>
      </c>
      <c r="B44" s="66">
        <v>76636</v>
      </c>
      <c r="D44">
        <f t="shared" si="0"/>
        <v>0.39291244116772456</v>
      </c>
      <c r="E44">
        <f t="shared" si="0"/>
        <v>0.39291244116772456</v>
      </c>
      <c r="G44">
        <f t="shared" ca="1" si="1"/>
        <v>42</v>
      </c>
      <c r="H44">
        <f t="shared" ca="1" si="2"/>
        <v>16.502322529044431</v>
      </c>
      <c r="I44">
        <f t="shared" ca="1" si="3"/>
        <v>1104.0414753504294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94364</v>
      </c>
      <c r="B46" s="66">
        <v>94364</v>
      </c>
      <c r="D46">
        <f t="shared" si="0"/>
        <v>0.48380382063718302</v>
      </c>
      <c r="E46">
        <f t="shared" si="0"/>
        <v>0.48380382063718302</v>
      </c>
      <c r="G46">
        <f t="shared" ca="1" si="1"/>
        <v>44</v>
      </c>
      <c r="H46">
        <f t="shared" ca="1" si="2"/>
        <v>21.287368108036052</v>
      </c>
      <c r="I46">
        <f t="shared" ca="1" si="3"/>
        <v>1258.7889477674048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100766</v>
      </c>
      <c r="B49" s="66">
        <v>100766</v>
      </c>
      <c r="D49">
        <f t="shared" si="0"/>
        <v>0.51662684700019479</v>
      </c>
      <c r="E49">
        <f t="shared" si="0"/>
        <v>0.51662684700019479</v>
      </c>
      <c r="G49">
        <f t="shared" ca="1" si="1"/>
        <v>47</v>
      </c>
      <c r="H49">
        <f t="shared" ca="1" si="2"/>
        <v>24.281461809009155</v>
      </c>
      <c r="I49">
        <f t="shared" ca="1" si="3"/>
        <v>1190.725556161547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114851</v>
      </c>
      <c r="B51" s="66">
        <v>114851</v>
      </c>
      <c r="D51">
        <f t="shared" si="0"/>
        <v>0.58884058119623062</v>
      </c>
      <c r="E51">
        <f t="shared" si="0"/>
        <v>0.58884058119623062</v>
      </c>
      <c r="G51">
        <f t="shared" ca="1" si="1"/>
        <v>49</v>
      </c>
      <c r="H51">
        <f t="shared" ca="1" si="2"/>
        <v>28.853188478615301</v>
      </c>
      <c r="I51">
        <f t="shared" ca="1" si="3"/>
        <v>1246.4424842686567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109816</v>
      </c>
      <c r="B54" s="66">
        <v>109816</v>
      </c>
      <c r="D54">
        <f t="shared" si="0"/>
        <v>0.56302615793197497</v>
      </c>
      <c r="E54">
        <f t="shared" si="0"/>
        <v>0.56302615793197497</v>
      </c>
      <c r="G54">
        <f t="shared" ca="1" si="1"/>
        <v>52</v>
      </c>
      <c r="H54">
        <f t="shared" ca="1" si="2"/>
        <v>29.2773602124627</v>
      </c>
      <c r="I54">
        <f t="shared" ca="1" si="3"/>
        <v>1041.4427766217443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127664</v>
      </c>
      <c r="B57" s="66">
        <v>127664</v>
      </c>
      <c r="D57">
        <f t="shared" si="0"/>
        <v>0.65453277688340183</v>
      </c>
      <c r="E57">
        <f t="shared" si="0"/>
        <v>0.65453277688340183</v>
      </c>
      <c r="G57">
        <f t="shared" ca="1" si="1"/>
        <v>55</v>
      </c>
      <c r="H57">
        <f t="shared" ca="1" si="2"/>
        <v>35.999302728587104</v>
      </c>
      <c r="I57">
        <f t="shared" ca="1" si="3"/>
        <v>1047.6930281878147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141673</v>
      </c>
      <c r="B59" s="66">
        <v>141673</v>
      </c>
      <c r="D59">
        <f t="shared" si="0"/>
        <v>0.72635685940752437</v>
      </c>
      <c r="E59">
        <f t="shared" si="0"/>
        <v>0.72635685940752437</v>
      </c>
      <c r="G59">
        <f t="shared" ca="1" si="1"/>
        <v>57</v>
      </c>
      <c r="H59">
        <f t="shared" ca="1" si="2"/>
        <v>41.402340986228886</v>
      </c>
      <c r="I59">
        <f t="shared" ca="1" si="3"/>
        <v>1049.3237930188354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142958</v>
      </c>
      <c r="B62" s="66">
        <v>142958</v>
      </c>
      <c r="D62">
        <f t="shared" si="0"/>
        <v>0.7329450488602689</v>
      </c>
      <c r="E62">
        <f t="shared" si="0"/>
        <v>0.7329450488602689</v>
      </c>
      <c r="G62">
        <f t="shared" ca="1" si="1"/>
        <v>60</v>
      </c>
      <c r="H62">
        <f t="shared" ca="1" si="2"/>
        <v>43.976702931616131</v>
      </c>
      <c r="I62">
        <f t="shared" ca="1" si="3"/>
        <v>898.28938726275908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140680</v>
      </c>
      <c r="B64" s="66">
        <v>140680</v>
      </c>
      <c r="D64">
        <f t="shared" si="0"/>
        <v>0.72126575269423621</v>
      </c>
      <c r="E64">
        <f t="shared" si="0"/>
        <v>0.72126575269423621</v>
      </c>
      <c r="G64">
        <f t="shared" ca="1" si="1"/>
        <v>62</v>
      </c>
      <c r="H64">
        <f t="shared" ca="1" si="2"/>
        <v>44.718476667042644</v>
      </c>
      <c r="I64">
        <f t="shared" ca="1" si="3"/>
        <v>785.85895532090763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146466</v>
      </c>
      <c r="B67" s="66">
        <v>146466</v>
      </c>
      <c r="D67">
        <f t="shared" ref="D67:E130" si="4">IFERROR( A67/MAX(A$2:A$257), 0 )</f>
        <v>0.7509305497164771</v>
      </c>
      <c r="E67">
        <f t="shared" si="4"/>
        <v>0.7509305497164771</v>
      </c>
      <c r="G67">
        <f t="shared" ref="G67:G130" ca="1" si="5">CELL("row",D67)-2</f>
        <v>65</v>
      </c>
      <c r="H67">
        <f t="shared" ref="H67:H130" ca="1" si="6">D67*G67</f>
        <v>48.810485731571013</v>
      </c>
      <c r="I67">
        <f t="shared" ref="I67:I130" ca="1" si="7">D67*((G67-$L$1)^2)</f>
        <v>676.21661303607868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150345</v>
      </c>
      <c r="B69" s="66">
        <v>150345</v>
      </c>
      <c r="D69">
        <f t="shared" si="4"/>
        <v>0.77081816597110431</v>
      </c>
      <c r="E69">
        <f t="shared" si="4"/>
        <v>0.77081816597110431</v>
      </c>
      <c r="G69">
        <f t="shared" ca="1" si="5"/>
        <v>67</v>
      </c>
      <c r="H69">
        <f t="shared" ca="1" si="6"/>
        <v>51.644817120063991</v>
      </c>
      <c r="I69">
        <f t="shared" ca="1" si="7"/>
        <v>604.6846606813823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142659</v>
      </c>
      <c r="B72" s="66">
        <v>142659</v>
      </c>
      <c r="D72">
        <f t="shared" si="4"/>
        <v>0.73141207715103107</v>
      </c>
      <c r="E72">
        <f t="shared" si="4"/>
        <v>0.73141207715103107</v>
      </c>
      <c r="G72">
        <f t="shared" ca="1" si="5"/>
        <v>70</v>
      </c>
      <c r="H72">
        <f t="shared" ca="1" si="6"/>
        <v>51.198845400572175</v>
      </c>
      <c r="I72">
        <f t="shared" ca="1" si="7"/>
        <v>457.44027693489744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147420</v>
      </c>
      <c r="B75" s="66">
        <v>147420</v>
      </c>
      <c r="D75">
        <f t="shared" si="4"/>
        <v>0.75582170359812562</v>
      </c>
      <c r="E75">
        <f t="shared" si="4"/>
        <v>0.75582170359812562</v>
      </c>
      <c r="G75">
        <f t="shared" ca="1" si="5"/>
        <v>73</v>
      </c>
      <c r="H75">
        <f t="shared" ca="1" si="6"/>
        <v>55.174984362663167</v>
      </c>
      <c r="I75">
        <f t="shared" ca="1" si="7"/>
        <v>366.0975497599718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145638</v>
      </c>
      <c r="B77" s="66">
        <v>145638</v>
      </c>
      <c r="D77">
        <f t="shared" si="4"/>
        <v>0.74668539729089545</v>
      </c>
      <c r="E77">
        <f t="shared" si="4"/>
        <v>0.74668539729089545</v>
      </c>
      <c r="G77">
        <f t="shared" ca="1" si="5"/>
        <v>75</v>
      </c>
      <c r="H77">
        <f t="shared" ca="1" si="6"/>
        <v>56.001404796817155</v>
      </c>
      <c r="I77">
        <f t="shared" ca="1" si="7"/>
        <v>298.92549324299694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154080</v>
      </c>
      <c r="B80" s="66">
        <v>154080</v>
      </c>
      <c r="D80">
        <f t="shared" si="4"/>
        <v>0.78996749484736939</v>
      </c>
      <c r="E80">
        <f t="shared" si="4"/>
        <v>0.78996749484736939</v>
      </c>
      <c r="G80">
        <f t="shared" ca="1" si="5"/>
        <v>78</v>
      </c>
      <c r="H80">
        <f t="shared" ca="1" si="6"/>
        <v>61.617464598094813</v>
      </c>
      <c r="I80">
        <f t="shared" ca="1" si="7"/>
        <v>228.52663201792038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160575</v>
      </c>
      <c r="B82" s="66">
        <v>160575</v>
      </c>
      <c r="D82">
        <f t="shared" si="4"/>
        <v>0.82326733180890665</v>
      </c>
      <c r="E82">
        <f t="shared" si="4"/>
        <v>0.82326733180890665</v>
      </c>
      <c r="G82">
        <f t="shared" ca="1" si="5"/>
        <v>80</v>
      </c>
      <c r="H82">
        <f t="shared" ca="1" si="6"/>
        <v>65.861386544712531</v>
      </c>
      <c r="I82">
        <f t="shared" ca="1" si="7"/>
        <v>185.44299808125902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162139</v>
      </c>
      <c r="B85" s="66">
        <v>162139</v>
      </c>
      <c r="D85">
        <f t="shared" si="4"/>
        <v>0.83128595305722752</v>
      </c>
      <c r="E85">
        <f t="shared" si="4"/>
        <v>0.83128595305722752</v>
      </c>
      <c r="G85">
        <f t="shared" ca="1" si="5"/>
        <v>83</v>
      </c>
      <c r="H85">
        <f t="shared" ca="1" si="6"/>
        <v>68.996734103749887</v>
      </c>
      <c r="I85">
        <f t="shared" ca="1" si="7"/>
        <v>119.87308730214156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159861</v>
      </c>
      <c r="B88" s="66">
        <v>159861</v>
      </c>
      <c r="D88">
        <f t="shared" si="4"/>
        <v>0.81960665689119494</v>
      </c>
      <c r="E88">
        <f t="shared" si="4"/>
        <v>0.81960665689119494</v>
      </c>
      <c r="G88">
        <f t="shared" ca="1" si="5"/>
        <v>86</v>
      </c>
      <c r="H88">
        <f t="shared" ca="1" si="6"/>
        <v>70.486172492642766</v>
      </c>
      <c r="I88">
        <f t="shared" ca="1" si="7"/>
        <v>66.512316946904704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158782</v>
      </c>
      <c r="B90" s="66">
        <v>158782</v>
      </c>
      <c r="D90">
        <f t="shared" si="4"/>
        <v>0.81407462854916279</v>
      </c>
      <c r="E90">
        <f t="shared" si="4"/>
        <v>0.81407462854916279</v>
      </c>
      <c r="G90">
        <f t="shared" ca="1" si="5"/>
        <v>88</v>
      </c>
      <c r="H90">
        <f t="shared" ca="1" si="6"/>
        <v>71.63856731232633</v>
      </c>
      <c r="I90">
        <f t="shared" ca="1" si="7"/>
        <v>39.985600393691669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167022</v>
      </c>
      <c r="B93" s="66">
        <v>167022</v>
      </c>
      <c r="D93">
        <f t="shared" si="4"/>
        <v>0.85632107297765658</v>
      </c>
      <c r="E93">
        <f t="shared" si="4"/>
        <v>0.85632107297765658</v>
      </c>
      <c r="G93">
        <f t="shared" ca="1" si="5"/>
        <v>91</v>
      </c>
      <c r="H93">
        <f t="shared" ca="1" si="6"/>
        <v>77.92521764096675</v>
      </c>
      <c r="I93">
        <f t="shared" ca="1" si="7"/>
        <v>13.758833197309739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175052</v>
      </c>
      <c r="B95" s="66">
        <v>175052</v>
      </c>
      <c r="D95">
        <f t="shared" si="4"/>
        <v>0.89749084831270576</v>
      </c>
      <c r="E95">
        <f t="shared" si="4"/>
        <v>0.89749084831270576</v>
      </c>
      <c r="G95">
        <f t="shared" ca="1" si="5"/>
        <v>93</v>
      </c>
      <c r="H95">
        <f t="shared" ca="1" si="6"/>
        <v>83.46664889308164</v>
      </c>
      <c r="I95">
        <f t="shared" ca="1" si="7"/>
        <v>3.6202301117866722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170196</v>
      </c>
      <c r="B98" s="66">
        <v>170196</v>
      </c>
      <c r="D98">
        <f t="shared" si="4"/>
        <v>0.87259415727571954</v>
      </c>
      <c r="E98">
        <f t="shared" si="4"/>
        <v>0.87259415727571954</v>
      </c>
      <c r="G98">
        <f t="shared" ca="1" si="5"/>
        <v>96</v>
      </c>
      <c r="H98">
        <f t="shared" ca="1" si="6"/>
        <v>83.769039098469079</v>
      </c>
      <c r="I98">
        <f t="shared" ca="1" si="7"/>
        <v>0.85797324890645021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180349</v>
      </c>
      <c r="B100" s="66">
        <v>180349</v>
      </c>
      <c r="D100">
        <f t="shared" si="4"/>
        <v>0.92464854444592559</v>
      </c>
      <c r="E100">
        <f t="shared" si="4"/>
        <v>0.92464854444592559</v>
      </c>
      <c r="G100">
        <f t="shared" ca="1" si="5"/>
        <v>98</v>
      </c>
      <c r="H100">
        <f t="shared" ca="1" si="6"/>
        <v>90.615557355700702</v>
      </c>
      <c r="I100">
        <f t="shared" ca="1" si="7"/>
        <v>8.2752266571664226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182336</v>
      </c>
      <c r="B103" s="66">
        <v>182336</v>
      </c>
      <c r="D103">
        <f t="shared" si="4"/>
        <v>0.93483588486818492</v>
      </c>
      <c r="E103">
        <f t="shared" si="4"/>
        <v>0.93483588486818492</v>
      </c>
      <c r="G103">
        <f t="shared" ca="1" si="5"/>
        <v>101</v>
      </c>
      <c r="H103">
        <f t="shared" ca="1" si="6"/>
        <v>94.418424371686683</v>
      </c>
      <c r="I103">
        <f t="shared" ca="1" si="7"/>
        <v>33.559778140348364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195046</v>
      </c>
      <c r="B106" s="66">
        <v>195046</v>
      </c>
      <c r="D106">
        <f t="shared" si="4"/>
        <v>1</v>
      </c>
      <c r="E106">
        <f t="shared" si="4"/>
        <v>1</v>
      </c>
      <c r="G106">
        <f t="shared" ca="1" si="5"/>
        <v>104</v>
      </c>
      <c r="H106">
        <f t="shared" ca="1" si="6"/>
        <v>104</v>
      </c>
      <c r="I106">
        <f t="shared" ca="1" si="7"/>
        <v>80.848632621360451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181976</v>
      </c>
      <c r="B108" s="66">
        <v>181976</v>
      </c>
      <c r="D108">
        <f t="shared" si="4"/>
        <v>0.93299016642227983</v>
      </c>
      <c r="E108">
        <f t="shared" si="4"/>
        <v>0.93299016642227983</v>
      </c>
      <c r="G108">
        <f t="shared" ca="1" si="5"/>
        <v>106</v>
      </c>
      <c r="H108">
        <f t="shared" ca="1" si="6"/>
        <v>98.896957640761656</v>
      </c>
      <c r="I108">
        <f t="shared" ca="1" si="7"/>
        <v>112.71918801350232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171848</v>
      </c>
      <c r="B111" s="66">
        <v>171848</v>
      </c>
      <c r="D111">
        <f t="shared" si="4"/>
        <v>0.88106395414415062</v>
      </c>
      <c r="E111">
        <f t="shared" si="4"/>
        <v>0.88106395414415062</v>
      </c>
      <c r="G111">
        <f t="shared" ca="1" si="5"/>
        <v>109</v>
      </c>
      <c r="H111">
        <f t="shared" ca="1" si="6"/>
        <v>96.035971001712412</v>
      </c>
      <c r="I111">
        <f t="shared" ca="1" si="7"/>
        <v>172.4810447238645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170835</v>
      </c>
      <c r="B113" s="66">
        <v>170835</v>
      </c>
      <c r="D113">
        <f t="shared" si="4"/>
        <v>0.87587030751720107</v>
      </c>
      <c r="E113">
        <f t="shared" si="4"/>
        <v>0.87587030751720107</v>
      </c>
      <c r="G113">
        <f t="shared" ca="1" si="5"/>
        <v>111</v>
      </c>
      <c r="H113">
        <f t="shared" ca="1" si="6"/>
        <v>97.221604134409318</v>
      </c>
      <c r="I113">
        <f t="shared" ca="1" si="7"/>
        <v>223.98705594069116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154161</v>
      </c>
      <c r="B116" s="66">
        <v>154161</v>
      </c>
      <c r="D116">
        <f t="shared" si="4"/>
        <v>0.79038278149769803</v>
      </c>
      <c r="E116">
        <f t="shared" si="4"/>
        <v>0.79038278149769803</v>
      </c>
      <c r="G116">
        <f t="shared" ca="1" si="5"/>
        <v>114</v>
      </c>
      <c r="H116">
        <f t="shared" ca="1" si="6"/>
        <v>90.103637090737578</v>
      </c>
      <c r="I116">
        <f t="shared" ca="1" si="7"/>
        <v>285.07555248980771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150691</v>
      </c>
      <c r="B118" s="66">
        <v>150691</v>
      </c>
      <c r="D118">
        <f t="shared" si="4"/>
        <v>0.77259210647744636</v>
      </c>
      <c r="E118">
        <f t="shared" si="4"/>
        <v>0.77259210647744636</v>
      </c>
      <c r="G118">
        <f t="shared" ca="1" si="5"/>
        <v>116</v>
      </c>
      <c r="H118">
        <f t="shared" ca="1" si="6"/>
        <v>89.620684351383773</v>
      </c>
      <c r="I118">
        <f t="shared" ca="1" si="7"/>
        <v>340.44017381079345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139740</v>
      </c>
      <c r="B121" s="66">
        <v>139740</v>
      </c>
      <c r="D121">
        <f t="shared" si="4"/>
        <v>0.71644637675215073</v>
      </c>
      <c r="E121">
        <f t="shared" si="4"/>
        <v>0.71644637675215073</v>
      </c>
      <c r="G121">
        <f t="shared" ca="1" si="5"/>
        <v>119</v>
      </c>
      <c r="H121">
        <f t="shared" ca="1" si="6"/>
        <v>85.257118833505942</v>
      </c>
      <c r="I121">
        <f t="shared" ca="1" si="7"/>
        <v>412.38383752955264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117232</v>
      </c>
      <c r="B124" s="66">
        <v>117232</v>
      </c>
      <c r="D124">
        <f t="shared" si="4"/>
        <v>0.60104795791761945</v>
      </c>
      <c r="E124">
        <f t="shared" si="4"/>
        <v>0.60104795791761945</v>
      </c>
      <c r="G124">
        <f t="shared" ca="1" si="5"/>
        <v>122</v>
      </c>
      <c r="H124">
        <f t="shared" ca="1" si="6"/>
        <v>73.327850865949571</v>
      </c>
      <c r="I124">
        <f t="shared" ca="1" si="7"/>
        <v>437.89093907316004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108373</v>
      </c>
      <c r="B126" s="66">
        <v>108373</v>
      </c>
      <c r="D126">
        <f t="shared" si="4"/>
        <v>0.5556279031613055</v>
      </c>
      <c r="E126">
        <f t="shared" si="4"/>
        <v>0.5556279031613055</v>
      </c>
      <c r="G126">
        <f t="shared" ca="1" si="5"/>
        <v>124</v>
      </c>
      <c r="H126">
        <f t="shared" ca="1" si="6"/>
        <v>68.897859992001884</v>
      </c>
      <c r="I126">
        <f t="shared" ca="1" si="7"/>
        <v>467.01197757965821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96814</v>
      </c>
      <c r="B129" s="66">
        <v>96814</v>
      </c>
      <c r="D129">
        <f t="shared" si="4"/>
        <v>0.49636496006070363</v>
      </c>
      <c r="E129">
        <f t="shared" si="4"/>
        <v>0.49636496006070363</v>
      </c>
      <c r="G129">
        <f t="shared" ca="1" si="5"/>
        <v>127</v>
      </c>
      <c r="H129">
        <f t="shared" ca="1" si="6"/>
        <v>63.038349927709362</v>
      </c>
      <c r="I129">
        <f t="shared" ca="1" si="7"/>
        <v>508.01048811418985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83414</v>
      </c>
      <c r="B131" s="66">
        <v>83414</v>
      </c>
      <c r="D131">
        <f t="shared" ref="D131:E194" si="8">IFERROR( A131/MAX(A$2:A$257), 0 )</f>
        <v>0.4276632179075705</v>
      </c>
      <c r="E131">
        <f t="shared" si="8"/>
        <v>0.4276632179075705</v>
      </c>
      <c r="G131">
        <f t="shared" ref="G131:G194" ca="1" si="9">CELL("row",D131)-2</f>
        <v>129</v>
      </c>
      <c r="H131">
        <f t="shared" ref="H131:H194" ca="1" si="10">D131*G131</f>
        <v>55.168555110076596</v>
      </c>
      <c r="I131">
        <f t="shared" ref="I131:I194" ca="1" si="11">D131*((G131-$L$1)^2)</f>
        <v>494.13404416511264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81096</v>
      </c>
      <c r="B134" s="66">
        <v>81096</v>
      </c>
      <c r="D134">
        <f t="shared" si="8"/>
        <v>0.4157788419142151</v>
      </c>
      <c r="E134">
        <f t="shared" si="8"/>
        <v>0.4157788419142151</v>
      </c>
      <c r="G134">
        <f t="shared" ca="1" si="9"/>
        <v>132</v>
      </c>
      <c r="H134">
        <f t="shared" ca="1" si="10"/>
        <v>54.88280713267639</v>
      </c>
      <c r="I134">
        <f t="shared" ca="1" si="11"/>
        <v>568.9424087904099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73387</v>
      </c>
      <c r="B136" s="66">
        <v>73387</v>
      </c>
      <c r="D136">
        <f t="shared" si="8"/>
        <v>0.37625483219343131</v>
      </c>
      <c r="E136">
        <f t="shared" si="8"/>
        <v>0.37625483219343131</v>
      </c>
      <c r="G136">
        <f t="shared" ca="1" si="9"/>
        <v>134</v>
      </c>
      <c r="H136">
        <f t="shared" ca="1" si="10"/>
        <v>50.418147513919799</v>
      </c>
      <c r="I136">
        <f t="shared" ca="1" si="11"/>
        <v>572.03671592558703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75042</v>
      </c>
      <c r="B139" s="66">
        <v>75042</v>
      </c>
      <c r="D139">
        <f t="shared" si="8"/>
        <v>0.38474001004891156</v>
      </c>
      <c r="E139">
        <f t="shared" si="8"/>
        <v>0.38474001004891156</v>
      </c>
      <c r="G139">
        <f t="shared" ca="1" si="9"/>
        <v>137</v>
      </c>
      <c r="H139">
        <f t="shared" ca="1" si="10"/>
        <v>52.709381376700883</v>
      </c>
      <c r="I139">
        <f t="shared" ca="1" si="11"/>
        <v>678.40950480088441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73495</v>
      </c>
      <c r="B142" s="66">
        <v>73495</v>
      </c>
      <c r="D142">
        <f t="shared" si="8"/>
        <v>0.37680854772720279</v>
      </c>
      <c r="E142">
        <f t="shared" si="8"/>
        <v>0.37680854772720279</v>
      </c>
      <c r="G142">
        <f t="shared" ca="1" si="9"/>
        <v>140</v>
      </c>
      <c r="H142">
        <f t="shared" ca="1" si="10"/>
        <v>52.75319668180839</v>
      </c>
      <c r="I142">
        <f t="shared" ca="1" si="11"/>
        <v>762.75201985125148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65667</v>
      </c>
      <c r="B144" s="66">
        <v>65667</v>
      </c>
      <c r="D144">
        <f t="shared" si="8"/>
        <v>0.33667442552013371</v>
      </c>
      <c r="E144">
        <f t="shared" si="8"/>
        <v>0.33667442552013371</v>
      </c>
      <c r="G144">
        <f t="shared" ca="1" si="9"/>
        <v>142</v>
      </c>
      <c r="H144">
        <f t="shared" ca="1" si="10"/>
        <v>47.807768423858988</v>
      </c>
      <c r="I144">
        <f t="shared" ca="1" si="11"/>
        <v>743.44757294608451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59847</v>
      </c>
      <c r="B147" s="66">
        <v>59847</v>
      </c>
      <c r="D147">
        <f t="shared" si="8"/>
        <v>0.30683531064466846</v>
      </c>
      <c r="E147">
        <f t="shared" si="8"/>
        <v>0.30683531064466846</v>
      </c>
      <c r="G147">
        <f t="shared" ca="1" si="9"/>
        <v>145</v>
      </c>
      <c r="H147">
        <f t="shared" ca="1" si="10"/>
        <v>44.491120043476926</v>
      </c>
      <c r="I147">
        <f t="shared" ca="1" si="11"/>
        <v>766.83015069020644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57210</v>
      </c>
      <c r="B149" s="66">
        <v>57210</v>
      </c>
      <c r="D149">
        <f t="shared" si="8"/>
        <v>0.29331542302841379</v>
      </c>
      <c r="E149">
        <f t="shared" si="8"/>
        <v>0.29331542302841379</v>
      </c>
      <c r="G149">
        <f t="shared" ca="1" si="9"/>
        <v>147</v>
      </c>
      <c r="H149">
        <f t="shared" ca="1" si="10"/>
        <v>43.117367185176825</v>
      </c>
      <c r="I149">
        <f t="shared" ca="1" si="11"/>
        <v>792.8682806625477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53923</v>
      </c>
      <c r="B152" s="66">
        <v>53923</v>
      </c>
      <c r="D152">
        <f t="shared" si="8"/>
        <v>0.2764629882181639</v>
      </c>
      <c r="E152">
        <f t="shared" si="8"/>
        <v>0.2764629882181639</v>
      </c>
      <c r="G152">
        <f t="shared" ca="1" si="9"/>
        <v>150</v>
      </c>
      <c r="H152">
        <f t="shared" ca="1" si="10"/>
        <v>41.469448232724588</v>
      </c>
      <c r="I152">
        <f t="shared" ca="1" si="11"/>
        <v>836.04470475533003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51648</v>
      </c>
      <c r="B154" s="66">
        <v>51648</v>
      </c>
      <c r="D154">
        <f t="shared" si="8"/>
        <v>0.26479907303918049</v>
      </c>
      <c r="E154">
        <f t="shared" si="8"/>
        <v>0.26479907303918049</v>
      </c>
      <c r="G154">
        <f t="shared" ca="1" si="9"/>
        <v>152</v>
      </c>
      <c r="H154">
        <f t="shared" ca="1" si="10"/>
        <v>40.249459101955438</v>
      </c>
      <c r="I154">
        <f t="shared" ca="1" si="11"/>
        <v>860.07823604444354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50784</v>
      </c>
      <c r="B157" s="66">
        <v>50784</v>
      </c>
      <c r="D157">
        <f t="shared" si="8"/>
        <v>0.26036934876900836</v>
      </c>
      <c r="E157">
        <f t="shared" si="8"/>
        <v>0.26036934876900836</v>
      </c>
      <c r="G157">
        <f t="shared" ca="1" si="9"/>
        <v>155</v>
      </c>
      <c r="H157">
        <f t="shared" ca="1" si="10"/>
        <v>40.357249059196299</v>
      </c>
      <c r="I157">
        <f t="shared" ca="1" si="11"/>
        <v>937.06680829545326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47751</v>
      </c>
      <c r="B160" s="66">
        <v>47751</v>
      </c>
      <c r="D160">
        <f t="shared" si="8"/>
        <v>0.24481917086225813</v>
      </c>
      <c r="E160">
        <f t="shared" si="8"/>
        <v>0.24481917086225813</v>
      </c>
      <c r="G160">
        <f t="shared" ca="1" si="9"/>
        <v>158</v>
      </c>
      <c r="H160">
        <f t="shared" ca="1" si="10"/>
        <v>38.681428996236782</v>
      </c>
      <c r="I160">
        <f t="shared" ca="1" si="11"/>
        <v>971.42778172594649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50307</v>
      </c>
      <c r="B162" s="66">
        <v>50307</v>
      </c>
      <c r="D162">
        <f t="shared" si="8"/>
        <v>0.2579237718281841</v>
      </c>
      <c r="E162">
        <f t="shared" si="8"/>
        <v>0.2579237718281841</v>
      </c>
      <c r="G162">
        <f t="shared" ca="1" si="9"/>
        <v>160</v>
      </c>
      <c r="H162">
        <f t="shared" ca="1" si="10"/>
        <v>41.267803492509458</v>
      </c>
      <c r="I162">
        <f t="shared" ca="1" si="11"/>
        <v>1089.4458578293236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50846</v>
      </c>
      <c r="B165" s="66">
        <v>50846</v>
      </c>
      <c r="D165">
        <f t="shared" si="8"/>
        <v>0.26068722250135867</v>
      </c>
      <c r="E165">
        <f t="shared" si="8"/>
        <v>0.26068722250135867</v>
      </c>
      <c r="G165">
        <f t="shared" ca="1" si="9"/>
        <v>163</v>
      </c>
      <c r="H165">
        <f t="shared" ca="1" si="10"/>
        <v>42.492017267721465</v>
      </c>
      <c r="I165">
        <f t="shared" ca="1" si="11"/>
        <v>1205.1194571245178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48482</v>
      </c>
      <c r="B167" s="66">
        <v>48482</v>
      </c>
      <c r="D167">
        <f t="shared" si="8"/>
        <v>0.24856700470658205</v>
      </c>
      <c r="E167">
        <f t="shared" si="8"/>
        <v>0.24856700470658205</v>
      </c>
      <c r="G167">
        <f t="shared" ca="1" si="9"/>
        <v>165</v>
      </c>
      <c r="H167">
        <f t="shared" ca="1" si="10"/>
        <v>41.013555776586038</v>
      </c>
      <c r="I167">
        <f t="shared" ca="1" si="11"/>
        <v>1217.6855654223054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46567</v>
      </c>
      <c r="B170" s="66">
        <v>46567</v>
      </c>
      <c r="D170">
        <f t="shared" si="8"/>
        <v>0.23874880797350367</v>
      </c>
      <c r="E170">
        <f t="shared" si="8"/>
        <v>0.23874880797350367</v>
      </c>
      <c r="G170">
        <f t="shared" ca="1" si="9"/>
        <v>168</v>
      </c>
      <c r="H170">
        <f t="shared" ca="1" si="10"/>
        <v>40.10979973954862</v>
      </c>
      <c r="I170">
        <f t="shared" ca="1" si="11"/>
        <v>1271.9991518486504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39845</v>
      </c>
      <c r="B173" s="66">
        <v>39845</v>
      </c>
      <c r="D173">
        <f t="shared" si="8"/>
        <v>0.20428514299190961</v>
      </c>
      <c r="E173">
        <f t="shared" si="8"/>
        <v>0.20428514299190961</v>
      </c>
      <c r="G173">
        <f t="shared" ca="1" si="9"/>
        <v>171</v>
      </c>
      <c r="H173">
        <f t="shared" ca="1" si="10"/>
        <v>34.932759451616541</v>
      </c>
      <c r="I173">
        <f t="shared" ca="1" si="11"/>
        <v>1179.6897582648553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36727</v>
      </c>
      <c r="B175" s="66">
        <v>36727</v>
      </c>
      <c r="D175">
        <f t="shared" si="8"/>
        <v>0.18829917045209849</v>
      </c>
      <c r="E175">
        <f t="shared" si="8"/>
        <v>0.18829917045209849</v>
      </c>
      <c r="G175">
        <f t="shared" ca="1" si="9"/>
        <v>173</v>
      </c>
      <c r="H175">
        <f t="shared" ca="1" si="10"/>
        <v>32.575756488213038</v>
      </c>
      <c r="I175">
        <f t="shared" ca="1" si="11"/>
        <v>1145.3650304645623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29694</v>
      </c>
      <c r="B178" s="66">
        <v>29694</v>
      </c>
      <c r="D178">
        <f t="shared" si="8"/>
        <v>0.15224100981306973</v>
      </c>
      <c r="E178">
        <f t="shared" si="8"/>
        <v>0.15224100981306973</v>
      </c>
      <c r="G178">
        <f t="shared" ca="1" si="9"/>
        <v>176</v>
      </c>
      <c r="H178">
        <f t="shared" ca="1" si="10"/>
        <v>26.794417727100274</v>
      </c>
      <c r="I178">
        <f t="shared" ca="1" si="11"/>
        <v>998.64578027241498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24536</v>
      </c>
      <c r="B180" s="66">
        <v>24536</v>
      </c>
      <c r="D180">
        <f t="shared" si="8"/>
        <v>0.12579596607979657</v>
      </c>
      <c r="E180">
        <f t="shared" si="8"/>
        <v>0.12579596607979657</v>
      </c>
      <c r="G180">
        <f t="shared" ca="1" si="9"/>
        <v>178</v>
      </c>
      <c r="H180">
        <f t="shared" ca="1" si="10"/>
        <v>22.391681962203791</v>
      </c>
      <c r="I180">
        <f t="shared" ca="1" si="11"/>
        <v>866.43273303770331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17787</v>
      </c>
      <c r="B183" s="66">
        <v>17787</v>
      </c>
      <c r="D183">
        <f t="shared" si="8"/>
        <v>9.1193872214759594E-2</v>
      </c>
      <c r="E183">
        <f t="shared" si="8"/>
        <v>9.1193872214759594E-2</v>
      </c>
      <c r="G183">
        <f t="shared" ca="1" si="9"/>
        <v>181</v>
      </c>
      <c r="H183">
        <f t="shared" ca="1" si="10"/>
        <v>16.506090870871486</v>
      </c>
      <c r="I183">
        <f t="shared" ca="1" si="11"/>
        <v>674.33792091319947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13702</v>
      </c>
      <c r="B185" s="66">
        <v>13702</v>
      </c>
      <c r="D185">
        <f t="shared" si="8"/>
        <v>7.025009484942013E-2</v>
      </c>
      <c r="E185">
        <f t="shared" si="8"/>
        <v>7.025009484942013E-2</v>
      </c>
      <c r="G185">
        <f t="shared" ca="1" si="9"/>
        <v>183</v>
      </c>
      <c r="H185">
        <f t="shared" ca="1" si="10"/>
        <v>12.855767357443884</v>
      </c>
      <c r="I185">
        <f t="shared" ca="1" si="11"/>
        <v>543.91271815572543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9511</v>
      </c>
      <c r="B188" s="66">
        <v>9511</v>
      </c>
      <c r="D188">
        <f t="shared" si="8"/>
        <v>4.8762855941675294E-2</v>
      </c>
      <c r="E188">
        <f t="shared" si="8"/>
        <v>4.8762855941675294E-2</v>
      </c>
      <c r="G188">
        <f t="shared" ca="1" si="9"/>
        <v>186</v>
      </c>
      <c r="H188">
        <f t="shared" ca="1" si="10"/>
        <v>9.0698912051516043</v>
      </c>
      <c r="I188">
        <f t="shared" ca="1" si="11"/>
        <v>403.73054742587152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5709</v>
      </c>
      <c r="B191" s="66">
        <v>5709</v>
      </c>
      <c r="D191">
        <f t="shared" si="8"/>
        <v>2.9270018354644545E-2</v>
      </c>
      <c r="E191">
        <f t="shared" si="8"/>
        <v>2.9270018354644545E-2</v>
      </c>
      <c r="G191">
        <f t="shared" ca="1" si="9"/>
        <v>189</v>
      </c>
      <c r="H191">
        <f t="shared" ca="1" si="10"/>
        <v>5.5320334690278186</v>
      </c>
      <c r="I191">
        <f t="shared" ca="1" si="11"/>
        <v>258.58358823244703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4227</v>
      </c>
      <c r="B193" s="66">
        <v>4227</v>
      </c>
      <c r="D193">
        <f t="shared" si="8"/>
        <v>2.1671810752335346E-2</v>
      </c>
      <c r="E193">
        <f t="shared" si="8"/>
        <v>2.1671810752335346E-2</v>
      </c>
      <c r="G193">
        <f t="shared" ca="1" si="9"/>
        <v>191</v>
      </c>
      <c r="H193">
        <f t="shared" ca="1" si="10"/>
        <v>4.1393158536960515</v>
      </c>
      <c r="I193">
        <f t="shared" ca="1" si="11"/>
        <v>199.69240207638123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3317</v>
      </c>
      <c r="B196" s="66">
        <v>3317</v>
      </c>
      <c r="D196">
        <f t="shared" si="12"/>
        <v>1.700624468074198E-2</v>
      </c>
      <c r="E196">
        <f t="shared" si="12"/>
        <v>1.700624468074198E-2</v>
      </c>
      <c r="G196">
        <f t="shared" ca="1" si="13"/>
        <v>194</v>
      </c>
      <c r="H196">
        <f t="shared" ca="1" si="14"/>
        <v>3.2992114680639442</v>
      </c>
      <c r="I196">
        <f t="shared" ca="1" si="15"/>
        <v>166.64987598105793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1560</v>
      </c>
      <c r="B198" s="66">
        <v>1560</v>
      </c>
      <c r="D198">
        <f t="shared" si="12"/>
        <v>7.9981132655886304E-3</v>
      </c>
      <c r="E198">
        <f t="shared" si="12"/>
        <v>7.9981132655886304E-3</v>
      </c>
      <c r="G198">
        <f t="shared" ca="1" si="13"/>
        <v>196</v>
      </c>
      <c r="H198">
        <f t="shared" ca="1" si="14"/>
        <v>1.5676302000553715</v>
      </c>
      <c r="I198">
        <f t="shared" ca="1" si="15"/>
        <v>81.575161413275197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1246</v>
      </c>
      <c r="B201" s="66">
        <v>1246</v>
      </c>
      <c r="D201">
        <f t="shared" si="12"/>
        <v>6.3882366211047651E-3</v>
      </c>
      <c r="E201">
        <f t="shared" si="12"/>
        <v>6.3882366211047651E-3</v>
      </c>
      <c r="G201">
        <f t="shared" ca="1" si="13"/>
        <v>199</v>
      </c>
      <c r="H201">
        <f t="shared" ca="1" si="14"/>
        <v>1.2712590875998482</v>
      </c>
      <c r="I201">
        <f t="shared" ca="1" si="15"/>
        <v>69.083988638057306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506</v>
      </c>
      <c r="B203" s="66">
        <v>506</v>
      </c>
      <c r="D203">
        <f t="shared" si="12"/>
        <v>2.5942598156332352E-3</v>
      </c>
      <c r="E203">
        <f t="shared" si="12"/>
        <v>2.5942598156332352E-3</v>
      </c>
      <c r="G203">
        <f t="shared" ca="1" si="13"/>
        <v>201</v>
      </c>
      <c r="H203">
        <f t="shared" ca="1" si="14"/>
        <v>0.52144622294228027</v>
      </c>
      <c r="I203">
        <f t="shared" ca="1" si="15"/>
        <v>29.144476337282633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83.78079341174255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1.6175968474168916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0.64989731230322334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212</v>
      </c>
      <c r="B8" s="66">
        <v>212</v>
      </c>
      <c r="D8">
        <f t="shared" si="0"/>
        <v>0.23268065677408026</v>
      </c>
      <c r="E8">
        <f t="shared" si="1"/>
        <v>0.23268065677408026</v>
      </c>
      <c r="G8">
        <f t="shared" ca="1" si="2"/>
        <v>6</v>
      </c>
      <c r="H8">
        <f t="shared" ca="1" si="3"/>
        <v>1.3960839406444816</v>
      </c>
      <c r="I8">
        <f t="shared" ca="1" si="4"/>
        <v>1407.6834957383842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383</v>
      </c>
      <c r="B10" s="66">
        <v>383</v>
      </c>
      <c r="D10">
        <f t="shared" si="0"/>
        <v>0.42036175256826763</v>
      </c>
      <c r="E10">
        <f t="shared" si="1"/>
        <v>0.42036175256826763</v>
      </c>
      <c r="G10">
        <f t="shared" ca="1" si="2"/>
        <v>8</v>
      </c>
      <c r="H10">
        <f t="shared" ca="1" si="3"/>
        <v>3.3628940205461411</v>
      </c>
      <c r="I10">
        <f t="shared" ca="1" si="4"/>
        <v>2414.0234798855877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618</v>
      </c>
      <c r="B13" s="66">
        <v>618</v>
      </c>
      <c r="D13">
        <f t="shared" si="0"/>
        <v>0.67828606550179993</v>
      </c>
      <c r="E13">
        <f t="shared" si="1"/>
        <v>0.67828606550179993</v>
      </c>
      <c r="G13">
        <f t="shared" ca="1" si="2"/>
        <v>11</v>
      </c>
      <c r="H13">
        <f t="shared" ca="1" si="3"/>
        <v>7.4611467205197997</v>
      </c>
      <c r="I13">
        <f t="shared" ca="1" si="4"/>
        <v>3592.9110586961297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2269</v>
      </c>
      <c r="B15" s="66">
        <v>2269</v>
      </c>
      <c r="D15">
        <f t="shared" si="0"/>
        <v>2.4903415576433399</v>
      </c>
      <c r="E15">
        <f t="shared" si="1"/>
        <v>2.4903415576433399</v>
      </c>
      <c r="G15">
        <f t="shared" ca="1" si="2"/>
        <v>13</v>
      </c>
      <c r="H15">
        <f t="shared" ca="1" si="3"/>
        <v>32.374440249363417</v>
      </c>
      <c r="I15">
        <f t="shared" ca="1" si="4"/>
        <v>12476.413759542562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5370</v>
      </c>
      <c r="B18" s="66">
        <v>5370</v>
      </c>
      <c r="D18">
        <f t="shared" si="0"/>
        <v>5.893844938098165</v>
      </c>
      <c r="E18">
        <f t="shared" si="1"/>
        <v>5.893844938098165</v>
      </c>
      <c r="G18">
        <f t="shared" ca="1" si="2"/>
        <v>16</v>
      </c>
      <c r="H18">
        <f t="shared" ca="1" si="3"/>
        <v>94.30151900957064</v>
      </c>
      <c r="I18">
        <f t="shared" ca="1" si="4"/>
        <v>27077.714330901508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7225</v>
      </c>
      <c r="B21" s="66">
        <v>7225</v>
      </c>
      <c r="D21">
        <f t="shared" si="0"/>
        <v>7.9298006848713669</v>
      </c>
      <c r="E21">
        <f t="shared" si="1"/>
        <v>7.9298006848713669</v>
      </c>
      <c r="G21">
        <f t="shared" ca="1" si="2"/>
        <v>19</v>
      </c>
      <c r="H21">
        <f t="shared" ca="1" si="3"/>
        <v>150.66621301255597</v>
      </c>
      <c r="I21">
        <f t="shared" ca="1" si="4"/>
        <v>33277.814540643842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12401</v>
      </c>
      <c r="B23" s="66">
        <v>12401</v>
      </c>
      <c r="D23">
        <f t="shared" si="0"/>
        <v>13.610720871015893</v>
      </c>
      <c r="E23">
        <f t="shared" si="1"/>
        <v>13.610720871015893</v>
      </c>
      <c r="G23">
        <f t="shared" ca="1" si="2"/>
        <v>21</v>
      </c>
      <c r="H23">
        <f t="shared" ca="1" si="3"/>
        <v>285.82513829133376</v>
      </c>
      <c r="I23">
        <f t="shared" ca="1" si="4"/>
        <v>53645.676632583338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18757</v>
      </c>
      <c r="B26" s="66">
        <v>18757</v>
      </c>
      <c r="D26">
        <f t="shared" si="0"/>
        <v>20.586750373167092</v>
      </c>
      <c r="E26">
        <f t="shared" si="1"/>
        <v>20.586750373167092</v>
      </c>
      <c r="G26">
        <f t="shared" ca="1" si="2"/>
        <v>24</v>
      </c>
      <c r="H26">
        <f t="shared" ca="1" si="3"/>
        <v>494.08200895601021</v>
      </c>
      <c r="I26">
        <f t="shared" ca="1" si="4"/>
        <v>73571.760410707255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25865</v>
      </c>
      <c r="B28" s="66">
        <v>25865</v>
      </c>
      <c r="D28">
        <f t="shared" si="0"/>
        <v>28.388137676705593</v>
      </c>
      <c r="E28">
        <f t="shared" si="1"/>
        <v>28.388137676705593</v>
      </c>
      <c r="G28">
        <f t="shared" ca="1" si="2"/>
        <v>26</v>
      </c>
      <c r="H28">
        <f t="shared" ca="1" si="3"/>
        <v>738.09157959434538</v>
      </c>
      <c r="I28">
        <f t="shared" ca="1" si="4"/>
        <v>94777.206688216756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31061</v>
      </c>
      <c r="B31" s="66">
        <v>31061</v>
      </c>
      <c r="D31">
        <f t="shared" si="0"/>
        <v>34.091008868206167</v>
      </c>
      <c r="E31">
        <f t="shared" si="1"/>
        <v>34.091008868206167</v>
      </c>
      <c r="G31">
        <f t="shared" ca="1" si="2"/>
        <v>29</v>
      </c>
      <c r="H31">
        <f t="shared" ca="1" si="3"/>
        <v>988.63925717797883</v>
      </c>
      <c r="I31">
        <f t="shared" ca="1" si="4"/>
        <v>102304.91283953434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35693</v>
      </c>
      <c r="B33" s="66">
        <v>35693</v>
      </c>
      <c r="D33">
        <f t="shared" si="0"/>
        <v>39.174861708666256</v>
      </c>
      <c r="E33">
        <f t="shared" si="1"/>
        <v>39.174861708666256</v>
      </c>
      <c r="G33">
        <f t="shared" ca="1" si="2"/>
        <v>31</v>
      </c>
      <c r="H33">
        <f t="shared" ca="1" si="3"/>
        <v>1214.420712968654</v>
      </c>
      <c r="I33">
        <f t="shared" ca="1" si="4"/>
        <v>109133.80584687585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41549</v>
      </c>
      <c r="B36" s="66">
        <v>41549</v>
      </c>
      <c r="D36">
        <f t="shared" si="0"/>
        <v>45.602116076916325</v>
      </c>
      <c r="E36">
        <f t="shared" si="1"/>
        <v>45.602116076916325</v>
      </c>
      <c r="G36">
        <f t="shared" ca="1" si="2"/>
        <v>34</v>
      </c>
      <c r="H36">
        <f t="shared" ca="1" si="3"/>
        <v>1550.471946615155</v>
      </c>
      <c r="I36">
        <f t="shared" ca="1" si="4"/>
        <v>113007.85301540954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46478</v>
      </c>
      <c r="B39" s="66">
        <v>46478</v>
      </c>
      <c r="D39">
        <f t="shared" si="0"/>
        <v>51.011941346913687</v>
      </c>
      <c r="E39">
        <f t="shared" si="1"/>
        <v>51.011941346913687</v>
      </c>
      <c r="G39">
        <f t="shared" ca="1" si="2"/>
        <v>37</v>
      </c>
      <c r="H39">
        <f t="shared" ca="1" si="3"/>
        <v>1887.4418298358064</v>
      </c>
      <c r="I39">
        <f t="shared" ca="1" si="4"/>
        <v>111636.70719651108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50179</v>
      </c>
      <c r="B41" s="66">
        <v>50179</v>
      </c>
      <c r="D41">
        <f t="shared" si="0"/>
        <v>55.073974888049875</v>
      </c>
      <c r="E41">
        <f t="shared" si="1"/>
        <v>55.073974888049875</v>
      </c>
      <c r="G41">
        <f t="shared" ca="1" si="2"/>
        <v>39</v>
      </c>
      <c r="H41">
        <f t="shared" ca="1" si="3"/>
        <v>2147.8850206339453</v>
      </c>
      <c r="I41">
        <f t="shared" ca="1" si="4"/>
        <v>110440.91350463715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55801</v>
      </c>
      <c r="B44" s="66">
        <v>55801</v>
      </c>
      <c r="D44">
        <f t="shared" si="0"/>
        <v>61.244402493634212</v>
      </c>
      <c r="E44">
        <f t="shared" si="1"/>
        <v>61.244402493634212</v>
      </c>
      <c r="G44">
        <f t="shared" ca="1" si="2"/>
        <v>42</v>
      </c>
      <c r="H44">
        <f t="shared" ca="1" si="3"/>
        <v>2572.2649047326368</v>
      </c>
      <c r="I44">
        <f t="shared" ca="1" si="4"/>
        <v>106910.35405819093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68669</v>
      </c>
      <c r="B46" s="66">
        <v>68669</v>
      </c>
      <c r="D46">
        <f t="shared" si="0"/>
        <v>75.36767933971376</v>
      </c>
      <c r="E46">
        <f t="shared" si="1"/>
        <v>75.36767933971376</v>
      </c>
      <c r="G46">
        <f t="shared" ca="1" si="2"/>
        <v>44</v>
      </c>
      <c r="H46">
        <f t="shared" ca="1" si="3"/>
        <v>3316.1778909474056</v>
      </c>
      <c r="I46">
        <f t="shared" ca="1" si="4"/>
        <v>119270.22112748618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67050</v>
      </c>
      <c r="B49" s="66">
        <v>67050</v>
      </c>
      <c r="D49">
        <f t="shared" si="0"/>
        <v>73.590745456141889</v>
      </c>
      <c r="E49">
        <f t="shared" si="1"/>
        <v>73.590745456141889</v>
      </c>
      <c r="G49">
        <f t="shared" ca="1" si="2"/>
        <v>47</v>
      </c>
      <c r="H49">
        <f t="shared" ca="1" si="3"/>
        <v>3458.7650364386686</v>
      </c>
      <c r="I49">
        <f t="shared" ca="1" si="4"/>
        <v>99555.530035580276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70860</v>
      </c>
      <c r="B51" s="66">
        <v>70860</v>
      </c>
      <c r="D51">
        <f t="shared" si="0"/>
        <v>77.772411976468518</v>
      </c>
      <c r="E51">
        <f t="shared" si="1"/>
        <v>77.772411976468518</v>
      </c>
      <c r="G51">
        <f t="shared" ca="1" si="2"/>
        <v>49</v>
      </c>
      <c r="H51">
        <f t="shared" ca="1" si="3"/>
        <v>3810.8481868469576</v>
      </c>
      <c r="I51">
        <f t="shared" ca="1" si="4"/>
        <v>94081.565998137725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70600</v>
      </c>
      <c r="B54" s="66">
        <v>70600</v>
      </c>
      <c r="D54">
        <f t="shared" si="0"/>
        <v>77.487048906839931</v>
      </c>
      <c r="E54">
        <f t="shared" si="1"/>
        <v>77.487048906839931</v>
      </c>
      <c r="G54">
        <f t="shared" ca="1" si="2"/>
        <v>52</v>
      </c>
      <c r="H54">
        <f t="shared" ca="1" si="3"/>
        <v>4029.3265431556765</v>
      </c>
      <c r="I54">
        <f t="shared" ca="1" si="4"/>
        <v>78263.378467729854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85396</v>
      </c>
      <c r="B57" s="66">
        <v>85396</v>
      </c>
      <c r="D57">
        <f t="shared" si="0"/>
        <v>93.726402669242248</v>
      </c>
      <c r="E57">
        <f t="shared" si="1"/>
        <v>93.726402669242248</v>
      </c>
      <c r="G57">
        <f t="shared" ca="1" si="2"/>
        <v>55</v>
      </c>
      <c r="H57">
        <f t="shared" ca="1" si="3"/>
        <v>5154.952146808324</v>
      </c>
      <c r="I57">
        <f t="shared" ca="1" si="4"/>
        <v>77636.772534117801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77652</v>
      </c>
      <c r="B59" s="66">
        <v>77652</v>
      </c>
      <c r="D59">
        <f t="shared" si="0"/>
        <v>85.226973395381506</v>
      </c>
      <c r="E59">
        <f t="shared" si="1"/>
        <v>85.226973395381506</v>
      </c>
      <c r="G59">
        <f t="shared" ca="1" si="2"/>
        <v>57</v>
      </c>
      <c r="H59">
        <f t="shared" ca="1" si="3"/>
        <v>4857.9374835367462</v>
      </c>
      <c r="I59">
        <f t="shared" ca="1" si="4"/>
        <v>61125.713932022634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80100</v>
      </c>
      <c r="B62" s="66">
        <v>80100</v>
      </c>
      <c r="D62">
        <f t="shared" si="0"/>
        <v>87.91377645096145</v>
      </c>
      <c r="E62">
        <f t="shared" si="1"/>
        <v>87.91377645096145</v>
      </c>
      <c r="G62">
        <f t="shared" ca="1" si="2"/>
        <v>60</v>
      </c>
      <c r="H62">
        <f t="shared" ca="1" si="3"/>
        <v>5274.826587057687</v>
      </c>
      <c r="I62">
        <f t="shared" ca="1" si="4"/>
        <v>49717.538235235123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75182</v>
      </c>
      <c r="B64" s="66">
        <v>75182</v>
      </c>
      <c r="D64">
        <f t="shared" si="0"/>
        <v>82.516024233909917</v>
      </c>
      <c r="E64">
        <f t="shared" si="1"/>
        <v>82.516024233909917</v>
      </c>
      <c r="G64">
        <f t="shared" ca="1" si="2"/>
        <v>62</v>
      </c>
      <c r="H64">
        <f t="shared" ca="1" si="3"/>
        <v>5115.9935025024151</v>
      </c>
      <c r="I64">
        <f t="shared" ca="1" si="4"/>
        <v>39145.846279738093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75828</v>
      </c>
      <c r="B67" s="66">
        <v>75828</v>
      </c>
      <c r="D67">
        <f t="shared" ref="D67:D130" si="5">IFERROR( 100*A67/MAX(A$2:A$257), 0 )</f>
        <v>83.225041706910176</v>
      </c>
      <c r="E67">
        <f t="shared" ref="E67:E130" si="6">IFERROR( 100*B67/MAX(B$2:B$257), 0 )</f>
        <v>83.225041706910176</v>
      </c>
      <c r="G67">
        <f t="shared" ref="G67:G130" ca="1" si="7">CELL("row",D67)-2</f>
        <v>65</v>
      </c>
      <c r="H67">
        <f t="shared" ref="H67:H130" ca="1" si="8">D67*G67</f>
        <v>5409.6277109491612</v>
      </c>
      <c r="I67">
        <f t="shared" ref="I67:I130" ca="1" si="9">D67*((G67-$L$1)^2)</f>
        <v>29354.987003538459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77446</v>
      </c>
      <c r="B69" s="66">
        <v>77446</v>
      </c>
      <c r="D69">
        <f t="shared" si="5"/>
        <v>85.000878040214246</v>
      </c>
      <c r="E69">
        <f t="shared" si="6"/>
        <v>85.000878040214246</v>
      </c>
      <c r="G69">
        <f t="shared" ca="1" si="7"/>
        <v>67</v>
      </c>
      <c r="H69">
        <f t="shared" ca="1" si="8"/>
        <v>5695.0588286943548</v>
      </c>
      <c r="I69">
        <f t="shared" ca="1" si="9"/>
        <v>23935.824591602788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72720</v>
      </c>
      <c r="B72" s="66">
        <v>72720</v>
      </c>
      <c r="D72">
        <f t="shared" si="5"/>
        <v>79.813855474580734</v>
      </c>
      <c r="E72">
        <f t="shared" si="6"/>
        <v>79.813855474580734</v>
      </c>
      <c r="G72">
        <f t="shared" ca="1" si="7"/>
        <v>70</v>
      </c>
      <c r="H72">
        <f t="shared" ca="1" si="8"/>
        <v>5586.9698832206514</v>
      </c>
      <c r="I72">
        <f t="shared" ca="1" si="9"/>
        <v>15157.470608036554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74472</v>
      </c>
      <c r="B75" s="66">
        <v>74472</v>
      </c>
      <c r="D75">
        <f t="shared" si="5"/>
        <v>81.736763543770309</v>
      </c>
      <c r="E75">
        <f t="shared" si="6"/>
        <v>81.736763543770309</v>
      </c>
      <c r="G75">
        <f t="shared" ca="1" si="7"/>
        <v>73</v>
      </c>
      <c r="H75">
        <f t="shared" ca="1" si="8"/>
        <v>5966.7837386952324</v>
      </c>
      <c r="I75">
        <f t="shared" ca="1" si="9"/>
        <v>9499.8967496296937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66458</v>
      </c>
      <c r="B77" s="66">
        <v>66458</v>
      </c>
      <c r="D77">
        <f t="shared" si="5"/>
        <v>72.940995697602943</v>
      </c>
      <c r="E77">
        <f t="shared" si="6"/>
        <v>72.940995697602943</v>
      </c>
      <c r="G77">
        <f t="shared" ca="1" si="7"/>
        <v>75</v>
      </c>
      <c r="H77">
        <f t="shared" ca="1" si="8"/>
        <v>5470.5746773202209</v>
      </c>
      <c r="I77">
        <f t="shared" ca="1" si="9"/>
        <v>5623.9209352299085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69238</v>
      </c>
      <c r="B80" s="66">
        <v>69238</v>
      </c>
      <c r="D80">
        <f t="shared" si="5"/>
        <v>75.992185442093245</v>
      </c>
      <c r="E80">
        <f t="shared" si="6"/>
        <v>75.992185442093245</v>
      </c>
      <c r="G80">
        <f t="shared" ca="1" si="7"/>
        <v>78</v>
      </c>
      <c r="H80">
        <f t="shared" ca="1" si="8"/>
        <v>5927.3904644832728</v>
      </c>
      <c r="I80">
        <f t="shared" ca="1" si="9"/>
        <v>2539.4743641075374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69236</v>
      </c>
      <c r="B82" s="66">
        <v>69236</v>
      </c>
      <c r="D82">
        <f t="shared" si="5"/>
        <v>75.989990341557643</v>
      </c>
      <c r="E82">
        <f t="shared" si="6"/>
        <v>75.989990341557643</v>
      </c>
      <c r="G82">
        <f t="shared" ca="1" si="7"/>
        <v>80</v>
      </c>
      <c r="H82">
        <f t="shared" ca="1" si="8"/>
        <v>6079.1992273246115</v>
      </c>
      <c r="I82">
        <f t="shared" ca="1" si="9"/>
        <v>1086.2312284431166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72539</v>
      </c>
      <c r="B85" s="66">
        <v>72539</v>
      </c>
      <c r="D85">
        <f t="shared" si="5"/>
        <v>79.615198876108522</v>
      </c>
      <c r="E85">
        <f t="shared" si="6"/>
        <v>79.615198876108522</v>
      </c>
      <c r="G85">
        <f t="shared" ca="1" si="7"/>
        <v>83</v>
      </c>
      <c r="H85">
        <f t="shared" ca="1" si="8"/>
        <v>6608.0615067170074</v>
      </c>
      <c r="I85">
        <f t="shared" ca="1" si="9"/>
        <v>48.536478622697842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69328</v>
      </c>
      <c r="B88" s="66">
        <v>69328</v>
      </c>
      <c r="D88">
        <f t="shared" si="5"/>
        <v>76.090964966195457</v>
      </c>
      <c r="E88">
        <f t="shared" si="6"/>
        <v>76.090964966195457</v>
      </c>
      <c r="G88">
        <f t="shared" ca="1" si="7"/>
        <v>86</v>
      </c>
      <c r="H88">
        <f t="shared" ca="1" si="8"/>
        <v>6543.8229870928089</v>
      </c>
      <c r="I88">
        <f t="shared" ca="1" si="9"/>
        <v>374.73871033375565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76052</v>
      </c>
      <c r="B90" s="66">
        <v>76052</v>
      </c>
      <c r="D90">
        <f t="shared" si="5"/>
        <v>83.470892966897878</v>
      </c>
      <c r="E90">
        <f t="shared" si="6"/>
        <v>83.470892966897878</v>
      </c>
      <c r="G90">
        <f t="shared" ca="1" si="7"/>
        <v>88</v>
      </c>
      <c r="H90">
        <f t="shared" ca="1" si="8"/>
        <v>7345.4385810870135</v>
      </c>
      <c r="I90">
        <f t="shared" ca="1" si="9"/>
        <v>1485.9241487775635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75281</v>
      </c>
      <c r="B93" s="66">
        <v>75281</v>
      </c>
      <c r="D93">
        <f t="shared" si="5"/>
        <v>82.624681710422337</v>
      </c>
      <c r="E93">
        <f t="shared" si="6"/>
        <v>82.624681710422337</v>
      </c>
      <c r="G93">
        <f t="shared" ca="1" si="7"/>
        <v>91</v>
      </c>
      <c r="H93">
        <f t="shared" ca="1" si="8"/>
        <v>7518.8460356484329</v>
      </c>
      <c r="I93">
        <f t="shared" ca="1" si="9"/>
        <v>4306.1458902155036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75797</v>
      </c>
      <c r="B95" s="66">
        <v>75797</v>
      </c>
      <c r="D95">
        <f t="shared" si="5"/>
        <v>83.191017648608309</v>
      </c>
      <c r="E95">
        <f t="shared" si="6"/>
        <v>83.191017648608309</v>
      </c>
      <c r="G95">
        <f t="shared" ca="1" si="7"/>
        <v>93</v>
      </c>
      <c r="H95">
        <f t="shared" ca="1" si="8"/>
        <v>7736.764641320573</v>
      </c>
      <c r="I95">
        <f t="shared" ca="1" si="9"/>
        <v>7070.7182298225734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69522</v>
      </c>
      <c r="B98" s="66">
        <v>69522</v>
      </c>
      <c r="D98">
        <f t="shared" si="5"/>
        <v>76.303889718149094</v>
      </c>
      <c r="E98">
        <f t="shared" si="6"/>
        <v>76.303889718149094</v>
      </c>
      <c r="G98">
        <f t="shared" ca="1" si="7"/>
        <v>96</v>
      </c>
      <c r="H98">
        <f t="shared" ca="1" si="8"/>
        <v>7325.173412942313</v>
      </c>
      <c r="I98">
        <f t="shared" ca="1" si="9"/>
        <v>11392.858205993683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77519</v>
      </c>
      <c r="B100" s="66">
        <v>77519</v>
      </c>
      <c r="D100">
        <f t="shared" si="5"/>
        <v>85.080999209763803</v>
      </c>
      <c r="E100">
        <f t="shared" si="6"/>
        <v>85.080999209763803</v>
      </c>
      <c r="G100">
        <f t="shared" ca="1" si="7"/>
        <v>98</v>
      </c>
      <c r="H100">
        <f t="shared" ca="1" si="8"/>
        <v>8337.9379225568518</v>
      </c>
      <c r="I100">
        <f t="shared" ca="1" si="9"/>
        <v>17202.172952902642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75211</v>
      </c>
      <c r="B103" s="66">
        <v>75211</v>
      </c>
      <c r="D103">
        <f t="shared" si="5"/>
        <v>82.547853191676182</v>
      </c>
      <c r="E103">
        <f t="shared" si="6"/>
        <v>82.547853191676182</v>
      </c>
      <c r="G103">
        <f t="shared" ca="1" si="7"/>
        <v>101</v>
      </c>
      <c r="H103">
        <f t="shared" ca="1" si="8"/>
        <v>8337.3331723592946</v>
      </c>
      <c r="I103">
        <f t="shared" ca="1" si="9"/>
        <v>24475.527253949313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91112</v>
      </c>
      <c r="B106" s="66">
        <v>91112</v>
      </c>
      <c r="D106">
        <f t="shared" si="5"/>
        <v>100</v>
      </c>
      <c r="E106">
        <f t="shared" si="6"/>
        <v>100</v>
      </c>
      <c r="G106">
        <f t="shared" ca="1" si="7"/>
        <v>104</v>
      </c>
      <c r="H106">
        <f t="shared" ca="1" si="8"/>
        <v>10400</v>
      </c>
      <c r="I106">
        <f t="shared" ca="1" si="9"/>
        <v>40881.631505863348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84668</v>
      </c>
      <c r="B108" s="66">
        <v>84668</v>
      </c>
      <c r="D108">
        <f t="shared" si="5"/>
        <v>92.927386074282197</v>
      </c>
      <c r="E108">
        <f t="shared" si="6"/>
        <v>92.927386074282197</v>
      </c>
      <c r="G108">
        <f t="shared" ca="1" si="7"/>
        <v>106</v>
      </c>
      <c r="H108">
        <f t="shared" ca="1" si="8"/>
        <v>9850.3029238739127</v>
      </c>
      <c r="I108">
        <f t="shared" ca="1" si="9"/>
        <v>45877.613154186824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81605</v>
      </c>
      <c r="B111" s="66">
        <v>81605</v>
      </c>
      <c r="D111">
        <f t="shared" si="5"/>
        <v>89.565589604003861</v>
      </c>
      <c r="E111">
        <f t="shared" si="6"/>
        <v>89.565589604003861</v>
      </c>
      <c r="G111">
        <f t="shared" ca="1" si="7"/>
        <v>109</v>
      </c>
      <c r="H111">
        <f t="shared" ca="1" si="8"/>
        <v>9762.6492668364208</v>
      </c>
      <c r="I111">
        <f t="shared" ca="1" si="9"/>
        <v>56964.465632087187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86284</v>
      </c>
      <c r="B113" s="66">
        <v>86284</v>
      </c>
      <c r="D113">
        <f t="shared" si="5"/>
        <v>94.701027307050666</v>
      </c>
      <c r="E113">
        <f t="shared" si="6"/>
        <v>94.701027307050666</v>
      </c>
      <c r="G113">
        <f t="shared" ca="1" si="7"/>
        <v>111</v>
      </c>
      <c r="H113">
        <f t="shared" ca="1" si="8"/>
        <v>10511.814031082624</v>
      </c>
      <c r="I113">
        <f t="shared" ca="1" si="9"/>
        <v>70162.590247361499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77579</v>
      </c>
      <c r="B116" s="66">
        <v>77579</v>
      </c>
      <c r="D116">
        <f t="shared" si="5"/>
        <v>85.14685222583195</v>
      </c>
      <c r="E116">
        <f t="shared" si="6"/>
        <v>85.14685222583195</v>
      </c>
      <c r="G116">
        <f t="shared" ca="1" si="7"/>
        <v>114</v>
      </c>
      <c r="H116">
        <f t="shared" ca="1" si="8"/>
        <v>9706.7411537448424</v>
      </c>
      <c r="I116">
        <f t="shared" ca="1" si="9"/>
        <v>77756.143498268313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74656</v>
      </c>
      <c r="B118" s="66">
        <v>74656</v>
      </c>
      <c r="D118">
        <f t="shared" si="5"/>
        <v>81.938712793045923</v>
      </c>
      <c r="E118">
        <f t="shared" si="6"/>
        <v>81.938712793045923</v>
      </c>
      <c r="G118">
        <f t="shared" ca="1" si="7"/>
        <v>116</v>
      </c>
      <c r="H118">
        <f t="shared" ca="1" si="8"/>
        <v>9504.8906839933279</v>
      </c>
      <c r="I118">
        <f t="shared" ca="1" si="9"/>
        <v>85058.715543823098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63453</v>
      </c>
      <c r="B121" s="66">
        <v>63453</v>
      </c>
      <c r="D121">
        <f t="shared" si="5"/>
        <v>69.642857142857139</v>
      </c>
      <c r="E121">
        <f t="shared" si="6"/>
        <v>69.642857142857139</v>
      </c>
      <c r="G121">
        <f t="shared" ca="1" si="7"/>
        <v>119</v>
      </c>
      <c r="H121">
        <f t="shared" ca="1" si="8"/>
        <v>8287.5</v>
      </c>
      <c r="I121">
        <f t="shared" ca="1" si="9"/>
        <v>86384.47856347842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49082</v>
      </c>
      <c r="B124" s="66">
        <v>49082</v>
      </c>
      <c r="D124">
        <f t="shared" si="5"/>
        <v>53.869962244270788</v>
      </c>
      <c r="E124">
        <f t="shared" si="6"/>
        <v>53.869962244270788</v>
      </c>
      <c r="G124">
        <f t="shared" ca="1" si="7"/>
        <v>122</v>
      </c>
      <c r="H124">
        <f t="shared" ca="1" si="8"/>
        <v>6572.1353938010361</v>
      </c>
      <c r="I124">
        <f t="shared" ca="1" si="9"/>
        <v>78688.271462861667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41666</v>
      </c>
      <c r="B126" s="66">
        <v>41666</v>
      </c>
      <c r="D126">
        <f t="shared" si="5"/>
        <v>45.730529458249187</v>
      </c>
      <c r="E126">
        <f t="shared" si="6"/>
        <v>45.730529458249187</v>
      </c>
      <c r="G126">
        <f t="shared" ca="1" si="7"/>
        <v>124</v>
      </c>
      <c r="H126">
        <f t="shared" ca="1" si="8"/>
        <v>5670.5856528228987</v>
      </c>
      <c r="I126">
        <f t="shared" ca="1" si="9"/>
        <v>73972.999222370723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32657</v>
      </c>
      <c r="B129" s="66">
        <v>32657</v>
      </c>
      <c r="D129">
        <f t="shared" si="5"/>
        <v>35.842699095618578</v>
      </c>
      <c r="E129">
        <f t="shared" si="6"/>
        <v>35.842699095618578</v>
      </c>
      <c r="G129">
        <f t="shared" ca="1" si="7"/>
        <v>127</v>
      </c>
      <c r="H129">
        <f t="shared" ca="1" si="8"/>
        <v>4552.0227851435593</v>
      </c>
      <c r="I129">
        <f t="shared" ca="1" si="9"/>
        <v>66950.571121581204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21887</v>
      </c>
      <c r="B131" s="66">
        <v>21887</v>
      </c>
      <c r="D131">
        <f t="shared" ref="D131:D194" si="10">IFERROR( 100*A131/MAX(A$2:A$257), 0 )</f>
        <v>24.022082711388183</v>
      </c>
      <c r="E131">
        <f t="shared" ref="E131:E194" si="11">IFERROR( 100*B131/MAX(B$2:B$257), 0 )</f>
        <v>24.022082711388183</v>
      </c>
      <c r="G131">
        <f t="shared" ref="G131:G194" ca="1" si="12">CELL("row",D131)-2</f>
        <v>129</v>
      </c>
      <c r="H131">
        <f t="shared" ref="H131:H194" ca="1" si="13">D131*G131</f>
        <v>3098.8486697690755</v>
      </c>
      <c r="I131">
        <f t="shared" ref="I131:I194" ca="1" si="14">D131*((G131-$L$1)^2)</f>
        <v>49119.793679809307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17935</v>
      </c>
      <c r="B134" s="66">
        <v>17935</v>
      </c>
      <c r="D134">
        <f t="shared" si="10"/>
        <v>19.684564053033629</v>
      </c>
      <c r="E134">
        <f t="shared" si="11"/>
        <v>19.684564053033629</v>
      </c>
      <c r="G134">
        <f t="shared" ca="1" si="12"/>
        <v>132</v>
      </c>
      <c r="H134">
        <f t="shared" ca="1" si="13"/>
        <v>2598.3624550004392</v>
      </c>
      <c r="I134">
        <f t="shared" ca="1" si="14"/>
        <v>45768.420119807321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14965</v>
      </c>
      <c r="B136" s="66">
        <v>14965</v>
      </c>
      <c r="D136">
        <f t="shared" si="10"/>
        <v>16.424839757660902</v>
      </c>
      <c r="E136">
        <f t="shared" si="11"/>
        <v>16.424839757660902</v>
      </c>
      <c r="G136">
        <f t="shared" ca="1" si="12"/>
        <v>134</v>
      </c>
      <c r="H136">
        <f t="shared" ca="1" si="13"/>
        <v>2200.9285275265606</v>
      </c>
      <c r="I136">
        <f t="shared" ca="1" si="14"/>
        <v>41422.931941400493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14748</v>
      </c>
      <c r="B139" s="66">
        <v>14748</v>
      </c>
      <c r="D139">
        <f t="shared" si="10"/>
        <v>16.186671349547808</v>
      </c>
      <c r="E139">
        <f t="shared" si="11"/>
        <v>16.186671349547808</v>
      </c>
      <c r="G139">
        <f t="shared" ca="1" si="12"/>
        <v>137</v>
      </c>
      <c r="H139">
        <f t="shared" ca="1" si="13"/>
        <v>2217.5739748880496</v>
      </c>
      <c r="I139">
        <f t="shared" ca="1" si="14"/>
        <v>45845.249465365378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13937</v>
      </c>
      <c r="B142" s="66">
        <v>13937</v>
      </c>
      <c r="D142">
        <f t="shared" si="10"/>
        <v>15.296558082360171</v>
      </c>
      <c r="E142">
        <f t="shared" si="11"/>
        <v>15.296558082360171</v>
      </c>
      <c r="G142">
        <f t="shared" ca="1" si="12"/>
        <v>140</v>
      </c>
      <c r="H142">
        <f t="shared" ca="1" si="13"/>
        <v>2141.5181315304239</v>
      </c>
      <c r="I142">
        <f t="shared" ca="1" si="14"/>
        <v>48346.289075919027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12117</v>
      </c>
      <c r="B144" s="66">
        <v>12117</v>
      </c>
      <c r="D144">
        <f t="shared" si="10"/>
        <v>13.299016594960049</v>
      </c>
      <c r="E144">
        <f t="shared" si="11"/>
        <v>13.299016594960049</v>
      </c>
      <c r="G144">
        <f t="shared" ca="1" si="12"/>
        <v>142</v>
      </c>
      <c r="H144">
        <f t="shared" ca="1" si="13"/>
        <v>1888.4603564843269</v>
      </c>
      <c r="I144">
        <f t="shared" ca="1" si="14"/>
        <v>45076.697781893759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10484</v>
      </c>
      <c r="B147" s="66">
        <v>10484</v>
      </c>
      <c r="D147">
        <f t="shared" si="10"/>
        <v>11.506717007638949</v>
      </c>
      <c r="E147">
        <f t="shared" si="11"/>
        <v>11.506717007638949</v>
      </c>
      <c r="G147">
        <f t="shared" ca="1" si="12"/>
        <v>145</v>
      </c>
      <c r="H147">
        <f t="shared" ca="1" si="13"/>
        <v>1668.4739661076476</v>
      </c>
      <c r="I147">
        <f t="shared" ca="1" si="14"/>
        <v>43124.773378392063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10332</v>
      </c>
      <c r="B149" s="66">
        <v>10332</v>
      </c>
      <c r="D149">
        <f t="shared" si="10"/>
        <v>11.339889366933006</v>
      </c>
      <c r="E149">
        <f t="shared" si="11"/>
        <v>11.339889366933006</v>
      </c>
      <c r="G149">
        <f t="shared" ca="1" si="12"/>
        <v>147</v>
      </c>
      <c r="H149">
        <f t="shared" ca="1" si="13"/>
        <v>1666.9637369391519</v>
      </c>
      <c r="I149">
        <f t="shared" ca="1" si="14"/>
        <v>45321.773882249472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11136</v>
      </c>
      <c r="B152" s="66">
        <v>11136</v>
      </c>
      <c r="D152">
        <f t="shared" si="10"/>
        <v>12.222319782246027</v>
      </c>
      <c r="E152">
        <f t="shared" si="11"/>
        <v>12.222319782246027</v>
      </c>
      <c r="G152">
        <f t="shared" ca="1" si="12"/>
        <v>150</v>
      </c>
      <c r="H152">
        <f t="shared" ca="1" si="13"/>
        <v>1833.347967336904</v>
      </c>
      <c r="I152">
        <f t="shared" ca="1" si="14"/>
        <v>53594.668391256651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8966</v>
      </c>
      <c r="B154" s="66">
        <v>8966</v>
      </c>
      <c r="D154">
        <f t="shared" si="10"/>
        <v>9.8406357011151115</v>
      </c>
      <c r="E154">
        <f t="shared" si="11"/>
        <v>9.8406357011151115</v>
      </c>
      <c r="G154">
        <f t="shared" ca="1" si="12"/>
        <v>152</v>
      </c>
      <c r="H154">
        <f t="shared" ca="1" si="13"/>
        <v>1495.776626569497</v>
      </c>
      <c r="I154">
        <f t="shared" ca="1" si="14"/>
        <v>45796.942315793829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7547</v>
      </c>
      <c r="B157" s="66">
        <v>7547</v>
      </c>
      <c r="D157">
        <f t="shared" si="10"/>
        <v>8.2832118711036973</v>
      </c>
      <c r="E157">
        <f t="shared" si="11"/>
        <v>8.2832118711036973</v>
      </c>
      <c r="G157">
        <f t="shared" ca="1" si="12"/>
        <v>155</v>
      </c>
      <c r="H157">
        <f t="shared" ca="1" si="13"/>
        <v>1283.8978400210731</v>
      </c>
      <c r="I157">
        <f t="shared" ca="1" si="14"/>
        <v>42013.903378422787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6020</v>
      </c>
      <c r="B160" s="66">
        <v>6020</v>
      </c>
      <c r="D160">
        <f t="shared" si="10"/>
        <v>6.6072526121696376</v>
      </c>
      <c r="E160">
        <f t="shared" si="11"/>
        <v>6.6072526121696376</v>
      </c>
      <c r="G160">
        <f t="shared" ca="1" si="12"/>
        <v>158</v>
      </c>
      <c r="H160">
        <f t="shared" ca="1" si="13"/>
        <v>1043.9459127228026</v>
      </c>
      <c r="I160">
        <f t="shared" ca="1" si="14"/>
        <v>36395.989081651634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6729</v>
      </c>
      <c r="B162" s="66">
        <v>6729</v>
      </c>
      <c r="D162">
        <f t="shared" si="10"/>
        <v>7.3854157520414434</v>
      </c>
      <c r="E162">
        <f t="shared" si="11"/>
        <v>7.3854157520414434</v>
      </c>
      <c r="G162">
        <f t="shared" ca="1" si="12"/>
        <v>160</v>
      </c>
      <c r="H162">
        <f t="shared" ca="1" si="13"/>
        <v>1181.6665203266309</v>
      </c>
      <c r="I162">
        <f t="shared" ca="1" si="14"/>
        <v>42904.593896365564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8223</v>
      </c>
      <c r="B165" s="66">
        <v>8223</v>
      </c>
      <c r="D165">
        <f t="shared" si="10"/>
        <v>9.0251558521380275</v>
      </c>
      <c r="E165">
        <f t="shared" si="11"/>
        <v>9.0251558521380275</v>
      </c>
      <c r="G165">
        <f t="shared" ca="1" si="12"/>
        <v>163</v>
      </c>
      <c r="H165">
        <f t="shared" ca="1" si="13"/>
        <v>1471.1004038984984</v>
      </c>
      <c r="I165">
        <f t="shared" ca="1" si="14"/>
        <v>56639.014378134139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10806</v>
      </c>
      <c r="B167" s="66">
        <v>10806</v>
      </c>
      <c r="D167">
        <f t="shared" si="10"/>
        <v>11.860128193871279</v>
      </c>
      <c r="E167">
        <f t="shared" si="11"/>
        <v>11.860128193871279</v>
      </c>
      <c r="G167">
        <f t="shared" ca="1" si="12"/>
        <v>165</v>
      </c>
      <c r="H167">
        <f t="shared" ca="1" si="13"/>
        <v>1956.921151988761</v>
      </c>
      <c r="I167">
        <f t="shared" ca="1" si="14"/>
        <v>78236.041531778697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11260</v>
      </c>
      <c r="B170" s="66">
        <v>11260</v>
      </c>
      <c r="D170">
        <f t="shared" si="10"/>
        <v>12.358416015453507</v>
      </c>
      <c r="E170">
        <f t="shared" si="11"/>
        <v>12.358416015453507</v>
      </c>
      <c r="G170">
        <f t="shared" ca="1" si="12"/>
        <v>168</v>
      </c>
      <c r="H170">
        <f t="shared" ca="1" si="13"/>
        <v>2076.2138905961892</v>
      </c>
      <c r="I170">
        <f t="shared" ca="1" si="14"/>
        <v>87656.697009267606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7283</v>
      </c>
      <c r="B173" s="66">
        <v>7283</v>
      </c>
      <c r="D173">
        <f t="shared" si="10"/>
        <v>7.9934586004038986</v>
      </c>
      <c r="E173">
        <f t="shared" si="11"/>
        <v>7.9934586004038986</v>
      </c>
      <c r="G173">
        <f t="shared" ca="1" si="12"/>
        <v>171</v>
      </c>
      <c r="H173">
        <f t="shared" ca="1" si="13"/>
        <v>1366.8814206690668</v>
      </c>
      <c r="I173">
        <f t="shared" ca="1" si="14"/>
        <v>60807.758313501421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6928</v>
      </c>
      <c r="B175" s="66">
        <v>6928</v>
      </c>
      <c r="D175">
        <f t="shared" si="10"/>
        <v>7.6038282553340943</v>
      </c>
      <c r="E175">
        <f t="shared" si="11"/>
        <v>7.6038282553340943</v>
      </c>
      <c r="G175">
        <f t="shared" ca="1" si="12"/>
        <v>173</v>
      </c>
      <c r="H175">
        <f t="shared" ca="1" si="13"/>
        <v>1315.4622881727983</v>
      </c>
      <c r="I175">
        <f t="shared" ca="1" si="14"/>
        <v>60526.981032489668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5753</v>
      </c>
      <c r="B178" s="66">
        <v>5753</v>
      </c>
      <c r="D178">
        <f t="shared" si="10"/>
        <v>6.3142066906664329</v>
      </c>
      <c r="E178">
        <f t="shared" si="11"/>
        <v>6.3142066906664329</v>
      </c>
      <c r="G178">
        <f t="shared" ca="1" si="12"/>
        <v>176</v>
      </c>
      <c r="H178">
        <f t="shared" ca="1" si="13"/>
        <v>1111.3003775572922</v>
      </c>
      <c r="I178">
        <f t="shared" ca="1" si="14"/>
        <v>53698.426127025654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5765</v>
      </c>
      <c r="B180" s="66">
        <v>5765</v>
      </c>
      <c r="D180">
        <f t="shared" si="10"/>
        <v>6.3273772938800601</v>
      </c>
      <c r="E180">
        <f t="shared" si="11"/>
        <v>6.3273772938800601</v>
      </c>
      <c r="G180">
        <f t="shared" ca="1" si="12"/>
        <v>178</v>
      </c>
      <c r="H180">
        <f t="shared" ca="1" si="13"/>
        <v>1126.2731583106506</v>
      </c>
      <c r="I180">
        <f t="shared" ca="1" si="14"/>
        <v>56169.76633324485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4671</v>
      </c>
      <c r="B183" s="66">
        <v>4671</v>
      </c>
      <c r="D183">
        <f t="shared" si="10"/>
        <v>5.1266573009043812</v>
      </c>
      <c r="E183">
        <f t="shared" si="11"/>
        <v>5.1266573009043812</v>
      </c>
      <c r="G183">
        <f t="shared" ca="1" si="12"/>
        <v>181</v>
      </c>
      <c r="H183">
        <f t="shared" ca="1" si="13"/>
        <v>927.92497146369305</v>
      </c>
      <c r="I183">
        <f t="shared" ca="1" si="14"/>
        <v>48454.981516810578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3465</v>
      </c>
      <c r="B185" s="66">
        <v>3465</v>
      </c>
      <c r="D185">
        <f t="shared" si="10"/>
        <v>3.8030116779348493</v>
      </c>
      <c r="E185">
        <f t="shared" si="11"/>
        <v>3.8030116779348493</v>
      </c>
      <c r="G185">
        <f t="shared" ca="1" si="12"/>
        <v>183</v>
      </c>
      <c r="H185">
        <f t="shared" ca="1" si="13"/>
        <v>695.95113706207746</v>
      </c>
      <c r="I185">
        <f t="shared" ca="1" si="14"/>
        <v>37438.561948537485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3822</v>
      </c>
      <c r="B188" s="66">
        <v>3822</v>
      </c>
      <c r="D188">
        <f t="shared" si="10"/>
        <v>4.1948371235402577</v>
      </c>
      <c r="E188">
        <f t="shared" si="11"/>
        <v>4.1948371235402577</v>
      </c>
      <c r="G188">
        <f t="shared" ca="1" si="12"/>
        <v>186</v>
      </c>
      <c r="H188">
        <f t="shared" ca="1" si="13"/>
        <v>780.23970497848791</v>
      </c>
      <c r="I188">
        <f t="shared" ca="1" si="14"/>
        <v>43830.872332213723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2487</v>
      </c>
      <c r="B191" s="66">
        <v>2487</v>
      </c>
      <c r="D191">
        <f t="shared" si="10"/>
        <v>2.7296075160242341</v>
      </c>
      <c r="E191">
        <f t="shared" si="11"/>
        <v>2.7296075160242341</v>
      </c>
      <c r="G191">
        <f t="shared" ca="1" si="12"/>
        <v>189</v>
      </c>
      <c r="H191">
        <f t="shared" ca="1" si="13"/>
        <v>515.8958205285802</v>
      </c>
      <c r="I191">
        <f t="shared" ca="1" si="14"/>
        <v>30219.707095662692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1298</v>
      </c>
      <c r="B193" s="66">
        <v>1298</v>
      </c>
      <c r="D193">
        <f t="shared" si="10"/>
        <v>1.4246202476073404</v>
      </c>
      <c r="E193">
        <f t="shared" si="11"/>
        <v>1.4246202476073404</v>
      </c>
      <c r="G193">
        <f t="shared" ca="1" si="12"/>
        <v>191</v>
      </c>
      <c r="H193">
        <f t="shared" ca="1" si="13"/>
        <v>272.10246729300201</v>
      </c>
      <c r="I193">
        <f t="shared" ca="1" si="14"/>
        <v>16377.374904861301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1469</v>
      </c>
      <c r="B196" s="66">
        <v>1469</v>
      </c>
      <c r="D196">
        <f t="shared" si="15"/>
        <v>1.6123013434015279</v>
      </c>
      <c r="E196">
        <f t="shared" si="16"/>
        <v>1.6123013434015279</v>
      </c>
      <c r="G196">
        <f t="shared" ca="1" si="17"/>
        <v>194</v>
      </c>
      <c r="H196">
        <f t="shared" ca="1" si="18"/>
        <v>312.78646061989639</v>
      </c>
      <c r="I196">
        <f t="shared" ca="1" si="19"/>
        <v>19586.677685582767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284</v>
      </c>
      <c r="B198" s="66">
        <v>284</v>
      </c>
      <c r="D198">
        <f t="shared" si="15"/>
        <v>0.31170427605584333</v>
      </c>
      <c r="E198">
        <f t="shared" si="16"/>
        <v>0.31170427605584333</v>
      </c>
      <c r="G198">
        <f t="shared" ca="1" si="17"/>
        <v>196</v>
      </c>
      <c r="H198">
        <f t="shared" ca="1" si="18"/>
        <v>61.094038106945291</v>
      </c>
      <c r="I198">
        <f t="shared" ca="1" si="19"/>
        <v>3925.3388060328311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327</v>
      </c>
      <c r="B201" s="66">
        <v>327</v>
      </c>
      <c r="D201">
        <f t="shared" si="15"/>
        <v>0.35889893757134078</v>
      </c>
      <c r="E201">
        <f t="shared" si="16"/>
        <v>0.35889893757134078</v>
      </c>
      <c r="G201">
        <f t="shared" ca="1" si="17"/>
        <v>199</v>
      </c>
      <c r="H201">
        <f t="shared" ca="1" si="18"/>
        <v>71.420888576696811</v>
      </c>
      <c r="I201">
        <f t="shared" ca="1" si="19"/>
        <v>4764.5504876993245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110</v>
      </c>
      <c r="B203" s="66">
        <v>110</v>
      </c>
      <c r="D203">
        <f t="shared" si="15"/>
        <v>0.12073052945824919</v>
      </c>
      <c r="E203">
        <f t="shared" si="16"/>
        <v>0.12073052945824919</v>
      </c>
      <c r="G203">
        <f t="shared" ca="1" si="17"/>
        <v>201</v>
      </c>
      <c r="H203">
        <f t="shared" ca="1" si="18"/>
        <v>24.266836421108088</v>
      </c>
      <c r="I203">
        <f t="shared" ca="1" si="19"/>
        <v>1658.878812066318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104.18656638482595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2.0115811090381013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0.68877426078842807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131</v>
      </c>
      <c r="B8" s="66">
        <v>131</v>
      </c>
      <c r="D8">
        <f t="shared" si="0"/>
        <v>0.12020774835287856</v>
      </c>
      <c r="E8">
        <f t="shared" si="1"/>
        <v>0.12020774835287856</v>
      </c>
      <c r="G8">
        <f t="shared" ca="1" si="2"/>
        <v>6</v>
      </c>
      <c r="H8">
        <f t="shared" ca="1" si="3"/>
        <v>0.72124649011727138</v>
      </c>
      <c r="I8">
        <f t="shared" ca="1" si="4"/>
        <v>1158.8750373615594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1244</v>
      </c>
      <c r="B10" s="66">
        <v>1244</v>
      </c>
      <c r="D10">
        <f t="shared" si="0"/>
        <v>1.1415148011525262</v>
      </c>
      <c r="E10">
        <f t="shared" si="1"/>
        <v>1.1415148011525262</v>
      </c>
      <c r="G10">
        <f t="shared" ca="1" si="2"/>
        <v>8</v>
      </c>
      <c r="H10">
        <f t="shared" ca="1" si="3"/>
        <v>9.1321184092202099</v>
      </c>
      <c r="I10">
        <f t="shared" ca="1" si="4"/>
        <v>10561.130051763426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2410</v>
      </c>
      <c r="B13" s="66">
        <v>2410</v>
      </c>
      <c r="D13">
        <f t="shared" si="0"/>
        <v>2.2114555231331092</v>
      </c>
      <c r="E13">
        <f t="shared" si="1"/>
        <v>2.2114555231331092</v>
      </c>
      <c r="G13">
        <f t="shared" ca="1" si="2"/>
        <v>11</v>
      </c>
      <c r="H13">
        <f t="shared" ca="1" si="3"/>
        <v>24.3260107544642</v>
      </c>
      <c r="I13">
        <f t="shared" ca="1" si="4"/>
        <v>19203.696280506629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823</v>
      </c>
      <c r="B15" s="66">
        <v>823</v>
      </c>
      <c r="D15">
        <f t="shared" si="0"/>
        <v>0.75519829690396223</v>
      </c>
      <c r="E15">
        <f t="shared" si="1"/>
        <v>0.75519829690396223</v>
      </c>
      <c r="G15">
        <f t="shared" ca="1" si="2"/>
        <v>13</v>
      </c>
      <c r="H15">
        <f t="shared" ca="1" si="3"/>
        <v>9.8175778597515091</v>
      </c>
      <c r="I15">
        <f t="shared" ca="1" si="4"/>
        <v>6279.4662029874507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1221</v>
      </c>
      <c r="B18" s="66">
        <v>1221</v>
      </c>
      <c r="D18">
        <f t="shared" si="0"/>
        <v>1.1204096239607995</v>
      </c>
      <c r="E18">
        <f t="shared" si="1"/>
        <v>1.1204096239607995</v>
      </c>
      <c r="G18">
        <f t="shared" ca="1" si="2"/>
        <v>16</v>
      </c>
      <c r="H18">
        <f t="shared" ca="1" si="3"/>
        <v>17.926553983372791</v>
      </c>
      <c r="I18">
        <f t="shared" ca="1" si="4"/>
        <v>8713.2805421277953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1323</v>
      </c>
      <c r="B21" s="66">
        <v>1323</v>
      </c>
      <c r="D21">
        <f t="shared" si="0"/>
        <v>1.2140064967241095</v>
      </c>
      <c r="E21">
        <f t="shared" si="1"/>
        <v>1.2140064967241095</v>
      </c>
      <c r="G21">
        <f t="shared" ca="1" si="2"/>
        <v>19</v>
      </c>
      <c r="H21">
        <f t="shared" ca="1" si="3"/>
        <v>23.06612343775808</v>
      </c>
      <c r="I21">
        <f t="shared" ca="1" si="4"/>
        <v>8809.7429713275178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1946</v>
      </c>
      <c r="B23" s="66">
        <v>1946</v>
      </c>
      <c r="D23">
        <f t="shared" si="0"/>
        <v>1.7856815137000128</v>
      </c>
      <c r="E23">
        <f t="shared" si="1"/>
        <v>1.7856815137000128</v>
      </c>
      <c r="G23">
        <f t="shared" ca="1" si="2"/>
        <v>21</v>
      </c>
      <c r="H23">
        <f t="shared" ca="1" si="3"/>
        <v>37.499311787700272</v>
      </c>
      <c r="I23">
        <f t="shared" ca="1" si="4"/>
        <v>12356.924694104928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2730</v>
      </c>
      <c r="B26" s="66">
        <v>2730</v>
      </c>
      <c r="D26">
        <f t="shared" si="0"/>
        <v>2.5050927710180035</v>
      </c>
      <c r="E26">
        <f t="shared" si="1"/>
        <v>2.5050927710180035</v>
      </c>
      <c r="G26">
        <f t="shared" ca="1" si="2"/>
        <v>24</v>
      </c>
      <c r="H26">
        <f t="shared" ca="1" si="3"/>
        <v>60.122226504432085</v>
      </c>
      <c r="I26">
        <f t="shared" ca="1" si="4"/>
        <v>16107.459505630044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4329</v>
      </c>
      <c r="B28" s="66">
        <v>4329</v>
      </c>
      <c r="D28">
        <f t="shared" si="0"/>
        <v>3.9723613940428342</v>
      </c>
      <c r="E28">
        <f t="shared" si="1"/>
        <v>3.9723613940428342</v>
      </c>
      <c r="G28">
        <f t="shared" ca="1" si="2"/>
        <v>26</v>
      </c>
      <c r="H28">
        <f t="shared" ca="1" si="3"/>
        <v>103.28139624511368</v>
      </c>
      <c r="I28">
        <f t="shared" ca="1" si="4"/>
        <v>24283.598007706358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5664</v>
      </c>
      <c r="B31" s="66">
        <v>5664</v>
      </c>
      <c r="D31">
        <f t="shared" si="0"/>
        <v>5.1973792875626277</v>
      </c>
      <c r="E31">
        <f t="shared" si="1"/>
        <v>5.1973792875626277</v>
      </c>
      <c r="G31">
        <f t="shared" ca="1" si="2"/>
        <v>29</v>
      </c>
      <c r="H31">
        <f t="shared" ca="1" si="3"/>
        <v>150.72399933931621</v>
      </c>
      <c r="I31">
        <f t="shared" ca="1" si="4"/>
        <v>29380.887837441001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11409</v>
      </c>
      <c r="B33" s="66">
        <v>11409</v>
      </c>
      <c r="D33">
        <f t="shared" si="0"/>
        <v>10.469085503496119</v>
      </c>
      <c r="E33">
        <f t="shared" si="1"/>
        <v>10.469085503496119</v>
      </c>
      <c r="G33">
        <f t="shared" ca="1" si="2"/>
        <v>31</v>
      </c>
      <c r="H33">
        <f t="shared" ca="1" si="3"/>
        <v>324.54165060837971</v>
      </c>
      <c r="I33">
        <f t="shared" ca="1" si="4"/>
        <v>56075.285243240767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10415</v>
      </c>
      <c r="B36" s="66">
        <v>10415</v>
      </c>
      <c r="D36">
        <f t="shared" si="0"/>
        <v>9.5569748022536665</v>
      </c>
      <c r="E36">
        <f t="shared" si="1"/>
        <v>9.5569748022536665</v>
      </c>
      <c r="G36">
        <f t="shared" ca="1" si="2"/>
        <v>34</v>
      </c>
      <c r="H36">
        <f t="shared" ca="1" si="3"/>
        <v>324.93714327662468</v>
      </c>
      <c r="I36">
        <f t="shared" ca="1" si="4"/>
        <v>47079.130614239395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13638</v>
      </c>
      <c r="B39" s="66">
        <v>13638</v>
      </c>
      <c r="D39">
        <f t="shared" si="0"/>
        <v>12.514452458294334</v>
      </c>
      <c r="E39">
        <f t="shared" si="1"/>
        <v>12.514452458294334</v>
      </c>
      <c r="G39">
        <f t="shared" ca="1" si="2"/>
        <v>37</v>
      </c>
      <c r="H39">
        <f t="shared" ca="1" si="3"/>
        <v>463.03474095689035</v>
      </c>
      <c r="I39">
        <f t="shared" ca="1" si="4"/>
        <v>56490.672680561067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16284</v>
      </c>
      <c r="B41" s="66">
        <v>16284</v>
      </c>
      <c r="D41">
        <f t="shared" si="0"/>
        <v>14.942465451742553</v>
      </c>
      <c r="E41">
        <f t="shared" si="1"/>
        <v>14.942465451742553</v>
      </c>
      <c r="G41">
        <f t="shared" ca="1" si="2"/>
        <v>39</v>
      </c>
      <c r="H41">
        <f t="shared" ca="1" si="3"/>
        <v>582.75615261795951</v>
      </c>
      <c r="I41">
        <f t="shared" ca="1" si="4"/>
        <v>63494.845665008921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21989</v>
      </c>
      <c r="B44" s="66">
        <v>21989</v>
      </c>
      <c r="D44">
        <f t="shared" si="0"/>
        <v>20.177467011690432</v>
      </c>
      <c r="E44">
        <f t="shared" si="1"/>
        <v>20.177467011690432</v>
      </c>
      <c r="G44">
        <f t="shared" ca="1" si="2"/>
        <v>42</v>
      </c>
      <c r="H44">
        <f t="shared" ca="1" si="3"/>
        <v>847.45361449099812</v>
      </c>
      <c r="I44">
        <f t="shared" ca="1" si="4"/>
        <v>78029.675707693255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27304</v>
      </c>
      <c r="B46" s="66">
        <v>27304</v>
      </c>
      <c r="D46">
        <f t="shared" si="0"/>
        <v>25.054598175778597</v>
      </c>
      <c r="E46">
        <f t="shared" si="1"/>
        <v>25.054598175778597</v>
      </c>
      <c r="G46">
        <f t="shared" ca="1" si="2"/>
        <v>44</v>
      </c>
      <c r="H46">
        <f t="shared" ca="1" si="3"/>
        <v>1102.4023197342583</v>
      </c>
      <c r="I46">
        <f t="shared" ca="1" si="4"/>
        <v>90758.347005191827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35955</v>
      </c>
      <c r="B49" s="66">
        <v>35955</v>
      </c>
      <c r="D49">
        <f t="shared" si="0"/>
        <v>32.992897649066784</v>
      </c>
      <c r="E49">
        <f t="shared" si="1"/>
        <v>32.992897649066784</v>
      </c>
      <c r="G49">
        <f t="shared" ca="1" si="2"/>
        <v>47</v>
      </c>
      <c r="H49">
        <f t="shared" ca="1" si="3"/>
        <v>1550.6661895061388</v>
      </c>
      <c r="I49">
        <f t="shared" ca="1" si="4"/>
        <v>107896.78452901496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45883</v>
      </c>
      <c r="B51" s="66">
        <v>45883</v>
      </c>
      <c r="D51">
        <f t="shared" si="0"/>
        <v>42.102993264695627</v>
      </c>
      <c r="E51">
        <f t="shared" si="1"/>
        <v>42.102993264695627</v>
      </c>
      <c r="G51">
        <f t="shared" ca="1" si="2"/>
        <v>49</v>
      </c>
      <c r="H51">
        <f t="shared" ca="1" si="3"/>
        <v>2063.0466699700855</v>
      </c>
      <c r="I51">
        <f t="shared" ca="1" si="4"/>
        <v>128227.07046207426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41017</v>
      </c>
      <c r="B54" s="66">
        <v>41017</v>
      </c>
      <c r="D54">
        <f t="shared" si="0"/>
        <v>37.637871864045955</v>
      </c>
      <c r="E54">
        <f t="shared" si="1"/>
        <v>37.637871864045955</v>
      </c>
      <c r="G54">
        <f t="shared" ca="1" si="2"/>
        <v>52</v>
      </c>
      <c r="H54">
        <f t="shared" ca="1" si="3"/>
        <v>1957.1693369303896</v>
      </c>
      <c r="I54">
        <f t="shared" ca="1" si="4"/>
        <v>102504.39959775306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44575</v>
      </c>
      <c r="B57" s="66">
        <v>44575</v>
      </c>
      <c r="D57">
        <f t="shared" si="0"/>
        <v>40.902751013966125</v>
      </c>
      <c r="E57">
        <f t="shared" si="1"/>
        <v>40.902751013966125</v>
      </c>
      <c r="G57">
        <f t="shared" ca="1" si="2"/>
        <v>55</v>
      </c>
      <c r="H57">
        <f t="shared" ca="1" si="3"/>
        <v>2249.6513057681368</v>
      </c>
      <c r="I57">
        <f t="shared" ca="1" si="4"/>
        <v>98956.774569078436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66192</v>
      </c>
      <c r="B59" s="66">
        <v>66192</v>
      </c>
      <c r="D59">
        <f t="shared" si="0"/>
        <v>60.738864724990364</v>
      </c>
      <c r="E59">
        <f t="shared" si="1"/>
        <v>60.738864724990364</v>
      </c>
      <c r="G59">
        <f t="shared" ca="1" si="2"/>
        <v>57</v>
      </c>
      <c r="H59">
        <f t="shared" ca="1" si="3"/>
        <v>3462.1152893244507</v>
      </c>
      <c r="I59">
        <f t="shared" ca="1" si="4"/>
        <v>135239.45837469315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65037</v>
      </c>
      <c r="B62" s="66">
        <v>65037</v>
      </c>
      <c r="D62">
        <f t="shared" si="0"/>
        <v>59.679017783405826</v>
      </c>
      <c r="E62">
        <f t="shared" si="1"/>
        <v>59.679017783405826</v>
      </c>
      <c r="G62">
        <f t="shared" ca="1" si="2"/>
        <v>60</v>
      </c>
      <c r="H62">
        <f t="shared" ca="1" si="3"/>
        <v>3580.7410670043496</v>
      </c>
      <c r="I62">
        <f t="shared" ca="1" si="4"/>
        <v>116520.45635380497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68174</v>
      </c>
      <c r="B64" s="66">
        <v>68174</v>
      </c>
      <c r="D64">
        <f t="shared" si="0"/>
        <v>62.557580429077426</v>
      </c>
      <c r="E64">
        <f t="shared" si="1"/>
        <v>62.557580429077426</v>
      </c>
      <c r="G64">
        <f t="shared" ca="1" si="2"/>
        <v>62</v>
      </c>
      <c r="H64">
        <f t="shared" ca="1" si="3"/>
        <v>3878.5699866028003</v>
      </c>
      <c r="I64">
        <f t="shared" ca="1" si="4"/>
        <v>111334.12521601756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72931</v>
      </c>
      <c r="B67" s="66">
        <v>72931</v>
      </c>
      <c r="D67">
        <f t="shared" ref="D67:D130" si="5">IFERROR(100*A67/MAX(A$2:A$257), 0 )</f>
        <v>66.92268164216631</v>
      </c>
      <c r="E67">
        <f t="shared" ref="E67:E130" si="6">IFERROR(100*B67/MAX(B$2:B$257), 0 )</f>
        <v>66.92268164216631</v>
      </c>
      <c r="G67">
        <f t="shared" ref="G67:G130" ca="1" si="7">CELL("row",D67)-2</f>
        <v>65</v>
      </c>
      <c r="H67">
        <f t="shared" ref="H67:H130" ca="1" si="8">D67*G67</f>
        <v>4349.9743067408099</v>
      </c>
      <c r="I67">
        <f t="shared" ref="I67:I130" ca="1" si="9">D67*((G67-$L$1)^2)</f>
        <v>102765.5989331754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75514</v>
      </c>
      <c r="B69" s="66">
        <v>75514</v>
      </c>
      <c r="D69">
        <f t="shared" si="5"/>
        <v>69.292884802437186</v>
      </c>
      <c r="E69">
        <f t="shared" si="6"/>
        <v>69.292884802437186</v>
      </c>
      <c r="G69">
        <f t="shared" ca="1" si="7"/>
        <v>67</v>
      </c>
      <c r="H69">
        <f t="shared" ca="1" si="8"/>
        <v>4642.6232817632917</v>
      </c>
      <c r="I69">
        <f t="shared" ca="1" si="9"/>
        <v>95821.022675952467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72407</v>
      </c>
      <c r="B72" s="66">
        <v>72407</v>
      </c>
      <c r="D72">
        <f t="shared" si="5"/>
        <v>66.441850648754794</v>
      </c>
      <c r="E72">
        <f t="shared" si="6"/>
        <v>66.441850648754794</v>
      </c>
      <c r="G72">
        <f t="shared" ca="1" si="7"/>
        <v>70</v>
      </c>
      <c r="H72">
        <f t="shared" ca="1" si="8"/>
        <v>4650.929545412836</v>
      </c>
      <c r="I72">
        <f t="shared" ca="1" si="9"/>
        <v>77652.007472130135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75417</v>
      </c>
      <c r="B75" s="66">
        <v>75417</v>
      </c>
      <c r="D75">
        <f t="shared" si="5"/>
        <v>69.203876011672079</v>
      </c>
      <c r="E75">
        <f t="shared" si="6"/>
        <v>69.203876011672079</v>
      </c>
      <c r="G75">
        <f t="shared" ca="1" si="7"/>
        <v>73</v>
      </c>
      <c r="H75">
        <f t="shared" ca="1" si="8"/>
        <v>5051.8829488520614</v>
      </c>
      <c r="I75">
        <f t="shared" ca="1" si="9"/>
        <v>67307.82287936614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81537</v>
      </c>
      <c r="B77" s="66">
        <v>81537</v>
      </c>
      <c r="D77">
        <f t="shared" si="5"/>
        <v>74.819688377470683</v>
      </c>
      <c r="E77">
        <f t="shared" si="6"/>
        <v>74.819688377470683</v>
      </c>
      <c r="G77">
        <f t="shared" ca="1" si="7"/>
        <v>75</v>
      </c>
      <c r="H77">
        <f t="shared" ca="1" si="8"/>
        <v>5611.4766283103008</v>
      </c>
      <c r="I77">
        <f t="shared" ca="1" si="9"/>
        <v>63735.574824453914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87340</v>
      </c>
      <c r="B80" s="66">
        <v>87340</v>
      </c>
      <c r="D80">
        <f t="shared" si="5"/>
        <v>80.144616344583312</v>
      </c>
      <c r="E80">
        <f t="shared" si="6"/>
        <v>80.144616344583312</v>
      </c>
      <c r="G80">
        <f t="shared" ca="1" si="7"/>
        <v>78</v>
      </c>
      <c r="H80">
        <f t="shared" ca="1" si="8"/>
        <v>6251.280074877498</v>
      </c>
      <c r="I80">
        <f t="shared" ca="1" si="9"/>
        <v>54958.069393280428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93552</v>
      </c>
      <c r="B82" s="66">
        <v>93552</v>
      </c>
      <c r="D82">
        <f t="shared" si="5"/>
        <v>85.844849419148815</v>
      </c>
      <c r="E82">
        <f t="shared" si="6"/>
        <v>85.844849419148815</v>
      </c>
      <c r="G82">
        <f t="shared" ca="1" si="7"/>
        <v>80</v>
      </c>
      <c r="H82">
        <f t="shared" ca="1" si="8"/>
        <v>6867.5879535319054</v>
      </c>
      <c r="I82">
        <f t="shared" ca="1" si="9"/>
        <v>50218.377902651249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91654</v>
      </c>
      <c r="B85" s="66">
        <v>91654</v>
      </c>
      <c r="D85">
        <f t="shared" si="5"/>
        <v>84.103213492631539</v>
      </c>
      <c r="E85">
        <f t="shared" si="6"/>
        <v>84.103213492631539</v>
      </c>
      <c r="G85">
        <f t="shared" ca="1" si="7"/>
        <v>83</v>
      </c>
      <c r="H85">
        <f t="shared" ca="1" si="8"/>
        <v>6980.5667198884175</v>
      </c>
      <c r="I85">
        <f t="shared" ca="1" si="9"/>
        <v>37751.459496873496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92690</v>
      </c>
      <c r="B88" s="66">
        <v>92690</v>
      </c>
      <c r="D88">
        <f t="shared" si="5"/>
        <v>85.05386408265889</v>
      </c>
      <c r="E88">
        <f t="shared" si="6"/>
        <v>85.05386408265889</v>
      </c>
      <c r="G88">
        <f t="shared" ca="1" si="7"/>
        <v>86</v>
      </c>
      <c r="H88">
        <f t="shared" ca="1" si="8"/>
        <v>7314.6323111086649</v>
      </c>
      <c r="I88">
        <f t="shared" ca="1" si="9"/>
        <v>28131.667343730624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84811</v>
      </c>
      <c r="B90" s="66">
        <v>84811</v>
      </c>
      <c r="D90">
        <f t="shared" si="5"/>
        <v>77.823964469892999</v>
      </c>
      <c r="E90">
        <f t="shared" si="6"/>
        <v>77.823964469892999</v>
      </c>
      <c r="G90">
        <f t="shared" ca="1" si="7"/>
        <v>88</v>
      </c>
      <c r="H90">
        <f t="shared" ca="1" si="8"/>
        <v>6848.5088733505836</v>
      </c>
      <c r="I90">
        <f t="shared" ca="1" si="9"/>
        <v>20390.26246679205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93439</v>
      </c>
      <c r="B93" s="66">
        <v>93439</v>
      </c>
      <c r="D93">
        <f t="shared" si="5"/>
        <v>85.741158765989468</v>
      </c>
      <c r="E93">
        <f t="shared" si="6"/>
        <v>85.741158765989468</v>
      </c>
      <c r="G93">
        <f t="shared" ca="1" si="7"/>
        <v>91</v>
      </c>
      <c r="H93">
        <f t="shared" ca="1" si="8"/>
        <v>7802.4454477050413</v>
      </c>
      <c r="I93">
        <f t="shared" ca="1" si="9"/>
        <v>14909.147093898428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101484</v>
      </c>
      <c r="B95" s="66">
        <v>101484</v>
      </c>
      <c r="D95">
        <f t="shared" si="5"/>
        <v>93.123382701095636</v>
      </c>
      <c r="E95">
        <f t="shared" si="6"/>
        <v>93.123382701095636</v>
      </c>
      <c r="G95">
        <f t="shared" ca="1" si="7"/>
        <v>93</v>
      </c>
      <c r="H95">
        <f t="shared" ca="1" si="8"/>
        <v>8660.4745912018934</v>
      </c>
      <c r="I95">
        <f t="shared" ca="1" si="9"/>
        <v>11653.391896672043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102716</v>
      </c>
      <c r="B98" s="66">
        <v>102716</v>
      </c>
      <c r="D98">
        <f t="shared" si="5"/>
        <v>94.25388610545248</v>
      </c>
      <c r="E98">
        <f t="shared" si="6"/>
        <v>94.25388610545248</v>
      </c>
      <c r="G98">
        <f t="shared" ca="1" si="7"/>
        <v>96</v>
      </c>
      <c r="H98">
        <f t="shared" ca="1" si="8"/>
        <v>9048.3730661234385</v>
      </c>
      <c r="I98">
        <f t="shared" ca="1" si="9"/>
        <v>6316.8831158495605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104774</v>
      </c>
      <c r="B100" s="66">
        <v>104774</v>
      </c>
      <c r="D100">
        <f t="shared" si="5"/>
        <v>96.142340655912207</v>
      </c>
      <c r="E100">
        <f t="shared" si="6"/>
        <v>96.142340655912207</v>
      </c>
      <c r="G100">
        <f t="shared" ca="1" si="7"/>
        <v>98</v>
      </c>
      <c r="H100">
        <f t="shared" ca="1" si="8"/>
        <v>9421.9493842793963</v>
      </c>
      <c r="I100">
        <f t="shared" ca="1" si="9"/>
        <v>3679.7138386957777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108978</v>
      </c>
      <c r="B103" s="66">
        <v>108978</v>
      </c>
      <c r="D103">
        <f t="shared" si="5"/>
        <v>100</v>
      </c>
      <c r="E103">
        <f t="shared" si="6"/>
        <v>100</v>
      </c>
      <c r="G103">
        <f t="shared" ca="1" si="7"/>
        <v>101</v>
      </c>
      <c r="H103">
        <f t="shared" ca="1" si="8"/>
        <v>10100</v>
      </c>
      <c r="I103">
        <f t="shared" ca="1" si="9"/>
        <v>1015.4205324902736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105388</v>
      </c>
      <c r="B106" s="66">
        <v>105388</v>
      </c>
      <c r="D106">
        <f t="shared" si="5"/>
        <v>96.705757125291342</v>
      </c>
      <c r="E106">
        <f t="shared" si="6"/>
        <v>96.705757125291342</v>
      </c>
      <c r="G106">
        <f t="shared" ca="1" si="7"/>
        <v>104</v>
      </c>
      <c r="H106">
        <f t="shared" ca="1" si="8"/>
        <v>10057.3987410303</v>
      </c>
      <c r="I106">
        <f t="shared" ca="1" si="9"/>
        <v>3.3660388304291469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98826</v>
      </c>
      <c r="B108" s="66">
        <v>98826</v>
      </c>
      <c r="D108">
        <f t="shared" si="5"/>
        <v>90.684358310851735</v>
      </c>
      <c r="E108">
        <f t="shared" si="6"/>
        <v>90.684358310851735</v>
      </c>
      <c r="G108">
        <f t="shared" ca="1" si="7"/>
        <v>106</v>
      </c>
      <c r="H108">
        <f t="shared" ca="1" si="8"/>
        <v>9612.5419809502837</v>
      </c>
      <c r="I108">
        <f t="shared" ca="1" si="9"/>
        <v>298.21927358801111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92728</v>
      </c>
      <c r="B111" s="66">
        <v>92728</v>
      </c>
      <c r="D111">
        <f t="shared" si="5"/>
        <v>85.088733505845212</v>
      </c>
      <c r="E111">
        <f t="shared" si="6"/>
        <v>85.088733505845212</v>
      </c>
      <c r="G111">
        <f t="shared" ca="1" si="7"/>
        <v>109</v>
      </c>
      <c r="H111">
        <f t="shared" ca="1" si="8"/>
        <v>9274.6719521371288</v>
      </c>
      <c r="I111">
        <f t="shared" ca="1" si="9"/>
        <v>1971.4330485541368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87821</v>
      </c>
      <c r="B113" s="66">
        <v>87821</v>
      </c>
      <c r="D113">
        <f t="shared" si="5"/>
        <v>80.585989832810299</v>
      </c>
      <c r="E113">
        <f t="shared" si="6"/>
        <v>80.585989832810299</v>
      </c>
      <c r="G113">
        <f t="shared" ca="1" si="7"/>
        <v>111</v>
      </c>
      <c r="H113">
        <f t="shared" ca="1" si="8"/>
        <v>8945.0448714419435</v>
      </c>
      <c r="I113">
        <f t="shared" ca="1" si="9"/>
        <v>3741.0335445707256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80755</v>
      </c>
      <c r="B116" s="66">
        <v>80755</v>
      </c>
      <c r="D116">
        <f t="shared" si="5"/>
        <v>74.102112352951977</v>
      </c>
      <c r="E116">
        <f t="shared" si="6"/>
        <v>74.102112352951977</v>
      </c>
      <c r="G116">
        <f t="shared" ca="1" si="7"/>
        <v>114</v>
      </c>
      <c r="H116">
        <f t="shared" ca="1" si="8"/>
        <v>8447.6408082365251</v>
      </c>
      <c r="I116">
        <f t="shared" ca="1" si="9"/>
        <v>7136.2912445084403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80967</v>
      </c>
      <c r="B118" s="66">
        <v>80967</v>
      </c>
      <c r="D118">
        <f t="shared" si="5"/>
        <v>74.296647029675711</v>
      </c>
      <c r="E118">
        <f t="shared" si="6"/>
        <v>74.296647029675711</v>
      </c>
      <c r="G118">
        <f t="shared" ca="1" si="7"/>
        <v>116</v>
      </c>
      <c r="H118">
        <f t="shared" ca="1" si="8"/>
        <v>8618.4110554423823</v>
      </c>
      <c r="I118">
        <f t="shared" ca="1" si="9"/>
        <v>10368.633052666883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80534</v>
      </c>
      <c r="B121" s="66">
        <v>80534</v>
      </c>
      <c r="D121">
        <f t="shared" si="5"/>
        <v>73.899319128631461</v>
      </c>
      <c r="E121">
        <f t="shared" si="6"/>
        <v>73.899319128631461</v>
      </c>
      <c r="G121">
        <f t="shared" ca="1" si="7"/>
        <v>119</v>
      </c>
      <c r="H121">
        <f t="shared" ca="1" si="8"/>
        <v>8794.018976307143</v>
      </c>
      <c r="I121">
        <f t="shared" ca="1" si="9"/>
        <v>16216.305154393622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72362</v>
      </c>
      <c r="B124" s="66">
        <v>72362</v>
      </c>
      <c r="D124">
        <f t="shared" si="5"/>
        <v>66.400557910770985</v>
      </c>
      <c r="E124">
        <f t="shared" si="6"/>
        <v>66.400557910770985</v>
      </c>
      <c r="G124">
        <f t="shared" ca="1" si="7"/>
        <v>122</v>
      </c>
      <c r="H124">
        <f t="shared" ca="1" si="8"/>
        <v>8100.8680651140603</v>
      </c>
      <c r="I124">
        <f t="shared" ca="1" si="9"/>
        <v>21070.119934933693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70384</v>
      </c>
      <c r="B126" s="66">
        <v>70384</v>
      </c>
      <c r="D126">
        <f t="shared" si="5"/>
        <v>64.585512672282476</v>
      </c>
      <c r="E126">
        <f t="shared" si="6"/>
        <v>64.585512672282476</v>
      </c>
      <c r="G126">
        <f t="shared" ca="1" si="7"/>
        <v>124</v>
      </c>
      <c r="H126">
        <f t="shared" ca="1" si="8"/>
        <v>8008.6035713630272</v>
      </c>
      <c r="I126">
        <f t="shared" ca="1" si="9"/>
        <v>25354.473673426586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67199</v>
      </c>
      <c r="B129" s="66">
        <v>67199</v>
      </c>
      <c r="D129">
        <f t="shared" si="5"/>
        <v>61.662904439428139</v>
      </c>
      <c r="E129">
        <f t="shared" si="6"/>
        <v>61.662904439428139</v>
      </c>
      <c r="G129">
        <f t="shared" ca="1" si="7"/>
        <v>127</v>
      </c>
      <c r="H129">
        <f t="shared" ca="1" si="8"/>
        <v>7831.1888638073733</v>
      </c>
      <c r="I129">
        <f t="shared" ca="1" si="9"/>
        <v>32092.62839283557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63416</v>
      </c>
      <c r="B131" s="66">
        <v>63416</v>
      </c>
      <c r="D131">
        <f t="shared" ref="D131:D194" si="10">IFERROR(100*A131/MAX(A$2:A$257), 0 )</f>
        <v>58.191561599588908</v>
      </c>
      <c r="E131">
        <f t="shared" ref="E131:E194" si="11">IFERROR(100*B131/MAX(B$2:B$257), 0 )</f>
        <v>58.191561599588908</v>
      </c>
      <c r="G131">
        <f t="shared" ref="G131:G194" ca="1" si="12">CELL("row",D131)-2</f>
        <v>129</v>
      </c>
      <c r="H131">
        <f t="shared" ref="H131:H194" ca="1" si="13">D131*G131</f>
        <v>7506.7114463469688</v>
      </c>
      <c r="I131">
        <f t="shared" ref="I131:I194" ca="1" si="14">D131*((G131-$L$1)^2)</f>
        <v>35828.922010605049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65483</v>
      </c>
      <c r="B134" s="66">
        <v>65483</v>
      </c>
      <c r="D134">
        <f t="shared" si="10"/>
        <v>60.088274697645396</v>
      </c>
      <c r="E134">
        <f t="shared" si="11"/>
        <v>60.088274697645396</v>
      </c>
      <c r="G134">
        <f t="shared" ca="1" si="12"/>
        <v>132</v>
      </c>
      <c r="H134">
        <f t="shared" ca="1" si="13"/>
        <v>7931.6522600891922</v>
      </c>
      <c r="I134">
        <f t="shared" ca="1" si="14"/>
        <v>46483.513534366597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59960</v>
      </c>
      <c r="B136" s="66">
        <v>59960</v>
      </c>
      <c r="D136">
        <f t="shared" si="10"/>
        <v>55.020279322432053</v>
      </c>
      <c r="E136">
        <f t="shared" si="11"/>
        <v>55.020279322432053</v>
      </c>
      <c r="G136">
        <f t="shared" ca="1" si="12"/>
        <v>134</v>
      </c>
      <c r="H136">
        <f t="shared" ca="1" si="13"/>
        <v>7372.7174292058953</v>
      </c>
      <c r="I136">
        <f t="shared" ca="1" si="14"/>
        <v>48904.270405610623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61253</v>
      </c>
      <c r="B139" s="66">
        <v>61253</v>
      </c>
      <c r="D139">
        <f t="shared" si="10"/>
        <v>56.206757327166954</v>
      </c>
      <c r="E139">
        <f t="shared" si="11"/>
        <v>56.206757327166954</v>
      </c>
      <c r="G139">
        <f t="shared" ca="1" si="12"/>
        <v>137</v>
      </c>
      <c r="H139">
        <f t="shared" ca="1" si="13"/>
        <v>7700.3257538218731</v>
      </c>
      <c r="I139">
        <f t="shared" ca="1" si="14"/>
        <v>60519.019878640378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60112</v>
      </c>
      <c r="B142" s="66">
        <v>60112</v>
      </c>
      <c r="D142">
        <f t="shared" si="10"/>
        <v>55.159757015177377</v>
      </c>
      <c r="E142">
        <f t="shared" si="11"/>
        <v>55.159757015177377</v>
      </c>
      <c r="G142">
        <f t="shared" ca="1" si="12"/>
        <v>140</v>
      </c>
      <c r="H142">
        <f t="shared" ca="1" si="13"/>
        <v>7722.365982124833</v>
      </c>
      <c r="I142">
        <f t="shared" ca="1" si="14"/>
        <v>70748.016173509575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54078</v>
      </c>
      <c r="B144" s="66">
        <v>54078</v>
      </c>
      <c r="D144">
        <f t="shared" si="10"/>
        <v>49.622859659747839</v>
      </c>
      <c r="E144">
        <f t="shared" si="11"/>
        <v>49.622859659747839</v>
      </c>
      <c r="G144">
        <f t="shared" ca="1" si="12"/>
        <v>142</v>
      </c>
      <c r="H144">
        <f t="shared" ca="1" si="13"/>
        <v>7046.4460716841932</v>
      </c>
      <c r="I144">
        <f t="shared" ca="1" si="14"/>
        <v>70953.531799953591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50088</v>
      </c>
      <c r="B147" s="66">
        <v>50088</v>
      </c>
      <c r="D147">
        <f t="shared" si="10"/>
        <v>45.961570225183067</v>
      </c>
      <c r="E147">
        <f t="shared" si="11"/>
        <v>45.961570225183067</v>
      </c>
      <c r="G147">
        <f t="shared" ca="1" si="12"/>
        <v>145</v>
      </c>
      <c r="H147">
        <f t="shared" ca="1" si="13"/>
        <v>6664.4276826515443</v>
      </c>
      <c r="I147">
        <f t="shared" ca="1" si="14"/>
        <v>76559.858845817929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47671</v>
      </c>
      <c r="B149" s="66">
        <v>47671</v>
      </c>
      <c r="D149">
        <f t="shared" si="10"/>
        <v>43.743691387252476</v>
      </c>
      <c r="E149">
        <f t="shared" si="11"/>
        <v>43.743691387252476</v>
      </c>
      <c r="G149">
        <f t="shared" ca="1" si="12"/>
        <v>147</v>
      </c>
      <c r="H149">
        <f t="shared" ca="1" si="13"/>
        <v>6430.3226339261137</v>
      </c>
      <c r="I149">
        <f t="shared" ca="1" si="14"/>
        <v>80181.753159342203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43353</v>
      </c>
      <c r="B152" s="66">
        <v>43353</v>
      </c>
      <c r="D152">
        <f t="shared" si="10"/>
        <v>39.781423773605681</v>
      </c>
      <c r="E152">
        <f t="shared" si="11"/>
        <v>39.781423773605681</v>
      </c>
      <c r="G152">
        <f t="shared" ca="1" si="12"/>
        <v>150</v>
      </c>
      <c r="H152">
        <f t="shared" ca="1" si="13"/>
        <v>5967.2135660408521</v>
      </c>
      <c r="I152">
        <f t="shared" ca="1" si="14"/>
        <v>83496.064747267592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43270</v>
      </c>
      <c r="B154" s="66">
        <v>43270</v>
      </c>
      <c r="D154">
        <f t="shared" si="10"/>
        <v>39.705261612435535</v>
      </c>
      <c r="E154">
        <f t="shared" si="11"/>
        <v>39.705261612435535</v>
      </c>
      <c r="G154">
        <f t="shared" ca="1" si="12"/>
        <v>152</v>
      </c>
      <c r="H154">
        <f t="shared" ca="1" si="13"/>
        <v>6035.1997650902013</v>
      </c>
      <c r="I154">
        <f t="shared" ca="1" si="14"/>
        <v>90771.16873343593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44214</v>
      </c>
      <c r="B157" s="66">
        <v>44214</v>
      </c>
      <c r="D157">
        <f t="shared" si="10"/>
        <v>40.571491493695973</v>
      </c>
      <c r="E157">
        <f t="shared" si="11"/>
        <v>40.571491493695973</v>
      </c>
      <c r="G157">
        <f t="shared" ca="1" si="12"/>
        <v>155</v>
      </c>
      <c r="H157">
        <f t="shared" ca="1" si="13"/>
        <v>6288.5811815228762</v>
      </c>
      <c r="I157">
        <f t="shared" ca="1" si="14"/>
        <v>104755.79534516712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42461</v>
      </c>
      <c r="B160" s="66">
        <v>42461</v>
      </c>
      <c r="D160">
        <f t="shared" si="10"/>
        <v>38.96290994512654</v>
      </c>
      <c r="E160">
        <f t="shared" si="11"/>
        <v>38.96290994512654</v>
      </c>
      <c r="G160">
        <f t="shared" ca="1" si="12"/>
        <v>158</v>
      </c>
      <c r="H160">
        <f t="shared" ca="1" si="13"/>
        <v>6156.139771329993</v>
      </c>
      <c r="I160">
        <f t="shared" ca="1" si="14"/>
        <v>112832.13130353458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44160</v>
      </c>
      <c r="B162" s="66">
        <v>44160</v>
      </c>
      <c r="D162">
        <f t="shared" si="10"/>
        <v>40.521940208115403</v>
      </c>
      <c r="E162">
        <f t="shared" si="11"/>
        <v>40.521940208115403</v>
      </c>
      <c r="G162">
        <f t="shared" ca="1" si="12"/>
        <v>160</v>
      </c>
      <c r="H162">
        <f t="shared" ca="1" si="13"/>
        <v>6483.5104332984647</v>
      </c>
      <c r="I162">
        <f t="shared" ca="1" si="14"/>
        <v>126231.49136870365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43121</v>
      </c>
      <c r="B165" s="66">
        <v>43121</v>
      </c>
      <c r="D165">
        <f t="shared" si="10"/>
        <v>39.568536768889132</v>
      </c>
      <c r="E165">
        <f t="shared" si="11"/>
        <v>39.568536768889132</v>
      </c>
      <c r="G165">
        <f t="shared" ca="1" si="12"/>
        <v>163</v>
      </c>
      <c r="H165">
        <f t="shared" ca="1" si="13"/>
        <v>6449.6714933289286</v>
      </c>
      <c r="I165">
        <f t="shared" ca="1" si="14"/>
        <v>136868.3590099701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38013</v>
      </c>
      <c r="B167" s="66">
        <v>38013</v>
      </c>
      <c r="D167">
        <f t="shared" si="10"/>
        <v>34.881352199526511</v>
      </c>
      <c r="E167">
        <f t="shared" si="11"/>
        <v>34.881352199526511</v>
      </c>
      <c r="G167">
        <f t="shared" ca="1" si="12"/>
        <v>165</v>
      </c>
      <c r="H167">
        <f t="shared" ca="1" si="13"/>
        <v>5755.4231129218742</v>
      </c>
      <c r="I167">
        <f t="shared" ca="1" si="14"/>
        <v>129000.78774134023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36215</v>
      </c>
      <c r="B170" s="66">
        <v>36215</v>
      </c>
      <c r="D170">
        <f t="shared" si="10"/>
        <v>33.231477912973261</v>
      </c>
      <c r="E170">
        <f t="shared" si="11"/>
        <v>33.231477912973261</v>
      </c>
      <c r="G170">
        <f t="shared" ca="1" si="12"/>
        <v>168</v>
      </c>
      <c r="H170">
        <f t="shared" ca="1" si="13"/>
        <v>5582.888289379508</v>
      </c>
      <c r="I170">
        <f t="shared" ca="1" si="14"/>
        <v>135323.70600294933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33370</v>
      </c>
      <c r="B173" s="66">
        <v>33370</v>
      </c>
      <c r="D173">
        <f t="shared" si="10"/>
        <v>30.620859255996624</v>
      </c>
      <c r="E173">
        <f t="shared" si="11"/>
        <v>30.620859255996624</v>
      </c>
      <c r="G173">
        <f t="shared" ca="1" si="12"/>
        <v>171</v>
      </c>
      <c r="H173">
        <f t="shared" ca="1" si="13"/>
        <v>5236.1669327754225</v>
      </c>
      <c r="I173">
        <f t="shared" ca="1" si="14"/>
        <v>136692.58473734342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30055</v>
      </c>
      <c r="B175" s="66">
        <v>30055</v>
      </c>
      <c r="D175">
        <f t="shared" si="10"/>
        <v>27.578960891189048</v>
      </c>
      <c r="E175">
        <f t="shared" si="11"/>
        <v>27.578960891189048</v>
      </c>
      <c r="G175">
        <f t="shared" ca="1" si="12"/>
        <v>173</v>
      </c>
      <c r="H175">
        <f t="shared" ca="1" si="13"/>
        <v>4771.1602341757052</v>
      </c>
      <c r="I175">
        <f t="shared" ca="1" si="14"/>
        <v>130594.34037404248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24288</v>
      </c>
      <c r="B178" s="66">
        <v>24288</v>
      </c>
      <c r="D178">
        <f t="shared" si="10"/>
        <v>22.287067114463468</v>
      </c>
      <c r="E178">
        <f t="shared" si="11"/>
        <v>22.287067114463468</v>
      </c>
      <c r="G178">
        <f t="shared" ca="1" si="12"/>
        <v>176</v>
      </c>
      <c r="H178">
        <f t="shared" ca="1" si="13"/>
        <v>3922.5238121455704</v>
      </c>
      <c r="I178">
        <f t="shared" ca="1" si="14"/>
        <v>114938.17714193079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19237</v>
      </c>
      <c r="B180" s="66">
        <v>19237</v>
      </c>
      <c r="D180">
        <f t="shared" si="10"/>
        <v>17.652186679880344</v>
      </c>
      <c r="E180">
        <f t="shared" si="11"/>
        <v>17.652186679880344</v>
      </c>
      <c r="G180">
        <f t="shared" ca="1" si="12"/>
        <v>178</v>
      </c>
      <c r="H180">
        <f t="shared" ca="1" si="13"/>
        <v>3142.0892290187012</v>
      </c>
      <c r="I180">
        <f t="shared" ca="1" si="14"/>
        <v>96176.579590303605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13454</v>
      </c>
      <c r="B183" s="66">
        <v>13454</v>
      </c>
      <c r="D183">
        <f t="shared" si="10"/>
        <v>12.34561104076052</v>
      </c>
      <c r="E183">
        <f t="shared" si="11"/>
        <v>12.34561104076052</v>
      </c>
      <c r="G183">
        <f t="shared" ca="1" si="12"/>
        <v>181</v>
      </c>
      <c r="H183">
        <f t="shared" ca="1" si="13"/>
        <v>2234.555598377654</v>
      </c>
      <c r="I183">
        <f t="shared" ca="1" si="14"/>
        <v>72842.853067416814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10400</v>
      </c>
      <c r="B185" s="66">
        <v>10400</v>
      </c>
      <c r="D185">
        <f t="shared" si="10"/>
        <v>9.5432105562590621</v>
      </c>
      <c r="E185">
        <f t="shared" si="11"/>
        <v>9.5432105562590621</v>
      </c>
      <c r="G185">
        <f t="shared" ca="1" si="12"/>
        <v>183</v>
      </c>
      <c r="H185">
        <f t="shared" ca="1" si="13"/>
        <v>1746.4075317954084</v>
      </c>
      <c r="I185">
        <f t="shared" ca="1" si="14"/>
        <v>59278.199369982794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5796</v>
      </c>
      <c r="B188" s="66">
        <v>5796</v>
      </c>
      <c r="D188">
        <f t="shared" si="10"/>
        <v>5.3185046523151458</v>
      </c>
      <c r="E188">
        <f t="shared" si="11"/>
        <v>5.3185046523151458</v>
      </c>
      <c r="G188">
        <f t="shared" ca="1" si="12"/>
        <v>186</v>
      </c>
      <c r="H188">
        <f t="shared" ca="1" si="13"/>
        <v>989.24186533061709</v>
      </c>
      <c r="I188">
        <f t="shared" ca="1" si="14"/>
        <v>35599.080716994649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3222</v>
      </c>
      <c r="B191" s="66">
        <v>3222</v>
      </c>
      <c r="D191">
        <f t="shared" si="10"/>
        <v>2.9565600396410283</v>
      </c>
      <c r="E191">
        <f t="shared" si="11"/>
        <v>2.9565600396410283</v>
      </c>
      <c r="G191">
        <f t="shared" ca="1" si="12"/>
        <v>189</v>
      </c>
      <c r="H191">
        <f t="shared" ca="1" si="13"/>
        <v>558.78984749215431</v>
      </c>
      <c r="I191">
        <f t="shared" ca="1" si="14"/>
        <v>21267.478093359041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2929</v>
      </c>
      <c r="B193" s="66">
        <v>2929</v>
      </c>
      <c r="D193">
        <f t="shared" si="10"/>
        <v>2.6876984345464221</v>
      </c>
      <c r="E193">
        <f t="shared" si="11"/>
        <v>2.6876984345464221</v>
      </c>
      <c r="G193">
        <f t="shared" ca="1" si="12"/>
        <v>191</v>
      </c>
      <c r="H193">
        <f t="shared" ca="1" si="13"/>
        <v>513.35040099836658</v>
      </c>
      <c r="I193">
        <f t="shared" ca="1" si="14"/>
        <v>20256.03345444833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1848</v>
      </c>
      <c r="B196" s="66">
        <v>1848</v>
      </c>
      <c r="D196">
        <f t="shared" si="15"/>
        <v>1.6957551065352641</v>
      </c>
      <c r="E196">
        <f t="shared" si="16"/>
        <v>1.6957551065352641</v>
      </c>
      <c r="G196">
        <f t="shared" ca="1" si="17"/>
        <v>194</v>
      </c>
      <c r="H196">
        <f t="shared" ca="1" si="18"/>
        <v>328.97649066784123</v>
      </c>
      <c r="I196">
        <f t="shared" ca="1" si="19"/>
        <v>13678.728625150916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1276</v>
      </c>
      <c r="B198" s="66">
        <v>1276</v>
      </c>
      <c r="D198">
        <f t="shared" si="15"/>
        <v>1.1708785259410157</v>
      </c>
      <c r="E198">
        <f t="shared" si="16"/>
        <v>1.1708785259410157</v>
      </c>
      <c r="G198">
        <f t="shared" ca="1" si="17"/>
        <v>196</v>
      </c>
      <c r="H198">
        <f t="shared" ca="1" si="18"/>
        <v>229.49219108443907</v>
      </c>
      <c r="I198">
        <f t="shared" ca="1" si="19"/>
        <v>9870.1624287997347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919</v>
      </c>
      <c r="B201" s="66">
        <v>919</v>
      </c>
      <c r="D201">
        <f t="shared" si="15"/>
        <v>0.84328947126943055</v>
      </c>
      <c r="E201">
        <f t="shared" si="16"/>
        <v>0.84328947126943055</v>
      </c>
      <c r="G201">
        <f t="shared" ca="1" si="17"/>
        <v>199</v>
      </c>
      <c r="H201">
        <f t="shared" ca="1" si="18"/>
        <v>167.81460478261667</v>
      </c>
      <c r="I201">
        <f t="shared" ca="1" si="19"/>
        <v>7580.8242316735459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396</v>
      </c>
      <c r="B203" s="66">
        <v>396</v>
      </c>
      <c r="D203">
        <f t="shared" si="15"/>
        <v>0.36337609425755657</v>
      </c>
      <c r="E203">
        <f t="shared" si="16"/>
        <v>0.36337609425755657</v>
      </c>
      <c r="G203">
        <f t="shared" ca="1" si="17"/>
        <v>201</v>
      </c>
      <c r="H203">
        <f t="shared" ca="1" si="18"/>
        <v>73.038594945768864</v>
      </c>
      <c r="I203">
        <f t="shared" ca="1" si="19"/>
        <v>3405.8663286447227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0.21079999999999999</v>
      </c>
      <c r="B2" s="68">
        <v>0.60020200000000001</v>
      </c>
      <c r="C2" s="68">
        <v>0</v>
      </c>
      <c r="D2" s="68">
        <v>1</v>
      </c>
      <c r="E2" s="68" t="s">
        <v>408</v>
      </c>
    </row>
    <row r="3" spans="1:5">
      <c r="A3" s="68">
        <v>0.218809</v>
      </c>
      <c r="B3" s="68">
        <v>0.59184400000000004</v>
      </c>
      <c r="C3" s="68">
        <v>0.37321500000000002</v>
      </c>
      <c r="D3" s="89">
        <v>1</v>
      </c>
      <c r="E3" s="68" t="s">
        <v>409</v>
      </c>
    </row>
    <row r="4" spans="1:5">
      <c r="A4" s="68">
        <v>0.226996</v>
      </c>
      <c r="B4" s="68">
        <v>0.58338699999999999</v>
      </c>
      <c r="C4" s="68">
        <v>0.780914</v>
      </c>
      <c r="D4" s="89">
        <v>1</v>
      </c>
      <c r="E4" s="68" t="s">
        <v>410</v>
      </c>
    </row>
    <row r="5" spans="1:5">
      <c r="A5" s="89">
        <v>0.23502300000000001</v>
      </c>
      <c r="B5" s="89">
        <v>0.57637899999999997</v>
      </c>
      <c r="C5" s="89">
        <v>1.18685</v>
      </c>
      <c r="D5" s="89">
        <v>1</v>
      </c>
      <c r="E5" s="68" t="s">
        <v>411</v>
      </c>
    </row>
    <row r="6" spans="1:5">
      <c r="A6" s="68">
        <v>0.24274100000000001</v>
      </c>
      <c r="B6" s="68">
        <v>0.57102399999999998</v>
      </c>
      <c r="C6" s="68">
        <v>1.5928199999999999</v>
      </c>
      <c r="D6" s="68">
        <v>1</v>
      </c>
      <c r="E6" s="68" t="s">
        <v>412</v>
      </c>
    </row>
    <row r="7" spans="1:5">
      <c r="A7" s="68">
        <v>0.25016300000000002</v>
      </c>
      <c r="B7" s="68">
        <v>0.56679000000000002</v>
      </c>
      <c r="C7" s="68">
        <v>1.9997</v>
      </c>
      <c r="D7" s="68">
        <v>1</v>
      </c>
      <c r="E7" s="68" t="s">
        <v>413</v>
      </c>
    </row>
    <row r="8" spans="1:5">
      <c r="A8" s="68">
        <v>0.25735799999999998</v>
      </c>
      <c r="B8" s="68">
        <v>0.56300899999999998</v>
      </c>
      <c r="C8" s="68">
        <v>2.4036499999999998</v>
      </c>
      <c r="D8" s="68">
        <v>1</v>
      </c>
      <c r="E8" s="68" t="s">
        <v>414</v>
      </c>
    </row>
    <row r="9" spans="1:5">
      <c r="A9" s="68">
        <v>0.26435700000000001</v>
      </c>
      <c r="B9" s="68">
        <v>0.55907200000000001</v>
      </c>
      <c r="C9" s="68">
        <v>2.8105000000000002</v>
      </c>
      <c r="D9" s="68">
        <v>1</v>
      </c>
      <c r="E9" s="68" t="s">
        <v>415</v>
      </c>
    </row>
    <row r="10" spans="1:5">
      <c r="A10" s="68">
        <v>0.27110499999999998</v>
      </c>
      <c r="B10" s="68">
        <v>0.55482299999999996</v>
      </c>
      <c r="C10" s="68">
        <v>3.21848</v>
      </c>
      <c r="D10" s="68">
        <v>1</v>
      </c>
      <c r="E10" s="68" t="s">
        <v>416</v>
      </c>
    </row>
    <row r="11" spans="1:5">
      <c r="A11" s="68">
        <v>0.27762700000000001</v>
      </c>
      <c r="B11" s="68">
        <v>0.550736</v>
      </c>
      <c r="C11" s="68">
        <v>3.62541</v>
      </c>
      <c r="D11" s="68">
        <v>1</v>
      </c>
      <c r="E11" s="68" t="s">
        <v>417</v>
      </c>
    </row>
    <row r="12" spans="1:5">
      <c r="A12" s="68">
        <v>0.28404000000000001</v>
      </c>
      <c r="B12" s="68">
        <v>0.54601299999999997</v>
      </c>
      <c r="C12" s="68">
        <v>4.03024</v>
      </c>
      <c r="D12" s="68">
        <v>1</v>
      </c>
      <c r="E12" s="68" t="s">
        <v>418</v>
      </c>
    </row>
    <row r="13" spans="1:5">
      <c r="A13" s="68">
        <v>0.29028500000000002</v>
      </c>
      <c r="B13" s="68">
        <v>0.54120800000000002</v>
      </c>
      <c r="C13" s="68">
        <v>4.4383100000000004</v>
      </c>
      <c r="D13" s="68">
        <v>1</v>
      </c>
      <c r="E13" s="68" t="s">
        <v>419</v>
      </c>
    </row>
    <row r="14" spans="1:5">
      <c r="A14" s="68">
        <v>0.29633599999999999</v>
      </c>
      <c r="B14" s="68">
        <v>0.53628900000000002</v>
      </c>
      <c r="C14" s="68">
        <v>4.8411299999999997</v>
      </c>
      <c r="D14" s="68">
        <v>1</v>
      </c>
      <c r="E14" s="68" t="s">
        <v>420</v>
      </c>
    </row>
    <row r="15" spans="1:5">
      <c r="A15" s="68">
        <v>0.30221799999999999</v>
      </c>
      <c r="B15" s="68">
        <v>0.53079399999999999</v>
      </c>
      <c r="C15" s="68">
        <v>5.2481799999999996</v>
      </c>
      <c r="D15" s="68">
        <v>1</v>
      </c>
      <c r="E15" s="68" t="s">
        <v>421</v>
      </c>
    </row>
    <row r="16" spans="1:5">
      <c r="A16" s="68">
        <v>0.308112</v>
      </c>
      <c r="B16" s="68">
        <v>0.52539400000000003</v>
      </c>
      <c r="C16" s="68">
        <v>5.65808</v>
      </c>
      <c r="D16" s="68">
        <v>1</v>
      </c>
      <c r="E16" s="68" t="s">
        <v>422</v>
      </c>
    </row>
    <row r="17" spans="1:5">
      <c r="A17" s="68">
        <v>0.31392900000000001</v>
      </c>
      <c r="B17" s="68">
        <v>0.52054199999999995</v>
      </c>
      <c r="C17" s="68">
        <v>6.0637999999999996</v>
      </c>
      <c r="D17" s="68">
        <v>1</v>
      </c>
      <c r="E17" s="68" t="s">
        <v>423</v>
      </c>
    </row>
    <row r="18" spans="1:5">
      <c r="A18" s="68">
        <v>0.31948599999999999</v>
      </c>
      <c r="B18" s="68">
        <v>0.51556999999999997</v>
      </c>
      <c r="C18" s="68">
        <v>6.46976</v>
      </c>
      <c r="D18" s="68">
        <v>1</v>
      </c>
      <c r="E18" s="68" t="s">
        <v>424</v>
      </c>
    </row>
    <row r="19" spans="1:5">
      <c r="A19" s="68">
        <v>0.32478400000000002</v>
      </c>
      <c r="B19" s="68">
        <v>0.51001200000000002</v>
      </c>
      <c r="C19" s="68">
        <v>6.8738900000000003</v>
      </c>
      <c r="D19" s="68">
        <v>1</v>
      </c>
      <c r="E19" s="68" t="s">
        <v>425</v>
      </c>
    </row>
    <row r="20" spans="1:5">
      <c r="A20" s="68">
        <v>0.33012999999999998</v>
      </c>
      <c r="B20" s="68">
        <v>0.50335099999999999</v>
      </c>
      <c r="C20" s="68">
        <v>7.2788599999999999</v>
      </c>
      <c r="D20" s="68">
        <v>1</v>
      </c>
      <c r="E20" s="68" t="s">
        <v>426</v>
      </c>
    </row>
    <row r="21" spans="1:5">
      <c r="A21" s="68">
        <v>0.33496999999999999</v>
      </c>
      <c r="B21" s="68">
        <v>0.49744100000000002</v>
      </c>
      <c r="C21" s="68">
        <v>7.6886000000000001</v>
      </c>
      <c r="D21" s="68">
        <v>1</v>
      </c>
      <c r="E21" s="68" t="s">
        <v>427</v>
      </c>
    </row>
    <row r="22" spans="1:5">
      <c r="A22" s="68">
        <v>0.339279</v>
      </c>
      <c r="B22" s="68">
        <v>0.49161700000000003</v>
      </c>
      <c r="C22" s="68">
        <v>8.0944500000000001</v>
      </c>
      <c r="D22" s="68">
        <v>1</v>
      </c>
      <c r="E22" s="68" t="s">
        <v>428</v>
      </c>
    </row>
    <row r="23" spans="1:5">
      <c r="A23" s="68">
        <v>0.34299800000000003</v>
      </c>
      <c r="B23" s="68">
        <v>0.48586600000000002</v>
      </c>
      <c r="C23" s="68">
        <v>8.5003499999999992</v>
      </c>
      <c r="D23" s="68">
        <v>1</v>
      </c>
      <c r="E23" s="68" t="s">
        <v>429</v>
      </c>
    </row>
    <row r="24" spans="1:5">
      <c r="A24" s="68">
        <v>0.34623999999999999</v>
      </c>
      <c r="B24" s="68">
        <v>0.47958600000000001</v>
      </c>
      <c r="C24" s="68">
        <v>8.9087999999999994</v>
      </c>
      <c r="D24" s="68">
        <v>1</v>
      </c>
      <c r="E24" s="68" t="s">
        <v>430</v>
      </c>
    </row>
    <row r="25" spans="1:5">
      <c r="A25" s="68">
        <v>0.348995</v>
      </c>
      <c r="B25" s="68">
        <v>0.47294599999999998</v>
      </c>
      <c r="C25" s="68">
        <v>9.3103300000000004</v>
      </c>
      <c r="D25" s="68">
        <v>1</v>
      </c>
      <c r="E25" s="68" t="s">
        <v>431</v>
      </c>
    </row>
    <row r="26" spans="1:5">
      <c r="A26" s="68">
        <v>0.35150300000000001</v>
      </c>
      <c r="B26" s="68">
        <v>0.465532</v>
      </c>
      <c r="C26" s="68">
        <v>9.7150599999999994</v>
      </c>
      <c r="D26" s="68">
        <v>1</v>
      </c>
      <c r="E26" s="68" t="s">
        <v>432</v>
      </c>
    </row>
    <row r="27" spans="1:5">
      <c r="A27" s="68">
        <v>0.35400599999999999</v>
      </c>
      <c r="B27" s="68">
        <v>0.45774700000000001</v>
      </c>
      <c r="C27" s="68">
        <v>10.1258</v>
      </c>
      <c r="D27" s="68">
        <v>1</v>
      </c>
      <c r="E27" s="68" t="s">
        <v>433</v>
      </c>
    </row>
    <row r="28" spans="1:5">
      <c r="A28" s="68">
        <v>0.35646800000000001</v>
      </c>
      <c r="B28" s="68">
        <v>0.45002199999999998</v>
      </c>
      <c r="C28" s="68">
        <v>10.5275</v>
      </c>
      <c r="D28" s="68">
        <v>1</v>
      </c>
      <c r="E28" s="68" t="s">
        <v>434</v>
      </c>
    </row>
    <row r="29" spans="1:5">
      <c r="A29" s="68">
        <v>0.35850300000000002</v>
      </c>
      <c r="B29" s="68">
        <v>0.442355</v>
      </c>
      <c r="C29" s="68">
        <v>10.9358</v>
      </c>
      <c r="D29" s="68">
        <v>1</v>
      </c>
      <c r="E29" s="68" t="s">
        <v>435</v>
      </c>
    </row>
    <row r="30" spans="1:5">
      <c r="A30" s="68">
        <v>0.36038599999999998</v>
      </c>
      <c r="B30" s="68">
        <v>0.434749</v>
      </c>
      <c r="C30" s="68">
        <v>11.340999999999999</v>
      </c>
      <c r="D30" s="68">
        <v>1</v>
      </c>
      <c r="E30" s="68" t="s">
        <v>436</v>
      </c>
    </row>
    <row r="31" spans="1:5">
      <c r="A31" s="68">
        <v>0.36239100000000002</v>
      </c>
      <c r="B31" s="68">
        <v>0.42726599999999998</v>
      </c>
      <c r="C31" s="68">
        <v>11.7476</v>
      </c>
      <c r="D31" s="68">
        <v>1</v>
      </c>
      <c r="E31" s="68" t="s">
        <v>437</v>
      </c>
    </row>
    <row r="32" spans="1:5">
      <c r="A32" s="68">
        <v>0.36433399999999999</v>
      </c>
      <c r="B32" s="68">
        <v>0.41991899999999999</v>
      </c>
      <c r="C32" s="68">
        <v>12.153600000000001</v>
      </c>
      <c r="D32" s="68">
        <v>1</v>
      </c>
      <c r="E32" s="68" t="s">
        <v>438</v>
      </c>
    </row>
    <row r="33" spans="1:5">
      <c r="A33" s="68">
        <v>0.366143</v>
      </c>
      <c r="B33" s="68">
        <v>0.41270800000000002</v>
      </c>
      <c r="C33" s="68">
        <v>12.5634</v>
      </c>
      <c r="D33" s="68">
        <v>1</v>
      </c>
      <c r="E33" s="68" t="s">
        <v>439</v>
      </c>
    </row>
    <row r="34" spans="1:5">
      <c r="A34" s="68">
        <v>0.36792999999999998</v>
      </c>
      <c r="B34" s="68">
        <v>0.40561799999999998</v>
      </c>
      <c r="C34" s="68">
        <v>12.9664</v>
      </c>
      <c r="D34" s="68">
        <v>1</v>
      </c>
      <c r="E34" s="68" t="s">
        <v>440</v>
      </c>
    </row>
    <row r="35" spans="1:5">
      <c r="A35" s="68">
        <v>0.36968499999999999</v>
      </c>
      <c r="B35" s="68">
        <v>0.39835100000000001</v>
      </c>
      <c r="C35" s="68">
        <v>13.3727</v>
      </c>
      <c r="D35" s="68">
        <v>1</v>
      </c>
      <c r="E35" s="68" t="s">
        <v>441</v>
      </c>
    </row>
    <row r="36" spans="1:5">
      <c r="A36" s="68">
        <v>0.371365</v>
      </c>
      <c r="B36" s="68">
        <v>0.39123799999999997</v>
      </c>
      <c r="C36" s="68">
        <v>13.7783</v>
      </c>
      <c r="D36" s="68">
        <v>1</v>
      </c>
      <c r="E36" s="68" t="s">
        <v>442</v>
      </c>
    </row>
    <row r="37" spans="1:5">
      <c r="A37" s="68">
        <v>0.37290200000000001</v>
      </c>
      <c r="B37" s="68">
        <v>0.38407599999999997</v>
      </c>
      <c r="C37" s="68">
        <v>14.1905</v>
      </c>
      <c r="D37" s="68">
        <v>1</v>
      </c>
      <c r="E37" s="68" t="s">
        <v>443</v>
      </c>
    </row>
    <row r="38" spans="1:5">
      <c r="A38" s="68">
        <v>0.37441200000000002</v>
      </c>
      <c r="B38" s="68">
        <v>0.376697</v>
      </c>
      <c r="C38" s="68">
        <v>14.595000000000001</v>
      </c>
      <c r="D38" s="68">
        <v>1</v>
      </c>
      <c r="E38" s="68" t="s">
        <v>444</v>
      </c>
    </row>
    <row r="39" spans="1:5">
      <c r="A39" s="68">
        <v>0.37562099999999998</v>
      </c>
      <c r="B39" s="68">
        <v>0.36967100000000003</v>
      </c>
      <c r="C39" s="68">
        <v>14.994899999999999</v>
      </c>
      <c r="D39" s="68">
        <v>1</v>
      </c>
      <c r="E39" s="68" t="s">
        <v>445</v>
      </c>
    </row>
    <row r="40" spans="1:5">
      <c r="A40" s="68">
        <v>0.37646000000000002</v>
      </c>
      <c r="B40" s="68">
        <v>0.36311399999999999</v>
      </c>
      <c r="C40" s="68">
        <v>15.4049</v>
      </c>
      <c r="D40" s="68">
        <v>1</v>
      </c>
      <c r="E40" s="68" t="s">
        <v>446</v>
      </c>
    </row>
    <row r="41" spans="1:5">
      <c r="A41" s="68">
        <v>0.37695299999999998</v>
      </c>
      <c r="B41" s="68">
        <v>0.35759400000000002</v>
      </c>
      <c r="C41" s="68">
        <v>15.808</v>
      </c>
      <c r="D41" s="68">
        <v>1</v>
      </c>
      <c r="E41" s="68" t="s">
        <v>447</v>
      </c>
    </row>
    <row r="42" spans="1:5">
      <c r="A42" s="68">
        <v>0.37702599999999997</v>
      </c>
      <c r="B42" s="68">
        <v>0.35281800000000002</v>
      </c>
      <c r="C42" s="68">
        <v>16.217600000000001</v>
      </c>
      <c r="D42" s="68">
        <v>1</v>
      </c>
      <c r="E42" s="68" t="s">
        <v>448</v>
      </c>
    </row>
    <row r="43" spans="1:5">
      <c r="A43" s="68">
        <v>0.37678299999999998</v>
      </c>
      <c r="B43" s="68">
        <v>0.34809899999999999</v>
      </c>
      <c r="C43" s="68">
        <v>16.623899999999999</v>
      </c>
      <c r="D43" s="68">
        <v>1</v>
      </c>
      <c r="E43" s="68" t="s">
        <v>449</v>
      </c>
    </row>
    <row r="44" spans="1:5">
      <c r="A44" s="68">
        <v>0.37645800000000001</v>
      </c>
      <c r="B44" s="68">
        <v>0.34375499999999998</v>
      </c>
      <c r="C44" s="68">
        <v>17.028500000000001</v>
      </c>
      <c r="D44" s="68">
        <v>1</v>
      </c>
      <c r="E44" s="68" t="s">
        <v>450</v>
      </c>
    </row>
    <row r="45" spans="1:5">
      <c r="A45" s="68">
        <v>0.37607000000000002</v>
      </c>
      <c r="B45" s="68">
        <v>0.33989000000000003</v>
      </c>
      <c r="C45" s="68">
        <v>17.433399999999999</v>
      </c>
      <c r="D45" s="68">
        <v>1</v>
      </c>
      <c r="E45" s="68" t="s">
        <v>451</v>
      </c>
    </row>
    <row r="46" spans="1:5">
      <c r="A46" s="68">
        <v>0.37617299999999998</v>
      </c>
      <c r="B46" s="68">
        <v>0.33615699999999998</v>
      </c>
      <c r="C46" s="68">
        <v>17.845300000000002</v>
      </c>
      <c r="D46" s="68">
        <v>1</v>
      </c>
      <c r="E46" s="68" t="s">
        <v>452</v>
      </c>
    </row>
    <row r="47" spans="1:5">
      <c r="A47" s="68">
        <v>0.37629099999999999</v>
      </c>
      <c r="B47" s="68">
        <v>0.333152</v>
      </c>
      <c r="C47" s="68">
        <v>18.2483</v>
      </c>
      <c r="D47" s="68">
        <v>1</v>
      </c>
      <c r="E47" s="68" t="s">
        <v>453</v>
      </c>
    </row>
    <row r="48" spans="1:5">
      <c r="A48" s="68">
        <v>0.376523</v>
      </c>
      <c r="B48" s="68">
        <v>0.33083000000000001</v>
      </c>
      <c r="C48" s="68">
        <v>18.656099999999999</v>
      </c>
      <c r="D48" s="68">
        <v>1</v>
      </c>
      <c r="E48" s="68" t="s">
        <v>454</v>
      </c>
    </row>
    <row r="49" spans="1:5">
      <c r="A49" s="68">
        <v>0.37687500000000002</v>
      </c>
      <c r="B49" s="68">
        <v>0.329067</v>
      </c>
      <c r="C49" s="68">
        <v>19.064</v>
      </c>
      <c r="D49" s="68">
        <v>1</v>
      </c>
      <c r="E49" s="68" t="s">
        <v>455</v>
      </c>
    </row>
    <row r="50" spans="1:5">
      <c r="A50" s="68">
        <v>0.37736799999999998</v>
      </c>
      <c r="B50" s="68">
        <v>0.32752599999999998</v>
      </c>
      <c r="C50" s="68">
        <v>19.465</v>
      </c>
      <c r="D50" s="68">
        <v>1</v>
      </c>
      <c r="E50" s="68" t="s">
        <v>456</v>
      </c>
    </row>
    <row r="51" spans="1:5">
      <c r="A51" s="68">
        <v>0.37785999999999997</v>
      </c>
      <c r="B51" s="68">
        <v>0.32584400000000002</v>
      </c>
      <c r="C51" s="68">
        <v>19.873100000000001</v>
      </c>
      <c r="D51" s="68">
        <v>1</v>
      </c>
      <c r="E51" s="68" t="s">
        <v>457</v>
      </c>
    </row>
    <row r="52" spans="1:5">
      <c r="A52" s="68">
        <v>0.37828200000000001</v>
      </c>
      <c r="B52" s="68">
        <v>0.32452599999999998</v>
      </c>
      <c r="C52" s="68">
        <v>20.2818</v>
      </c>
      <c r="D52" s="68">
        <v>1</v>
      </c>
      <c r="E52" s="68" t="s">
        <v>458</v>
      </c>
    </row>
    <row r="53" spans="1:5">
      <c r="A53" s="68">
        <v>0.37893500000000002</v>
      </c>
      <c r="B53" s="68">
        <v>0.32207799999999998</v>
      </c>
      <c r="C53" s="68">
        <v>20.687799999999999</v>
      </c>
      <c r="D53" s="68">
        <v>1</v>
      </c>
      <c r="E53" s="68" t="s">
        <v>459</v>
      </c>
    </row>
    <row r="54" spans="1:5">
      <c r="A54" s="68">
        <v>0.37960100000000002</v>
      </c>
      <c r="B54" s="68">
        <v>0.31970199999999999</v>
      </c>
      <c r="C54" s="68">
        <v>21.0947</v>
      </c>
      <c r="D54" s="68">
        <v>1</v>
      </c>
      <c r="E54" s="68" t="s">
        <v>460</v>
      </c>
    </row>
    <row r="55" spans="1:5">
      <c r="A55" s="68">
        <v>0.38001099999999999</v>
      </c>
      <c r="B55" s="68">
        <v>0.31746600000000003</v>
      </c>
      <c r="C55" s="68">
        <v>21.4986</v>
      </c>
      <c r="D55" s="68">
        <v>1</v>
      </c>
      <c r="E55" s="68" t="s">
        <v>461</v>
      </c>
    </row>
    <row r="56" spans="1:5">
      <c r="A56" s="68">
        <v>0.38011400000000001</v>
      </c>
      <c r="B56" s="68">
        <v>0.31506499999999998</v>
      </c>
      <c r="C56" s="68">
        <v>21.903600000000001</v>
      </c>
      <c r="D56" s="68">
        <v>1</v>
      </c>
      <c r="E56" s="68" t="s">
        <v>462</v>
      </c>
    </row>
    <row r="57" spans="1:5">
      <c r="A57" s="68">
        <v>0.38010100000000002</v>
      </c>
      <c r="B57" s="68">
        <v>0.313303</v>
      </c>
      <c r="C57" s="68">
        <v>22.3124</v>
      </c>
      <c r="D57" s="68">
        <v>1</v>
      </c>
      <c r="E57" s="68" t="s">
        <v>463</v>
      </c>
    </row>
    <row r="58" spans="1:5">
      <c r="A58" s="68">
        <v>0.37994699999999998</v>
      </c>
      <c r="B58" s="68">
        <v>0.31132199999999999</v>
      </c>
      <c r="C58" s="68">
        <v>22.720300000000002</v>
      </c>
      <c r="D58" s="68">
        <v>1</v>
      </c>
      <c r="E58" s="68" t="s">
        <v>464</v>
      </c>
    </row>
    <row r="59" spans="1:5">
      <c r="A59" s="68">
        <v>0.37945800000000002</v>
      </c>
      <c r="B59" s="68">
        <v>0.30935200000000002</v>
      </c>
      <c r="C59" s="68">
        <v>23.121200000000002</v>
      </c>
      <c r="D59" s="68">
        <v>1</v>
      </c>
      <c r="E59" s="68" t="s">
        <v>465</v>
      </c>
    </row>
    <row r="60" spans="1:5">
      <c r="A60" s="68">
        <v>0.378556</v>
      </c>
      <c r="B60" s="68">
        <v>0.30759300000000001</v>
      </c>
      <c r="C60" s="68">
        <v>23.5291</v>
      </c>
      <c r="D60" s="68">
        <v>1</v>
      </c>
      <c r="E60" s="68" t="s">
        <v>466</v>
      </c>
    </row>
    <row r="61" spans="1:5">
      <c r="A61" s="68">
        <v>0.37773899999999999</v>
      </c>
      <c r="B61" s="68">
        <v>0.30645699999999998</v>
      </c>
      <c r="C61" s="68">
        <v>23.938099999999999</v>
      </c>
      <c r="D61" s="68">
        <v>1</v>
      </c>
      <c r="E61" s="68" t="s">
        <v>467</v>
      </c>
    </row>
    <row r="62" spans="1:5">
      <c r="A62" s="68">
        <v>0.37665199999999999</v>
      </c>
      <c r="B62" s="68">
        <v>0.30548399999999998</v>
      </c>
      <c r="C62" s="68">
        <v>24.341100000000001</v>
      </c>
      <c r="D62" s="68">
        <v>1</v>
      </c>
      <c r="E62" s="68" t="s">
        <v>468</v>
      </c>
    </row>
    <row r="63" spans="1:5">
      <c r="A63" s="68">
        <v>0.37539</v>
      </c>
      <c r="B63" s="68">
        <v>0.30504500000000001</v>
      </c>
      <c r="C63" s="68">
        <v>24.7499</v>
      </c>
      <c r="D63" s="68">
        <v>1</v>
      </c>
      <c r="E63" s="68" t="s">
        <v>469</v>
      </c>
    </row>
    <row r="64" spans="1:5">
      <c r="A64" s="68">
        <v>0.374394</v>
      </c>
      <c r="B64" s="68">
        <v>0.30431799999999998</v>
      </c>
      <c r="C64" s="68">
        <v>25.154800000000002</v>
      </c>
      <c r="D64" s="68">
        <v>1</v>
      </c>
      <c r="E64" s="68" t="s">
        <v>470</v>
      </c>
    </row>
    <row r="65" spans="1:5">
      <c r="A65" s="68">
        <v>0.37354300000000001</v>
      </c>
      <c r="B65" s="68">
        <v>0.30382100000000001</v>
      </c>
      <c r="C65" s="68">
        <v>25.562799999999999</v>
      </c>
      <c r="D65" s="68">
        <v>1</v>
      </c>
      <c r="E65" s="68" t="s">
        <v>471</v>
      </c>
    </row>
    <row r="66" spans="1:5">
      <c r="A66" s="68">
        <v>0.37304599999999999</v>
      </c>
      <c r="B66" s="68">
        <v>0.302985</v>
      </c>
      <c r="C66" s="68">
        <v>25.9649</v>
      </c>
      <c r="D66" s="68">
        <v>1</v>
      </c>
      <c r="E66" s="68" t="s">
        <v>472</v>
      </c>
    </row>
    <row r="67" spans="1:5">
      <c r="A67" s="68">
        <v>0.37320199999999998</v>
      </c>
      <c r="B67" s="68">
        <v>0.30197200000000002</v>
      </c>
      <c r="C67" s="68">
        <v>26.372499999999999</v>
      </c>
      <c r="D67" s="68">
        <v>1</v>
      </c>
      <c r="E67" s="68" t="s">
        <v>473</v>
      </c>
    </row>
    <row r="68" spans="1:5">
      <c r="A68" s="68">
        <v>0.37387900000000002</v>
      </c>
      <c r="B68" s="68">
        <v>0.301286</v>
      </c>
      <c r="C68" s="68">
        <v>26.778500000000001</v>
      </c>
      <c r="D68" s="68">
        <v>1</v>
      </c>
      <c r="E68" s="68" t="s">
        <v>474</v>
      </c>
    </row>
    <row r="69" spans="1:5">
      <c r="A69" s="68">
        <v>0.37460500000000002</v>
      </c>
      <c r="B69" s="68">
        <v>0.30038100000000001</v>
      </c>
      <c r="C69" s="68">
        <v>27.186299999999999</v>
      </c>
      <c r="D69" s="68">
        <v>1</v>
      </c>
      <c r="E69" s="68" t="s">
        <v>475</v>
      </c>
    </row>
    <row r="70" spans="1:5">
      <c r="A70" s="68">
        <v>0.375054</v>
      </c>
      <c r="B70" s="68">
        <v>0.29941299999999998</v>
      </c>
      <c r="C70" s="68">
        <v>27.590499999999999</v>
      </c>
      <c r="D70" s="68">
        <v>1</v>
      </c>
      <c r="E70" s="68" t="s">
        <v>476</v>
      </c>
    </row>
    <row r="71" spans="1:5">
      <c r="A71" s="68">
        <v>0.37520199999999998</v>
      </c>
      <c r="B71" s="68">
        <v>0.29892600000000003</v>
      </c>
      <c r="C71" s="68">
        <v>27.997199999999999</v>
      </c>
      <c r="D71" s="68">
        <v>1</v>
      </c>
      <c r="E71" s="68" t="s">
        <v>477</v>
      </c>
    </row>
    <row r="72" spans="1:5">
      <c r="A72" s="68">
        <v>0.37567</v>
      </c>
      <c r="B72" s="68">
        <v>0.29836699999999999</v>
      </c>
      <c r="C72" s="68">
        <v>28.4041</v>
      </c>
      <c r="D72" s="68">
        <v>1</v>
      </c>
      <c r="E72" s="68" t="s">
        <v>478</v>
      </c>
    </row>
    <row r="73" spans="1:5">
      <c r="A73" s="68">
        <v>0.37629400000000002</v>
      </c>
      <c r="B73" s="68">
        <v>0.29756100000000002</v>
      </c>
      <c r="C73" s="68">
        <v>28.81</v>
      </c>
      <c r="D73" s="68">
        <v>1</v>
      </c>
      <c r="E73" s="68" t="s">
        <v>479</v>
      </c>
    </row>
    <row r="74" spans="1:5">
      <c r="A74" s="68">
        <v>0.37694899999999998</v>
      </c>
      <c r="B74" s="68">
        <v>0.29683100000000001</v>
      </c>
      <c r="C74" s="68">
        <v>29.216000000000001</v>
      </c>
      <c r="D74" s="68">
        <v>1</v>
      </c>
      <c r="E74" s="68" t="s">
        <v>480</v>
      </c>
    </row>
    <row r="75" spans="1:5">
      <c r="A75" s="68">
        <v>0.37774200000000002</v>
      </c>
      <c r="B75" s="68">
        <v>0.29614200000000002</v>
      </c>
      <c r="C75" s="68">
        <v>29.625800000000002</v>
      </c>
      <c r="D75" s="68">
        <v>1</v>
      </c>
      <c r="E75" s="68" t="s">
        <v>481</v>
      </c>
    </row>
    <row r="76" spans="1:5">
      <c r="A76" s="68">
        <v>0.37857600000000002</v>
      </c>
      <c r="B76" s="68">
        <v>0.29571199999999997</v>
      </c>
      <c r="C76" s="68">
        <v>30.0307</v>
      </c>
      <c r="D76" s="68">
        <v>1</v>
      </c>
      <c r="E76" s="68" t="s">
        <v>482</v>
      </c>
    </row>
    <row r="77" spans="1:5">
      <c r="A77" s="68">
        <v>0.37917099999999998</v>
      </c>
      <c r="B77" s="68">
        <v>0.29648400000000003</v>
      </c>
      <c r="C77" s="68">
        <v>30.606400000000001</v>
      </c>
      <c r="D77" s="68">
        <v>2</v>
      </c>
      <c r="E77" s="68" t="s">
        <v>483</v>
      </c>
    </row>
    <row r="78" spans="1:5">
      <c r="A78" s="68">
        <v>0.37923600000000002</v>
      </c>
      <c r="B78" s="68">
        <v>0.29758699999999999</v>
      </c>
      <c r="C78" s="68">
        <v>30.984200000000001</v>
      </c>
      <c r="D78" s="68">
        <v>2</v>
      </c>
      <c r="E78" s="68" t="s">
        <v>484</v>
      </c>
    </row>
    <row r="79" spans="1:5">
      <c r="A79" s="68">
        <v>0.37976900000000002</v>
      </c>
      <c r="B79" s="68">
        <v>0.29827599999999999</v>
      </c>
      <c r="C79" s="68">
        <v>31.360099999999999</v>
      </c>
      <c r="D79" s="68">
        <v>2</v>
      </c>
      <c r="E79" s="68" t="s">
        <v>485</v>
      </c>
    </row>
    <row r="80" spans="1:5">
      <c r="A80" s="68">
        <v>0.38060699999999997</v>
      </c>
      <c r="B80" s="68">
        <v>0.299207</v>
      </c>
      <c r="C80" s="68">
        <v>31.735299999999999</v>
      </c>
      <c r="D80" s="68">
        <v>2</v>
      </c>
      <c r="E80" s="68" t="s">
        <v>486</v>
      </c>
    </row>
    <row r="81" spans="1:5">
      <c r="A81" s="68">
        <v>0.38151600000000002</v>
      </c>
      <c r="B81" s="68">
        <v>0.29981799999999997</v>
      </c>
      <c r="C81" s="68">
        <v>32.1233</v>
      </c>
      <c r="D81" s="68">
        <v>2</v>
      </c>
      <c r="E81" s="68" t="s">
        <v>487</v>
      </c>
    </row>
    <row r="82" spans="1:5">
      <c r="A82" s="68">
        <v>0.382629</v>
      </c>
      <c r="B82" s="68">
        <v>0.29978900000000003</v>
      </c>
      <c r="C82" s="68">
        <v>32.533999999999999</v>
      </c>
      <c r="D82" s="68">
        <v>2</v>
      </c>
      <c r="E82" s="68" t="s">
        <v>488</v>
      </c>
    </row>
    <row r="83" spans="1:5">
      <c r="A83" s="68">
        <v>0.38363900000000001</v>
      </c>
      <c r="B83" s="68">
        <v>0.30032199999999998</v>
      </c>
      <c r="C83" s="68">
        <v>32.938099999999999</v>
      </c>
      <c r="D83" s="68">
        <v>2</v>
      </c>
      <c r="E83" s="68" t="s">
        <v>489</v>
      </c>
    </row>
    <row r="84" spans="1:5">
      <c r="A84" s="68">
        <v>0.38484600000000002</v>
      </c>
      <c r="B84" s="68">
        <v>0.30091400000000001</v>
      </c>
      <c r="C84" s="68">
        <v>33.342100000000002</v>
      </c>
      <c r="D84" s="68">
        <v>2</v>
      </c>
      <c r="E84" s="68" t="s">
        <v>490</v>
      </c>
    </row>
    <row r="85" spans="1:5">
      <c r="A85" s="68">
        <v>0.385907</v>
      </c>
      <c r="B85" s="68">
        <v>0.30168899999999998</v>
      </c>
      <c r="C85" s="68">
        <v>33.7498</v>
      </c>
      <c r="D85" s="68">
        <v>2</v>
      </c>
      <c r="E85" s="68" t="s">
        <v>491</v>
      </c>
    </row>
    <row r="86" spans="1:5">
      <c r="A86" s="68">
        <v>0.38683499999999998</v>
      </c>
      <c r="B86" s="68">
        <v>0.30281999999999998</v>
      </c>
      <c r="C86" s="68">
        <v>34.158700000000003</v>
      </c>
      <c r="D86" s="68">
        <v>2</v>
      </c>
      <c r="E86" s="68" t="s">
        <v>492</v>
      </c>
    </row>
    <row r="87" spans="1:5">
      <c r="A87" s="68">
        <v>0.387741</v>
      </c>
      <c r="B87" s="68">
        <v>0.30454199999999998</v>
      </c>
      <c r="C87" s="68">
        <v>34.562600000000003</v>
      </c>
      <c r="D87" s="68">
        <v>2</v>
      </c>
      <c r="E87" s="68" t="s">
        <v>493</v>
      </c>
    </row>
    <row r="88" spans="1:5">
      <c r="A88" s="68">
        <v>0.388652</v>
      </c>
      <c r="B88" s="68">
        <v>0.306591</v>
      </c>
      <c r="C88" s="68">
        <v>34.967500000000001</v>
      </c>
      <c r="D88" s="68">
        <v>2</v>
      </c>
      <c r="E88" s="68" t="s">
        <v>494</v>
      </c>
    </row>
    <row r="89" spans="1:5">
      <c r="A89" s="68">
        <v>0.38960600000000001</v>
      </c>
      <c r="B89" s="68">
        <v>0.30883899999999997</v>
      </c>
      <c r="C89" s="68">
        <v>35.375799999999998</v>
      </c>
      <c r="D89" s="68">
        <v>2</v>
      </c>
      <c r="E89" s="68" t="s">
        <v>495</v>
      </c>
    </row>
    <row r="90" spans="1:5">
      <c r="A90" s="68">
        <v>0.39058199999999998</v>
      </c>
      <c r="B90" s="68">
        <v>0.31113600000000002</v>
      </c>
      <c r="C90" s="68">
        <v>35.779299999999999</v>
      </c>
      <c r="D90" s="68">
        <v>2</v>
      </c>
      <c r="E90" s="68" t="s">
        <v>496</v>
      </c>
    </row>
    <row r="91" spans="1:5">
      <c r="A91" s="68">
        <v>0.39128200000000002</v>
      </c>
      <c r="B91" s="68">
        <v>0.31356899999999999</v>
      </c>
      <c r="C91" s="68">
        <v>36.186199999999999</v>
      </c>
      <c r="D91" s="68">
        <v>2</v>
      </c>
      <c r="E91" s="68" t="s">
        <v>497</v>
      </c>
    </row>
    <row r="92" spans="1:5">
      <c r="A92" s="68">
        <v>0.391876</v>
      </c>
      <c r="B92" s="68">
        <v>0.31622600000000001</v>
      </c>
      <c r="C92" s="68">
        <v>36.592199999999998</v>
      </c>
      <c r="D92" s="68">
        <v>2</v>
      </c>
      <c r="E92" s="68" t="s">
        <v>498</v>
      </c>
    </row>
    <row r="93" spans="1:5">
      <c r="A93" s="68">
        <v>0.392347</v>
      </c>
      <c r="B93" s="68">
        <v>0.31920500000000002</v>
      </c>
      <c r="C93" s="68">
        <v>36.999099999999999</v>
      </c>
      <c r="D93" s="68">
        <v>2</v>
      </c>
      <c r="E93" s="68" t="s">
        <v>499</v>
      </c>
    </row>
    <row r="94" spans="1:5">
      <c r="A94" s="68">
        <v>0.39262399999999997</v>
      </c>
      <c r="B94" s="68">
        <v>0.32325700000000002</v>
      </c>
      <c r="C94" s="68">
        <v>37.405099999999997</v>
      </c>
      <c r="D94" s="68">
        <v>2</v>
      </c>
      <c r="E94" s="68" t="s">
        <v>500</v>
      </c>
    </row>
    <row r="95" spans="1:5">
      <c r="A95" s="68">
        <v>0.39286399999999999</v>
      </c>
      <c r="B95" s="68">
        <v>0.32755699999999999</v>
      </c>
      <c r="C95" s="68">
        <v>37.808999999999997</v>
      </c>
      <c r="D95" s="68">
        <v>2</v>
      </c>
      <c r="E95" s="68" t="s">
        <v>501</v>
      </c>
    </row>
    <row r="96" spans="1:5">
      <c r="A96" s="68">
        <v>0.39318900000000001</v>
      </c>
      <c r="B96" s="68">
        <v>0.331978</v>
      </c>
      <c r="C96" s="68">
        <v>38.218800000000002</v>
      </c>
      <c r="D96" s="68">
        <v>2</v>
      </c>
      <c r="E96" s="68" t="s">
        <v>502</v>
      </c>
    </row>
    <row r="97" spans="1:5">
      <c r="A97" s="68">
        <v>0.393594</v>
      </c>
      <c r="B97" s="68">
        <v>0.33623999999999998</v>
      </c>
      <c r="C97" s="68">
        <v>38.6267</v>
      </c>
      <c r="D97" s="68">
        <v>2</v>
      </c>
      <c r="E97" s="68" t="s">
        <v>503</v>
      </c>
    </row>
    <row r="98" spans="1:5">
      <c r="A98" s="68">
        <v>0.39424999999999999</v>
      </c>
      <c r="B98" s="68">
        <v>0.34045300000000001</v>
      </c>
      <c r="C98" s="68">
        <v>39.028799999999997</v>
      </c>
      <c r="D98" s="68">
        <v>2</v>
      </c>
      <c r="E98" s="68" t="s">
        <v>504</v>
      </c>
    </row>
    <row r="99" spans="1:5">
      <c r="A99" s="68">
        <v>0.39500000000000002</v>
      </c>
      <c r="B99" s="68">
        <v>0.34472599999999998</v>
      </c>
      <c r="C99" s="68">
        <v>39.432499999999997</v>
      </c>
      <c r="D99" s="68">
        <v>2</v>
      </c>
      <c r="E99" s="68" t="s">
        <v>505</v>
      </c>
    </row>
    <row r="100" spans="1:5">
      <c r="A100" s="68">
        <v>0.39580700000000002</v>
      </c>
      <c r="B100" s="68">
        <v>0.34897</v>
      </c>
      <c r="C100" s="68">
        <v>39.8399</v>
      </c>
      <c r="D100" s="68">
        <v>2</v>
      </c>
      <c r="E100" s="68" t="s">
        <v>506</v>
      </c>
    </row>
    <row r="101" spans="1:5">
      <c r="A101" s="68">
        <v>0.39689400000000002</v>
      </c>
      <c r="B101" s="68">
        <v>0.35277900000000001</v>
      </c>
      <c r="C101" s="68">
        <v>40.252400000000002</v>
      </c>
      <c r="D101" s="68">
        <v>2</v>
      </c>
      <c r="E101" s="68" t="s">
        <v>507</v>
      </c>
    </row>
    <row r="102" spans="1:5">
      <c r="A102" s="68">
        <v>0.39826600000000001</v>
      </c>
      <c r="B102" s="68">
        <v>0.35600599999999999</v>
      </c>
      <c r="C102" s="68">
        <v>40.657600000000002</v>
      </c>
      <c r="D102" s="68">
        <v>2</v>
      </c>
      <c r="E102" s="68" t="s">
        <v>508</v>
      </c>
    </row>
    <row r="103" spans="1:5">
      <c r="A103" s="68">
        <v>0.39991700000000002</v>
      </c>
      <c r="B103" s="68">
        <v>0.35833300000000001</v>
      </c>
      <c r="C103" s="68">
        <v>41.061300000000003</v>
      </c>
      <c r="D103" s="68">
        <v>2</v>
      </c>
      <c r="E103" s="68" t="s">
        <v>509</v>
      </c>
    </row>
    <row r="104" spans="1:5">
      <c r="A104" s="68">
        <v>0.40151900000000001</v>
      </c>
      <c r="B104" s="68">
        <v>0.36044599999999999</v>
      </c>
      <c r="C104" s="68">
        <v>41.469299999999997</v>
      </c>
      <c r="D104" s="68">
        <v>2</v>
      </c>
      <c r="E104" s="68" t="s">
        <v>510</v>
      </c>
    </row>
    <row r="105" spans="1:5">
      <c r="A105" s="68">
        <v>0.40312599999999998</v>
      </c>
      <c r="B105" s="68">
        <v>0.362514</v>
      </c>
      <c r="C105" s="68">
        <v>41.872300000000003</v>
      </c>
      <c r="D105" s="68">
        <v>2</v>
      </c>
      <c r="E105" s="68" t="s">
        <v>511</v>
      </c>
    </row>
    <row r="106" spans="1:5">
      <c r="A106" s="68">
        <v>0.40475699999999998</v>
      </c>
      <c r="B106" s="68">
        <v>0.36446899999999999</v>
      </c>
      <c r="C106" s="68">
        <v>42.283000000000001</v>
      </c>
      <c r="D106" s="68">
        <v>2</v>
      </c>
      <c r="E106" s="68" t="s">
        <v>512</v>
      </c>
    </row>
    <row r="107" spans="1:5">
      <c r="A107" s="68">
        <v>0.40661599999999998</v>
      </c>
      <c r="B107" s="68">
        <v>0.36584</v>
      </c>
      <c r="C107" s="68">
        <v>42.688899999999997</v>
      </c>
      <c r="D107" s="68">
        <v>2</v>
      </c>
      <c r="E107" s="68" t="s">
        <v>513</v>
      </c>
    </row>
    <row r="108" spans="1:5">
      <c r="A108" s="68">
        <v>0.408854</v>
      </c>
      <c r="B108" s="68">
        <v>0.36697600000000002</v>
      </c>
      <c r="C108" s="68">
        <v>43.0929</v>
      </c>
      <c r="D108" s="68">
        <v>2</v>
      </c>
      <c r="E108" s="68" t="s">
        <v>514</v>
      </c>
    </row>
    <row r="109" spans="1:5">
      <c r="A109" s="68">
        <v>0.41116200000000003</v>
      </c>
      <c r="B109" s="68">
        <v>0.368066</v>
      </c>
      <c r="C109" s="68">
        <v>43.500799999999998</v>
      </c>
      <c r="D109" s="68">
        <v>2</v>
      </c>
      <c r="E109" s="68" t="s">
        <v>515</v>
      </c>
    </row>
    <row r="110" spans="1:5">
      <c r="A110" s="68">
        <v>0.41390399999999999</v>
      </c>
      <c r="B110" s="68">
        <v>0.36789899999999998</v>
      </c>
      <c r="C110" s="68">
        <v>43.904699999999998</v>
      </c>
      <c r="D110" s="68">
        <v>2</v>
      </c>
      <c r="E110" s="68" t="s">
        <v>516</v>
      </c>
    </row>
    <row r="111" spans="1:5">
      <c r="A111" s="68">
        <v>0.41697299999999998</v>
      </c>
      <c r="B111" s="68">
        <v>0.366454</v>
      </c>
      <c r="C111" s="68">
        <v>44.3125</v>
      </c>
      <c r="D111" s="68">
        <v>2</v>
      </c>
      <c r="E111" s="68" t="s">
        <v>517</v>
      </c>
    </row>
    <row r="112" spans="1:5">
      <c r="A112" s="68">
        <v>0.42007100000000003</v>
      </c>
      <c r="B112" s="68">
        <v>0.36498999999999998</v>
      </c>
      <c r="C112" s="68">
        <v>44.721499999999999</v>
      </c>
      <c r="D112" s="68">
        <v>2</v>
      </c>
      <c r="E112" s="68" t="s">
        <v>518</v>
      </c>
    </row>
    <row r="113" spans="1:5">
      <c r="A113" s="68">
        <v>0.42299199999999998</v>
      </c>
      <c r="B113" s="68">
        <v>0.36310700000000001</v>
      </c>
      <c r="C113" s="68">
        <v>45.124499999999998</v>
      </c>
      <c r="D113" s="68">
        <v>2</v>
      </c>
      <c r="E113" s="68" t="s">
        <v>519</v>
      </c>
    </row>
    <row r="114" spans="1:5">
      <c r="A114" s="68">
        <v>0.42593799999999998</v>
      </c>
      <c r="B114" s="68">
        <v>0.35999799999999998</v>
      </c>
      <c r="C114" s="68">
        <v>45.529200000000003</v>
      </c>
      <c r="D114" s="68">
        <v>2</v>
      </c>
      <c r="E114" s="68" t="s">
        <v>520</v>
      </c>
    </row>
    <row r="115" spans="1:5">
      <c r="A115" s="68">
        <v>0.42895100000000003</v>
      </c>
      <c r="B115" s="68">
        <v>0.35605399999999998</v>
      </c>
      <c r="C115" s="68">
        <v>45.935400000000001</v>
      </c>
      <c r="D115" s="68">
        <v>2</v>
      </c>
      <c r="E115" s="68" t="s">
        <v>521</v>
      </c>
    </row>
    <row r="116" spans="1:5">
      <c r="A116" s="68">
        <v>0.43178499999999997</v>
      </c>
      <c r="B116" s="68">
        <v>0.35210799999999998</v>
      </c>
      <c r="C116" s="68">
        <v>46.344099999999997</v>
      </c>
      <c r="D116" s="68">
        <v>2</v>
      </c>
      <c r="E116" s="68" t="s">
        <v>522</v>
      </c>
    </row>
    <row r="117" spans="1:5">
      <c r="A117" s="68">
        <v>0.43421100000000001</v>
      </c>
      <c r="B117" s="68">
        <v>0.34785100000000002</v>
      </c>
      <c r="C117" s="68">
        <v>46.750999999999998</v>
      </c>
      <c r="D117" s="68">
        <v>2</v>
      </c>
      <c r="E117" s="68" t="s">
        <v>523</v>
      </c>
    </row>
    <row r="118" spans="1:5">
      <c r="A118" s="68">
        <v>0.43670999999999999</v>
      </c>
      <c r="B118" s="68">
        <v>0.34268100000000001</v>
      </c>
      <c r="C118" s="68">
        <v>47.154899999999998</v>
      </c>
      <c r="D118" s="68">
        <v>2</v>
      </c>
      <c r="E118" s="68" t="s">
        <v>524</v>
      </c>
    </row>
    <row r="119" spans="1:5">
      <c r="A119" s="68">
        <v>0.439249</v>
      </c>
      <c r="B119" s="68">
        <v>0.33737</v>
      </c>
      <c r="C119" s="68">
        <v>47.559899999999999</v>
      </c>
      <c r="D119" s="68">
        <v>2</v>
      </c>
      <c r="E119" s="68" t="s">
        <v>525</v>
      </c>
    </row>
    <row r="120" spans="1:5">
      <c r="A120" s="68">
        <v>0.441498</v>
      </c>
      <c r="B120" s="68">
        <v>0.33262999999999998</v>
      </c>
      <c r="C120" s="68">
        <v>47.965899999999998</v>
      </c>
      <c r="D120" s="68">
        <v>2</v>
      </c>
      <c r="E120" s="68" t="s">
        <v>526</v>
      </c>
    </row>
    <row r="121" spans="1:5">
      <c r="A121" s="68">
        <v>0.44359700000000002</v>
      </c>
      <c r="B121" s="68">
        <v>0.327704</v>
      </c>
      <c r="C121" s="68">
        <v>48.373899999999999</v>
      </c>
      <c r="D121" s="68">
        <v>2</v>
      </c>
      <c r="E121" s="68" t="s">
        <v>527</v>
      </c>
    </row>
    <row r="122" spans="1:5">
      <c r="A122" s="68">
        <v>0.44566899999999998</v>
      </c>
      <c r="B122" s="68">
        <v>0.321857</v>
      </c>
      <c r="C122" s="68">
        <v>48.7836</v>
      </c>
      <c r="D122" s="68">
        <v>2</v>
      </c>
      <c r="E122" s="68" t="s">
        <v>528</v>
      </c>
    </row>
    <row r="123" spans="1:5">
      <c r="A123" s="68">
        <v>0.44742999999999999</v>
      </c>
      <c r="B123" s="68">
        <v>0.315668</v>
      </c>
      <c r="C123" s="68">
        <v>49.188600000000001</v>
      </c>
      <c r="D123" s="68">
        <v>2</v>
      </c>
      <c r="E123" s="68" t="s">
        <v>529</v>
      </c>
    </row>
    <row r="124" spans="1:5">
      <c r="A124" s="68">
        <v>0.44896200000000003</v>
      </c>
      <c r="B124" s="68">
        <v>0.30923200000000001</v>
      </c>
      <c r="C124" s="68">
        <v>49.591500000000003</v>
      </c>
      <c r="D124" s="68">
        <v>2</v>
      </c>
      <c r="E124" s="68" t="s">
        <v>530</v>
      </c>
    </row>
    <row r="125" spans="1:5">
      <c r="A125" s="68">
        <v>0.45006800000000002</v>
      </c>
      <c r="B125" s="68">
        <v>0.30288599999999999</v>
      </c>
      <c r="C125" s="68">
        <v>49.995399999999997</v>
      </c>
      <c r="D125" s="68">
        <v>2</v>
      </c>
      <c r="E125" s="68" t="s">
        <v>531</v>
      </c>
    </row>
    <row r="126" spans="1:5">
      <c r="A126" s="68">
        <v>0.45108399999999998</v>
      </c>
      <c r="B126" s="68">
        <v>0.29760399999999998</v>
      </c>
      <c r="C126" s="68">
        <v>50.403199999999998</v>
      </c>
      <c r="D126" s="68">
        <v>2</v>
      </c>
      <c r="E126" s="68" t="s">
        <v>532</v>
      </c>
    </row>
    <row r="127" spans="1:5">
      <c r="A127" s="68">
        <v>0.45233200000000001</v>
      </c>
      <c r="B127" s="68">
        <v>0.293263</v>
      </c>
      <c r="C127" s="68">
        <v>50.809199999999997</v>
      </c>
      <c r="D127" s="68">
        <v>2</v>
      </c>
      <c r="E127" s="68" t="s">
        <v>533</v>
      </c>
    </row>
    <row r="128" spans="1:5">
      <c r="A128" s="68">
        <v>0.453343</v>
      </c>
      <c r="B128" s="68">
        <v>0.28903800000000002</v>
      </c>
      <c r="C128" s="68">
        <v>51.215299999999999</v>
      </c>
      <c r="D128" s="68">
        <v>2</v>
      </c>
      <c r="E128" s="68" t="s">
        <v>534</v>
      </c>
    </row>
    <row r="129" spans="1:5">
      <c r="A129" s="68">
        <v>0.45431700000000003</v>
      </c>
      <c r="B129" s="68">
        <v>0.28448600000000002</v>
      </c>
      <c r="C129" s="68">
        <v>51.625</v>
      </c>
      <c r="D129" s="68">
        <v>2</v>
      </c>
      <c r="E129" s="68" t="s">
        <v>535</v>
      </c>
    </row>
    <row r="130" spans="1:5">
      <c r="A130" s="68">
        <v>0.45531199999999999</v>
      </c>
      <c r="B130" s="68">
        <v>0.27950599999999998</v>
      </c>
      <c r="C130" s="68">
        <v>52.0319</v>
      </c>
      <c r="D130" s="68">
        <v>2</v>
      </c>
      <c r="E130" s="68" t="s">
        <v>536</v>
      </c>
    </row>
    <row r="131" spans="1:5">
      <c r="A131" s="68">
        <v>0.456312</v>
      </c>
      <c r="B131" s="68">
        <v>0.274204</v>
      </c>
      <c r="C131" s="68">
        <v>52.437899999999999</v>
      </c>
      <c r="D131" s="68">
        <v>2</v>
      </c>
      <c r="E131" s="68" t="s">
        <v>537</v>
      </c>
    </row>
    <row r="132" spans="1:5">
      <c r="A132" s="68">
        <v>0.45688699999999999</v>
      </c>
      <c r="B132" s="68">
        <v>0.26881100000000002</v>
      </c>
      <c r="C132" s="68">
        <v>52.838900000000002</v>
      </c>
      <c r="D132" s="68">
        <v>2</v>
      </c>
      <c r="E132" s="68" t="s">
        <v>538</v>
      </c>
    </row>
    <row r="133" spans="1:5">
      <c r="A133" s="68">
        <v>0.45727000000000001</v>
      </c>
      <c r="B133" s="68">
        <v>0.26281599999999999</v>
      </c>
      <c r="C133" s="68">
        <v>53.247300000000003</v>
      </c>
      <c r="D133" s="68">
        <v>2</v>
      </c>
      <c r="E133" s="68" t="s">
        <v>539</v>
      </c>
    </row>
    <row r="134" spans="1:5">
      <c r="A134" s="68">
        <v>0.45761200000000002</v>
      </c>
      <c r="B134" s="68">
        <v>0.25646200000000002</v>
      </c>
      <c r="C134" s="68">
        <v>53.656799999999997</v>
      </c>
      <c r="D134" s="68">
        <v>2</v>
      </c>
      <c r="E134" s="68" t="s">
        <v>540</v>
      </c>
    </row>
    <row r="135" spans="1:5">
      <c r="A135" s="68">
        <v>0.45732600000000001</v>
      </c>
      <c r="B135" s="68">
        <v>0.25050800000000001</v>
      </c>
      <c r="C135" s="68">
        <v>54.061500000000002</v>
      </c>
      <c r="D135" s="68">
        <v>2</v>
      </c>
      <c r="E135" s="68" t="s">
        <v>541</v>
      </c>
    </row>
    <row r="136" spans="1:5">
      <c r="A136" s="68">
        <v>0.45650400000000002</v>
      </c>
      <c r="B136" s="68">
        <v>0.245169</v>
      </c>
      <c r="C136" s="68">
        <v>54.468299999999999</v>
      </c>
      <c r="D136" s="68">
        <v>2</v>
      </c>
      <c r="E136" s="68" t="s">
        <v>542</v>
      </c>
    </row>
    <row r="137" spans="1:5">
      <c r="A137" s="68">
        <v>0.45562200000000003</v>
      </c>
      <c r="B137" s="68">
        <v>0.23984900000000001</v>
      </c>
      <c r="C137" s="68">
        <v>54.873600000000003</v>
      </c>
      <c r="D137" s="68">
        <v>2</v>
      </c>
      <c r="E137" s="68" t="s">
        <v>543</v>
      </c>
    </row>
    <row r="138" spans="1:5">
      <c r="A138" s="68">
        <v>0.45469700000000002</v>
      </c>
      <c r="B138" s="68">
        <v>0.23514499999999999</v>
      </c>
      <c r="C138" s="68">
        <v>55.278700000000001</v>
      </c>
      <c r="D138" s="68">
        <v>2</v>
      </c>
      <c r="E138" s="68" t="s">
        <v>544</v>
      </c>
    </row>
    <row r="139" spans="1:5">
      <c r="A139" s="68">
        <v>0.45327099999999998</v>
      </c>
      <c r="B139" s="68">
        <v>0.23216700000000001</v>
      </c>
      <c r="C139" s="68">
        <v>55.686100000000003</v>
      </c>
      <c r="D139" s="68">
        <v>2</v>
      </c>
      <c r="E139" s="68" t="s">
        <v>545</v>
      </c>
    </row>
    <row r="140" spans="1:5">
      <c r="A140" s="68">
        <v>0.45130300000000001</v>
      </c>
      <c r="B140" s="68">
        <v>0.230826</v>
      </c>
      <c r="C140" s="68">
        <v>56.093000000000004</v>
      </c>
      <c r="D140" s="68">
        <v>2</v>
      </c>
      <c r="E140" s="68" t="s">
        <v>546</v>
      </c>
    </row>
    <row r="141" spans="1:5">
      <c r="A141" s="68">
        <v>0.44957599999999998</v>
      </c>
      <c r="B141" s="68">
        <v>0.229433</v>
      </c>
      <c r="C141" s="68">
        <v>56.499899999999997</v>
      </c>
      <c r="D141" s="68">
        <v>2</v>
      </c>
      <c r="E141" s="68" t="s">
        <v>547</v>
      </c>
    </row>
    <row r="142" spans="1:5">
      <c r="A142" s="68">
        <v>0.44825799999999999</v>
      </c>
      <c r="B142" s="68">
        <v>0.227851</v>
      </c>
      <c r="C142" s="68">
        <v>56.905799999999999</v>
      </c>
      <c r="D142" s="68">
        <v>2</v>
      </c>
      <c r="E142" s="68" t="s">
        <v>548</v>
      </c>
    </row>
    <row r="143" spans="1:5">
      <c r="A143" s="68">
        <v>0.44632500000000003</v>
      </c>
      <c r="B143" s="68">
        <v>0.22848599999999999</v>
      </c>
      <c r="C143" s="68">
        <v>57.308900000000001</v>
      </c>
      <c r="D143" s="68">
        <v>2</v>
      </c>
      <c r="E143" s="68" t="s">
        <v>549</v>
      </c>
    </row>
    <row r="144" spans="1:5">
      <c r="A144" s="68">
        <v>0.44423400000000002</v>
      </c>
      <c r="B144" s="68">
        <v>0.229741</v>
      </c>
      <c r="C144" s="68">
        <v>57.7166</v>
      </c>
      <c r="D144" s="68">
        <v>2</v>
      </c>
      <c r="E144" s="68" t="s">
        <v>550</v>
      </c>
    </row>
    <row r="145" spans="1:5">
      <c r="A145" s="68">
        <v>0.44352399999999997</v>
      </c>
      <c r="B145" s="68">
        <v>0.228716</v>
      </c>
      <c r="C145" s="68">
        <v>58.126600000000003</v>
      </c>
      <c r="D145" s="68">
        <v>2</v>
      </c>
      <c r="E145" s="68" t="s">
        <v>551</v>
      </c>
    </row>
    <row r="146" spans="1:5">
      <c r="A146" s="68">
        <v>0.44283400000000001</v>
      </c>
      <c r="B146" s="68">
        <v>0.22726199999999999</v>
      </c>
      <c r="C146" s="68">
        <v>58.530500000000004</v>
      </c>
      <c r="D146" s="68">
        <v>2</v>
      </c>
      <c r="E146" s="68" t="s">
        <v>552</v>
      </c>
    </row>
    <row r="147" spans="1:5">
      <c r="A147" s="68">
        <v>0.44087599999999999</v>
      </c>
      <c r="B147" s="68">
        <v>0.22891</v>
      </c>
      <c r="C147" s="68">
        <v>58.9345</v>
      </c>
      <c r="D147" s="68">
        <v>2</v>
      </c>
      <c r="E147" s="68" t="s">
        <v>553</v>
      </c>
    </row>
    <row r="148" spans="1:5">
      <c r="A148" s="68">
        <v>0.437967</v>
      </c>
      <c r="B148" s="68">
        <v>0.232125</v>
      </c>
      <c r="C148" s="68">
        <v>59.343699999999998</v>
      </c>
      <c r="D148" s="68">
        <v>2</v>
      </c>
      <c r="E148" s="68" t="s">
        <v>554</v>
      </c>
    </row>
    <row r="149" spans="1:5">
      <c r="A149" s="68">
        <v>0.43410799999999999</v>
      </c>
      <c r="B149" s="68">
        <v>0.23664499999999999</v>
      </c>
      <c r="C149" s="68">
        <v>59.749299999999998</v>
      </c>
      <c r="D149" s="68">
        <v>2</v>
      </c>
      <c r="E149" s="68" t="s">
        <v>555</v>
      </c>
    </row>
    <row r="150" spans="1:5">
      <c r="A150" s="68">
        <v>0.43140499999999998</v>
      </c>
      <c r="B150" s="68">
        <v>0.241919</v>
      </c>
      <c r="C150" s="32">
        <v>60.156399999999998</v>
      </c>
      <c r="D150" s="32">
        <v>2</v>
      </c>
      <c r="E150" s="32" t="s">
        <v>556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43608.390879629631</v>
      </c>
      <c r="B2" s="66" t="s">
        <v>558</v>
      </c>
      <c r="C2" s="66"/>
      <c r="D2" s="66"/>
      <c r="E2" s="66">
        <v>4.9234099999999996</v>
      </c>
      <c r="F2" s="66">
        <v>2.01146</v>
      </c>
      <c r="G2" s="66">
        <v>0.68893199999999999</v>
      </c>
      <c r="H2" s="66">
        <v>0</v>
      </c>
      <c r="I2" s="66">
        <v>108978</v>
      </c>
      <c r="J2" s="66">
        <v>101</v>
      </c>
      <c r="K2" s="66">
        <v>101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2019-05-23T01:23:41Z</cp:lastPrinted>
  <dcterms:created xsi:type="dcterms:W3CDTF">2010-10-29T12:53:05Z</dcterms:created>
  <dcterms:modified xsi:type="dcterms:W3CDTF">2019-05-23T01:23:57Z</dcterms:modified>
</cp:coreProperties>
</file>