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X19" i="23" l="1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<sst xmlns="http://schemas.openxmlformats.org/spreadsheetml/2006/main" count="701" uniqueCount="572">
  <si>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</si>
  <si>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</si>
  <si>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</si>
  <si>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</si>
  <si>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</si>
  <si>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</si>
  <si>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</si>
  <si>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</si>
  <si>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</si>
  <si>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</si>
  <si>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</si>
  <si>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</si>
  <si>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</si>
  <si>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</si>
  <si>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</si>
  <si>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</si>
  <si>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</si>
  <si>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</si>
  <si>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</si>
  <si>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</si>
  <si>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</si>
  <si>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</si>
  <si>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</si>
  <si>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</si>
  <si>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</si>
  <si>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</si>
  <si>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</si>
  <si>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</si>
  <si>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</si>
  <si>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</si>
  <si>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</si>
  <si>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</si>
  <si>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</si>
  <si>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</si>
  <si>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</si>
  <si>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</si>
  <si>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</si>
  <si>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</si>
  <si>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</si>
  <si>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</si>
  <si>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</si>
  <si>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</si>
  <si>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</si>
  <si>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</si>
  <si>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</si>
  <si>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</si>
  <si>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</si>
  <si>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</si>
  <si>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</si>
  <si>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</si>
  <si>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</si>
  <si>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</si>
  <si>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</si>
  <si>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</si>
  <si>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</si>
  <si>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</si>
  <si>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</si>
  <si>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</si>
  <si>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</si>
  <si>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</si>
  <si>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</si>
  <si>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</si>
  <si>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</si>
  <si>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</si>
  <si>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</si>
  <si>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</si>
  <si>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</si>
  <si>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</si>
  <si>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</si>
  <si>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</si>
  <si>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</si>
  <si>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</si>
  <si>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</si>
  <si>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</si>
  <si>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</si>
  <si>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</si>
  <si>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</si>
  <si>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</si>
  <si>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</si>
  <si>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</si>
  <si>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</si>
  <si>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</si>
  <si>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</si>
  <si>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</si>
  <si>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</si>
  <si>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</si>
  <si>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</si>
  <si>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</si>
  <si>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</si>
  <si>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</si>
  <si>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</si>
  <si>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</si>
  <si>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</si>
  <si>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</si>
  <si>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</si>
  <si>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</si>
  <si>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</si>
  <si>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</si>
  <si>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</si>
  <si>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</si>
  <si>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</si>
  <si>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</si>
  <si>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</si>
  <si>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</si>
  <si>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</si>
  <si>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</si>
  <si>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</si>
  <si>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</si>
  <si>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</si>
  <si>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</si>
  <si>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</si>
  <si>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</si>
  <si>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</si>
  <si>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</si>
  <si>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</si>
  <si>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</si>
  <si>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</si>
  <si>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</si>
  <si>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</si>
  <si>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</si>
  <si>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</si>
  <si>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</si>
  <si>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</si>
  <si>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</si>
  <si>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</si>
  <si>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</si>
  <si>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</si>
  <si>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</si>
  <si>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</si>
  <si>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</si>
  <si>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</si>
  <si>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</si>
  <si>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</si>
  <si>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</si>
  <si>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</si>
  <si>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</si>
  <si>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</si>
  <si>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</si>
  <si>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</si>
  <si>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</si>
  <si>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</si>
  <si>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</si>
  <si>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</si>
  <si>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</si>
  <si>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</si>
  <si>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</si>
  <si>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</si>
  <si>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</si>
  <si>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</si>
  <si>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</si>
  <si>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</si>
  <si>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</si>
  <si>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</si>
  <si>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</si>
  <si>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</si>
  <si>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</si>
  <si>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</si>
  <si>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</si>
  <si>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</si>
  <si>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</si>
  <si>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</si>
  <si>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</si>
  <si>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</si>
  <si>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</si>
  <si>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</si>
  <si>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</si>
  <si>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</si>
  <si>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</si>
  <si>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</si>
  <si>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</si>
  <si>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</si>
  <si>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</si>
  <si>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</si>
  <si>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</si>
  <si>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</si>
  <si>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</si>
  <si>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</si>
  <si>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</si>
  <si>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</si>
  <si>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</si>
  <si>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</si>
  <si>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</si>
  <si>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</si>
  <si>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</si>
  <si>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</si>
  <si>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</si>
  <si>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</si>
  <si>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</si>
  <si>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</si>
  <si>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</si>
  <si>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</si>
  <si>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</si>
  <si>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</si>
  <si>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</si>
  <si>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</si>
  <si>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</si>
  <si>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</si>
  <si>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</si>
  <si>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</si>
  <si>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</si>
  <si>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</si>
  <si>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</si>
  <si>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</si>
  <si>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</si>
  <si>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</si>
  <si>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</si>
  <si>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</si>
  <si>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</si>
  <si>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</si>
  <si>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</si>
  <si>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</si>
  <si>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</si>
  <si>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</si>
  <si>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</si>
  <si>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</si>
  <si>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</si>
  <si>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</si>
  <si>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</si>
  <si>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</si>
  <si>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</si>
  <si>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</si>
  <si>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</si>
  <si>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</si>
  <si>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</si>
  <si>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</si>
  <si>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</si>
  <si>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</si>
  <si>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</si>
  <si>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</si>
  <si>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</si>
  <si>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</si>
  <si>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</si>
  <si>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</si>
  <si>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</si>
  <si>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</si>
  <si>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</si>
  <si>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</si>
  <si>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</si>
  <si>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</si>
  <si>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</si>
  <si>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</si>
  <si>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</si>
  <si>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</si>
  <si>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</si>
  <si>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</si>
  <si>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</si>
  <si>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</si>
  <si>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</si>
  <si>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</si>
  <si>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</si>
  <si>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</si>
  <si>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</si>
  <si>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</si>
  <si>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</si>
  <si>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</si>
  <si>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</si>
  <si>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</si>
  <si>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</si>
  <si>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</si>
  <si>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</si>
  <si>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</si>
  <si>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</si>
  <si>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</si>
  <si>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</si>
  <si>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</si>
  <si>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</si>
  <si>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</si>
  <si>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</si>
  <si>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</si>
  <si>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</si>
  <si>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</si>
  <si>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</si>
  <si>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</si>
  <si>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</si>
  <si>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</si>
  <si>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</si>
  <si>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</si>
  <si>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</si>
  <si>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</si>
  <si>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</si>
  <si>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</si>
  <si>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</si>
  <si>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</si>
  <si>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</si>
  <si>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</si>
  <si>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</si>
  <si>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</si>
  <si>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</si>
  <si>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</si>
  <si>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</si>
  <si>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</si>
  <si>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</si>
  <si>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</si>
  <si>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</si>
  <si>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</si>
  <si>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</si>
  <si>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</si>
  <si>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</si>
  <si>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</si>
  <si>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</si>
  <si>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</si>
  <si>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</si>
  <si>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</si>
  <si>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</si>
  <si>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</si>
  <si>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</si>
  <si>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</si>
  <si>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</si>
  <si>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</si>
  <si>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</si>
  <si>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</si>
  <si>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</si>
  <si>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</si>
  <si>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</si>
  <si>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</si>
  <si>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</si>
  <si>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</si>
  <si>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</si>
  <si>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</si>
  <si>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</si>
  <si>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</si>
  <si>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</si>
  <si>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</si>
  <si>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</si>
  <si>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</si>
  <si>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</si>
  <si>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</si>
  <si>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</si>
  <si>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</si>
  <si>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</si>
  <si>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</si>
  <si>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</si>
  <si>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</si>
  <si>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</si>
  <si>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</si>
  <si>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</si>
  <si>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</si>
  <si>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</si>
  <si>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</si>
  <si>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</si>
  <si>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</si>
  <si>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</si>
  <si>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</si>
  <si>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</si>
  <si>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</si>
  <si>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</si>
  <si>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</si>
  <si>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</si>
  <si>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</si>
  <si>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</si>
  <si>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</si>
  <si>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</si>
  <si>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</si>
  <si>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</si>
  <si>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</si>
  <si>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</si>
  <si>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</si>
  <si>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</si>
  <si>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</si>
  <si>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</si>
  <si>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</si>
  <si>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</si>
  <si>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</si>
  <si>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</si>
  <si>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</si>
  <si>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</si>
  <si>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</si>
  <si>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</si>
  <si>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</si>
  <si>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</si>
  <si>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</si>
  <si>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</si>
  <si>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</si>
  <si>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</si>
  <si>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</si>
  <si>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</si>
  <si>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</si>
  <si>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</si>
  <si>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</si>
  <si>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</si>
  <si>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</si>
  <si>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</si>
  <si>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</si>
  <si>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</si>
  <si>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</si>
  <si>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</si>
  <si>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</si>
  <si>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</si>
  <si>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</si>
  <si>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</si>
  <si>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</si>
  <si>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</si>
  <si>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</si>
  <si>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</si>
  <si>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</si>
  <si>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</si>
  <si>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</si>
  <si>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</si>
  <si>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</si>
  <si>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</si>
  <si>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</si>
  <si>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h</t>
    <phoneticPr fontId="29" type="noConversion"/>
  </si>
  <si>
    <t>ha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</si>
  <si>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</si>
  <si>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</si>
  <si>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</si>
  <si>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</si>
  <si>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</si>
  <si>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</si>
  <si>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</si>
  <si>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</si>
  <si>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[0.405048]</t>
  </si>
  <si>
    <t>1 [0.811742]</t>
  </si>
  <si>
    <t>1 [1.218529]</t>
  </si>
  <si>
    <t>1 [1.622630]</t>
  </si>
  <si>
    <t>1 [2.034534]</t>
  </si>
  <si>
    <t>1 [2.434367]</t>
  </si>
  <si>
    <t>1 [2.844220]</t>
  </si>
  <si>
    <t>1 [3.249530]</t>
  </si>
  <si>
    <t>1 [3.656278]</t>
  </si>
  <si>
    <t>1 [4.064039]</t>
  </si>
  <si>
    <t>1 [4.469088]</t>
  </si>
  <si>
    <t>1 [4.874871]</t>
  </si>
  <si>
    <t>1 [5.283858]</t>
  </si>
  <si>
    <t>1 [5.688878]</t>
  </si>
  <si>
    <t>1 [6.095543]</t>
  </si>
  <si>
    <t>1 [6.501499]</t>
  </si>
  <si>
    <t>1 [6.909302]</t>
  </si>
  <si>
    <t>1 [7.313362]</t>
  </si>
  <si>
    <t>1 [7.719348]</t>
  </si>
  <si>
    <t>1 [8.127198]</t>
  </si>
  <si>
    <t>1 [8.530971]</t>
  </si>
  <si>
    <t>1 [8.939014]</t>
  </si>
  <si>
    <t>1 [9.349365]</t>
  </si>
  <si>
    <t>1 [9.754684]</t>
  </si>
  <si>
    <t>1 [10.155606]</t>
  </si>
  <si>
    <t>1 [10.561574]</t>
  </si>
  <si>
    <t>1 [10.967623]</t>
  </si>
  <si>
    <t>1 [11.373320]</t>
  </si>
  <si>
    <t>1 [11.783296]</t>
  </si>
  <si>
    <t>1 [12.185149]</t>
  </si>
  <si>
    <t>1 [12.594063]</t>
  </si>
  <si>
    <t>1 [12.996734]</t>
  </si>
  <si>
    <t>1 [13.410896]</t>
  </si>
  <si>
    <t>1 [13.813655]</t>
  </si>
  <si>
    <t>1 [14.221801]</t>
  </si>
  <si>
    <t>1 [14.623648]</t>
  </si>
  <si>
    <t>1 [15.032994]</t>
  </si>
  <si>
    <t>1 [15.434542]</t>
  </si>
  <si>
    <t>1 [15.844932]</t>
  </si>
  <si>
    <t>1 [16.253317]</t>
  </si>
  <si>
    <t>1 [16.658282]</t>
  </si>
  <si>
    <t>1 [17.066187]</t>
  </si>
  <si>
    <t>1 [17.466344]</t>
  </si>
  <si>
    <t>1 [17.871952]</t>
  </si>
  <si>
    <t>1 [18.282297]</t>
  </si>
  <si>
    <t>1 [18.688858]</t>
  </si>
  <si>
    <t>1 [19.097736]</t>
  </si>
  <si>
    <t>1 [19.502636]</t>
  </si>
  <si>
    <t>1 [19.905545]</t>
  </si>
  <si>
    <t>1 [20.319525]</t>
  </si>
  <si>
    <t>1 [20.717482]</t>
  </si>
  <si>
    <t>1 [21.124572]</t>
  </si>
  <si>
    <t>1 [21.531258]</t>
  </si>
  <si>
    <t>1 [21.939928]</t>
  </si>
  <si>
    <t>1 [22.342164]</t>
  </si>
  <si>
    <t>1 [22.753980]</t>
  </si>
  <si>
    <t>1 [23.156963]</t>
  </si>
  <si>
    <t>1 [23.561005]</t>
  </si>
  <si>
    <t>1 [23.971801]</t>
  </si>
  <si>
    <t>1 [24.376596]</t>
  </si>
  <si>
    <t>1 [24.809631]</t>
  </si>
  <si>
    <t>1 [25.185557]</t>
  </si>
  <si>
    <t>1 [25.595704]</t>
  </si>
  <si>
    <t>1 [26.003286]</t>
  </si>
  <si>
    <t>1 [26.404567]</t>
  </si>
  <si>
    <t>1 [26.814230]</t>
  </si>
  <si>
    <t>1 [27.225993]</t>
  </si>
  <si>
    <t>1 [27.628117]</t>
  </si>
  <si>
    <t>1 [28.033277]</t>
  </si>
  <si>
    <t>1 [28.439070]</t>
  </si>
  <si>
    <t>1 [28.846672]</t>
  </si>
  <si>
    <t>1 [29.248980]</t>
  </si>
  <si>
    <t>1 [29.655614]</t>
  </si>
  <si>
    <t>2 [30.064375]</t>
  </si>
  <si>
    <t>2 [30.517230]</t>
  </si>
  <si>
    <t>2 [30.922202]</t>
  </si>
  <si>
    <t>2 [31.328044]</t>
  </si>
  <si>
    <t>2 [31.735447]</t>
  </si>
  <si>
    <t>2 [32.139166]</t>
  </si>
  <si>
    <t>2 [32.547763]</t>
  </si>
  <si>
    <t>2 [32.954706]</t>
  </si>
  <si>
    <t>2 [33.356561]</t>
  </si>
  <si>
    <t>2 [33.763437]</t>
  </si>
  <si>
    <t>2 [34.174418]</t>
  </si>
  <si>
    <t>2 [34.580308]</t>
  </si>
  <si>
    <t>2 [34.986292]</t>
  </si>
  <si>
    <t>2 [35.390135]</t>
  </si>
  <si>
    <t>2 [35.801262]</t>
  </si>
  <si>
    <t>2 [36.204960]</t>
  </si>
  <si>
    <t>2 [36.605940]</t>
  </si>
  <si>
    <t>2 [37.015735]</t>
  </si>
  <si>
    <t>2 [37.424726]</t>
  </si>
  <si>
    <t>2 [37.830671]</t>
  </si>
  <si>
    <t>2 [38.235540]</t>
  </si>
  <si>
    <t>2 [38.641421]</t>
  </si>
  <si>
    <t>2 [39.047497]</t>
  </si>
  <si>
    <t>2 [39.451312]</t>
  </si>
  <si>
    <t>2 [39.857395]</t>
  </si>
  <si>
    <t>2 [40.269256]</t>
  </si>
  <si>
    <t>2 [40.668122]</t>
  </si>
  <si>
    <t>2 [41.079975]</t>
  </si>
  <si>
    <t>2 [41.482869]</t>
  </si>
  <si>
    <t>2 [41.893702]</t>
  </si>
  <si>
    <t>2 [42.298990]</t>
  </si>
  <si>
    <t>2 [42.706574]</t>
  </si>
  <si>
    <t>2 [43.109519]</t>
  </si>
  <si>
    <t>2 [43.514327]</t>
  </si>
  <si>
    <t>2 [43.921335]</t>
  </si>
  <si>
    <t>2 [44.328271]</t>
  </si>
  <si>
    <t>2 [44.731124]</t>
  </si>
  <si>
    <t>2 [45.143026]</t>
  </si>
  <si>
    <t>2 [45.549409]</t>
  </si>
  <si>
    <t>2 [45.949904]</t>
  </si>
  <si>
    <t>2 [46.356883]</t>
  </si>
  <si>
    <t>2 [46.763784]</t>
  </si>
  <si>
    <t>2 [47.175613]</t>
  </si>
  <si>
    <t>2 [47.579631]</t>
  </si>
  <si>
    <t>2 [47.988822]</t>
  </si>
  <si>
    <t>2 [48.398587]</t>
  </si>
  <si>
    <t>2 [48.802247]</t>
  </si>
  <si>
    <t>2 [49.207181]</t>
  </si>
  <si>
    <t>2 [49.618093]</t>
  </si>
  <si>
    <t>2 [50.014041]</t>
  </si>
  <si>
    <t>2 [50.418998]</t>
  </si>
  <si>
    <t>2 [50.833870]</t>
  </si>
  <si>
    <t>2 [51.238007]</t>
  </si>
  <si>
    <t>2 [51.636748]</t>
  </si>
  <si>
    <t>2 [52.050571]</t>
  </si>
  <si>
    <t>2 [52.456472]</t>
  </si>
  <si>
    <t>2 [52.863359]</t>
  </si>
  <si>
    <t>2 [53.270492]</t>
  </si>
  <si>
    <t>2 [53.673253]</t>
  </si>
  <si>
    <t>2 [54.084314]</t>
  </si>
  <si>
    <t>2 [54.487070]</t>
  </si>
  <si>
    <t>2 [54.892079]</t>
  </si>
  <si>
    <t>2 [55.301459]</t>
  </si>
  <si>
    <t>2 [55.713892]</t>
  </si>
  <si>
    <t>2 [56.112697]</t>
  </si>
  <si>
    <t>2 [56.518854]</t>
  </si>
  <si>
    <t>2 [56.926663]</t>
  </si>
  <si>
    <t>2 [57.333445]</t>
  </si>
  <si>
    <t>2 [57.735450]</t>
  </si>
  <si>
    <t>2 [58.144297]</t>
  </si>
  <si>
    <t>2 [58.550481]</t>
  </si>
  <si>
    <t>2 [58.957147]</t>
  </si>
  <si>
    <t>2 [59.367027]</t>
  </si>
  <si>
    <t>2 [59.773912]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</si>
  <si>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</si>
  <si>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</si>
  <si>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</si>
  <si>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</si>
  <si>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</si>
  <si>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</si>
  <si>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</si>
  <si>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</si>
  <si>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</si>
  <si>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</si>
  <si>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</si>
  <si>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</si>
  <si>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男</t>
    <phoneticPr fontId="1" type="noConversion"/>
  </si>
  <si>
    <t>杨中江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</si>
</sst>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2" xfId="0" applyFont="1" applyBorder="1" applyAlignment="1">
      <alignment vertical="center"/>
    </xf>
    <xf numFmtId="0" fontId="35" fillId="0" borderId="36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39.340899999999998</c:v>
                </c:pt>
                <c:pt idx="1">
                  <c:v>35.847200000000001</c:v>
                </c:pt>
                <c:pt idx="2">
                  <c:v>24.517499999999998</c:v>
                </c:pt>
                <c:pt idx="3">
                  <c:v>32.482799999999997</c:v>
                </c:pt>
                <c:pt idx="4">
                  <c:v>64.565700000000007</c:v>
                </c:pt>
                <c:pt idx="5">
                  <c:v>77.932599999999994</c:v>
                </c:pt>
                <c:pt idx="6">
                  <c:v>17.669699999999999</c:v>
                </c:pt>
                <c:pt idx="7">
                  <c:v>71.108800000000002</c:v>
                </c:pt>
                <c:pt idx="8">
                  <c:v>20.4969</c:v>
                </c:pt>
                <c:pt idx="9">
                  <c:v>31.843800000000002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0.49402644385327166</c:v>
                </c:pt>
                <c:pt idx="1">
                  <c:v>0.28236539579695763</c:v>
                </c:pt>
                <c:pt idx="2">
                  <c:v>0.22360816034977077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2381</c:v>
                </c:pt>
                <c:pt idx="7">
                  <c:v>0</c:v>
                </c:pt>
                <c:pt idx="8">
                  <c:v>4165</c:v>
                </c:pt>
                <c:pt idx="9">
                  <c:v>0</c:v>
                </c:pt>
                <c:pt idx="10">
                  <c:v>0</c:v>
                </c:pt>
                <c:pt idx="11">
                  <c:v>15057</c:v>
                </c:pt>
                <c:pt idx="12">
                  <c:v>0</c:v>
                </c:pt>
                <c:pt idx="13">
                  <c:v>23042</c:v>
                </c:pt>
                <c:pt idx="14">
                  <c:v>0</c:v>
                </c:pt>
                <c:pt idx="15">
                  <c:v>0</c:v>
                </c:pt>
                <c:pt idx="16">
                  <c:v>24133</c:v>
                </c:pt>
                <c:pt idx="17">
                  <c:v>0</c:v>
                </c:pt>
                <c:pt idx="18">
                  <c:v>0</c:v>
                </c:pt>
                <c:pt idx="19">
                  <c:v>30307</c:v>
                </c:pt>
                <c:pt idx="20">
                  <c:v>0</c:v>
                </c:pt>
                <c:pt idx="21">
                  <c:v>43407</c:v>
                </c:pt>
                <c:pt idx="22">
                  <c:v>0</c:v>
                </c:pt>
                <c:pt idx="23">
                  <c:v>0</c:v>
                </c:pt>
                <c:pt idx="24">
                  <c:v>64272</c:v>
                </c:pt>
                <c:pt idx="25">
                  <c:v>0</c:v>
                </c:pt>
                <c:pt idx="26">
                  <c:v>72457</c:v>
                </c:pt>
                <c:pt idx="27">
                  <c:v>0</c:v>
                </c:pt>
                <c:pt idx="28">
                  <c:v>0</c:v>
                </c:pt>
                <c:pt idx="29">
                  <c:v>83238</c:v>
                </c:pt>
                <c:pt idx="30">
                  <c:v>0</c:v>
                </c:pt>
                <c:pt idx="31">
                  <c:v>111470</c:v>
                </c:pt>
                <c:pt idx="32">
                  <c:v>0</c:v>
                </c:pt>
                <c:pt idx="33">
                  <c:v>0</c:v>
                </c:pt>
                <c:pt idx="34">
                  <c:v>137799</c:v>
                </c:pt>
                <c:pt idx="35">
                  <c:v>0</c:v>
                </c:pt>
                <c:pt idx="36">
                  <c:v>0</c:v>
                </c:pt>
                <c:pt idx="37">
                  <c:v>133090</c:v>
                </c:pt>
                <c:pt idx="38">
                  <c:v>0</c:v>
                </c:pt>
                <c:pt idx="39">
                  <c:v>111182</c:v>
                </c:pt>
                <c:pt idx="40">
                  <c:v>0</c:v>
                </c:pt>
                <c:pt idx="41">
                  <c:v>0</c:v>
                </c:pt>
                <c:pt idx="42">
                  <c:v>116922</c:v>
                </c:pt>
                <c:pt idx="43">
                  <c:v>0</c:v>
                </c:pt>
                <c:pt idx="44">
                  <c:v>118519</c:v>
                </c:pt>
                <c:pt idx="45">
                  <c:v>0</c:v>
                </c:pt>
                <c:pt idx="46">
                  <c:v>0</c:v>
                </c:pt>
                <c:pt idx="47">
                  <c:v>126548</c:v>
                </c:pt>
                <c:pt idx="48">
                  <c:v>0</c:v>
                </c:pt>
                <c:pt idx="49">
                  <c:v>141209</c:v>
                </c:pt>
                <c:pt idx="50">
                  <c:v>0</c:v>
                </c:pt>
                <c:pt idx="51">
                  <c:v>0</c:v>
                </c:pt>
                <c:pt idx="52">
                  <c:v>164198</c:v>
                </c:pt>
                <c:pt idx="53">
                  <c:v>0</c:v>
                </c:pt>
                <c:pt idx="54">
                  <c:v>0</c:v>
                </c:pt>
                <c:pt idx="55">
                  <c:v>166053</c:v>
                </c:pt>
                <c:pt idx="56">
                  <c:v>0</c:v>
                </c:pt>
                <c:pt idx="57">
                  <c:v>173062</c:v>
                </c:pt>
                <c:pt idx="58">
                  <c:v>0</c:v>
                </c:pt>
                <c:pt idx="59">
                  <c:v>0</c:v>
                </c:pt>
                <c:pt idx="60">
                  <c:v>203296</c:v>
                </c:pt>
                <c:pt idx="61">
                  <c:v>0</c:v>
                </c:pt>
                <c:pt idx="62">
                  <c:v>175230</c:v>
                </c:pt>
                <c:pt idx="63">
                  <c:v>0</c:v>
                </c:pt>
                <c:pt idx="64">
                  <c:v>0</c:v>
                </c:pt>
                <c:pt idx="65">
                  <c:v>173316</c:v>
                </c:pt>
                <c:pt idx="66">
                  <c:v>0</c:v>
                </c:pt>
                <c:pt idx="67">
                  <c:v>194697</c:v>
                </c:pt>
                <c:pt idx="68">
                  <c:v>0</c:v>
                </c:pt>
                <c:pt idx="69">
                  <c:v>0</c:v>
                </c:pt>
                <c:pt idx="70">
                  <c:v>177494</c:v>
                </c:pt>
                <c:pt idx="71">
                  <c:v>0</c:v>
                </c:pt>
                <c:pt idx="72">
                  <c:v>0</c:v>
                </c:pt>
                <c:pt idx="73">
                  <c:v>182150</c:v>
                </c:pt>
                <c:pt idx="74">
                  <c:v>0</c:v>
                </c:pt>
                <c:pt idx="75">
                  <c:v>178513</c:v>
                </c:pt>
                <c:pt idx="76">
                  <c:v>0</c:v>
                </c:pt>
                <c:pt idx="77">
                  <c:v>0</c:v>
                </c:pt>
                <c:pt idx="78">
                  <c:v>162929</c:v>
                </c:pt>
                <c:pt idx="79">
                  <c:v>0</c:v>
                </c:pt>
                <c:pt idx="80">
                  <c:v>168599</c:v>
                </c:pt>
                <c:pt idx="81">
                  <c:v>0</c:v>
                </c:pt>
                <c:pt idx="82">
                  <c:v>0</c:v>
                </c:pt>
                <c:pt idx="83">
                  <c:v>160401</c:v>
                </c:pt>
                <c:pt idx="84">
                  <c:v>0</c:v>
                </c:pt>
                <c:pt idx="85">
                  <c:v>0</c:v>
                </c:pt>
                <c:pt idx="86">
                  <c:v>154466</c:v>
                </c:pt>
                <c:pt idx="87">
                  <c:v>0</c:v>
                </c:pt>
                <c:pt idx="88">
                  <c:v>147255</c:v>
                </c:pt>
                <c:pt idx="89">
                  <c:v>0</c:v>
                </c:pt>
                <c:pt idx="90">
                  <c:v>0</c:v>
                </c:pt>
                <c:pt idx="91">
                  <c:v>142574</c:v>
                </c:pt>
                <c:pt idx="92">
                  <c:v>0</c:v>
                </c:pt>
                <c:pt idx="93">
                  <c:v>125468</c:v>
                </c:pt>
                <c:pt idx="94">
                  <c:v>0</c:v>
                </c:pt>
                <c:pt idx="95">
                  <c:v>0</c:v>
                </c:pt>
                <c:pt idx="96">
                  <c:v>115924</c:v>
                </c:pt>
                <c:pt idx="97">
                  <c:v>0</c:v>
                </c:pt>
                <c:pt idx="98">
                  <c:v>112891</c:v>
                </c:pt>
                <c:pt idx="99">
                  <c:v>0</c:v>
                </c:pt>
                <c:pt idx="100">
                  <c:v>0</c:v>
                </c:pt>
                <c:pt idx="101">
                  <c:v>98352</c:v>
                </c:pt>
                <c:pt idx="102">
                  <c:v>0</c:v>
                </c:pt>
                <c:pt idx="103">
                  <c:v>0</c:v>
                </c:pt>
                <c:pt idx="104">
                  <c:v>97923</c:v>
                </c:pt>
                <c:pt idx="105">
                  <c:v>0</c:v>
                </c:pt>
                <c:pt idx="106">
                  <c:v>84222</c:v>
                </c:pt>
                <c:pt idx="107">
                  <c:v>0</c:v>
                </c:pt>
                <c:pt idx="108">
                  <c:v>0</c:v>
                </c:pt>
                <c:pt idx="109">
                  <c:v>81614</c:v>
                </c:pt>
                <c:pt idx="110">
                  <c:v>0</c:v>
                </c:pt>
                <c:pt idx="111">
                  <c:v>75311</c:v>
                </c:pt>
                <c:pt idx="112">
                  <c:v>0</c:v>
                </c:pt>
                <c:pt idx="113">
                  <c:v>0</c:v>
                </c:pt>
                <c:pt idx="114">
                  <c:v>69145</c:v>
                </c:pt>
                <c:pt idx="115">
                  <c:v>0</c:v>
                </c:pt>
                <c:pt idx="116">
                  <c:v>71938</c:v>
                </c:pt>
                <c:pt idx="117">
                  <c:v>0</c:v>
                </c:pt>
                <c:pt idx="118">
                  <c:v>0</c:v>
                </c:pt>
                <c:pt idx="119">
                  <c:v>68414</c:v>
                </c:pt>
                <c:pt idx="120">
                  <c:v>0</c:v>
                </c:pt>
                <c:pt idx="121">
                  <c:v>0</c:v>
                </c:pt>
                <c:pt idx="122">
                  <c:v>66704</c:v>
                </c:pt>
                <c:pt idx="123">
                  <c:v>0</c:v>
                </c:pt>
                <c:pt idx="124">
                  <c:v>69517</c:v>
                </c:pt>
                <c:pt idx="125">
                  <c:v>0</c:v>
                </c:pt>
                <c:pt idx="126">
                  <c:v>0</c:v>
                </c:pt>
                <c:pt idx="127">
                  <c:v>62502</c:v>
                </c:pt>
                <c:pt idx="128">
                  <c:v>0</c:v>
                </c:pt>
                <c:pt idx="129">
                  <c:v>56295</c:v>
                </c:pt>
                <c:pt idx="130">
                  <c:v>0</c:v>
                </c:pt>
                <c:pt idx="131">
                  <c:v>0</c:v>
                </c:pt>
                <c:pt idx="132">
                  <c:v>48203</c:v>
                </c:pt>
                <c:pt idx="133">
                  <c:v>0</c:v>
                </c:pt>
                <c:pt idx="134">
                  <c:v>42299</c:v>
                </c:pt>
                <c:pt idx="135">
                  <c:v>0</c:v>
                </c:pt>
                <c:pt idx="136">
                  <c:v>0</c:v>
                </c:pt>
                <c:pt idx="137">
                  <c:v>39139</c:v>
                </c:pt>
                <c:pt idx="138">
                  <c:v>0</c:v>
                </c:pt>
                <c:pt idx="139">
                  <c:v>0</c:v>
                </c:pt>
                <c:pt idx="140">
                  <c:v>42178</c:v>
                </c:pt>
                <c:pt idx="141">
                  <c:v>0</c:v>
                </c:pt>
                <c:pt idx="142">
                  <c:v>41798</c:v>
                </c:pt>
                <c:pt idx="143">
                  <c:v>0</c:v>
                </c:pt>
                <c:pt idx="144">
                  <c:v>0</c:v>
                </c:pt>
                <c:pt idx="145">
                  <c:v>35834</c:v>
                </c:pt>
                <c:pt idx="146">
                  <c:v>0</c:v>
                </c:pt>
                <c:pt idx="147">
                  <c:v>28438</c:v>
                </c:pt>
                <c:pt idx="148">
                  <c:v>0</c:v>
                </c:pt>
                <c:pt idx="149">
                  <c:v>0</c:v>
                </c:pt>
                <c:pt idx="150">
                  <c:v>25753</c:v>
                </c:pt>
                <c:pt idx="151">
                  <c:v>0</c:v>
                </c:pt>
                <c:pt idx="152">
                  <c:v>25937</c:v>
                </c:pt>
                <c:pt idx="153">
                  <c:v>0</c:v>
                </c:pt>
                <c:pt idx="154">
                  <c:v>0</c:v>
                </c:pt>
                <c:pt idx="155">
                  <c:v>24470</c:v>
                </c:pt>
                <c:pt idx="156">
                  <c:v>0</c:v>
                </c:pt>
                <c:pt idx="157">
                  <c:v>0</c:v>
                </c:pt>
                <c:pt idx="158">
                  <c:v>20315</c:v>
                </c:pt>
                <c:pt idx="159">
                  <c:v>0</c:v>
                </c:pt>
                <c:pt idx="160">
                  <c:v>19497</c:v>
                </c:pt>
                <c:pt idx="161">
                  <c:v>0</c:v>
                </c:pt>
                <c:pt idx="162">
                  <c:v>0</c:v>
                </c:pt>
                <c:pt idx="163">
                  <c:v>15983</c:v>
                </c:pt>
                <c:pt idx="164">
                  <c:v>0</c:v>
                </c:pt>
                <c:pt idx="165">
                  <c:v>13013</c:v>
                </c:pt>
                <c:pt idx="166">
                  <c:v>0</c:v>
                </c:pt>
                <c:pt idx="167">
                  <c:v>0</c:v>
                </c:pt>
                <c:pt idx="168">
                  <c:v>12332</c:v>
                </c:pt>
                <c:pt idx="169">
                  <c:v>0</c:v>
                </c:pt>
                <c:pt idx="170">
                  <c:v>0</c:v>
                </c:pt>
                <c:pt idx="171">
                  <c:v>10507</c:v>
                </c:pt>
                <c:pt idx="172">
                  <c:v>0</c:v>
                </c:pt>
                <c:pt idx="173">
                  <c:v>8406</c:v>
                </c:pt>
                <c:pt idx="174">
                  <c:v>0</c:v>
                </c:pt>
                <c:pt idx="175">
                  <c:v>0</c:v>
                </c:pt>
                <c:pt idx="176">
                  <c:v>7655</c:v>
                </c:pt>
                <c:pt idx="177">
                  <c:v>0</c:v>
                </c:pt>
                <c:pt idx="178">
                  <c:v>6859</c:v>
                </c:pt>
                <c:pt idx="179">
                  <c:v>0</c:v>
                </c:pt>
                <c:pt idx="180">
                  <c:v>0</c:v>
                </c:pt>
                <c:pt idx="181">
                  <c:v>5301</c:v>
                </c:pt>
                <c:pt idx="182">
                  <c:v>0</c:v>
                </c:pt>
                <c:pt idx="183">
                  <c:v>4806</c:v>
                </c:pt>
                <c:pt idx="184">
                  <c:v>0</c:v>
                </c:pt>
                <c:pt idx="185">
                  <c:v>0</c:v>
                </c:pt>
                <c:pt idx="186">
                  <c:v>3561</c:v>
                </c:pt>
                <c:pt idx="187">
                  <c:v>0</c:v>
                </c:pt>
                <c:pt idx="188">
                  <c:v>0</c:v>
                </c:pt>
                <c:pt idx="189">
                  <c:v>2840</c:v>
                </c:pt>
                <c:pt idx="190">
                  <c:v>0</c:v>
                </c:pt>
                <c:pt idx="191">
                  <c:v>2445</c:v>
                </c:pt>
                <c:pt idx="192">
                  <c:v>0</c:v>
                </c:pt>
                <c:pt idx="193">
                  <c:v>0</c:v>
                </c:pt>
                <c:pt idx="194">
                  <c:v>1843</c:v>
                </c:pt>
                <c:pt idx="195">
                  <c:v>0</c:v>
                </c:pt>
                <c:pt idx="196">
                  <c:v>1168</c:v>
                </c:pt>
                <c:pt idx="197">
                  <c:v>0</c:v>
                </c:pt>
                <c:pt idx="198">
                  <c:v>0</c:v>
                </c:pt>
                <c:pt idx="199">
                  <c:v>202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1.7280200000000001</c:v>
                </c:pt>
                <c:pt idx="1">
                  <c:v>1.7859</c:v>
                </c:pt>
                <c:pt idx="2">
                  <c:v>1.84219</c:v>
                </c:pt>
                <c:pt idx="3">
                  <c:v>1.8961800000000002</c:v>
                </c:pt>
                <c:pt idx="4">
                  <c:v>1.95075</c:v>
                </c:pt>
                <c:pt idx="5">
                  <c:v>2.0044400000000002</c:v>
                </c:pt>
                <c:pt idx="6">
                  <c:v>2.0558100000000001</c:v>
                </c:pt>
                <c:pt idx="7">
                  <c:v>2.1054200000000001</c:v>
                </c:pt>
                <c:pt idx="8">
                  <c:v>2.1537899999999999</c:v>
                </c:pt>
                <c:pt idx="9">
                  <c:v>2.2024900000000001</c:v>
                </c:pt>
                <c:pt idx="10">
                  <c:v>2.2538399999999998</c:v>
                </c:pt>
                <c:pt idx="11">
                  <c:v>2.3058999999999998</c:v>
                </c:pt>
                <c:pt idx="12">
                  <c:v>2.35934</c:v>
                </c:pt>
                <c:pt idx="13">
                  <c:v>2.4113799999999999</c:v>
                </c:pt>
                <c:pt idx="14">
                  <c:v>2.4655199999999997</c:v>
                </c:pt>
                <c:pt idx="15">
                  <c:v>2.5219100000000001</c:v>
                </c:pt>
                <c:pt idx="16">
                  <c:v>2.5775700000000001</c:v>
                </c:pt>
                <c:pt idx="17">
                  <c:v>2.6334900000000001</c:v>
                </c:pt>
                <c:pt idx="18">
                  <c:v>2.6897700000000002</c:v>
                </c:pt>
                <c:pt idx="19">
                  <c:v>2.7442899999999999</c:v>
                </c:pt>
                <c:pt idx="20">
                  <c:v>2.7968500000000001</c:v>
                </c:pt>
                <c:pt idx="21">
                  <c:v>2.84823</c:v>
                </c:pt>
                <c:pt idx="22">
                  <c:v>2.8959800000000002</c:v>
                </c:pt>
                <c:pt idx="23">
                  <c:v>2.9419200000000001</c:v>
                </c:pt>
                <c:pt idx="24">
                  <c:v>2.9863200000000001</c:v>
                </c:pt>
                <c:pt idx="25">
                  <c:v>3.0301499999999999</c:v>
                </c:pt>
                <c:pt idx="26">
                  <c:v>3.0750499999999996</c:v>
                </c:pt>
                <c:pt idx="27">
                  <c:v>3.1181299999999998</c:v>
                </c:pt>
                <c:pt idx="28">
                  <c:v>3.16106</c:v>
                </c:pt>
                <c:pt idx="29">
                  <c:v>3.2033299999999998</c:v>
                </c:pt>
                <c:pt idx="30">
                  <c:v>3.2430199999999996</c:v>
                </c:pt>
                <c:pt idx="31">
                  <c:v>3.2822400000000003</c:v>
                </c:pt>
                <c:pt idx="32">
                  <c:v>3.3198400000000001</c:v>
                </c:pt>
                <c:pt idx="33">
                  <c:v>3.35744</c:v>
                </c:pt>
                <c:pt idx="34">
                  <c:v>3.3917000000000002</c:v>
                </c:pt>
                <c:pt idx="35">
                  <c:v>3.4217300000000002</c:v>
                </c:pt>
                <c:pt idx="36">
                  <c:v>3.4482900000000001</c:v>
                </c:pt>
                <c:pt idx="37">
                  <c:v>3.4712500000000004</c:v>
                </c:pt>
                <c:pt idx="38">
                  <c:v>3.49037</c:v>
                </c:pt>
                <c:pt idx="39">
                  <c:v>3.5089199999999998</c:v>
                </c:pt>
                <c:pt idx="40">
                  <c:v>3.5275499999999997</c:v>
                </c:pt>
                <c:pt idx="41">
                  <c:v>3.5432000000000001</c:v>
                </c:pt>
                <c:pt idx="42">
                  <c:v>3.5552600000000001</c:v>
                </c:pt>
                <c:pt idx="43">
                  <c:v>3.5624199999999999</c:v>
                </c:pt>
                <c:pt idx="44">
                  <c:v>3.5659600000000005</c:v>
                </c:pt>
                <c:pt idx="45">
                  <c:v>3.5664800000000003</c:v>
                </c:pt>
                <c:pt idx="46">
                  <c:v>3.5673300000000001</c:v>
                </c:pt>
                <c:pt idx="47">
                  <c:v>3.5682499999999999</c:v>
                </c:pt>
                <c:pt idx="48">
                  <c:v>3.5676000000000001</c:v>
                </c:pt>
                <c:pt idx="49">
                  <c:v>3.5657000000000001</c:v>
                </c:pt>
                <c:pt idx="50">
                  <c:v>3.5618100000000004</c:v>
                </c:pt>
                <c:pt idx="51">
                  <c:v>3.55585</c:v>
                </c:pt>
                <c:pt idx="52">
                  <c:v>3.5493299999999999</c:v>
                </c:pt>
                <c:pt idx="53">
                  <c:v>3.5417500000000004</c:v>
                </c:pt>
                <c:pt idx="54">
                  <c:v>3.5325499999999996</c:v>
                </c:pt>
                <c:pt idx="55">
                  <c:v>3.5256500000000002</c:v>
                </c:pt>
                <c:pt idx="56">
                  <c:v>3.5121899999999999</c:v>
                </c:pt>
                <c:pt idx="57">
                  <c:v>3.5024899999999999</c:v>
                </c:pt>
                <c:pt idx="58">
                  <c:v>3.4877799999999999</c:v>
                </c:pt>
                <c:pt idx="59">
                  <c:v>3.4681299999999999</c:v>
                </c:pt>
                <c:pt idx="60">
                  <c:v>3.4506900000000003</c:v>
                </c:pt>
                <c:pt idx="61">
                  <c:v>3.4326699999999999</c:v>
                </c:pt>
                <c:pt idx="62">
                  <c:v>3.4187799999999999</c:v>
                </c:pt>
                <c:pt idx="63">
                  <c:v>3.3933299999999997</c:v>
                </c:pt>
                <c:pt idx="64">
                  <c:v>3.3702900000000002</c:v>
                </c:pt>
                <c:pt idx="65">
                  <c:v>3.34361</c:v>
                </c:pt>
                <c:pt idx="66">
                  <c:v>3.3235100000000002</c:v>
                </c:pt>
                <c:pt idx="67">
                  <c:v>3.29874</c:v>
                </c:pt>
                <c:pt idx="68">
                  <c:v>3.2837399999999999</c:v>
                </c:pt>
                <c:pt idx="69">
                  <c:v>3.27162</c:v>
                </c:pt>
                <c:pt idx="70">
                  <c:v>3.2606200000000003</c:v>
                </c:pt>
                <c:pt idx="71">
                  <c:v>3.24864</c:v>
                </c:pt>
                <c:pt idx="72">
                  <c:v>3.2393699999999996</c:v>
                </c:pt>
                <c:pt idx="73">
                  <c:v>3.22818</c:v>
                </c:pt>
                <c:pt idx="74">
                  <c:v>3.2144400000000002</c:v>
                </c:pt>
                <c:pt idx="75">
                  <c:v>3.2019599999999997</c:v>
                </c:pt>
                <c:pt idx="76">
                  <c:v>3.1892199999999997</c:v>
                </c:pt>
                <c:pt idx="77">
                  <c:v>3.1761900000000001</c:v>
                </c:pt>
                <c:pt idx="78">
                  <c:v>3.1608100000000001</c:v>
                </c:pt>
                <c:pt idx="79">
                  <c:v>3.1414199999999997</c:v>
                </c:pt>
                <c:pt idx="80">
                  <c:v>3.1185800000000001</c:v>
                </c:pt>
                <c:pt idx="81">
                  <c:v>3.09246</c:v>
                </c:pt>
                <c:pt idx="82">
                  <c:v>3.0649700000000002</c:v>
                </c:pt>
                <c:pt idx="83">
                  <c:v>3.0374800000000004</c:v>
                </c:pt>
                <c:pt idx="84">
                  <c:v>3.0132700000000003</c:v>
                </c:pt>
                <c:pt idx="85">
                  <c:v>2.9895100000000001</c:v>
                </c:pt>
                <c:pt idx="86">
                  <c:v>2.9670899999999998</c:v>
                </c:pt>
                <c:pt idx="87">
                  <c:v>2.9477500000000001</c:v>
                </c:pt>
                <c:pt idx="88">
                  <c:v>2.9295399999999998</c:v>
                </c:pt>
                <c:pt idx="89">
                  <c:v>2.9110900000000002</c:v>
                </c:pt>
                <c:pt idx="90">
                  <c:v>2.8922099999999999</c:v>
                </c:pt>
                <c:pt idx="91">
                  <c:v>2.8692699999999998</c:v>
                </c:pt>
                <c:pt idx="92">
                  <c:v>2.8452000000000002</c:v>
                </c:pt>
                <c:pt idx="93">
                  <c:v>2.8238600000000003</c:v>
                </c:pt>
                <c:pt idx="94">
                  <c:v>2.8060700000000001</c:v>
                </c:pt>
                <c:pt idx="95">
                  <c:v>2.7939399999999996</c:v>
                </c:pt>
                <c:pt idx="96">
                  <c:v>2.78362</c:v>
                </c:pt>
                <c:pt idx="97">
                  <c:v>2.7754799999999999</c:v>
                </c:pt>
                <c:pt idx="98">
                  <c:v>2.7688600000000001</c:v>
                </c:pt>
                <c:pt idx="99">
                  <c:v>2.7642899999999999</c:v>
                </c:pt>
                <c:pt idx="100">
                  <c:v>2.7619199999999999</c:v>
                </c:pt>
                <c:pt idx="101">
                  <c:v>2.7621200000000004</c:v>
                </c:pt>
                <c:pt idx="102">
                  <c:v>2.7647599999999999</c:v>
                </c:pt>
                <c:pt idx="103">
                  <c:v>2.7705299999999999</c:v>
                </c:pt>
                <c:pt idx="104">
                  <c:v>2.7799100000000001</c:v>
                </c:pt>
                <c:pt idx="105">
                  <c:v>2.7940399999999999</c:v>
                </c:pt>
                <c:pt idx="106">
                  <c:v>2.8127600000000004</c:v>
                </c:pt>
                <c:pt idx="107">
                  <c:v>2.8335300000000001</c:v>
                </c:pt>
                <c:pt idx="108">
                  <c:v>2.8563100000000001</c:v>
                </c:pt>
                <c:pt idx="109">
                  <c:v>2.8811599999999999</c:v>
                </c:pt>
                <c:pt idx="110">
                  <c:v>2.9069099999999999</c:v>
                </c:pt>
                <c:pt idx="111">
                  <c:v>2.9335200000000001</c:v>
                </c:pt>
                <c:pt idx="112">
                  <c:v>2.9609100000000002</c:v>
                </c:pt>
                <c:pt idx="113">
                  <c:v>2.9894400000000001</c:v>
                </c:pt>
                <c:pt idx="114">
                  <c:v>3.0195300000000005</c:v>
                </c:pt>
                <c:pt idx="115">
                  <c:v>3.05091</c:v>
                </c:pt>
                <c:pt idx="116">
                  <c:v>3.0812600000000003</c:v>
                </c:pt>
                <c:pt idx="117">
                  <c:v>3.10765</c:v>
                </c:pt>
                <c:pt idx="118">
                  <c:v>3.1267699999999996</c:v>
                </c:pt>
                <c:pt idx="119">
                  <c:v>3.1410900000000002</c:v>
                </c:pt>
                <c:pt idx="120">
                  <c:v>3.1525099999999999</c:v>
                </c:pt>
                <c:pt idx="121">
                  <c:v>3.1593300000000002</c:v>
                </c:pt>
                <c:pt idx="122">
                  <c:v>3.1638300000000004</c:v>
                </c:pt>
                <c:pt idx="123">
                  <c:v>3.1666499999999997</c:v>
                </c:pt>
                <c:pt idx="124">
                  <c:v>3.17699</c:v>
                </c:pt>
                <c:pt idx="125">
                  <c:v>3.1872299999999996</c:v>
                </c:pt>
                <c:pt idx="126">
                  <c:v>3.1958500000000001</c:v>
                </c:pt>
                <c:pt idx="127">
                  <c:v>3.2031000000000001</c:v>
                </c:pt>
                <c:pt idx="128">
                  <c:v>3.2093300000000005</c:v>
                </c:pt>
                <c:pt idx="129">
                  <c:v>3.2153999999999998</c:v>
                </c:pt>
                <c:pt idx="130">
                  <c:v>3.2194600000000002</c:v>
                </c:pt>
                <c:pt idx="131">
                  <c:v>3.2211800000000004</c:v>
                </c:pt>
                <c:pt idx="132">
                  <c:v>3.2223099999999998</c:v>
                </c:pt>
                <c:pt idx="133">
                  <c:v>3.2216399999999998</c:v>
                </c:pt>
                <c:pt idx="134">
                  <c:v>3.2173400000000001</c:v>
                </c:pt>
                <c:pt idx="135">
                  <c:v>3.2117899999999997</c:v>
                </c:pt>
                <c:pt idx="136">
                  <c:v>3.2040500000000001</c:v>
                </c:pt>
                <c:pt idx="137">
                  <c:v>3.19306</c:v>
                </c:pt>
                <c:pt idx="138">
                  <c:v>3.1771700000000003</c:v>
                </c:pt>
                <c:pt idx="139">
                  <c:v>3.15665</c:v>
                </c:pt>
                <c:pt idx="140">
                  <c:v>3.1286900000000002</c:v>
                </c:pt>
                <c:pt idx="141">
                  <c:v>3.0956099999999998</c:v>
                </c:pt>
                <c:pt idx="142">
                  <c:v>3.0585100000000001</c:v>
                </c:pt>
                <c:pt idx="143">
                  <c:v>3.0301400000000003</c:v>
                </c:pt>
                <c:pt idx="144">
                  <c:v>3.0037099999999999</c:v>
                </c:pt>
                <c:pt idx="145">
                  <c:v>2.9694700000000003</c:v>
                </c:pt>
                <c:pt idx="146">
                  <c:v>2.9542600000000001</c:v>
                </c:pt>
                <c:pt idx="147">
                  <c:v>2.9389500000000002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59.575100000000006</c:v>
                </c:pt>
                <c:pt idx="1">
                  <c:v>58.682699999999997</c:v>
                </c:pt>
                <c:pt idx="2">
                  <c:v>57.6798</c:v>
                </c:pt>
                <c:pt idx="3">
                  <c:v>56.668700000000008</c:v>
                </c:pt>
                <c:pt idx="4">
                  <c:v>55.575300000000006</c:v>
                </c:pt>
                <c:pt idx="5">
                  <c:v>54.445900000000002</c:v>
                </c:pt>
                <c:pt idx="6">
                  <c:v>53.402999999999999</c:v>
                </c:pt>
                <c:pt idx="7">
                  <c:v>52.408799999999999</c:v>
                </c:pt>
                <c:pt idx="8">
                  <c:v>51.458000000000006</c:v>
                </c:pt>
                <c:pt idx="9">
                  <c:v>50.431599999999996</c:v>
                </c:pt>
                <c:pt idx="10">
                  <c:v>49.231000000000002</c:v>
                </c:pt>
                <c:pt idx="11">
                  <c:v>47.983899999999998</c:v>
                </c:pt>
                <c:pt idx="12">
                  <c:v>46.676899999999996</c:v>
                </c:pt>
                <c:pt idx="13">
                  <c:v>45.285599999999995</c:v>
                </c:pt>
                <c:pt idx="14">
                  <c:v>43.8658</c:v>
                </c:pt>
                <c:pt idx="15">
                  <c:v>42.491800000000005</c:v>
                </c:pt>
                <c:pt idx="16">
                  <c:v>41.1569</c:v>
                </c:pt>
                <c:pt idx="17">
                  <c:v>39.844099999999997</c:v>
                </c:pt>
                <c:pt idx="18">
                  <c:v>38.587500000000006</c:v>
                </c:pt>
                <c:pt idx="19">
                  <c:v>37.370599999999996</c:v>
                </c:pt>
                <c:pt idx="20">
                  <c:v>36.156599999999997</c:v>
                </c:pt>
                <c:pt idx="21">
                  <c:v>35.015800000000006</c:v>
                </c:pt>
                <c:pt idx="22">
                  <c:v>33.964800000000004</c:v>
                </c:pt>
                <c:pt idx="23">
                  <c:v>32.937100000000001</c:v>
                </c:pt>
                <c:pt idx="24">
                  <c:v>31.9575</c:v>
                </c:pt>
                <c:pt idx="25">
                  <c:v>31.0091</c:v>
                </c:pt>
                <c:pt idx="26">
                  <c:v>30.0427</c:v>
                </c:pt>
                <c:pt idx="27">
                  <c:v>29.2273</c:v>
                </c:pt>
                <c:pt idx="28">
                  <c:v>28.543299999999999</c:v>
                </c:pt>
                <c:pt idx="29">
                  <c:v>27.913300000000003</c:v>
                </c:pt>
                <c:pt idx="30">
                  <c:v>27.416200000000003</c:v>
                </c:pt>
                <c:pt idx="31">
                  <c:v>26.980599999999999</c:v>
                </c:pt>
                <c:pt idx="32">
                  <c:v>26.627800000000001</c:v>
                </c:pt>
                <c:pt idx="33">
                  <c:v>26.361600000000003</c:v>
                </c:pt>
                <c:pt idx="34">
                  <c:v>26.232699999999998</c:v>
                </c:pt>
                <c:pt idx="35">
                  <c:v>26.152199999999997</c:v>
                </c:pt>
                <c:pt idx="36">
                  <c:v>26.129599999999996</c:v>
                </c:pt>
                <c:pt idx="37">
                  <c:v>26.135100000000001</c:v>
                </c:pt>
                <c:pt idx="38">
                  <c:v>26.272200000000002</c:v>
                </c:pt>
                <c:pt idx="39">
                  <c:v>26.374700000000001</c:v>
                </c:pt>
                <c:pt idx="40">
                  <c:v>26.4422</c:v>
                </c:pt>
                <c:pt idx="41">
                  <c:v>26.574199999999998</c:v>
                </c:pt>
                <c:pt idx="42">
                  <c:v>26.776699999999998</c:v>
                </c:pt>
                <c:pt idx="43">
                  <c:v>27.066800000000001</c:v>
                </c:pt>
                <c:pt idx="44">
                  <c:v>27.443800000000003</c:v>
                </c:pt>
                <c:pt idx="45">
                  <c:v>27.9254</c:v>
                </c:pt>
                <c:pt idx="46">
                  <c:v>28.396999999999998</c:v>
                </c:pt>
                <c:pt idx="47">
                  <c:v>28.899399999999996</c:v>
                </c:pt>
                <c:pt idx="48">
                  <c:v>29.488999999999997</c:v>
                </c:pt>
                <c:pt idx="49">
                  <c:v>30.109599999999997</c:v>
                </c:pt>
                <c:pt idx="50">
                  <c:v>30.7562</c:v>
                </c:pt>
                <c:pt idx="51">
                  <c:v>31.448399999999999</c:v>
                </c:pt>
                <c:pt idx="52">
                  <c:v>32.104999999999997</c:v>
                </c:pt>
                <c:pt idx="53">
                  <c:v>32.706899999999997</c:v>
                </c:pt>
                <c:pt idx="54">
                  <c:v>33.308999999999997</c:v>
                </c:pt>
                <c:pt idx="55">
                  <c:v>33.815200000000004</c:v>
                </c:pt>
                <c:pt idx="56">
                  <c:v>34.450800000000001</c:v>
                </c:pt>
                <c:pt idx="57">
                  <c:v>34.941400000000002</c:v>
                </c:pt>
                <c:pt idx="58">
                  <c:v>35.463799999999999</c:v>
                </c:pt>
                <c:pt idx="59">
                  <c:v>35.9709</c:v>
                </c:pt>
                <c:pt idx="60">
                  <c:v>36.391199999999998</c:v>
                </c:pt>
                <c:pt idx="61">
                  <c:v>36.744399999999999</c:v>
                </c:pt>
                <c:pt idx="62">
                  <c:v>37.055199999999999</c:v>
                </c:pt>
                <c:pt idx="63">
                  <c:v>37.261200000000002</c:v>
                </c:pt>
                <c:pt idx="64">
                  <c:v>37.500499999999995</c:v>
                </c:pt>
                <c:pt idx="65">
                  <c:v>37.746200000000002</c:v>
                </c:pt>
                <c:pt idx="66">
                  <c:v>38.023699999999998</c:v>
                </c:pt>
                <c:pt idx="67">
                  <c:v>38.021599999999999</c:v>
                </c:pt>
                <c:pt idx="68">
                  <c:v>37.898299999999999</c:v>
                </c:pt>
                <c:pt idx="69">
                  <c:v>37.610700000000001</c:v>
                </c:pt>
                <c:pt idx="70">
                  <c:v>37.173499999999997</c:v>
                </c:pt>
                <c:pt idx="71">
                  <c:v>36.727199999999996</c:v>
                </c:pt>
                <c:pt idx="72">
                  <c:v>36.459599999999995</c:v>
                </c:pt>
                <c:pt idx="73">
                  <c:v>35.938400000000001</c:v>
                </c:pt>
                <c:pt idx="74">
                  <c:v>35.218600000000002</c:v>
                </c:pt>
                <c:pt idx="75">
                  <c:v>34.656100000000002</c:v>
                </c:pt>
                <c:pt idx="76">
                  <c:v>34.087000000000003</c:v>
                </c:pt>
                <c:pt idx="77">
                  <c:v>33.488399999999999</c:v>
                </c:pt>
                <c:pt idx="78">
                  <c:v>32.933</c:v>
                </c:pt>
                <c:pt idx="79">
                  <c:v>32.4084</c:v>
                </c:pt>
                <c:pt idx="80">
                  <c:v>31.915300000000002</c:v>
                </c:pt>
                <c:pt idx="81">
                  <c:v>31.484200000000001</c:v>
                </c:pt>
                <c:pt idx="82">
                  <c:v>31.093399999999999</c:v>
                </c:pt>
                <c:pt idx="83">
                  <c:v>30.757200000000001</c:v>
                </c:pt>
                <c:pt idx="84">
                  <c:v>30.394300000000001</c:v>
                </c:pt>
                <c:pt idx="85">
                  <c:v>30.095300000000002</c:v>
                </c:pt>
                <c:pt idx="86">
                  <c:v>29.9099</c:v>
                </c:pt>
                <c:pt idx="87">
                  <c:v>29.720299999999998</c:v>
                </c:pt>
                <c:pt idx="88">
                  <c:v>29.580200000000001</c:v>
                </c:pt>
                <c:pt idx="89">
                  <c:v>29.507699999999996</c:v>
                </c:pt>
                <c:pt idx="90">
                  <c:v>29.5518</c:v>
                </c:pt>
                <c:pt idx="91">
                  <c:v>29.723800000000001</c:v>
                </c:pt>
                <c:pt idx="92">
                  <c:v>30.003</c:v>
                </c:pt>
                <c:pt idx="93">
                  <c:v>30.441700000000001</c:v>
                </c:pt>
                <c:pt idx="94">
                  <c:v>30.943700000000003</c:v>
                </c:pt>
                <c:pt idx="95">
                  <c:v>31.477300000000003</c:v>
                </c:pt>
                <c:pt idx="96">
                  <c:v>32.102199999999996</c:v>
                </c:pt>
                <c:pt idx="97">
                  <c:v>32.741300000000003</c:v>
                </c:pt>
                <c:pt idx="98">
                  <c:v>33.477800000000002</c:v>
                </c:pt>
                <c:pt idx="99">
                  <c:v>34.2121</c:v>
                </c:pt>
                <c:pt idx="100">
                  <c:v>34.963100000000004</c:v>
                </c:pt>
                <c:pt idx="101">
                  <c:v>35.7684</c:v>
                </c:pt>
                <c:pt idx="102">
                  <c:v>36.5779</c:v>
                </c:pt>
                <c:pt idx="103">
                  <c:v>37.313600000000001</c:v>
                </c:pt>
                <c:pt idx="104">
                  <c:v>37.976900000000001</c:v>
                </c:pt>
                <c:pt idx="105">
                  <c:v>38.555599999999998</c:v>
                </c:pt>
                <c:pt idx="106">
                  <c:v>38.996399999999994</c:v>
                </c:pt>
                <c:pt idx="107">
                  <c:v>39.363999999999997</c:v>
                </c:pt>
                <c:pt idx="108">
                  <c:v>39.645899999999997</c:v>
                </c:pt>
                <c:pt idx="109">
                  <c:v>39.876899999999999</c:v>
                </c:pt>
                <c:pt idx="110">
                  <c:v>40.075600000000001</c:v>
                </c:pt>
                <c:pt idx="111">
                  <c:v>40.217399999999998</c:v>
                </c:pt>
                <c:pt idx="112">
                  <c:v>40.3508</c:v>
                </c:pt>
                <c:pt idx="113">
                  <c:v>40.454700000000003</c:v>
                </c:pt>
                <c:pt idx="114">
                  <c:v>40.573100000000004</c:v>
                </c:pt>
                <c:pt idx="115">
                  <c:v>40.686299999999996</c:v>
                </c:pt>
                <c:pt idx="116">
                  <c:v>40.869299999999996</c:v>
                </c:pt>
                <c:pt idx="117">
                  <c:v>41.125</c:v>
                </c:pt>
                <c:pt idx="118">
                  <c:v>41.428799999999995</c:v>
                </c:pt>
                <c:pt idx="119">
                  <c:v>41.7836</c:v>
                </c:pt>
                <c:pt idx="120">
                  <c:v>42.116399999999999</c:v>
                </c:pt>
                <c:pt idx="121">
                  <c:v>42.410399999999996</c:v>
                </c:pt>
                <c:pt idx="122">
                  <c:v>42.674399999999999</c:v>
                </c:pt>
                <c:pt idx="123">
                  <c:v>42.905700000000003</c:v>
                </c:pt>
                <c:pt idx="124">
                  <c:v>42.9587</c:v>
                </c:pt>
                <c:pt idx="125">
                  <c:v>42.9833</c:v>
                </c:pt>
                <c:pt idx="126">
                  <c:v>42.972799999999999</c:v>
                </c:pt>
                <c:pt idx="127">
                  <c:v>42.964599999999997</c:v>
                </c:pt>
                <c:pt idx="128">
                  <c:v>42.969900000000003</c:v>
                </c:pt>
                <c:pt idx="129">
                  <c:v>42.9831</c:v>
                </c:pt>
                <c:pt idx="130">
                  <c:v>42.978100000000005</c:v>
                </c:pt>
                <c:pt idx="131">
                  <c:v>43.0017</c:v>
                </c:pt>
                <c:pt idx="132">
                  <c:v>43.039400000000001</c:v>
                </c:pt>
                <c:pt idx="133">
                  <c:v>43.119199999999999</c:v>
                </c:pt>
                <c:pt idx="134">
                  <c:v>43.240099999999998</c:v>
                </c:pt>
                <c:pt idx="135">
                  <c:v>43.374600000000001</c:v>
                </c:pt>
                <c:pt idx="136">
                  <c:v>43.5501</c:v>
                </c:pt>
                <c:pt idx="137">
                  <c:v>43.819399999999995</c:v>
                </c:pt>
                <c:pt idx="138">
                  <c:v>44.168900000000001</c:v>
                </c:pt>
                <c:pt idx="139">
                  <c:v>44.632399999999997</c:v>
                </c:pt>
                <c:pt idx="140">
                  <c:v>45.248600000000003</c:v>
                </c:pt>
                <c:pt idx="141">
                  <c:v>45.915499999999994</c:v>
                </c:pt>
                <c:pt idx="142">
                  <c:v>46.601799999999997</c:v>
                </c:pt>
                <c:pt idx="143">
                  <c:v>47.223500000000001</c:v>
                </c:pt>
                <c:pt idx="144">
                  <c:v>47.643700000000003</c:v>
                </c:pt>
                <c:pt idx="145">
                  <c:v>48.112000000000002</c:v>
                </c:pt>
                <c:pt idx="146">
                  <c:v>48.394100000000002</c:v>
                </c:pt>
                <c:pt idx="147">
                  <c:v>48.855900000000005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1.7280200000000001</c:v>
                </c:pt>
                <c:pt idx="1">
                  <c:v>1.7859</c:v>
                </c:pt>
                <c:pt idx="2">
                  <c:v>1.84219</c:v>
                </c:pt>
                <c:pt idx="3">
                  <c:v>1.8961800000000002</c:v>
                </c:pt>
                <c:pt idx="4">
                  <c:v>1.95075</c:v>
                </c:pt>
                <c:pt idx="5">
                  <c:v>2.0044400000000002</c:v>
                </c:pt>
                <c:pt idx="6">
                  <c:v>2.0558100000000001</c:v>
                </c:pt>
                <c:pt idx="7">
                  <c:v>2.1054200000000001</c:v>
                </c:pt>
                <c:pt idx="8">
                  <c:v>2.1537899999999999</c:v>
                </c:pt>
                <c:pt idx="9">
                  <c:v>2.2024900000000001</c:v>
                </c:pt>
                <c:pt idx="10">
                  <c:v>2.2538399999999998</c:v>
                </c:pt>
                <c:pt idx="11">
                  <c:v>2.3058999999999998</c:v>
                </c:pt>
                <c:pt idx="12">
                  <c:v>2.35934</c:v>
                </c:pt>
                <c:pt idx="13">
                  <c:v>2.4113799999999999</c:v>
                </c:pt>
                <c:pt idx="14">
                  <c:v>2.4655199999999997</c:v>
                </c:pt>
                <c:pt idx="15">
                  <c:v>2.5219100000000001</c:v>
                </c:pt>
                <c:pt idx="16">
                  <c:v>2.5775700000000001</c:v>
                </c:pt>
                <c:pt idx="17">
                  <c:v>2.6334900000000001</c:v>
                </c:pt>
                <c:pt idx="18">
                  <c:v>2.6897700000000002</c:v>
                </c:pt>
                <c:pt idx="19">
                  <c:v>2.7442899999999999</c:v>
                </c:pt>
                <c:pt idx="20">
                  <c:v>2.7968500000000001</c:v>
                </c:pt>
                <c:pt idx="21">
                  <c:v>2.84823</c:v>
                </c:pt>
                <c:pt idx="22">
                  <c:v>2.8959800000000002</c:v>
                </c:pt>
                <c:pt idx="23">
                  <c:v>2.9419200000000001</c:v>
                </c:pt>
                <c:pt idx="24">
                  <c:v>2.9863200000000001</c:v>
                </c:pt>
                <c:pt idx="25">
                  <c:v>3.0301499999999999</c:v>
                </c:pt>
                <c:pt idx="26">
                  <c:v>3.0750499999999996</c:v>
                </c:pt>
                <c:pt idx="27">
                  <c:v>3.1181299999999998</c:v>
                </c:pt>
                <c:pt idx="28">
                  <c:v>3.16106</c:v>
                </c:pt>
                <c:pt idx="29">
                  <c:v>3.2033299999999998</c:v>
                </c:pt>
                <c:pt idx="30">
                  <c:v>3.2430199999999996</c:v>
                </c:pt>
                <c:pt idx="31">
                  <c:v>3.2822400000000003</c:v>
                </c:pt>
                <c:pt idx="32">
                  <c:v>3.3198400000000001</c:v>
                </c:pt>
                <c:pt idx="33">
                  <c:v>3.35744</c:v>
                </c:pt>
                <c:pt idx="34">
                  <c:v>3.3917000000000002</c:v>
                </c:pt>
                <c:pt idx="35">
                  <c:v>3.4217300000000002</c:v>
                </c:pt>
                <c:pt idx="36">
                  <c:v>3.4482900000000001</c:v>
                </c:pt>
                <c:pt idx="37">
                  <c:v>3.4712500000000004</c:v>
                </c:pt>
                <c:pt idx="38">
                  <c:v>3.49037</c:v>
                </c:pt>
                <c:pt idx="39">
                  <c:v>3.5089199999999998</c:v>
                </c:pt>
                <c:pt idx="40">
                  <c:v>3.5275499999999997</c:v>
                </c:pt>
                <c:pt idx="41">
                  <c:v>3.5432000000000001</c:v>
                </c:pt>
                <c:pt idx="42">
                  <c:v>3.5552600000000001</c:v>
                </c:pt>
                <c:pt idx="43">
                  <c:v>3.5624199999999999</c:v>
                </c:pt>
                <c:pt idx="44">
                  <c:v>3.5659600000000005</c:v>
                </c:pt>
                <c:pt idx="45">
                  <c:v>3.5664800000000003</c:v>
                </c:pt>
                <c:pt idx="46">
                  <c:v>3.5673300000000001</c:v>
                </c:pt>
                <c:pt idx="47">
                  <c:v>3.5682499999999999</c:v>
                </c:pt>
                <c:pt idx="48">
                  <c:v>3.5676000000000001</c:v>
                </c:pt>
                <c:pt idx="49">
                  <c:v>3.5657000000000001</c:v>
                </c:pt>
                <c:pt idx="50">
                  <c:v>3.5618100000000004</c:v>
                </c:pt>
                <c:pt idx="51">
                  <c:v>3.55585</c:v>
                </c:pt>
                <c:pt idx="52">
                  <c:v>3.5493299999999999</c:v>
                </c:pt>
                <c:pt idx="53">
                  <c:v>3.5417500000000004</c:v>
                </c:pt>
                <c:pt idx="54">
                  <c:v>3.5325499999999996</c:v>
                </c:pt>
                <c:pt idx="55">
                  <c:v>3.5256500000000002</c:v>
                </c:pt>
                <c:pt idx="56">
                  <c:v>3.5121899999999999</c:v>
                </c:pt>
                <c:pt idx="57">
                  <c:v>3.5024899999999999</c:v>
                </c:pt>
                <c:pt idx="58">
                  <c:v>3.4877799999999999</c:v>
                </c:pt>
                <c:pt idx="59">
                  <c:v>3.4681299999999999</c:v>
                </c:pt>
                <c:pt idx="60">
                  <c:v>3.4506900000000003</c:v>
                </c:pt>
                <c:pt idx="61">
                  <c:v>3.4326699999999999</c:v>
                </c:pt>
                <c:pt idx="62">
                  <c:v>3.4187799999999999</c:v>
                </c:pt>
                <c:pt idx="63">
                  <c:v>3.3933299999999997</c:v>
                </c:pt>
                <c:pt idx="64">
                  <c:v>3.3702900000000002</c:v>
                </c:pt>
                <c:pt idx="65">
                  <c:v>3.34361</c:v>
                </c:pt>
                <c:pt idx="66">
                  <c:v>3.3235100000000002</c:v>
                </c:pt>
                <c:pt idx="67">
                  <c:v>3.29874</c:v>
                </c:pt>
                <c:pt idx="68">
                  <c:v>3.2837399999999999</c:v>
                </c:pt>
                <c:pt idx="69">
                  <c:v>3.27162</c:v>
                </c:pt>
                <c:pt idx="70">
                  <c:v>3.2606200000000003</c:v>
                </c:pt>
                <c:pt idx="71">
                  <c:v>3.24864</c:v>
                </c:pt>
                <c:pt idx="72">
                  <c:v>3.2393699999999996</c:v>
                </c:pt>
                <c:pt idx="73">
                  <c:v>3.22818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59.575100000000006</c:v>
                </c:pt>
                <c:pt idx="1">
                  <c:v>58.682699999999997</c:v>
                </c:pt>
                <c:pt idx="2">
                  <c:v>57.6798</c:v>
                </c:pt>
                <c:pt idx="3">
                  <c:v>56.668700000000008</c:v>
                </c:pt>
                <c:pt idx="4">
                  <c:v>55.575300000000006</c:v>
                </c:pt>
                <c:pt idx="5">
                  <c:v>54.445900000000002</c:v>
                </c:pt>
                <c:pt idx="6">
                  <c:v>53.402999999999999</c:v>
                </c:pt>
                <c:pt idx="7">
                  <c:v>52.408799999999999</c:v>
                </c:pt>
                <c:pt idx="8">
                  <c:v>51.458000000000006</c:v>
                </c:pt>
                <c:pt idx="9">
                  <c:v>50.431599999999996</c:v>
                </c:pt>
                <c:pt idx="10">
                  <c:v>49.231000000000002</c:v>
                </c:pt>
                <c:pt idx="11">
                  <c:v>47.983899999999998</c:v>
                </c:pt>
                <c:pt idx="12">
                  <c:v>46.676899999999996</c:v>
                </c:pt>
                <c:pt idx="13">
                  <c:v>45.285599999999995</c:v>
                </c:pt>
                <c:pt idx="14">
                  <c:v>43.8658</c:v>
                </c:pt>
                <c:pt idx="15">
                  <c:v>42.491800000000005</c:v>
                </c:pt>
                <c:pt idx="16">
                  <c:v>41.1569</c:v>
                </c:pt>
                <c:pt idx="17">
                  <c:v>39.844099999999997</c:v>
                </c:pt>
                <c:pt idx="18">
                  <c:v>38.587500000000006</c:v>
                </c:pt>
                <c:pt idx="19">
                  <c:v>37.370599999999996</c:v>
                </c:pt>
                <c:pt idx="20">
                  <c:v>36.156599999999997</c:v>
                </c:pt>
                <c:pt idx="21">
                  <c:v>35.015800000000006</c:v>
                </c:pt>
                <c:pt idx="22">
                  <c:v>33.964800000000004</c:v>
                </c:pt>
                <c:pt idx="23">
                  <c:v>32.937100000000001</c:v>
                </c:pt>
                <c:pt idx="24">
                  <c:v>31.9575</c:v>
                </c:pt>
                <c:pt idx="25">
                  <c:v>31.0091</c:v>
                </c:pt>
                <c:pt idx="26">
                  <c:v>30.0427</c:v>
                </c:pt>
                <c:pt idx="27">
                  <c:v>29.2273</c:v>
                </c:pt>
                <c:pt idx="28">
                  <c:v>28.543299999999999</c:v>
                </c:pt>
                <c:pt idx="29">
                  <c:v>27.913300000000003</c:v>
                </c:pt>
                <c:pt idx="30">
                  <c:v>27.416200000000003</c:v>
                </c:pt>
                <c:pt idx="31">
                  <c:v>26.980599999999999</c:v>
                </c:pt>
                <c:pt idx="32">
                  <c:v>26.627800000000001</c:v>
                </c:pt>
                <c:pt idx="33">
                  <c:v>26.361600000000003</c:v>
                </c:pt>
                <c:pt idx="34">
                  <c:v>26.232699999999998</c:v>
                </c:pt>
                <c:pt idx="35">
                  <c:v>26.152199999999997</c:v>
                </c:pt>
                <c:pt idx="36">
                  <c:v>26.129599999999996</c:v>
                </c:pt>
                <c:pt idx="37">
                  <c:v>26.135100000000001</c:v>
                </c:pt>
                <c:pt idx="38">
                  <c:v>26.272200000000002</c:v>
                </c:pt>
                <c:pt idx="39">
                  <c:v>26.374700000000001</c:v>
                </c:pt>
                <c:pt idx="40">
                  <c:v>26.4422</c:v>
                </c:pt>
                <c:pt idx="41">
                  <c:v>26.574199999999998</c:v>
                </c:pt>
                <c:pt idx="42">
                  <c:v>26.776699999999998</c:v>
                </c:pt>
                <c:pt idx="43">
                  <c:v>27.066800000000001</c:v>
                </c:pt>
                <c:pt idx="44">
                  <c:v>27.443800000000003</c:v>
                </c:pt>
                <c:pt idx="45">
                  <c:v>27.9254</c:v>
                </c:pt>
                <c:pt idx="46">
                  <c:v>28.396999999999998</c:v>
                </c:pt>
                <c:pt idx="47">
                  <c:v>28.899399999999996</c:v>
                </c:pt>
                <c:pt idx="48">
                  <c:v>29.488999999999997</c:v>
                </c:pt>
                <c:pt idx="49">
                  <c:v>30.109599999999997</c:v>
                </c:pt>
                <c:pt idx="50">
                  <c:v>30.7562</c:v>
                </c:pt>
                <c:pt idx="51">
                  <c:v>31.448399999999999</c:v>
                </c:pt>
                <c:pt idx="52">
                  <c:v>32.104999999999997</c:v>
                </c:pt>
                <c:pt idx="53">
                  <c:v>32.706899999999997</c:v>
                </c:pt>
                <c:pt idx="54">
                  <c:v>33.308999999999997</c:v>
                </c:pt>
                <c:pt idx="55">
                  <c:v>33.815200000000004</c:v>
                </c:pt>
                <c:pt idx="56">
                  <c:v>34.450800000000001</c:v>
                </c:pt>
                <c:pt idx="57">
                  <c:v>34.941400000000002</c:v>
                </c:pt>
                <c:pt idx="58">
                  <c:v>35.463799999999999</c:v>
                </c:pt>
                <c:pt idx="59">
                  <c:v>35.9709</c:v>
                </c:pt>
                <c:pt idx="60">
                  <c:v>36.391199999999998</c:v>
                </c:pt>
                <c:pt idx="61">
                  <c:v>36.744399999999999</c:v>
                </c:pt>
                <c:pt idx="62">
                  <c:v>37.055199999999999</c:v>
                </c:pt>
                <c:pt idx="63">
                  <c:v>37.261200000000002</c:v>
                </c:pt>
                <c:pt idx="64">
                  <c:v>37.500499999999995</c:v>
                </c:pt>
                <c:pt idx="65">
                  <c:v>37.746200000000002</c:v>
                </c:pt>
                <c:pt idx="66">
                  <c:v>38.023699999999998</c:v>
                </c:pt>
                <c:pt idx="67">
                  <c:v>38.021599999999999</c:v>
                </c:pt>
                <c:pt idx="68">
                  <c:v>37.898299999999999</c:v>
                </c:pt>
                <c:pt idx="69">
                  <c:v>37.610700000000001</c:v>
                </c:pt>
                <c:pt idx="70">
                  <c:v>37.173499999999997</c:v>
                </c:pt>
                <c:pt idx="71">
                  <c:v>36.727199999999996</c:v>
                </c:pt>
                <c:pt idx="72">
                  <c:v>36.459599999999995</c:v>
                </c:pt>
                <c:pt idx="73">
                  <c:v>35.938400000000001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3.22818</c:v>
                </c:pt>
                <c:pt idx="1">
                  <c:v>3.2144400000000002</c:v>
                </c:pt>
                <c:pt idx="2">
                  <c:v>3.2019599999999997</c:v>
                </c:pt>
                <c:pt idx="3">
                  <c:v>3.1892199999999997</c:v>
                </c:pt>
                <c:pt idx="4">
                  <c:v>3.1761900000000001</c:v>
                </c:pt>
                <c:pt idx="5">
                  <c:v>3.1608100000000001</c:v>
                </c:pt>
                <c:pt idx="6">
                  <c:v>3.1414199999999997</c:v>
                </c:pt>
                <c:pt idx="7">
                  <c:v>3.1185800000000001</c:v>
                </c:pt>
                <c:pt idx="8">
                  <c:v>3.09246</c:v>
                </c:pt>
                <c:pt idx="9">
                  <c:v>3.0649700000000002</c:v>
                </c:pt>
                <c:pt idx="10">
                  <c:v>3.0374800000000004</c:v>
                </c:pt>
                <c:pt idx="11">
                  <c:v>3.0132700000000003</c:v>
                </c:pt>
                <c:pt idx="12">
                  <c:v>2.9895100000000001</c:v>
                </c:pt>
                <c:pt idx="13">
                  <c:v>2.9670899999999998</c:v>
                </c:pt>
                <c:pt idx="14">
                  <c:v>2.9477500000000001</c:v>
                </c:pt>
                <c:pt idx="15">
                  <c:v>2.9295399999999998</c:v>
                </c:pt>
                <c:pt idx="16">
                  <c:v>2.9110900000000002</c:v>
                </c:pt>
                <c:pt idx="17">
                  <c:v>2.8922099999999999</c:v>
                </c:pt>
                <c:pt idx="18">
                  <c:v>2.8692699999999998</c:v>
                </c:pt>
                <c:pt idx="19">
                  <c:v>2.8452000000000002</c:v>
                </c:pt>
                <c:pt idx="20">
                  <c:v>2.8238600000000003</c:v>
                </c:pt>
                <c:pt idx="21">
                  <c:v>2.8060700000000001</c:v>
                </c:pt>
                <c:pt idx="22">
                  <c:v>2.7939399999999996</c:v>
                </c:pt>
                <c:pt idx="23">
                  <c:v>2.78362</c:v>
                </c:pt>
                <c:pt idx="24">
                  <c:v>2.7754799999999999</c:v>
                </c:pt>
                <c:pt idx="25">
                  <c:v>2.7688600000000001</c:v>
                </c:pt>
                <c:pt idx="26">
                  <c:v>2.7642899999999999</c:v>
                </c:pt>
                <c:pt idx="27">
                  <c:v>2.7619199999999999</c:v>
                </c:pt>
                <c:pt idx="28">
                  <c:v>2.7621200000000004</c:v>
                </c:pt>
                <c:pt idx="29">
                  <c:v>2.7647599999999999</c:v>
                </c:pt>
                <c:pt idx="30">
                  <c:v>2.7705299999999999</c:v>
                </c:pt>
                <c:pt idx="31">
                  <c:v>2.7799100000000001</c:v>
                </c:pt>
                <c:pt idx="32">
                  <c:v>2.7940399999999999</c:v>
                </c:pt>
                <c:pt idx="33">
                  <c:v>2.8127600000000004</c:v>
                </c:pt>
                <c:pt idx="34">
                  <c:v>2.8335300000000001</c:v>
                </c:pt>
                <c:pt idx="35">
                  <c:v>2.8563100000000001</c:v>
                </c:pt>
                <c:pt idx="36">
                  <c:v>2.8811599999999999</c:v>
                </c:pt>
                <c:pt idx="37">
                  <c:v>2.9069099999999999</c:v>
                </c:pt>
                <c:pt idx="38">
                  <c:v>2.9335200000000001</c:v>
                </c:pt>
                <c:pt idx="39">
                  <c:v>2.9609100000000002</c:v>
                </c:pt>
                <c:pt idx="40">
                  <c:v>2.9894400000000001</c:v>
                </c:pt>
                <c:pt idx="41">
                  <c:v>3.0195300000000005</c:v>
                </c:pt>
                <c:pt idx="42">
                  <c:v>3.05091</c:v>
                </c:pt>
                <c:pt idx="43">
                  <c:v>3.0812600000000003</c:v>
                </c:pt>
                <c:pt idx="44">
                  <c:v>3.10765</c:v>
                </c:pt>
                <c:pt idx="45">
                  <c:v>3.1267699999999996</c:v>
                </c:pt>
                <c:pt idx="46">
                  <c:v>3.1410900000000002</c:v>
                </c:pt>
                <c:pt idx="47">
                  <c:v>3.1525099999999999</c:v>
                </c:pt>
                <c:pt idx="48">
                  <c:v>3.1593300000000002</c:v>
                </c:pt>
                <c:pt idx="49">
                  <c:v>3.1638300000000004</c:v>
                </c:pt>
                <c:pt idx="50">
                  <c:v>3.1666499999999997</c:v>
                </c:pt>
                <c:pt idx="51">
                  <c:v>3.17699</c:v>
                </c:pt>
                <c:pt idx="52">
                  <c:v>3.1872299999999996</c:v>
                </c:pt>
                <c:pt idx="53">
                  <c:v>3.1958500000000001</c:v>
                </c:pt>
                <c:pt idx="54">
                  <c:v>3.2031000000000001</c:v>
                </c:pt>
                <c:pt idx="55">
                  <c:v>3.2093300000000005</c:v>
                </c:pt>
                <c:pt idx="56">
                  <c:v>3.2153999999999998</c:v>
                </c:pt>
                <c:pt idx="57">
                  <c:v>3.2194600000000002</c:v>
                </c:pt>
                <c:pt idx="58">
                  <c:v>3.2211800000000004</c:v>
                </c:pt>
                <c:pt idx="59">
                  <c:v>3.2223099999999998</c:v>
                </c:pt>
                <c:pt idx="60">
                  <c:v>3.2216399999999998</c:v>
                </c:pt>
                <c:pt idx="61">
                  <c:v>3.2173400000000001</c:v>
                </c:pt>
                <c:pt idx="62">
                  <c:v>3.2117899999999997</c:v>
                </c:pt>
                <c:pt idx="63">
                  <c:v>3.2040500000000001</c:v>
                </c:pt>
                <c:pt idx="64">
                  <c:v>3.19306</c:v>
                </c:pt>
                <c:pt idx="65">
                  <c:v>3.1771700000000003</c:v>
                </c:pt>
                <c:pt idx="66">
                  <c:v>3.15665</c:v>
                </c:pt>
                <c:pt idx="67">
                  <c:v>3.1286900000000002</c:v>
                </c:pt>
                <c:pt idx="68">
                  <c:v>3.0956099999999998</c:v>
                </c:pt>
                <c:pt idx="69">
                  <c:v>3.0585100000000001</c:v>
                </c:pt>
                <c:pt idx="70">
                  <c:v>3.0301400000000003</c:v>
                </c:pt>
                <c:pt idx="71">
                  <c:v>3.0037099999999999</c:v>
                </c:pt>
                <c:pt idx="72">
                  <c:v>2.9694700000000003</c:v>
                </c:pt>
                <c:pt idx="73">
                  <c:v>2.9542600000000001</c:v>
                </c:pt>
                <c:pt idx="74">
                  <c:v>2.9389500000000002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35.938400000000001</c:v>
                </c:pt>
                <c:pt idx="1">
                  <c:v>35.218600000000002</c:v>
                </c:pt>
                <c:pt idx="2">
                  <c:v>34.656100000000002</c:v>
                </c:pt>
                <c:pt idx="3">
                  <c:v>34.087000000000003</c:v>
                </c:pt>
                <c:pt idx="4">
                  <c:v>33.488399999999999</c:v>
                </c:pt>
                <c:pt idx="5">
                  <c:v>32.933</c:v>
                </c:pt>
                <c:pt idx="6">
                  <c:v>32.4084</c:v>
                </c:pt>
                <c:pt idx="7">
                  <c:v>31.915300000000002</c:v>
                </c:pt>
                <c:pt idx="8">
                  <c:v>31.484200000000001</c:v>
                </c:pt>
                <c:pt idx="9">
                  <c:v>31.093399999999999</c:v>
                </c:pt>
                <c:pt idx="10">
                  <c:v>30.757200000000001</c:v>
                </c:pt>
                <c:pt idx="11">
                  <c:v>30.394300000000001</c:v>
                </c:pt>
                <c:pt idx="12">
                  <c:v>30.095300000000002</c:v>
                </c:pt>
                <c:pt idx="13">
                  <c:v>29.9099</c:v>
                </c:pt>
                <c:pt idx="14">
                  <c:v>29.720299999999998</c:v>
                </c:pt>
                <c:pt idx="15">
                  <c:v>29.580200000000001</c:v>
                </c:pt>
                <c:pt idx="16">
                  <c:v>29.507699999999996</c:v>
                </c:pt>
                <c:pt idx="17">
                  <c:v>29.5518</c:v>
                </c:pt>
                <c:pt idx="18">
                  <c:v>29.723800000000001</c:v>
                </c:pt>
                <c:pt idx="19">
                  <c:v>30.003</c:v>
                </c:pt>
                <c:pt idx="20">
                  <c:v>30.441700000000001</c:v>
                </c:pt>
                <c:pt idx="21">
                  <c:v>30.943700000000003</c:v>
                </c:pt>
                <c:pt idx="22">
                  <c:v>31.477300000000003</c:v>
                </c:pt>
                <c:pt idx="23">
                  <c:v>32.102199999999996</c:v>
                </c:pt>
                <c:pt idx="24">
                  <c:v>32.741300000000003</c:v>
                </c:pt>
                <c:pt idx="25">
                  <c:v>33.477800000000002</c:v>
                </c:pt>
                <c:pt idx="26">
                  <c:v>34.2121</c:v>
                </c:pt>
                <c:pt idx="27">
                  <c:v>34.963100000000004</c:v>
                </c:pt>
                <c:pt idx="28">
                  <c:v>35.7684</c:v>
                </c:pt>
                <c:pt idx="29">
                  <c:v>36.5779</c:v>
                </c:pt>
                <c:pt idx="30">
                  <c:v>37.313600000000001</c:v>
                </c:pt>
                <c:pt idx="31">
                  <c:v>37.976900000000001</c:v>
                </c:pt>
                <c:pt idx="32">
                  <c:v>38.555599999999998</c:v>
                </c:pt>
                <c:pt idx="33">
                  <c:v>38.996399999999994</c:v>
                </c:pt>
                <c:pt idx="34">
                  <c:v>39.363999999999997</c:v>
                </c:pt>
                <c:pt idx="35">
                  <c:v>39.645899999999997</c:v>
                </c:pt>
                <c:pt idx="36">
                  <c:v>39.876899999999999</c:v>
                </c:pt>
                <c:pt idx="37">
                  <c:v>40.075600000000001</c:v>
                </c:pt>
                <c:pt idx="38">
                  <c:v>40.217399999999998</c:v>
                </c:pt>
                <c:pt idx="39">
                  <c:v>40.3508</c:v>
                </c:pt>
                <c:pt idx="40">
                  <c:v>40.454700000000003</c:v>
                </c:pt>
                <c:pt idx="41">
                  <c:v>40.573100000000004</c:v>
                </c:pt>
                <c:pt idx="42">
                  <c:v>40.686299999999996</c:v>
                </c:pt>
                <c:pt idx="43">
                  <c:v>40.869299999999996</c:v>
                </c:pt>
                <c:pt idx="44">
                  <c:v>41.125</c:v>
                </c:pt>
                <c:pt idx="45">
                  <c:v>41.428799999999995</c:v>
                </c:pt>
                <c:pt idx="46">
                  <c:v>41.7836</c:v>
                </c:pt>
                <c:pt idx="47">
                  <c:v>42.116399999999999</c:v>
                </c:pt>
                <c:pt idx="48">
                  <c:v>42.410399999999996</c:v>
                </c:pt>
                <c:pt idx="49">
                  <c:v>42.674399999999999</c:v>
                </c:pt>
                <c:pt idx="50">
                  <c:v>42.905700000000003</c:v>
                </c:pt>
                <c:pt idx="51">
                  <c:v>42.9587</c:v>
                </c:pt>
                <c:pt idx="52">
                  <c:v>42.9833</c:v>
                </c:pt>
                <c:pt idx="53">
                  <c:v>42.972799999999999</c:v>
                </c:pt>
                <c:pt idx="54">
                  <c:v>42.964599999999997</c:v>
                </c:pt>
                <c:pt idx="55">
                  <c:v>42.969900000000003</c:v>
                </c:pt>
                <c:pt idx="56">
                  <c:v>42.9831</c:v>
                </c:pt>
                <c:pt idx="57">
                  <c:v>42.978100000000005</c:v>
                </c:pt>
                <c:pt idx="58">
                  <c:v>43.0017</c:v>
                </c:pt>
                <c:pt idx="59">
                  <c:v>43.039400000000001</c:v>
                </c:pt>
                <c:pt idx="60">
                  <c:v>43.119199999999999</c:v>
                </c:pt>
                <c:pt idx="61">
                  <c:v>43.240099999999998</c:v>
                </c:pt>
                <c:pt idx="62">
                  <c:v>43.374600000000001</c:v>
                </c:pt>
                <c:pt idx="63">
                  <c:v>43.5501</c:v>
                </c:pt>
                <c:pt idx="64">
                  <c:v>43.819399999999995</c:v>
                </c:pt>
                <c:pt idx="65">
                  <c:v>44.168900000000001</c:v>
                </c:pt>
                <c:pt idx="66">
                  <c:v>44.632399999999997</c:v>
                </c:pt>
                <c:pt idx="67">
                  <c:v>45.248600000000003</c:v>
                </c:pt>
                <c:pt idx="68">
                  <c:v>45.915499999999994</c:v>
                </c:pt>
                <c:pt idx="69">
                  <c:v>46.601799999999997</c:v>
                </c:pt>
                <c:pt idx="70">
                  <c:v>47.223500000000001</c:v>
                </c:pt>
                <c:pt idx="71">
                  <c:v>47.643700000000003</c:v>
                </c:pt>
                <c:pt idx="72">
                  <c:v>48.112000000000002</c:v>
                </c:pt>
                <c:pt idx="73">
                  <c:v>48.394100000000002</c:v>
                </c:pt>
                <c:pt idx="74">
                  <c:v>48.855900000000005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1.7280200000000001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59.575100000000006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3.0550120270270273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36.471845945945965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3.0225381081081077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38.505210810810802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3.0225381081081077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38.505210810810802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0.20929799302184773</c:v>
                </c:pt>
                <c:pt idx="1">
                  <c:v>0.35867968799946998</c:v>
                </c:pt>
                <c:pt idx="2">
                  <c:v>0.43202231897868226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0.40504800000000002</c:v>
                </c:pt>
                <c:pt idx="2">
                  <c:v>0.81174199999999996</c:v>
                </c:pt>
                <c:pt idx="3">
                  <c:v>1.2185299999999999</c:v>
                </c:pt>
                <c:pt idx="4">
                  <c:v>1.62263</c:v>
                </c:pt>
                <c:pt idx="5">
                  <c:v>2.0345300000000002</c:v>
                </c:pt>
                <c:pt idx="6">
                  <c:v>2.4343699999999999</c:v>
                </c:pt>
                <c:pt idx="7">
                  <c:v>2.84422</c:v>
                </c:pt>
                <c:pt idx="8">
                  <c:v>3.24953</c:v>
                </c:pt>
                <c:pt idx="9">
                  <c:v>3.6562800000000002</c:v>
                </c:pt>
                <c:pt idx="10">
                  <c:v>4.0640400000000003</c:v>
                </c:pt>
                <c:pt idx="11">
                  <c:v>4.4690899999999996</c:v>
                </c:pt>
                <c:pt idx="12">
                  <c:v>4.8748699999999996</c:v>
                </c:pt>
                <c:pt idx="13">
                  <c:v>5.2838599999999998</c:v>
                </c:pt>
                <c:pt idx="14">
                  <c:v>5.6888800000000002</c:v>
                </c:pt>
                <c:pt idx="15">
                  <c:v>6.0955399999999997</c:v>
                </c:pt>
                <c:pt idx="16">
                  <c:v>6.5015000000000001</c:v>
                </c:pt>
                <c:pt idx="17">
                  <c:v>6.9093</c:v>
                </c:pt>
                <c:pt idx="18">
                  <c:v>7.3133600000000003</c:v>
                </c:pt>
                <c:pt idx="19">
                  <c:v>7.7193500000000004</c:v>
                </c:pt>
                <c:pt idx="20">
                  <c:v>8.1272000000000002</c:v>
                </c:pt>
                <c:pt idx="21">
                  <c:v>8.5309699999999999</c:v>
                </c:pt>
                <c:pt idx="22">
                  <c:v>8.9390099999999997</c:v>
                </c:pt>
                <c:pt idx="23">
                  <c:v>9.3493600000000008</c:v>
                </c:pt>
                <c:pt idx="24">
                  <c:v>9.7546800000000005</c:v>
                </c:pt>
                <c:pt idx="25">
                  <c:v>10.1556</c:v>
                </c:pt>
                <c:pt idx="26">
                  <c:v>10.5616</c:v>
                </c:pt>
                <c:pt idx="27">
                  <c:v>10.967599999999999</c:v>
                </c:pt>
                <c:pt idx="28">
                  <c:v>11.3733</c:v>
                </c:pt>
                <c:pt idx="29">
                  <c:v>11.783300000000001</c:v>
                </c:pt>
                <c:pt idx="30">
                  <c:v>12.1851</c:v>
                </c:pt>
                <c:pt idx="31">
                  <c:v>12.594099999999999</c:v>
                </c:pt>
                <c:pt idx="32">
                  <c:v>12.996700000000001</c:v>
                </c:pt>
                <c:pt idx="33">
                  <c:v>13.4109</c:v>
                </c:pt>
                <c:pt idx="34">
                  <c:v>13.813700000000001</c:v>
                </c:pt>
                <c:pt idx="35">
                  <c:v>14.2218</c:v>
                </c:pt>
                <c:pt idx="36">
                  <c:v>14.6236</c:v>
                </c:pt>
                <c:pt idx="37">
                  <c:v>15.032999999999999</c:v>
                </c:pt>
                <c:pt idx="38">
                  <c:v>15.4345</c:v>
                </c:pt>
                <c:pt idx="39">
                  <c:v>15.844900000000001</c:v>
                </c:pt>
                <c:pt idx="40">
                  <c:v>16.253299999999999</c:v>
                </c:pt>
                <c:pt idx="41">
                  <c:v>16.658300000000001</c:v>
                </c:pt>
                <c:pt idx="42">
                  <c:v>17.066199999999998</c:v>
                </c:pt>
                <c:pt idx="43">
                  <c:v>17.4663</c:v>
                </c:pt>
                <c:pt idx="44">
                  <c:v>17.872</c:v>
                </c:pt>
                <c:pt idx="45">
                  <c:v>18.282299999999999</c:v>
                </c:pt>
                <c:pt idx="46">
                  <c:v>18.6889</c:v>
                </c:pt>
                <c:pt idx="47">
                  <c:v>19.0977</c:v>
                </c:pt>
                <c:pt idx="48">
                  <c:v>19.502600000000001</c:v>
                </c:pt>
                <c:pt idx="49">
                  <c:v>19.9055</c:v>
                </c:pt>
                <c:pt idx="50">
                  <c:v>20.319500000000001</c:v>
                </c:pt>
                <c:pt idx="51">
                  <c:v>20.717500000000001</c:v>
                </c:pt>
                <c:pt idx="52">
                  <c:v>21.124600000000001</c:v>
                </c:pt>
                <c:pt idx="53">
                  <c:v>21.531300000000002</c:v>
                </c:pt>
                <c:pt idx="54">
                  <c:v>21.939900000000002</c:v>
                </c:pt>
                <c:pt idx="55">
                  <c:v>22.342199999999998</c:v>
                </c:pt>
                <c:pt idx="56">
                  <c:v>22.754000000000001</c:v>
                </c:pt>
                <c:pt idx="57">
                  <c:v>23.157</c:v>
                </c:pt>
                <c:pt idx="58">
                  <c:v>23.561</c:v>
                </c:pt>
                <c:pt idx="59">
                  <c:v>23.971800000000002</c:v>
                </c:pt>
                <c:pt idx="60">
                  <c:v>24.3766</c:v>
                </c:pt>
                <c:pt idx="61">
                  <c:v>24.8096</c:v>
                </c:pt>
                <c:pt idx="62">
                  <c:v>25.185600000000001</c:v>
                </c:pt>
                <c:pt idx="63">
                  <c:v>25.595700000000001</c:v>
                </c:pt>
                <c:pt idx="64">
                  <c:v>26.003299999999999</c:v>
                </c:pt>
                <c:pt idx="65">
                  <c:v>26.404599999999999</c:v>
                </c:pt>
                <c:pt idx="66">
                  <c:v>26.8142</c:v>
                </c:pt>
                <c:pt idx="67">
                  <c:v>27.225999999999999</c:v>
                </c:pt>
                <c:pt idx="68">
                  <c:v>27.6281</c:v>
                </c:pt>
                <c:pt idx="69">
                  <c:v>28.033300000000001</c:v>
                </c:pt>
                <c:pt idx="70">
                  <c:v>28.4391</c:v>
                </c:pt>
                <c:pt idx="71">
                  <c:v>28.846699999999998</c:v>
                </c:pt>
                <c:pt idx="72">
                  <c:v>29.248999999999999</c:v>
                </c:pt>
                <c:pt idx="73">
                  <c:v>29.6556</c:v>
                </c:pt>
                <c:pt idx="74">
                  <c:v>30.064399999999999</c:v>
                </c:pt>
                <c:pt idx="75">
                  <c:v>30.517199999999999</c:v>
                </c:pt>
                <c:pt idx="76">
                  <c:v>30.9222</c:v>
                </c:pt>
                <c:pt idx="77">
                  <c:v>31.327999999999999</c:v>
                </c:pt>
                <c:pt idx="78">
                  <c:v>31.735399999999998</c:v>
                </c:pt>
                <c:pt idx="79">
                  <c:v>32.139200000000002</c:v>
                </c:pt>
                <c:pt idx="80">
                  <c:v>32.547800000000002</c:v>
                </c:pt>
                <c:pt idx="81">
                  <c:v>32.954700000000003</c:v>
                </c:pt>
                <c:pt idx="82">
                  <c:v>33.3566</c:v>
                </c:pt>
                <c:pt idx="83">
                  <c:v>33.763399999999997</c:v>
                </c:pt>
                <c:pt idx="84">
                  <c:v>34.174399999999999</c:v>
                </c:pt>
                <c:pt idx="85">
                  <c:v>34.580300000000001</c:v>
                </c:pt>
                <c:pt idx="86">
                  <c:v>34.9863</c:v>
                </c:pt>
                <c:pt idx="87">
                  <c:v>35.390099999999997</c:v>
                </c:pt>
                <c:pt idx="88">
                  <c:v>35.801299999999998</c:v>
                </c:pt>
                <c:pt idx="89">
                  <c:v>36.204999999999998</c:v>
                </c:pt>
                <c:pt idx="90">
                  <c:v>36.605899999999998</c:v>
                </c:pt>
                <c:pt idx="91">
                  <c:v>37.015700000000002</c:v>
                </c:pt>
                <c:pt idx="92">
                  <c:v>37.424700000000001</c:v>
                </c:pt>
                <c:pt idx="93">
                  <c:v>37.8307</c:v>
                </c:pt>
                <c:pt idx="94">
                  <c:v>38.235500000000002</c:v>
                </c:pt>
                <c:pt idx="95">
                  <c:v>38.641399999999997</c:v>
                </c:pt>
                <c:pt idx="96">
                  <c:v>39.047499999999999</c:v>
                </c:pt>
                <c:pt idx="97">
                  <c:v>39.451300000000003</c:v>
                </c:pt>
                <c:pt idx="98">
                  <c:v>39.857399999999998</c:v>
                </c:pt>
                <c:pt idx="99">
                  <c:v>40.269300000000001</c:v>
                </c:pt>
                <c:pt idx="100">
                  <c:v>40.668100000000003</c:v>
                </c:pt>
                <c:pt idx="101">
                  <c:v>41.08</c:v>
                </c:pt>
                <c:pt idx="102">
                  <c:v>41.482900000000001</c:v>
                </c:pt>
                <c:pt idx="103">
                  <c:v>41.893700000000003</c:v>
                </c:pt>
                <c:pt idx="104">
                  <c:v>42.298999999999999</c:v>
                </c:pt>
                <c:pt idx="105">
                  <c:v>42.706600000000002</c:v>
                </c:pt>
                <c:pt idx="106">
                  <c:v>43.109499999999997</c:v>
                </c:pt>
                <c:pt idx="107">
                  <c:v>43.514299999999999</c:v>
                </c:pt>
                <c:pt idx="108">
                  <c:v>43.921300000000002</c:v>
                </c:pt>
                <c:pt idx="109">
                  <c:v>44.328299999999999</c:v>
                </c:pt>
                <c:pt idx="110">
                  <c:v>44.731099999999998</c:v>
                </c:pt>
                <c:pt idx="111">
                  <c:v>45.143000000000001</c:v>
                </c:pt>
                <c:pt idx="112">
                  <c:v>45.549399999999999</c:v>
                </c:pt>
                <c:pt idx="113">
                  <c:v>45.9499</c:v>
                </c:pt>
                <c:pt idx="114">
                  <c:v>46.356900000000003</c:v>
                </c:pt>
                <c:pt idx="115">
                  <c:v>46.763800000000003</c:v>
                </c:pt>
                <c:pt idx="116">
                  <c:v>47.175600000000003</c:v>
                </c:pt>
                <c:pt idx="117">
                  <c:v>47.579599999999999</c:v>
                </c:pt>
                <c:pt idx="118">
                  <c:v>47.988799999999998</c:v>
                </c:pt>
                <c:pt idx="119">
                  <c:v>48.398600000000002</c:v>
                </c:pt>
                <c:pt idx="120">
                  <c:v>48.802199999999999</c:v>
                </c:pt>
                <c:pt idx="121">
                  <c:v>49.2072</c:v>
                </c:pt>
                <c:pt idx="122">
                  <c:v>49.618099999999998</c:v>
                </c:pt>
                <c:pt idx="123">
                  <c:v>50.014000000000003</c:v>
                </c:pt>
                <c:pt idx="124">
                  <c:v>50.418999999999997</c:v>
                </c:pt>
                <c:pt idx="125">
                  <c:v>50.8339</c:v>
                </c:pt>
                <c:pt idx="126">
                  <c:v>51.238</c:v>
                </c:pt>
                <c:pt idx="127">
                  <c:v>51.636699999999998</c:v>
                </c:pt>
                <c:pt idx="128">
                  <c:v>52.050600000000003</c:v>
                </c:pt>
                <c:pt idx="129">
                  <c:v>52.456499999999998</c:v>
                </c:pt>
                <c:pt idx="130">
                  <c:v>52.863399999999999</c:v>
                </c:pt>
                <c:pt idx="131">
                  <c:v>53.270499999999998</c:v>
                </c:pt>
                <c:pt idx="132">
                  <c:v>53.673299999999998</c:v>
                </c:pt>
                <c:pt idx="133">
                  <c:v>54.084299999999999</c:v>
                </c:pt>
                <c:pt idx="134">
                  <c:v>54.487099999999998</c:v>
                </c:pt>
                <c:pt idx="135">
                  <c:v>54.892099999999999</c:v>
                </c:pt>
                <c:pt idx="136">
                  <c:v>55.301499999999997</c:v>
                </c:pt>
                <c:pt idx="137">
                  <c:v>55.713900000000002</c:v>
                </c:pt>
                <c:pt idx="138">
                  <c:v>56.112699999999997</c:v>
                </c:pt>
                <c:pt idx="139">
                  <c:v>56.518900000000002</c:v>
                </c:pt>
                <c:pt idx="140">
                  <c:v>56.926699999999997</c:v>
                </c:pt>
                <c:pt idx="141">
                  <c:v>57.333399999999997</c:v>
                </c:pt>
                <c:pt idx="142">
                  <c:v>57.735399999999998</c:v>
                </c:pt>
                <c:pt idx="143">
                  <c:v>58.144300000000001</c:v>
                </c:pt>
                <c:pt idx="144">
                  <c:v>58.5505</c:v>
                </c:pt>
                <c:pt idx="145">
                  <c:v>58.957099999999997</c:v>
                </c:pt>
                <c:pt idx="146">
                  <c:v>59.366999999999997</c:v>
                </c:pt>
                <c:pt idx="147">
                  <c:v>59.773899999999998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1.7280200000000001</c:v>
                </c:pt>
                <c:pt idx="1">
                  <c:v>1.7859</c:v>
                </c:pt>
                <c:pt idx="2">
                  <c:v>1.84219</c:v>
                </c:pt>
                <c:pt idx="3">
                  <c:v>1.8961800000000002</c:v>
                </c:pt>
                <c:pt idx="4">
                  <c:v>1.95075</c:v>
                </c:pt>
                <c:pt idx="5">
                  <c:v>2.0044400000000002</c:v>
                </c:pt>
                <c:pt idx="6">
                  <c:v>2.0558100000000001</c:v>
                </c:pt>
                <c:pt idx="7">
                  <c:v>2.1054200000000001</c:v>
                </c:pt>
                <c:pt idx="8">
                  <c:v>2.1537899999999999</c:v>
                </c:pt>
                <c:pt idx="9">
                  <c:v>2.2024900000000001</c:v>
                </c:pt>
                <c:pt idx="10">
                  <c:v>2.2538399999999998</c:v>
                </c:pt>
                <c:pt idx="11">
                  <c:v>2.3058999999999998</c:v>
                </c:pt>
                <c:pt idx="12">
                  <c:v>2.35934</c:v>
                </c:pt>
                <c:pt idx="13">
                  <c:v>2.4113799999999999</c:v>
                </c:pt>
                <c:pt idx="14">
                  <c:v>2.4655199999999997</c:v>
                </c:pt>
                <c:pt idx="15">
                  <c:v>2.5219100000000001</c:v>
                </c:pt>
                <c:pt idx="16">
                  <c:v>2.5775700000000001</c:v>
                </c:pt>
                <c:pt idx="17">
                  <c:v>2.6334900000000001</c:v>
                </c:pt>
                <c:pt idx="18">
                  <c:v>2.6897700000000002</c:v>
                </c:pt>
                <c:pt idx="19">
                  <c:v>2.7442899999999999</c:v>
                </c:pt>
                <c:pt idx="20">
                  <c:v>2.7968500000000001</c:v>
                </c:pt>
                <c:pt idx="21">
                  <c:v>2.84823</c:v>
                </c:pt>
                <c:pt idx="22">
                  <c:v>2.8959800000000002</c:v>
                </c:pt>
                <c:pt idx="23">
                  <c:v>2.9419200000000001</c:v>
                </c:pt>
                <c:pt idx="24">
                  <c:v>2.9863200000000001</c:v>
                </c:pt>
                <c:pt idx="25">
                  <c:v>3.0301499999999999</c:v>
                </c:pt>
                <c:pt idx="26">
                  <c:v>3.0750499999999996</c:v>
                </c:pt>
                <c:pt idx="27">
                  <c:v>3.1181299999999998</c:v>
                </c:pt>
                <c:pt idx="28">
                  <c:v>3.16106</c:v>
                </c:pt>
                <c:pt idx="29">
                  <c:v>3.2033299999999998</c:v>
                </c:pt>
                <c:pt idx="30">
                  <c:v>3.2430199999999996</c:v>
                </c:pt>
                <c:pt idx="31">
                  <c:v>3.2822400000000003</c:v>
                </c:pt>
                <c:pt idx="32">
                  <c:v>3.3198400000000001</c:v>
                </c:pt>
                <c:pt idx="33">
                  <c:v>3.35744</c:v>
                </c:pt>
                <c:pt idx="34">
                  <c:v>3.3917000000000002</c:v>
                </c:pt>
                <c:pt idx="35">
                  <c:v>3.4217300000000002</c:v>
                </c:pt>
                <c:pt idx="36">
                  <c:v>3.4482900000000001</c:v>
                </c:pt>
                <c:pt idx="37">
                  <c:v>3.4712500000000004</c:v>
                </c:pt>
                <c:pt idx="38">
                  <c:v>3.49037</c:v>
                </c:pt>
                <c:pt idx="39">
                  <c:v>3.5089199999999998</c:v>
                </c:pt>
                <c:pt idx="40">
                  <c:v>3.5275499999999997</c:v>
                </c:pt>
                <c:pt idx="41">
                  <c:v>3.5432000000000001</c:v>
                </c:pt>
                <c:pt idx="42">
                  <c:v>3.5552600000000001</c:v>
                </c:pt>
                <c:pt idx="43">
                  <c:v>3.5624199999999999</c:v>
                </c:pt>
                <c:pt idx="44">
                  <c:v>3.5659600000000005</c:v>
                </c:pt>
                <c:pt idx="45">
                  <c:v>3.5664800000000003</c:v>
                </c:pt>
                <c:pt idx="46">
                  <c:v>3.5673300000000001</c:v>
                </c:pt>
                <c:pt idx="47">
                  <c:v>3.5682499999999999</c:v>
                </c:pt>
                <c:pt idx="48">
                  <c:v>3.5676000000000001</c:v>
                </c:pt>
                <c:pt idx="49">
                  <c:v>3.5657000000000001</c:v>
                </c:pt>
                <c:pt idx="50">
                  <c:v>3.5618100000000004</c:v>
                </c:pt>
                <c:pt idx="51">
                  <c:v>3.55585</c:v>
                </c:pt>
                <c:pt idx="52">
                  <c:v>3.5493299999999999</c:v>
                </c:pt>
                <c:pt idx="53">
                  <c:v>3.5417500000000004</c:v>
                </c:pt>
                <c:pt idx="54">
                  <c:v>3.5325499999999996</c:v>
                </c:pt>
                <c:pt idx="55">
                  <c:v>3.5256500000000002</c:v>
                </c:pt>
                <c:pt idx="56">
                  <c:v>3.5121899999999999</c:v>
                </c:pt>
                <c:pt idx="57">
                  <c:v>3.5024899999999999</c:v>
                </c:pt>
                <c:pt idx="58">
                  <c:v>3.4877799999999999</c:v>
                </c:pt>
                <c:pt idx="59">
                  <c:v>3.4681299999999999</c:v>
                </c:pt>
                <c:pt idx="60">
                  <c:v>3.4506900000000003</c:v>
                </c:pt>
                <c:pt idx="61">
                  <c:v>3.4326699999999999</c:v>
                </c:pt>
                <c:pt idx="62">
                  <c:v>3.4187799999999999</c:v>
                </c:pt>
                <c:pt idx="63">
                  <c:v>3.3933299999999997</c:v>
                </c:pt>
                <c:pt idx="64">
                  <c:v>3.3702900000000002</c:v>
                </c:pt>
                <c:pt idx="65">
                  <c:v>3.34361</c:v>
                </c:pt>
                <c:pt idx="66">
                  <c:v>3.3235100000000002</c:v>
                </c:pt>
                <c:pt idx="67">
                  <c:v>3.29874</c:v>
                </c:pt>
                <c:pt idx="68">
                  <c:v>3.2837399999999999</c:v>
                </c:pt>
                <c:pt idx="69">
                  <c:v>3.27162</c:v>
                </c:pt>
                <c:pt idx="70">
                  <c:v>3.2606200000000003</c:v>
                </c:pt>
                <c:pt idx="71">
                  <c:v>3.24864</c:v>
                </c:pt>
                <c:pt idx="72">
                  <c:v>3.2393699999999996</c:v>
                </c:pt>
                <c:pt idx="73">
                  <c:v>3.22818</c:v>
                </c:pt>
                <c:pt idx="74">
                  <c:v>3.2144400000000002</c:v>
                </c:pt>
                <c:pt idx="75">
                  <c:v>3.2019599999999997</c:v>
                </c:pt>
                <c:pt idx="76">
                  <c:v>3.1892199999999997</c:v>
                </c:pt>
                <c:pt idx="77">
                  <c:v>3.1761900000000001</c:v>
                </c:pt>
                <c:pt idx="78">
                  <c:v>3.1608100000000001</c:v>
                </c:pt>
                <c:pt idx="79">
                  <c:v>3.1414199999999997</c:v>
                </c:pt>
                <c:pt idx="80">
                  <c:v>3.1185800000000001</c:v>
                </c:pt>
                <c:pt idx="81">
                  <c:v>3.09246</c:v>
                </c:pt>
                <c:pt idx="82">
                  <c:v>3.0649700000000002</c:v>
                </c:pt>
                <c:pt idx="83">
                  <c:v>3.0374800000000004</c:v>
                </c:pt>
                <c:pt idx="84">
                  <c:v>3.0132700000000003</c:v>
                </c:pt>
                <c:pt idx="85">
                  <c:v>2.9895100000000001</c:v>
                </c:pt>
                <c:pt idx="86">
                  <c:v>2.9670899999999998</c:v>
                </c:pt>
                <c:pt idx="87">
                  <c:v>2.9477500000000001</c:v>
                </c:pt>
                <c:pt idx="88">
                  <c:v>2.9295399999999998</c:v>
                </c:pt>
                <c:pt idx="89">
                  <c:v>2.9110900000000002</c:v>
                </c:pt>
                <c:pt idx="90">
                  <c:v>2.8922099999999999</c:v>
                </c:pt>
                <c:pt idx="91">
                  <c:v>2.8692699999999998</c:v>
                </c:pt>
                <c:pt idx="92">
                  <c:v>2.8452000000000002</c:v>
                </c:pt>
                <c:pt idx="93">
                  <c:v>2.8238600000000003</c:v>
                </c:pt>
                <c:pt idx="94">
                  <c:v>2.8060700000000001</c:v>
                </c:pt>
                <c:pt idx="95">
                  <c:v>2.7939399999999996</c:v>
                </c:pt>
                <c:pt idx="96">
                  <c:v>2.78362</c:v>
                </c:pt>
                <c:pt idx="97">
                  <c:v>2.7754799999999999</c:v>
                </c:pt>
                <c:pt idx="98">
                  <c:v>2.7688600000000001</c:v>
                </c:pt>
                <c:pt idx="99">
                  <c:v>2.7642899999999999</c:v>
                </c:pt>
                <c:pt idx="100">
                  <c:v>2.7619199999999999</c:v>
                </c:pt>
                <c:pt idx="101">
                  <c:v>2.7621200000000004</c:v>
                </c:pt>
                <c:pt idx="102">
                  <c:v>2.7647599999999999</c:v>
                </c:pt>
                <c:pt idx="103">
                  <c:v>2.7705299999999999</c:v>
                </c:pt>
                <c:pt idx="104">
                  <c:v>2.7799100000000001</c:v>
                </c:pt>
                <c:pt idx="105">
                  <c:v>2.7940399999999999</c:v>
                </c:pt>
                <c:pt idx="106">
                  <c:v>2.8127600000000004</c:v>
                </c:pt>
                <c:pt idx="107">
                  <c:v>2.8335300000000001</c:v>
                </c:pt>
                <c:pt idx="108">
                  <c:v>2.8563100000000001</c:v>
                </c:pt>
                <c:pt idx="109">
                  <c:v>2.8811599999999999</c:v>
                </c:pt>
                <c:pt idx="110">
                  <c:v>2.9069099999999999</c:v>
                </c:pt>
                <c:pt idx="111">
                  <c:v>2.9335200000000001</c:v>
                </c:pt>
                <c:pt idx="112">
                  <c:v>2.9609100000000002</c:v>
                </c:pt>
                <c:pt idx="113">
                  <c:v>2.9894400000000001</c:v>
                </c:pt>
                <c:pt idx="114">
                  <c:v>3.0195300000000005</c:v>
                </c:pt>
                <c:pt idx="115">
                  <c:v>3.05091</c:v>
                </c:pt>
                <c:pt idx="116">
                  <c:v>3.0812600000000003</c:v>
                </c:pt>
                <c:pt idx="117">
                  <c:v>3.10765</c:v>
                </c:pt>
                <c:pt idx="118">
                  <c:v>3.1267699999999996</c:v>
                </c:pt>
                <c:pt idx="119">
                  <c:v>3.1410900000000002</c:v>
                </c:pt>
                <c:pt idx="120">
                  <c:v>3.1525099999999999</c:v>
                </c:pt>
                <c:pt idx="121">
                  <c:v>3.1593300000000002</c:v>
                </c:pt>
                <c:pt idx="122">
                  <c:v>3.1638300000000004</c:v>
                </c:pt>
                <c:pt idx="123">
                  <c:v>3.1666499999999997</c:v>
                </c:pt>
                <c:pt idx="124">
                  <c:v>3.17699</c:v>
                </c:pt>
                <c:pt idx="125">
                  <c:v>3.1872299999999996</c:v>
                </c:pt>
                <c:pt idx="126">
                  <c:v>3.1958500000000001</c:v>
                </c:pt>
                <c:pt idx="127">
                  <c:v>3.2031000000000001</c:v>
                </c:pt>
                <c:pt idx="128">
                  <c:v>3.2093300000000005</c:v>
                </c:pt>
                <c:pt idx="129">
                  <c:v>3.2153999999999998</c:v>
                </c:pt>
                <c:pt idx="130">
                  <c:v>3.2194600000000002</c:v>
                </c:pt>
                <c:pt idx="131">
                  <c:v>3.2211800000000004</c:v>
                </c:pt>
                <c:pt idx="132">
                  <c:v>3.2223099999999998</c:v>
                </c:pt>
                <c:pt idx="133">
                  <c:v>3.2216399999999998</c:v>
                </c:pt>
                <c:pt idx="134">
                  <c:v>3.2173400000000001</c:v>
                </c:pt>
                <c:pt idx="135">
                  <c:v>3.2117899999999997</c:v>
                </c:pt>
                <c:pt idx="136">
                  <c:v>3.2040500000000001</c:v>
                </c:pt>
                <c:pt idx="137">
                  <c:v>3.19306</c:v>
                </c:pt>
                <c:pt idx="138">
                  <c:v>3.1771700000000003</c:v>
                </c:pt>
                <c:pt idx="139">
                  <c:v>3.15665</c:v>
                </c:pt>
                <c:pt idx="140">
                  <c:v>3.1286900000000002</c:v>
                </c:pt>
                <c:pt idx="141">
                  <c:v>3.0956099999999998</c:v>
                </c:pt>
                <c:pt idx="142">
                  <c:v>3.0585100000000001</c:v>
                </c:pt>
                <c:pt idx="143">
                  <c:v>3.0301400000000003</c:v>
                </c:pt>
                <c:pt idx="144">
                  <c:v>3.0037099999999999</c:v>
                </c:pt>
                <c:pt idx="145">
                  <c:v>2.9694700000000003</c:v>
                </c:pt>
                <c:pt idx="146">
                  <c:v>2.9542600000000001</c:v>
                </c:pt>
                <c:pt idx="147">
                  <c:v>2.9389500000000002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0.40504800000000002</c:v>
                </c:pt>
                <c:pt idx="2">
                  <c:v>0.81174199999999996</c:v>
                </c:pt>
                <c:pt idx="3">
                  <c:v>1.2185299999999999</c:v>
                </c:pt>
                <c:pt idx="4">
                  <c:v>1.62263</c:v>
                </c:pt>
                <c:pt idx="5">
                  <c:v>2.0345300000000002</c:v>
                </c:pt>
                <c:pt idx="6">
                  <c:v>2.4343699999999999</c:v>
                </c:pt>
                <c:pt idx="7">
                  <c:v>2.84422</c:v>
                </c:pt>
                <c:pt idx="8">
                  <c:v>3.24953</c:v>
                </c:pt>
                <c:pt idx="9">
                  <c:v>3.6562800000000002</c:v>
                </c:pt>
                <c:pt idx="10">
                  <c:v>4.0640400000000003</c:v>
                </c:pt>
                <c:pt idx="11">
                  <c:v>4.4690899999999996</c:v>
                </c:pt>
                <c:pt idx="12">
                  <c:v>4.8748699999999996</c:v>
                </c:pt>
                <c:pt idx="13">
                  <c:v>5.2838599999999998</c:v>
                </c:pt>
                <c:pt idx="14">
                  <c:v>5.6888800000000002</c:v>
                </c:pt>
                <c:pt idx="15">
                  <c:v>6.0955399999999997</c:v>
                </c:pt>
                <c:pt idx="16">
                  <c:v>6.5015000000000001</c:v>
                </c:pt>
                <c:pt idx="17">
                  <c:v>6.9093</c:v>
                </c:pt>
                <c:pt idx="18">
                  <c:v>7.3133600000000003</c:v>
                </c:pt>
                <c:pt idx="19">
                  <c:v>7.7193500000000004</c:v>
                </c:pt>
                <c:pt idx="20">
                  <c:v>8.1272000000000002</c:v>
                </c:pt>
                <c:pt idx="21">
                  <c:v>8.5309699999999999</c:v>
                </c:pt>
                <c:pt idx="22">
                  <c:v>8.9390099999999997</c:v>
                </c:pt>
                <c:pt idx="23">
                  <c:v>9.3493600000000008</c:v>
                </c:pt>
                <c:pt idx="24">
                  <c:v>9.7546800000000005</c:v>
                </c:pt>
                <c:pt idx="25">
                  <c:v>10.1556</c:v>
                </c:pt>
                <c:pt idx="26">
                  <c:v>10.5616</c:v>
                </c:pt>
                <c:pt idx="27">
                  <c:v>10.967599999999999</c:v>
                </c:pt>
                <c:pt idx="28">
                  <c:v>11.3733</c:v>
                </c:pt>
                <c:pt idx="29">
                  <c:v>11.783300000000001</c:v>
                </c:pt>
                <c:pt idx="30">
                  <c:v>12.1851</c:v>
                </c:pt>
                <c:pt idx="31">
                  <c:v>12.594099999999999</c:v>
                </c:pt>
                <c:pt idx="32">
                  <c:v>12.996700000000001</c:v>
                </c:pt>
                <c:pt idx="33">
                  <c:v>13.4109</c:v>
                </c:pt>
                <c:pt idx="34">
                  <c:v>13.813700000000001</c:v>
                </c:pt>
                <c:pt idx="35">
                  <c:v>14.2218</c:v>
                </c:pt>
                <c:pt idx="36">
                  <c:v>14.6236</c:v>
                </c:pt>
                <c:pt idx="37">
                  <c:v>15.032999999999999</c:v>
                </c:pt>
                <c:pt idx="38">
                  <c:v>15.4345</c:v>
                </c:pt>
                <c:pt idx="39">
                  <c:v>15.844900000000001</c:v>
                </c:pt>
                <c:pt idx="40">
                  <c:v>16.253299999999999</c:v>
                </c:pt>
                <c:pt idx="41">
                  <c:v>16.658300000000001</c:v>
                </c:pt>
                <c:pt idx="42">
                  <c:v>17.066199999999998</c:v>
                </c:pt>
                <c:pt idx="43">
                  <c:v>17.4663</c:v>
                </c:pt>
                <c:pt idx="44">
                  <c:v>17.872</c:v>
                </c:pt>
                <c:pt idx="45">
                  <c:v>18.282299999999999</c:v>
                </c:pt>
                <c:pt idx="46">
                  <c:v>18.6889</c:v>
                </c:pt>
                <c:pt idx="47">
                  <c:v>19.0977</c:v>
                </c:pt>
                <c:pt idx="48">
                  <c:v>19.502600000000001</c:v>
                </c:pt>
                <c:pt idx="49">
                  <c:v>19.9055</c:v>
                </c:pt>
                <c:pt idx="50">
                  <c:v>20.319500000000001</c:v>
                </c:pt>
                <c:pt idx="51">
                  <c:v>20.717500000000001</c:v>
                </c:pt>
                <c:pt idx="52">
                  <c:v>21.124600000000001</c:v>
                </c:pt>
                <c:pt idx="53">
                  <c:v>21.531300000000002</c:v>
                </c:pt>
                <c:pt idx="54">
                  <c:v>21.939900000000002</c:v>
                </c:pt>
                <c:pt idx="55">
                  <c:v>22.342199999999998</c:v>
                </c:pt>
                <c:pt idx="56">
                  <c:v>22.754000000000001</c:v>
                </c:pt>
                <c:pt idx="57">
                  <c:v>23.157</c:v>
                </c:pt>
                <c:pt idx="58">
                  <c:v>23.561</c:v>
                </c:pt>
                <c:pt idx="59">
                  <c:v>23.971800000000002</c:v>
                </c:pt>
                <c:pt idx="60">
                  <c:v>24.3766</c:v>
                </c:pt>
                <c:pt idx="61">
                  <c:v>24.8096</c:v>
                </c:pt>
                <c:pt idx="62">
                  <c:v>25.185600000000001</c:v>
                </c:pt>
                <c:pt idx="63">
                  <c:v>25.595700000000001</c:v>
                </c:pt>
                <c:pt idx="64">
                  <c:v>26.003299999999999</c:v>
                </c:pt>
                <c:pt idx="65">
                  <c:v>26.404599999999999</c:v>
                </c:pt>
                <c:pt idx="66">
                  <c:v>26.8142</c:v>
                </c:pt>
                <c:pt idx="67">
                  <c:v>27.225999999999999</c:v>
                </c:pt>
                <c:pt idx="68">
                  <c:v>27.6281</c:v>
                </c:pt>
                <c:pt idx="69">
                  <c:v>28.033300000000001</c:v>
                </c:pt>
                <c:pt idx="70">
                  <c:v>28.4391</c:v>
                </c:pt>
                <c:pt idx="71">
                  <c:v>28.846699999999998</c:v>
                </c:pt>
                <c:pt idx="72">
                  <c:v>29.248999999999999</c:v>
                </c:pt>
                <c:pt idx="73">
                  <c:v>29.6556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1.7280200000000001</c:v>
                </c:pt>
                <c:pt idx="1">
                  <c:v>1.7859</c:v>
                </c:pt>
                <c:pt idx="2">
                  <c:v>1.84219</c:v>
                </c:pt>
                <c:pt idx="3">
                  <c:v>1.8961800000000002</c:v>
                </c:pt>
                <c:pt idx="4">
                  <c:v>1.95075</c:v>
                </c:pt>
                <c:pt idx="5">
                  <c:v>2.0044400000000002</c:v>
                </c:pt>
                <c:pt idx="6">
                  <c:v>2.0558100000000001</c:v>
                </c:pt>
                <c:pt idx="7">
                  <c:v>2.1054200000000001</c:v>
                </c:pt>
                <c:pt idx="8">
                  <c:v>2.1537899999999999</c:v>
                </c:pt>
                <c:pt idx="9">
                  <c:v>2.2024900000000001</c:v>
                </c:pt>
                <c:pt idx="10">
                  <c:v>2.2538399999999998</c:v>
                </c:pt>
                <c:pt idx="11">
                  <c:v>2.3058999999999998</c:v>
                </c:pt>
                <c:pt idx="12">
                  <c:v>2.35934</c:v>
                </c:pt>
                <c:pt idx="13">
                  <c:v>2.4113799999999999</c:v>
                </c:pt>
                <c:pt idx="14">
                  <c:v>2.4655199999999997</c:v>
                </c:pt>
                <c:pt idx="15">
                  <c:v>2.5219100000000001</c:v>
                </c:pt>
                <c:pt idx="16">
                  <c:v>2.5775700000000001</c:v>
                </c:pt>
                <c:pt idx="17">
                  <c:v>2.6334900000000001</c:v>
                </c:pt>
                <c:pt idx="18">
                  <c:v>2.6897700000000002</c:v>
                </c:pt>
                <c:pt idx="19">
                  <c:v>2.7442899999999999</c:v>
                </c:pt>
                <c:pt idx="20">
                  <c:v>2.7968500000000001</c:v>
                </c:pt>
                <c:pt idx="21">
                  <c:v>2.84823</c:v>
                </c:pt>
                <c:pt idx="22">
                  <c:v>2.8959800000000002</c:v>
                </c:pt>
                <c:pt idx="23">
                  <c:v>2.9419200000000001</c:v>
                </c:pt>
                <c:pt idx="24">
                  <c:v>2.9863200000000001</c:v>
                </c:pt>
                <c:pt idx="25">
                  <c:v>3.0301499999999999</c:v>
                </c:pt>
                <c:pt idx="26">
                  <c:v>3.0750499999999996</c:v>
                </c:pt>
                <c:pt idx="27">
                  <c:v>3.1181299999999998</c:v>
                </c:pt>
                <c:pt idx="28">
                  <c:v>3.16106</c:v>
                </c:pt>
                <c:pt idx="29">
                  <c:v>3.2033299999999998</c:v>
                </c:pt>
                <c:pt idx="30">
                  <c:v>3.2430199999999996</c:v>
                </c:pt>
                <c:pt idx="31">
                  <c:v>3.2822400000000003</c:v>
                </c:pt>
                <c:pt idx="32">
                  <c:v>3.3198400000000001</c:v>
                </c:pt>
                <c:pt idx="33">
                  <c:v>3.35744</c:v>
                </c:pt>
                <c:pt idx="34">
                  <c:v>3.3917000000000002</c:v>
                </c:pt>
                <c:pt idx="35">
                  <c:v>3.4217300000000002</c:v>
                </c:pt>
                <c:pt idx="36">
                  <c:v>3.4482900000000001</c:v>
                </c:pt>
                <c:pt idx="37">
                  <c:v>3.4712500000000004</c:v>
                </c:pt>
                <c:pt idx="38">
                  <c:v>3.49037</c:v>
                </c:pt>
                <c:pt idx="39">
                  <c:v>3.5089199999999998</c:v>
                </c:pt>
                <c:pt idx="40">
                  <c:v>3.5275499999999997</c:v>
                </c:pt>
                <c:pt idx="41">
                  <c:v>3.5432000000000001</c:v>
                </c:pt>
                <c:pt idx="42">
                  <c:v>3.5552600000000001</c:v>
                </c:pt>
                <c:pt idx="43">
                  <c:v>3.5624199999999999</c:v>
                </c:pt>
                <c:pt idx="44">
                  <c:v>3.5659600000000005</c:v>
                </c:pt>
                <c:pt idx="45">
                  <c:v>3.5664800000000003</c:v>
                </c:pt>
                <c:pt idx="46">
                  <c:v>3.5673300000000001</c:v>
                </c:pt>
                <c:pt idx="47">
                  <c:v>3.5682499999999999</c:v>
                </c:pt>
                <c:pt idx="48">
                  <c:v>3.5676000000000001</c:v>
                </c:pt>
                <c:pt idx="49">
                  <c:v>3.5657000000000001</c:v>
                </c:pt>
                <c:pt idx="50">
                  <c:v>3.5618100000000004</c:v>
                </c:pt>
                <c:pt idx="51">
                  <c:v>3.55585</c:v>
                </c:pt>
                <c:pt idx="52">
                  <c:v>3.5493299999999999</c:v>
                </c:pt>
                <c:pt idx="53">
                  <c:v>3.5417500000000004</c:v>
                </c:pt>
                <c:pt idx="54">
                  <c:v>3.5325499999999996</c:v>
                </c:pt>
                <c:pt idx="55">
                  <c:v>3.5256500000000002</c:v>
                </c:pt>
                <c:pt idx="56">
                  <c:v>3.5121899999999999</c:v>
                </c:pt>
                <c:pt idx="57">
                  <c:v>3.5024899999999999</c:v>
                </c:pt>
                <c:pt idx="58">
                  <c:v>3.4877799999999999</c:v>
                </c:pt>
                <c:pt idx="59">
                  <c:v>3.4681299999999999</c:v>
                </c:pt>
                <c:pt idx="60">
                  <c:v>3.4506900000000003</c:v>
                </c:pt>
                <c:pt idx="61">
                  <c:v>3.4326699999999999</c:v>
                </c:pt>
                <c:pt idx="62">
                  <c:v>3.4187799999999999</c:v>
                </c:pt>
                <c:pt idx="63">
                  <c:v>3.3933299999999997</c:v>
                </c:pt>
                <c:pt idx="64">
                  <c:v>3.3702900000000002</c:v>
                </c:pt>
                <c:pt idx="65">
                  <c:v>3.34361</c:v>
                </c:pt>
                <c:pt idx="66">
                  <c:v>3.3235100000000002</c:v>
                </c:pt>
                <c:pt idx="67">
                  <c:v>3.29874</c:v>
                </c:pt>
                <c:pt idx="68">
                  <c:v>3.2837399999999999</c:v>
                </c:pt>
                <c:pt idx="69">
                  <c:v>3.27162</c:v>
                </c:pt>
                <c:pt idx="70">
                  <c:v>3.2606200000000003</c:v>
                </c:pt>
                <c:pt idx="71">
                  <c:v>3.24864</c:v>
                </c:pt>
                <c:pt idx="72">
                  <c:v>3.2393699999999996</c:v>
                </c:pt>
                <c:pt idx="73">
                  <c:v>3.22818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29.6556</c:v>
                </c:pt>
                <c:pt idx="1">
                  <c:v>30.064399999999999</c:v>
                </c:pt>
                <c:pt idx="2">
                  <c:v>30.517199999999999</c:v>
                </c:pt>
                <c:pt idx="3">
                  <c:v>30.9222</c:v>
                </c:pt>
                <c:pt idx="4">
                  <c:v>31.327999999999999</c:v>
                </c:pt>
                <c:pt idx="5">
                  <c:v>31.735399999999998</c:v>
                </c:pt>
                <c:pt idx="6">
                  <c:v>32.139200000000002</c:v>
                </c:pt>
                <c:pt idx="7">
                  <c:v>32.547800000000002</c:v>
                </c:pt>
                <c:pt idx="8">
                  <c:v>32.954700000000003</c:v>
                </c:pt>
                <c:pt idx="9">
                  <c:v>33.3566</c:v>
                </c:pt>
                <c:pt idx="10">
                  <c:v>33.763399999999997</c:v>
                </c:pt>
                <c:pt idx="11">
                  <c:v>34.174399999999999</c:v>
                </c:pt>
                <c:pt idx="12">
                  <c:v>34.580300000000001</c:v>
                </c:pt>
                <c:pt idx="13">
                  <c:v>34.9863</c:v>
                </c:pt>
                <c:pt idx="14">
                  <c:v>35.390099999999997</c:v>
                </c:pt>
                <c:pt idx="15">
                  <c:v>35.801299999999998</c:v>
                </c:pt>
                <c:pt idx="16">
                  <c:v>36.204999999999998</c:v>
                </c:pt>
                <c:pt idx="17">
                  <c:v>36.605899999999998</c:v>
                </c:pt>
                <c:pt idx="18">
                  <c:v>37.015700000000002</c:v>
                </c:pt>
                <c:pt idx="19">
                  <c:v>37.424700000000001</c:v>
                </c:pt>
                <c:pt idx="20">
                  <c:v>37.8307</c:v>
                </c:pt>
                <c:pt idx="21">
                  <c:v>38.235500000000002</c:v>
                </c:pt>
                <c:pt idx="22">
                  <c:v>38.641399999999997</c:v>
                </c:pt>
                <c:pt idx="23">
                  <c:v>39.047499999999999</c:v>
                </c:pt>
                <c:pt idx="24">
                  <c:v>39.451300000000003</c:v>
                </c:pt>
                <c:pt idx="25">
                  <c:v>39.857399999999998</c:v>
                </c:pt>
                <c:pt idx="26">
                  <c:v>40.269300000000001</c:v>
                </c:pt>
                <c:pt idx="27">
                  <c:v>40.668100000000003</c:v>
                </c:pt>
                <c:pt idx="28">
                  <c:v>41.08</c:v>
                </c:pt>
                <c:pt idx="29">
                  <c:v>41.482900000000001</c:v>
                </c:pt>
                <c:pt idx="30">
                  <c:v>41.893700000000003</c:v>
                </c:pt>
                <c:pt idx="31">
                  <c:v>42.298999999999999</c:v>
                </c:pt>
                <c:pt idx="32">
                  <c:v>42.706600000000002</c:v>
                </c:pt>
                <c:pt idx="33">
                  <c:v>43.109499999999997</c:v>
                </c:pt>
                <c:pt idx="34">
                  <c:v>43.514299999999999</c:v>
                </c:pt>
                <c:pt idx="35">
                  <c:v>43.921300000000002</c:v>
                </c:pt>
                <c:pt idx="36">
                  <c:v>44.328299999999999</c:v>
                </c:pt>
                <c:pt idx="37">
                  <c:v>44.731099999999998</c:v>
                </c:pt>
                <c:pt idx="38">
                  <c:v>45.143000000000001</c:v>
                </c:pt>
                <c:pt idx="39">
                  <c:v>45.549399999999999</c:v>
                </c:pt>
                <c:pt idx="40">
                  <c:v>45.9499</c:v>
                </c:pt>
                <c:pt idx="41">
                  <c:v>46.356900000000003</c:v>
                </c:pt>
                <c:pt idx="42">
                  <c:v>46.763800000000003</c:v>
                </c:pt>
                <c:pt idx="43">
                  <c:v>47.175600000000003</c:v>
                </c:pt>
                <c:pt idx="44">
                  <c:v>47.579599999999999</c:v>
                </c:pt>
                <c:pt idx="45">
                  <c:v>47.988799999999998</c:v>
                </c:pt>
                <c:pt idx="46">
                  <c:v>48.398600000000002</c:v>
                </c:pt>
                <c:pt idx="47">
                  <c:v>48.802199999999999</c:v>
                </c:pt>
                <c:pt idx="48">
                  <c:v>49.2072</c:v>
                </c:pt>
                <c:pt idx="49">
                  <c:v>49.618099999999998</c:v>
                </c:pt>
                <c:pt idx="50">
                  <c:v>50.014000000000003</c:v>
                </c:pt>
                <c:pt idx="51">
                  <c:v>50.418999999999997</c:v>
                </c:pt>
                <c:pt idx="52">
                  <c:v>50.8339</c:v>
                </c:pt>
                <c:pt idx="53">
                  <c:v>51.238</c:v>
                </c:pt>
                <c:pt idx="54">
                  <c:v>51.636699999999998</c:v>
                </c:pt>
                <c:pt idx="55">
                  <c:v>52.050600000000003</c:v>
                </c:pt>
                <c:pt idx="56">
                  <c:v>52.456499999999998</c:v>
                </c:pt>
                <c:pt idx="57">
                  <c:v>52.863399999999999</c:v>
                </c:pt>
                <c:pt idx="58">
                  <c:v>53.270499999999998</c:v>
                </c:pt>
                <c:pt idx="59">
                  <c:v>53.673299999999998</c:v>
                </c:pt>
                <c:pt idx="60">
                  <c:v>54.084299999999999</c:v>
                </c:pt>
                <c:pt idx="61">
                  <c:v>54.487099999999998</c:v>
                </c:pt>
                <c:pt idx="62">
                  <c:v>54.892099999999999</c:v>
                </c:pt>
                <c:pt idx="63">
                  <c:v>55.301499999999997</c:v>
                </c:pt>
                <c:pt idx="64">
                  <c:v>55.713900000000002</c:v>
                </c:pt>
                <c:pt idx="65">
                  <c:v>56.112699999999997</c:v>
                </c:pt>
                <c:pt idx="66">
                  <c:v>56.518900000000002</c:v>
                </c:pt>
                <c:pt idx="67">
                  <c:v>56.926699999999997</c:v>
                </c:pt>
                <c:pt idx="68">
                  <c:v>57.333399999999997</c:v>
                </c:pt>
                <c:pt idx="69">
                  <c:v>57.735399999999998</c:v>
                </c:pt>
                <c:pt idx="70">
                  <c:v>58.144300000000001</c:v>
                </c:pt>
                <c:pt idx="71">
                  <c:v>58.5505</c:v>
                </c:pt>
                <c:pt idx="72">
                  <c:v>58.957099999999997</c:v>
                </c:pt>
                <c:pt idx="73">
                  <c:v>59.366999999999997</c:v>
                </c:pt>
                <c:pt idx="74">
                  <c:v>59.773899999999998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3.22818</c:v>
                </c:pt>
                <c:pt idx="1">
                  <c:v>3.2144400000000002</c:v>
                </c:pt>
                <c:pt idx="2">
                  <c:v>3.2019599999999997</c:v>
                </c:pt>
                <c:pt idx="3">
                  <c:v>3.1892199999999997</c:v>
                </c:pt>
                <c:pt idx="4">
                  <c:v>3.1761900000000001</c:v>
                </c:pt>
                <c:pt idx="5">
                  <c:v>3.1608100000000001</c:v>
                </c:pt>
                <c:pt idx="6">
                  <c:v>3.1414199999999997</c:v>
                </c:pt>
                <c:pt idx="7">
                  <c:v>3.1185800000000001</c:v>
                </c:pt>
                <c:pt idx="8">
                  <c:v>3.09246</c:v>
                </c:pt>
                <c:pt idx="9">
                  <c:v>3.0649700000000002</c:v>
                </c:pt>
                <c:pt idx="10">
                  <c:v>3.0374800000000004</c:v>
                </c:pt>
                <c:pt idx="11">
                  <c:v>3.0132700000000003</c:v>
                </c:pt>
                <c:pt idx="12">
                  <c:v>2.9895100000000001</c:v>
                </c:pt>
                <c:pt idx="13">
                  <c:v>2.9670899999999998</c:v>
                </c:pt>
                <c:pt idx="14">
                  <c:v>2.9477500000000001</c:v>
                </c:pt>
                <c:pt idx="15">
                  <c:v>2.9295399999999998</c:v>
                </c:pt>
                <c:pt idx="16">
                  <c:v>2.9110900000000002</c:v>
                </c:pt>
                <c:pt idx="17">
                  <c:v>2.8922099999999999</c:v>
                </c:pt>
                <c:pt idx="18">
                  <c:v>2.8692699999999998</c:v>
                </c:pt>
                <c:pt idx="19">
                  <c:v>2.8452000000000002</c:v>
                </c:pt>
                <c:pt idx="20">
                  <c:v>2.8238600000000003</c:v>
                </c:pt>
                <c:pt idx="21">
                  <c:v>2.8060700000000001</c:v>
                </c:pt>
                <c:pt idx="22">
                  <c:v>2.7939399999999996</c:v>
                </c:pt>
                <c:pt idx="23">
                  <c:v>2.78362</c:v>
                </c:pt>
                <c:pt idx="24">
                  <c:v>2.7754799999999999</c:v>
                </c:pt>
                <c:pt idx="25">
                  <c:v>2.7688600000000001</c:v>
                </c:pt>
                <c:pt idx="26">
                  <c:v>2.7642899999999999</c:v>
                </c:pt>
                <c:pt idx="27">
                  <c:v>2.7619199999999999</c:v>
                </c:pt>
                <c:pt idx="28">
                  <c:v>2.7621200000000004</c:v>
                </c:pt>
                <c:pt idx="29">
                  <c:v>2.7647599999999999</c:v>
                </c:pt>
                <c:pt idx="30">
                  <c:v>2.7705299999999999</c:v>
                </c:pt>
                <c:pt idx="31">
                  <c:v>2.7799100000000001</c:v>
                </c:pt>
                <c:pt idx="32">
                  <c:v>2.7940399999999999</c:v>
                </c:pt>
                <c:pt idx="33">
                  <c:v>2.8127600000000004</c:v>
                </c:pt>
                <c:pt idx="34">
                  <c:v>2.8335300000000001</c:v>
                </c:pt>
                <c:pt idx="35">
                  <c:v>2.8563100000000001</c:v>
                </c:pt>
                <c:pt idx="36">
                  <c:v>2.8811599999999999</c:v>
                </c:pt>
                <c:pt idx="37">
                  <c:v>2.9069099999999999</c:v>
                </c:pt>
                <c:pt idx="38">
                  <c:v>2.9335200000000001</c:v>
                </c:pt>
                <c:pt idx="39">
                  <c:v>2.9609100000000002</c:v>
                </c:pt>
                <c:pt idx="40">
                  <c:v>2.9894400000000001</c:v>
                </c:pt>
                <c:pt idx="41">
                  <c:v>3.0195300000000005</c:v>
                </c:pt>
                <c:pt idx="42">
                  <c:v>3.05091</c:v>
                </c:pt>
                <c:pt idx="43">
                  <c:v>3.0812600000000003</c:v>
                </c:pt>
                <c:pt idx="44">
                  <c:v>3.10765</c:v>
                </c:pt>
                <c:pt idx="45">
                  <c:v>3.1267699999999996</c:v>
                </c:pt>
                <c:pt idx="46">
                  <c:v>3.1410900000000002</c:v>
                </c:pt>
                <c:pt idx="47">
                  <c:v>3.1525099999999999</c:v>
                </c:pt>
                <c:pt idx="48">
                  <c:v>3.1593300000000002</c:v>
                </c:pt>
                <c:pt idx="49">
                  <c:v>3.1638300000000004</c:v>
                </c:pt>
                <c:pt idx="50">
                  <c:v>3.1666499999999997</c:v>
                </c:pt>
                <c:pt idx="51">
                  <c:v>3.17699</c:v>
                </c:pt>
                <c:pt idx="52">
                  <c:v>3.1872299999999996</c:v>
                </c:pt>
                <c:pt idx="53">
                  <c:v>3.1958500000000001</c:v>
                </c:pt>
                <c:pt idx="54">
                  <c:v>3.2031000000000001</c:v>
                </c:pt>
                <c:pt idx="55">
                  <c:v>3.2093300000000005</c:v>
                </c:pt>
                <c:pt idx="56">
                  <c:v>3.2153999999999998</c:v>
                </c:pt>
                <c:pt idx="57">
                  <c:v>3.2194600000000002</c:v>
                </c:pt>
                <c:pt idx="58">
                  <c:v>3.2211800000000004</c:v>
                </c:pt>
                <c:pt idx="59">
                  <c:v>3.2223099999999998</c:v>
                </c:pt>
                <c:pt idx="60">
                  <c:v>3.2216399999999998</c:v>
                </c:pt>
                <c:pt idx="61">
                  <c:v>3.2173400000000001</c:v>
                </c:pt>
                <c:pt idx="62">
                  <c:v>3.2117899999999997</c:v>
                </c:pt>
                <c:pt idx="63">
                  <c:v>3.2040500000000001</c:v>
                </c:pt>
                <c:pt idx="64">
                  <c:v>3.19306</c:v>
                </c:pt>
                <c:pt idx="65">
                  <c:v>3.1771700000000003</c:v>
                </c:pt>
                <c:pt idx="66">
                  <c:v>3.15665</c:v>
                </c:pt>
                <c:pt idx="67">
                  <c:v>3.1286900000000002</c:v>
                </c:pt>
                <c:pt idx="68">
                  <c:v>3.0956099999999998</c:v>
                </c:pt>
                <c:pt idx="69">
                  <c:v>3.0585100000000001</c:v>
                </c:pt>
                <c:pt idx="70">
                  <c:v>3.0301400000000003</c:v>
                </c:pt>
                <c:pt idx="71">
                  <c:v>3.0037099999999999</c:v>
                </c:pt>
                <c:pt idx="72">
                  <c:v>2.9694700000000003</c:v>
                </c:pt>
                <c:pt idx="73">
                  <c:v>2.9542600000000001</c:v>
                </c:pt>
                <c:pt idx="74">
                  <c:v>2.9389500000000002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1.7280200000000001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1.7280200000000001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1.7280200000000001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1.7280200000000001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1.7280200000000001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1.7280200000000001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1.7280200000000001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1.7280200000000001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1.7280200000000001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1.7280200000000001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1.7280200000000001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1.7280200000000001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1.7280200000000001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1.7280200000000001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1.7280200000000001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1.7280200000000001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1.7280200000000001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1.7280200000000001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1.7280200000000001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1.7280200000000001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1.7280200000000001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1.7280200000000001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14.943474999999999</c:v>
                </c:pt>
                <c:pt idx="1">
                  <c:v>44.830424999999998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3.0550120270270273</c:v>
                </c:pt>
                <c:pt idx="1">
                  <c:v>3.0225381081081077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0.40504800000000002</c:v>
                </c:pt>
                <c:pt idx="2">
                  <c:v>0.81174199999999996</c:v>
                </c:pt>
                <c:pt idx="3">
                  <c:v>1.2185299999999999</c:v>
                </c:pt>
                <c:pt idx="4">
                  <c:v>1.62263</c:v>
                </c:pt>
                <c:pt idx="5">
                  <c:v>2.0345300000000002</c:v>
                </c:pt>
                <c:pt idx="6">
                  <c:v>2.4343699999999999</c:v>
                </c:pt>
                <c:pt idx="7">
                  <c:v>2.84422</c:v>
                </c:pt>
                <c:pt idx="8">
                  <c:v>3.24953</c:v>
                </c:pt>
                <c:pt idx="9">
                  <c:v>3.6562800000000002</c:v>
                </c:pt>
                <c:pt idx="10">
                  <c:v>4.0640400000000003</c:v>
                </c:pt>
                <c:pt idx="11">
                  <c:v>4.4690899999999996</c:v>
                </c:pt>
                <c:pt idx="12">
                  <c:v>4.8748699999999996</c:v>
                </c:pt>
                <c:pt idx="13">
                  <c:v>5.2838599999999998</c:v>
                </c:pt>
                <c:pt idx="14">
                  <c:v>5.6888800000000002</c:v>
                </c:pt>
                <c:pt idx="15">
                  <c:v>6.0955399999999997</c:v>
                </c:pt>
                <c:pt idx="16">
                  <c:v>6.5015000000000001</c:v>
                </c:pt>
                <c:pt idx="17">
                  <c:v>6.9093</c:v>
                </c:pt>
                <c:pt idx="18">
                  <c:v>7.3133600000000003</c:v>
                </c:pt>
                <c:pt idx="19">
                  <c:v>7.7193500000000004</c:v>
                </c:pt>
                <c:pt idx="20">
                  <c:v>8.1272000000000002</c:v>
                </c:pt>
                <c:pt idx="21">
                  <c:v>8.5309699999999999</c:v>
                </c:pt>
                <c:pt idx="22">
                  <c:v>8.9390099999999997</c:v>
                </c:pt>
                <c:pt idx="23">
                  <c:v>9.3493600000000008</c:v>
                </c:pt>
                <c:pt idx="24">
                  <c:v>9.7546800000000005</c:v>
                </c:pt>
                <c:pt idx="25">
                  <c:v>10.1556</c:v>
                </c:pt>
                <c:pt idx="26">
                  <c:v>10.5616</c:v>
                </c:pt>
                <c:pt idx="27">
                  <c:v>10.967599999999999</c:v>
                </c:pt>
                <c:pt idx="28">
                  <c:v>11.3733</c:v>
                </c:pt>
                <c:pt idx="29">
                  <c:v>11.783300000000001</c:v>
                </c:pt>
                <c:pt idx="30">
                  <c:v>12.1851</c:v>
                </c:pt>
                <c:pt idx="31">
                  <c:v>12.594099999999999</c:v>
                </c:pt>
                <c:pt idx="32">
                  <c:v>12.996700000000001</c:v>
                </c:pt>
                <c:pt idx="33">
                  <c:v>13.4109</c:v>
                </c:pt>
                <c:pt idx="34">
                  <c:v>13.813700000000001</c:v>
                </c:pt>
                <c:pt idx="35">
                  <c:v>14.2218</c:v>
                </c:pt>
                <c:pt idx="36">
                  <c:v>14.6236</c:v>
                </c:pt>
                <c:pt idx="37">
                  <c:v>15.032999999999999</c:v>
                </c:pt>
                <c:pt idx="38">
                  <c:v>15.4345</c:v>
                </c:pt>
                <c:pt idx="39">
                  <c:v>15.844900000000001</c:v>
                </c:pt>
                <c:pt idx="40">
                  <c:v>16.253299999999999</c:v>
                </c:pt>
                <c:pt idx="41">
                  <c:v>16.658300000000001</c:v>
                </c:pt>
                <c:pt idx="42">
                  <c:v>17.066199999999998</c:v>
                </c:pt>
                <c:pt idx="43">
                  <c:v>17.4663</c:v>
                </c:pt>
                <c:pt idx="44">
                  <c:v>17.872</c:v>
                </c:pt>
                <c:pt idx="45">
                  <c:v>18.282299999999999</c:v>
                </c:pt>
                <c:pt idx="46">
                  <c:v>18.6889</c:v>
                </c:pt>
                <c:pt idx="47">
                  <c:v>19.0977</c:v>
                </c:pt>
                <c:pt idx="48">
                  <c:v>19.502600000000001</c:v>
                </c:pt>
                <c:pt idx="49">
                  <c:v>19.9055</c:v>
                </c:pt>
                <c:pt idx="50">
                  <c:v>20.319500000000001</c:v>
                </c:pt>
                <c:pt idx="51">
                  <c:v>20.717500000000001</c:v>
                </c:pt>
                <c:pt idx="52">
                  <c:v>21.124600000000001</c:v>
                </c:pt>
                <c:pt idx="53">
                  <c:v>21.531300000000002</c:v>
                </c:pt>
                <c:pt idx="54">
                  <c:v>21.939900000000002</c:v>
                </c:pt>
                <c:pt idx="55">
                  <c:v>22.342199999999998</c:v>
                </c:pt>
                <c:pt idx="56">
                  <c:v>22.754000000000001</c:v>
                </c:pt>
                <c:pt idx="57">
                  <c:v>23.157</c:v>
                </c:pt>
                <c:pt idx="58">
                  <c:v>23.561</c:v>
                </c:pt>
                <c:pt idx="59">
                  <c:v>23.971800000000002</c:v>
                </c:pt>
                <c:pt idx="60">
                  <c:v>24.3766</c:v>
                </c:pt>
                <c:pt idx="61">
                  <c:v>24.8096</c:v>
                </c:pt>
                <c:pt idx="62">
                  <c:v>25.185600000000001</c:v>
                </c:pt>
                <c:pt idx="63">
                  <c:v>25.595700000000001</c:v>
                </c:pt>
                <c:pt idx="64">
                  <c:v>26.003299999999999</c:v>
                </c:pt>
                <c:pt idx="65">
                  <c:v>26.404599999999999</c:v>
                </c:pt>
                <c:pt idx="66">
                  <c:v>26.8142</c:v>
                </c:pt>
                <c:pt idx="67">
                  <c:v>27.225999999999999</c:v>
                </c:pt>
                <c:pt idx="68">
                  <c:v>27.6281</c:v>
                </c:pt>
                <c:pt idx="69">
                  <c:v>28.033300000000001</c:v>
                </c:pt>
                <c:pt idx="70">
                  <c:v>28.4391</c:v>
                </c:pt>
                <c:pt idx="71">
                  <c:v>28.846699999999998</c:v>
                </c:pt>
                <c:pt idx="72">
                  <c:v>29.248999999999999</c:v>
                </c:pt>
                <c:pt idx="73">
                  <c:v>29.6556</c:v>
                </c:pt>
                <c:pt idx="74">
                  <c:v>30.064399999999999</c:v>
                </c:pt>
                <c:pt idx="75">
                  <c:v>30.517199999999999</c:v>
                </c:pt>
                <c:pt idx="76">
                  <c:v>30.9222</c:v>
                </c:pt>
                <c:pt idx="77">
                  <c:v>31.327999999999999</c:v>
                </c:pt>
                <c:pt idx="78">
                  <c:v>31.735399999999998</c:v>
                </c:pt>
                <c:pt idx="79">
                  <c:v>32.139200000000002</c:v>
                </c:pt>
                <c:pt idx="80">
                  <c:v>32.547800000000002</c:v>
                </c:pt>
                <c:pt idx="81">
                  <c:v>32.954700000000003</c:v>
                </c:pt>
                <c:pt idx="82">
                  <c:v>33.3566</c:v>
                </c:pt>
                <c:pt idx="83">
                  <c:v>33.763399999999997</c:v>
                </c:pt>
                <c:pt idx="84">
                  <c:v>34.174399999999999</c:v>
                </c:pt>
                <c:pt idx="85">
                  <c:v>34.580300000000001</c:v>
                </c:pt>
                <c:pt idx="86">
                  <c:v>34.9863</c:v>
                </c:pt>
                <c:pt idx="87">
                  <c:v>35.390099999999997</c:v>
                </c:pt>
                <c:pt idx="88">
                  <c:v>35.801299999999998</c:v>
                </c:pt>
                <c:pt idx="89">
                  <c:v>36.204999999999998</c:v>
                </c:pt>
                <c:pt idx="90">
                  <c:v>36.605899999999998</c:v>
                </c:pt>
                <c:pt idx="91">
                  <c:v>37.015700000000002</c:v>
                </c:pt>
                <c:pt idx="92">
                  <c:v>37.424700000000001</c:v>
                </c:pt>
                <c:pt idx="93">
                  <c:v>37.8307</c:v>
                </c:pt>
                <c:pt idx="94">
                  <c:v>38.235500000000002</c:v>
                </c:pt>
                <c:pt idx="95">
                  <c:v>38.641399999999997</c:v>
                </c:pt>
                <c:pt idx="96">
                  <c:v>39.047499999999999</c:v>
                </c:pt>
                <c:pt idx="97">
                  <c:v>39.451300000000003</c:v>
                </c:pt>
                <c:pt idx="98">
                  <c:v>39.857399999999998</c:v>
                </c:pt>
                <c:pt idx="99">
                  <c:v>40.269300000000001</c:v>
                </c:pt>
                <c:pt idx="100">
                  <c:v>40.668100000000003</c:v>
                </c:pt>
                <c:pt idx="101">
                  <c:v>41.08</c:v>
                </c:pt>
                <c:pt idx="102">
                  <c:v>41.482900000000001</c:v>
                </c:pt>
                <c:pt idx="103">
                  <c:v>41.893700000000003</c:v>
                </c:pt>
                <c:pt idx="104">
                  <c:v>42.298999999999999</c:v>
                </c:pt>
                <c:pt idx="105">
                  <c:v>42.706600000000002</c:v>
                </c:pt>
                <c:pt idx="106">
                  <c:v>43.109499999999997</c:v>
                </c:pt>
                <c:pt idx="107">
                  <c:v>43.514299999999999</c:v>
                </c:pt>
                <c:pt idx="108">
                  <c:v>43.921300000000002</c:v>
                </c:pt>
                <c:pt idx="109">
                  <c:v>44.328299999999999</c:v>
                </c:pt>
                <c:pt idx="110">
                  <c:v>44.731099999999998</c:v>
                </c:pt>
                <c:pt idx="111">
                  <c:v>45.143000000000001</c:v>
                </c:pt>
                <c:pt idx="112">
                  <c:v>45.549399999999999</c:v>
                </c:pt>
                <c:pt idx="113">
                  <c:v>45.9499</c:v>
                </c:pt>
                <c:pt idx="114">
                  <c:v>46.356900000000003</c:v>
                </c:pt>
                <c:pt idx="115">
                  <c:v>46.763800000000003</c:v>
                </c:pt>
                <c:pt idx="116">
                  <c:v>47.175600000000003</c:v>
                </c:pt>
                <c:pt idx="117">
                  <c:v>47.579599999999999</c:v>
                </c:pt>
                <c:pt idx="118">
                  <c:v>47.988799999999998</c:v>
                </c:pt>
                <c:pt idx="119">
                  <c:v>48.398600000000002</c:v>
                </c:pt>
                <c:pt idx="120">
                  <c:v>48.802199999999999</c:v>
                </c:pt>
                <c:pt idx="121">
                  <c:v>49.2072</c:v>
                </c:pt>
                <c:pt idx="122">
                  <c:v>49.618099999999998</c:v>
                </c:pt>
                <c:pt idx="123">
                  <c:v>50.014000000000003</c:v>
                </c:pt>
                <c:pt idx="124">
                  <c:v>50.418999999999997</c:v>
                </c:pt>
                <c:pt idx="125">
                  <c:v>50.8339</c:v>
                </c:pt>
                <c:pt idx="126">
                  <c:v>51.238</c:v>
                </c:pt>
                <c:pt idx="127">
                  <c:v>51.636699999999998</c:v>
                </c:pt>
                <c:pt idx="128">
                  <c:v>52.050600000000003</c:v>
                </c:pt>
                <c:pt idx="129">
                  <c:v>52.456499999999998</c:v>
                </c:pt>
                <c:pt idx="130">
                  <c:v>52.863399999999999</c:v>
                </c:pt>
                <c:pt idx="131">
                  <c:v>53.270499999999998</c:v>
                </c:pt>
                <c:pt idx="132">
                  <c:v>53.673299999999998</c:v>
                </c:pt>
                <c:pt idx="133">
                  <c:v>54.084299999999999</c:v>
                </c:pt>
                <c:pt idx="134">
                  <c:v>54.487099999999998</c:v>
                </c:pt>
                <c:pt idx="135">
                  <c:v>54.892099999999999</c:v>
                </c:pt>
                <c:pt idx="136">
                  <c:v>55.301499999999997</c:v>
                </c:pt>
                <c:pt idx="137">
                  <c:v>55.713900000000002</c:v>
                </c:pt>
                <c:pt idx="138">
                  <c:v>56.112699999999997</c:v>
                </c:pt>
                <c:pt idx="139">
                  <c:v>56.518900000000002</c:v>
                </c:pt>
                <c:pt idx="140">
                  <c:v>56.926699999999997</c:v>
                </c:pt>
                <c:pt idx="141">
                  <c:v>57.333399999999997</c:v>
                </c:pt>
                <c:pt idx="142">
                  <c:v>57.735399999999998</c:v>
                </c:pt>
                <c:pt idx="143">
                  <c:v>58.144300000000001</c:v>
                </c:pt>
                <c:pt idx="144">
                  <c:v>58.5505</c:v>
                </c:pt>
                <c:pt idx="145">
                  <c:v>58.957099999999997</c:v>
                </c:pt>
                <c:pt idx="146">
                  <c:v>59.366999999999997</c:v>
                </c:pt>
                <c:pt idx="147">
                  <c:v>59.773899999999998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59.575100000000006</c:v>
                </c:pt>
                <c:pt idx="1">
                  <c:v>58.682699999999997</c:v>
                </c:pt>
                <c:pt idx="2">
                  <c:v>57.6798</c:v>
                </c:pt>
                <c:pt idx="3">
                  <c:v>56.668700000000008</c:v>
                </c:pt>
                <c:pt idx="4">
                  <c:v>55.575300000000006</c:v>
                </c:pt>
                <c:pt idx="5">
                  <c:v>54.445900000000002</c:v>
                </c:pt>
                <c:pt idx="6">
                  <c:v>53.402999999999999</c:v>
                </c:pt>
                <c:pt idx="7">
                  <c:v>52.408799999999999</c:v>
                </c:pt>
                <c:pt idx="8">
                  <c:v>51.458000000000006</c:v>
                </c:pt>
                <c:pt idx="9">
                  <c:v>50.431599999999996</c:v>
                </c:pt>
                <c:pt idx="10">
                  <c:v>49.231000000000002</c:v>
                </c:pt>
                <c:pt idx="11">
                  <c:v>47.983899999999998</c:v>
                </c:pt>
                <c:pt idx="12">
                  <c:v>46.676899999999996</c:v>
                </c:pt>
                <c:pt idx="13">
                  <c:v>45.285599999999995</c:v>
                </c:pt>
                <c:pt idx="14">
                  <c:v>43.8658</c:v>
                </c:pt>
                <c:pt idx="15">
                  <c:v>42.491800000000005</c:v>
                </c:pt>
                <c:pt idx="16">
                  <c:v>41.1569</c:v>
                </c:pt>
                <c:pt idx="17">
                  <c:v>39.844099999999997</c:v>
                </c:pt>
                <c:pt idx="18">
                  <c:v>38.587500000000006</c:v>
                </c:pt>
                <c:pt idx="19">
                  <c:v>37.370599999999996</c:v>
                </c:pt>
                <c:pt idx="20">
                  <c:v>36.156599999999997</c:v>
                </c:pt>
                <c:pt idx="21">
                  <c:v>35.015800000000006</c:v>
                </c:pt>
                <c:pt idx="22">
                  <c:v>33.964800000000004</c:v>
                </c:pt>
                <c:pt idx="23">
                  <c:v>32.937100000000001</c:v>
                </c:pt>
                <c:pt idx="24">
                  <c:v>31.9575</c:v>
                </c:pt>
                <c:pt idx="25">
                  <c:v>31.0091</c:v>
                </c:pt>
                <c:pt idx="26">
                  <c:v>30.0427</c:v>
                </c:pt>
                <c:pt idx="27">
                  <c:v>29.2273</c:v>
                </c:pt>
                <c:pt idx="28">
                  <c:v>28.543299999999999</c:v>
                </c:pt>
                <c:pt idx="29">
                  <c:v>27.913300000000003</c:v>
                </c:pt>
                <c:pt idx="30">
                  <c:v>27.416200000000003</c:v>
                </c:pt>
                <c:pt idx="31">
                  <c:v>26.980599999999999</c:v>
                </c:pt>
                <c:pt idx="32">
                  <c:v>26.627800000000001</c:v>
                </c:pt>
                <c:pt idx="33">
                  <c:v>26.361600000000003</c:v>
                </c:pt>
                <c:pt idx="34">
                  <c:v>26.232699999999998</c:v>
                </c:pt>
                <c:pt idx="35">
                  <c:v>26.152199999999997</c:v>
                </c:pt>
                <c:pt idx="36">
                  <c:v>26.129599999999996</c:v>
                </c:pt>
                <c:pt idx="37">
                  <c:v>26.135100000000001</c:v>
                </c:pt>
                <c:pt idx="38">
                  <c:v>26.272200000000002</c:v>
                </c:pt>
                <c:pt idx="39">
                  <c:v>26.374700000000001</c:v>
                </c:pt>
                <c:pt idx="40">
                  <c:v>26.4422</c:v>
                </c:pt>
                <c:pt idx="41">
                  <c:v>26.574199999999998</c:v>
                </c:pt>
                <c:pt idx="42">
                  <c:v>26.776699999999998</c:v>
                </c:pt>
                <c:pt idx="43">
                  <c:v>27.066800000000001</c:v>
                </c:pt>
                <c:pt idx="44">
                  <c:v>27.443800000000003</c:v>
                </c:pt>
                <c:pt idx="45">
                  <c:v>27.9254</c:v>
                </c:pt>
                <c:pt idx="46">
                  <c:v>28.396999999999998</c:v>
                </c:pt>
                <c:pt idx="47">
                  <c:v>28.899399999999996</c:v>
                </c:pt>
                <c:pt idx="48">
                  <c:v>29.488999999999997</c:v>
                </c:pt>
                <c:pt idx="49">
                  <c:v>30.109599999999997</c:v>
                </c:pt>
                <c:pt idx="50">
                  <c:v>30.7562</c:v>
                </c:pt>
                <c:pt idx="51">
                  <c:v>31.448399999999999</c:v>
                </c:pt>
                <c:pt idx="52">
                  <c:v>32.104999999999997</c:v>
                </c:pt>
                <c:pt idx="53">
                  <c:v>32.706899999999997</c:v>
                </c:pt>
                <c:pt idx="54">
                  <c:v>33.308999999999997</c:v>
                </c:pt>
                <c:pt idx="55">
                  <c:v>33.815200000000004</c:v>
                </c:pt>
                <c:pt idx="56">
                  <c:v>34.450800000000001</c:v>
                </c:pt>
                <c:pt idx="57">
                  <c:v>34.941400000000002</c:v>
                </c:pt>
                <c:pt idx="58">
                  <c:v>35.463799999999999</c:v>
                </c:pt>
                <c:pt idx="59">
                  <c:v>35.9709</c:v>
                </c:pt>
                <c:pt idx="60">
                  <c:v>36.391199999999998</c:v>
                </c:pt>
                <c:pt idx="61">
                  <c:v>36.744399999999999</c:v>
                </c:pt>
                <c:pt idx="62">
                  <c:v>37.055199999999999</c:v>
                </c:pt>
                <c:pt idx="63">
                  <c:v>37.261200000000002</c:v>
                </c:pt>
                <c:pt idx="64">
                  <c:v>37.500499999999995</c:v>
                </c:pt>
                <c:pt idx="65">
                  <c:v>37.746200000000002</c:v>
                </c:pt>
                <c:pt idx="66">
                  <c:v>38.023699999999998</c:v>
                </c:pt>
                <c:pt idx="67">
                  <c:v>38.021599999999999</c:v>
                </c:pt>
                <c:pt idx="68">
                  <c:v>37.898299999999999</c:v>
                </c:pt>
                <c:pt idx="69">
                  <c:v>37.610700000000001</c:v>
                </c:pt>
                <c:pt idx="70">
                  <c:v>37.173499999999997</c:v>
                </c:pt>
                <c:pt idx="71">
                  <c:v>36.727199999999996</c:v>
                </c:pt>
                <c:pt idx="72">
                  <c:v>36.459599999999995</c:v>
                </c:pt>
                <c:pt idx="73">
                  <c:v>35.938400000000001</c:v>
                </c:pt>
                <c:pt idx="74">
                  <c:v>35.218600000000002</c:v>
                </c:pt>
                <c:pt idx="75">
                  <c:v>34.656100000000002</c:v>
                </c:pt>
                <c:pt idx="76">
                  <c:v>34.087000000000003</c:v>
                </c:pt>
                <c:pt idx="77">
                  <c:v>33.488399999999999</c:v>
                </c:pt>
                <c:pt idx="78">
                  <c:v>32.933</c:v>
                </c:pt>
                <c:pt idx="79">
                  <c:v>32.4084</c:v>
                </c:pt>
                <c:pt idx="80">
                  <c:v>31.915300000000002</c:v>
                </c:pt>
                <c:pt idx="81">
                  <c:v>31.484200000000001</c:v>
                </c:pt>
                <c:pt idx="82">
                  <c:v>31.093399999999999</c:v>
                </c:pt>
                <c:pt idx="83">
                  <c:v>30.757200000000001</c:v>
                </c:pt>
                <c:pt idx="84">
                  <c:v>30.394300000000001</c:v>
                </c:pt>
                <c:pt idx="85">
                  <c:v>30.095300000000002</c:v>
                </c:pt>
                <c:pt idx="86">
                  <c:v>29.9099</c:v>
                </c:pt>
                <c:pt idx="87">
                  <c:v>29.720299999999998</c:v>
                </c:pt>
                <c:pt idx="88">
                  <c:v>29.580200000000001</c:v>
                </c:pt>
                <c:pt idx="89">
                  <c:v>29.507699999999996</c:v>
                </c:pt>
                <c:pt idx="90">
                  <c:v>29.5518</c:v>
                </c:pt>
                <c:pt idx="91">
                  <c:v>29.723800000000001</c:v>
                </c:pt>
                <c:pt idx="92">
                  <c:v>30.003</c:v>
                </c:pt>
                <c:pt idx="93">
                  <c:v>30.441700000000001</c:v>
                </c:pt>
                <c:pt idx="94">
                  <c:v>30.943700000000003</c:v>
                </c:pt>
                <c:pt idx="95">
                  <c:v>31.477300000000003</c:v>
                </c:pt>
                <c:pt idx="96">
                  <c:v>32.102199999999996</c:v>
                </c:pt>
                <c:pt idx="97">
                  <c:v>32.741300000000003</c:v>
                </c:pt>
                <c:pt idx="98">
                  <c:v>33.477800000000002</c:v>
                </c:pt>
                <c:pt idx="99">
                  <c:v>34.2121</c:v>
                </c:pt>
                <c:pt idx="100">
                  <c:v>34.963100000000004</c:v>
                </c:pt>
                <c:pt idx="101">
                  <c:v>35.7684</c:v>
                </c:pt>
                <c:pt idx="102">
                  <c:v>36.5779</c:v>
                </c:pt>
                <c:pt idx="103">
                  <c:v>37.313600000000001</c:v>
                </c:pt>
                <c:pt idx="104">
                  <c:v>37.976900000000001</c:v>
                </c:pt>
                <c:pt idx="105">
                  <c:v>38.555599999999998</c:v>
                </c:pt>
                <c:pt idx="106">
                  <c:v>38.996399999999994</c:v>
                </c:pt>
                <c:pt idx="107">
                  <c:v>39.363999999999997</c:v>
                </c:pt>
                <c:pt idx="108">
                  <c:v>39.645899999999997</c:v>
                </c:pt>
                <c:pt idx="109">
                  <c:v>39.876899999999999</c:v>
                </c:pt>
                <c:pt idx="110">
                  <c:v>40.075600000000001</c:v>
                </c:pt>
                <c:pt idx="111">
                  <c:v>40.217399999999998</c:v>
                </c:pt>
                <c:pt idx="112">
                  <c:v>40.3508</c:v>
                </c:pt>
                <c:pt idx="113">
                  <c:v>40.454700000000003</c:v>
                </c:pt>
                <c:pt idx="114">
                  <c:v>40.573100000000004</c:v>
                </c:pt>
                <c:pt idx="115">
                  <c:v>40.686299999999996</c:v>
                </c:pt>
                <c:pt idx="116">
                  <c:v>40.869299999999996</c:v>
                </c:pt>
                <c:pt idx="117">
                  <c:v>41.125</c:v>
                </c:pt>
                <c:pt idx="118">
                  <c:v>41.428799999999995</c:v>
                </c:pt>
                <c:pt idx="119">
                  <c:v>41.7836</c:v>
                </c:pt>
                <c:pt idx="120">
                  <c:v>42.116399999999999</c:v>
                </c:pt>
                <c:pt idx="121">
                  <c:v>42.410399999999996</c:v>
                </c:pt>
                <c:pt idx="122">
                  <c:v>42.674399999999999</c:v>
                </c:pt>
                <c:pt idx="123">
                  <c:v>42.905700000000003</c:v>
                </c:pt>
                <c:pt idx="124">
                  <c:v>42.9587</c:v>
                </c:pt>
                <c:pt idx="125">
                  <c:v>42.9833</c:v>
                </c:pt>
                <c:pt idx="126">
                  <c:v>42.972799999999999</c:v>
                </c:pt>
                <c:pt idx="127">
                  <c:v>42.964599999999997</c:v>
                </c:pt>
                <c:pt idx="128">
                  <c:v>42.969900000000003</c:v>
                </c:pt>
                <c:pt idx="129">
                  <c:v>42.9831</c:v>
                </c:pt>
                <c:pt idx="130">
                  <c:v>42.978100000000005</c:v>
                </c:pt>
                <c:pt idx="131">
                  <c:v>43.0017</c:v>
                </c:pt>
                <c:pt idx="132">
                  <c:v>43.039400000000001</c:v>
                </c:pt>
                <c:pt idx="133">
                  <c:v>43.119199999999999</c:v>
                </c:pt>
                <c:pt idx="134">
                  <c:v>43.240099999999998</c:v>
                </c:pt>
                <c:pt idx="135">
                  <c:v>43.374600000000001</c:v>
                </c:pt>
                <c:pt idx="136">
                  <c:v>43.5501</c:v>
                </c:pt>
                <c:pt idx="137">
                  <c:v>43.819399999999995</c:v>
                </c:pt>
                <c:pt idx="138">
                  <c:v>44.168900000000001</c:v>
                </c:pt>
                <c:pt idx="139">
                  <c:v>44.632399999999997</c:v>
                </c:pt>
                <c:pt idx="140">
                  <c:v>45.248600000000003</c:v>
                </c:pt>
                <c:pt idx="141">
                  <c:v>45.915499999999994</c:v>
                </c:pt>
                <c:pt idx="142">
                  <c:v>46.601799999999997</c:v>
                </c:pt>
                <c:pt idx="143">
                  <c:v>47.223500000000001</c:v>
                </c:pt>
                <c:pt idx="144">
                  <c:v>47.643700000000003</c:v>
                </c:pt>
                <c:pt idx="145">
                  <c:v>48.112000000000002</c:v>
                </c:pt>
                <c:pt idx="146">
                  <c:v>48.394100000000002</c:v>
                </c:pt>
                <c:pt idx="147">
                  <c:v>48.855900000000005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0.40504800000000002</c:v>
                </c:pt>
                <c:pt idx="2">
                  <c:v>0.81174199999999996</c:v>
                </c:pt>
                <c:pt idx="3">
                  <c:v>1.2185299999999999</c:v>
                </c:pt>
                <c:pt idx="4">
                  <c:v>1.62263</c:v>
                </c:pt>
                <c:pt idx="5">
                  <c:v>2.0345300000000002</c:v>
                </c:pt>
                <c:pt idx="6">
                  <c:v>2.4343699999999999</c:v>
                </c:pt>
                <c:pt idx="7">
                  <c:v>2.84422</c:v>
                </c:pt>
                <c:pt idx="8">
                  <c:v>3.24953</c:v>
                </c:pt>
                <c:pt idx="9">
                  <c:v>3.6562800000000002</c:v>
                </c:pt>
                <c:pt idx="10">
                  <c:v>4.0640400000000003</c:v>
                </c:pt>
                <c:pt idx="11">
                  <c:v>4.4690899999999996</c:v>
                </c:pt>
                <c:pt idx="12">
                  <c:v>4.8748699999999996</c:v>
                </c:pt>
                <c:pt idx="13">
                  <c:v>5.2838599999999998</c:v>
                </c:pt>
                <c:pt idx="14">
                  <c:v>5.6888800000000002</c:v>
                </c:pt>
                <c:pt idx="15">
                  <c:v>6.0955399999999997</c:v>
                </c:pt>
                <c:pt idx="16">
                  <c:v>6.5015000000000001</c:v>
                </c:pt>
                <c:pt idx="17">
                  <c:v>6.9093</c:v>
                </c:pt>
                <c:pt idx="18">
                  <c:v>7.3133600000000003</c:v>
                </c:pt>
                <c:pt idx="19">
                  <c:v>7.7193500000000004</c:v>
                </c:pt>
                <c:pt idx="20">
                  <c:v>8.1272000000000002</c:v>
                </c:pt>
                <c:pt idx="21">
                  <c:v>8.5309699999999999</c:v>
                </c:pt>
                <c:pt idx="22">
                  <c:v>8.9390099999999997</c:v>
                </c:pt>
                <c:pt idx="23">
                  <c:v>9.3493600000000008</c:v>
                </c:pt>
                <c:pt idx="24">
                  <c:v>9.7546800000000005</c:v>
                </c:pt>
                <c:pt idx="25">
                  <c:v>10.1556</c:v>
                </c:pt>
                <c:pt idx="26">
                  <c:v>10.5616</c:v>
                </c:pt>
                <c:pt idx="27">
                  <c:v>10.967599999999999</c:v>
                </c:pt>
                <c:pt idx="28">
                  <c:v>11.3733</c:v>
                </c:pt>
                <c:pt idx="29">
                  <c:v>11.783300000000001</c:v>
                </c:pt>
                <c:pt idx="30">
                  <c:v>12.1851</c:v>
                </c:pt>
                <c:pt idx="31">
                  <c:v>12.594099999999999</c:v>
                </c:pt>
                <c:pt idx="32">
                  <c:v>12.996700000000001</c:v>
                </c:pt>
                <c:pt idx="33">
                  <c:v>13.4109</c:v>
                </c:pt>
                <c:pt idx="34">
                  <c:v>13.813700000000001</c:v>
                </c:pt>
                <c:pt idx="35">
                  <c:v>14.2218</c:v>
                </c:pt>
                <c:pt idx="36">
                  <c:v>14.6236</c:v>
                </c:pt>
                <c:pt idx="37">
                  <c:v>15.032999999999999</c:v>
                </c:pt>
                <c:pt idx="38">
                  <c:v>15.4345</c:v>
                </c:pt>
                <c:pt idx="39">
                  <c:v>15.844900000000001</c:v>
                </c:pt>
                <c:pt idx="40">
                  <c:v>16.253299999999999</c:v>
                </c:pt>
                <c:pt idx="41">
                  <c:v>16.658300000000001</c:v>
                </c:pt>
                <c:pt idx="42">
                  <c:v>17.066199999999998</c:v>
                </c:pt>
                <c:pt idx="43">
                  <c:v>17.4663</c:v>
                </c:pt>
                <c:pt idx="44">
                  <c:v>17.872</c:v>
                </c:pt>
                <c:pt idx="45">
                  <c:v>18.282299999999999</c:v>
                </c:pt>
                <c:pt idx="46">
                  <c:v>18.6889</c:v>
                </c:pt>
                <c:pt idx="47">
                  <c:v>19.0977</c:v>
                </c:pt>
                <c:pt idx="48">
                  <c:v>19.502600000000001</c:v>
                </c:pt>
                <c:pt idx="49">
                  <c:v>19.9055</c:v>
                </c:pt>
                <c:pt idx="50">
                  <c:v>20.319500000000001</c:v>
                </c:pt>
                <c:pt idx="51">
                  <c:v>20.717500000000001</c:v>
                </c:pt>
                <c:pt idx="52">
                  <c:v>21.124600000000001</c:v>
                </c:pt>
                <c:pt idx="53">
                  <c:v>21.531300000000002</c:v>
                </c:pt>
                <c:pt idx="54">
                  <c:v>21.939900000000002</c:v>
                </c:pt>
                <c:pt idx="55">
                  <c:v>22.342199999999998</c:v>
                </c:pt>
                <c:pt idx="56">
                  <c:v>22.754000000000001</c:v>
                </c:pt>
                <c:pt idx="57">
                  <c:v>23.157</c:v>
                </c:pt>
                <c:pt idx="58">
                  <c:v>23.561</c:v>
                </c:pt>
                <c:pt idx="59">
                  <c:v>23.971800000000002</c:v>
                </c:pt>
                <c:pt idx="60">
                  <c:v>24.3766</c:v>
                </c:pt>
                <c:pt idx="61">
                  <c:v>24.8096</c:v>
                </c:pt>
                <c:pt idx="62">
                  <c:v>25.185600000000001</c:v>
                </c:pt>
                <c:pt idx="63">
                  <c:v>25.595700000000001</c:v>
                </c:pt>
                <c:pt idx="64">
                  <c:v>26.003299999999999</c:v>
                </c:pt>
                <c:pt idx="65">
                  <c:v>26.404599999999999</c:v>
                </c:pt>
                <c:pt idx="66">
                  <c:v>26.8142</c:v>
                </c:pt>
                <c:pt idx="67">
                  <c:v>27.225999999999999</c:v>
                </c:pt>
                <c:pt idx="68">
                  <c:v>27.6281</c:v>
                </c:pt>
                <c:pt idx="69">
                  <c:v>28.033300000000001</c:v>
                </c:pt>
                <c:pt idx="70">
                  <c:v>28.4391</c:v>
                </c:pt>
                <c:pt idx="71">
                  <c:v>28.846699999999998</c:v>
                </c:pt>
                <c:pt idx="72">
                  <c:v>29.248999999999999</c:v>
                </c:pt>
                <c:pt idx="73">
                  <c:v>29.6556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59.575100000000006</c:v>
                </c:pt>
                <c:pt idx="1">
                  <c:v>58.682699999999997</c:v>
                </c:pt>
                <c:pt idx="2">
                  <c:v>57.6798</c:v>
                </c:pt>
                <c:pt idx="3">
                  <c:v>56.668700000000008</c:v>
                </c:pt>
                <c:pt idx="4">
                  <c:v>55.575300000000006</c:v>
                </c:pt>
                <c:pt idx="5">
                  <c:v>54.445900000000002</c:v>
                </c:pt>
                <c:pt idx="6">
                  <c:v>53.402999999999999</c:v>
                </c:pt>
                <c:pt idx="7">
                  <c:v>52.408799999999999</c:v>
                </c:pt>
                <c:pt idx="8">
                  <c:v>51.458000000000006</c:v>
                </c:pt>
                <c:pt idx="9">
                  <c:v>50.431599999999996</c:v>
                </c:pt>
                <c:pt idx="10">
                  <c:v>49.231000000000002</c:v>
                </c:pt>
                <c:pt idx="11">
                  <c:v>47.983899999999998</c:v>
                </c:pt>
                <c:pt idx="12">
                  <c:v>46.676899999999996</c:v>
                </c:pt>
                <c:pt idx="13">
                  <c:v>45.285599999999995</c:v>
                </c:pt>
                <c:pt idx="14">
                  <c:v>43.8658</c:v>
                </c:pt>
                <c:pt idx="15">
                  <c:v>42.491800000000005</c:v>
                </c:pt>
                <c:pt idx="16">
                  <c:v>41.1569</c:v>
                </c:pt>
                <c:pt idx="17">
                  <c:v>39.844099999999997</c:v>
                </c:pt>
                <c:pt idx="18">
                  <c:v>38.587500000000006</c:v>
                </c:pt>
                <c:pt idx="19">
                  <c:v>37.370599999999996</c:v>
                </c:pt>
                <c:pt idx="20">
                  <c:v>36.156599999999997</c:v>
                </c:pt>
                <c:pt idx="21">
                  <c:v>35.015800000000006</c:v>
                </c:pt>
                <c:pt idx="22">
                  <c:v>33.964800000000004</c:v>
                </c:pt>
                <c:pt idx="23">
                  <c:v>32.937100000000001</c:v>
                </c:pt>
                <c:pt idx="24">
                  <c:v>31.9575</c:v>
                </c:pt>
                <c:pt idx="25">
                  <c:v>31.0091</c:v>
                </c:pt>
                <c:pt idx="26">
                  <c:v>30.0427</c:v>
                </c:pt>
                <c:pt idx="27">
                  <c:v>29.2273</c:v>
                </c:pt>
                <c:pt idx="28">
                  <c:v>28.543299999999999</c:v>
                </c:pt>
                <c:pt idx="29">
                  <c:v>27.913300000000003</c:v>
                </c:pt>
                <c:pt idx="30">
                  <c:v>27.416200000000003</c:v>
                </c:pt>
                <c:pt idx="31">
                  <c:v>26.980599999999999</c:v>
                </c:pt>
                <c:pt idx="32">
                  <c:v>26.627800000000001</c:v>
                </c:pt>
                <c:pt idx="33">
                  <c:v>26.361600000000003</c:v>
                </c:pt>
                <c:pt idx="34">
                  <c:v>26.232699999999998</c:v>
                </c:pt>
                <c:pt idx="35">
                  <c:v>26.152199999999997</c:v>
                </c:pt>
                <c:pt idx="36">
                  <c:v>26.129599999999996</c:v>
                </c:pt>
                <c:pt idx="37">
                  <c:v>26.135100000000001</c:v>
                </c:pt>
                <c:pt idx="38">
                  <c:v>26.272200000000002</c:v>
                </c:pt>
                <c:pt idx="39">
                  <c:v>26.374700000000001</c:v>
                </c:pt>
                <c:pt idx="40">
                  <c:v>26.4422</c:v>
                </c:pt>
                <c:pt idx="41">
                  <c:v>26.574199999999998</c:v>
                </c:pt>
                <c:pt idx="42">
                  <c:v>26.776699999999998</c:v>
                </c:pt>
                <c:pt idx="43">
                  <c:v>27.066800000000001</c:v>
                </c:pt>
                <c:pt idx="44">
                  <c:v>27.443800000000003</c:v>
                </c:pt>
                <c:pt idx="45">
                  <c:v>27.9254</c:v>
                </c:pt>
                <c:pt idx="46">
                  <c:v>28.396999999999998</c:v>
                </c:pt>
                <c:pt idx="47">
                  <c:v>28.899399999999996</c:v>
                </c:pt>
                <c:pt idx="48">
                  <c:v>29.488999999999997</c:v>
                </c:pt>
                <c:pt idx="49">
                  <c:v>30.109599999999997</c:v>
                </c:pt>
                <c:pt idx="50">
                  <c:v>30.7562</c:v>
                </c:pt>
                <c:pt idx="51">
                  <c:v>31.448399999999999</c:v>
                </c:pt>
                <c:pt idx="52">
                  <c:v>32.104999999999997</c:v>
                </c:pt>
                <c:pt idx="53">
                  <c:v>32.706899999999997</c:v>
                </c:pt>
                <c:pt idx="54">
                  <c:v>33.308999999999997</c:v>
                </c:pt>
                <c:pt idx="55">
                  <c:v>33.815200000000004</c:v>
                </c:pt>
                <c:pt idx="56">
                  <c:v>34.450800000000001</c:v>
                </c:pt>
                <c:pt idx="57">
                  <c:v>34.941400000000002</c:v>
                </c:pt>
                <c:pt idx="58">
                  <c:v>35.463799999999999</c:v>
                </c:pt>
                <c:pt idx="59">
                  <c:v>35.9709</c:v>
                </c:pt>
                <c:pt idx="60">
                  <c:v>36.391199999999998</c:v>
                </c:pt>
                <c:pt idx="61">
                  <c:v>36.744399999999999</c:v>
                </c:pt>
                <c:pt idx="62">
                  <c:v>37.055199999999999</c:v>
                </c:pt>
                <c:pt idx="63">
                  <c:v>37.261200000000002</c:v>
                </c:pt>
                <c:pt idx="64">
                  <c:v>37.500499999999995</c:v>
                </c:pt>
                <c:pt idx="65">
                  <c:v>37.746200000000002</c:v>
                </c:pt>
                <c:pt idx="66">
                  <c:v>38.023699999999998</c:v>
                </c:pt>
                <c:pt idx="67">
                  <c:v>38.021599999999999</c:v>
                </c:pt>
                <c:pt idx="68">
                  <c:v>37.898299999999999</c:v>
                </c:pt>
                <c:pt idx="69">
                  <c:v>37.610700000000001</c:v>
                </c:pt>
                <c:pt idx="70">
                  <c:v>37.173499999999997</c:v>
                </c:pt>
                <c:pt idx="71">
                  <c:v>36.727199999999996</c:v>
                </c:pt>
                <c:pt idx="72">
                  <c:v>36.459599999999995</c:v>
                </c:pt>
                <c:pt idx="73">
                  <c:v>35.938400000000001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29.6556</c:v>
                </c:pt>
                <c:pt idx="1">
                  <c:v>30.064399999999999</c:v>
                </c:pt>
                <c:pt idx="2">
                  <c:v>30.517199999999999</c:v>
                </c:pt>
                <c:pt idx="3">
                  <c:v>30.9222</c:v>
                </c:pt>
                <c:pt idx="4">
                  <c:v>31.327999999999999</c:v>
                </c:pt>
                <c:pt idx="5">
                  <c:v>31.735399999999998</c:v>
                </c:pt>
                <c:pt idx="6">
                  <c:v>32.139200000000002</c:v>
                </c:pt>
                <c:pt idx="7">
                  <c:v>32.547800000000002</c:v>
                </c:pt>
                <c:pt idx="8">
                  <c:v>32.954700000000003</c:v>
                </c:pt>
                <c:pt idx="9">
                  <c:v>33.3566</c:v>
                </c:pt>
                <c:pt idx="10">
                  <c:v>33.763399999999997</c:v>
                </c:pt>
                <c:pt idx="11">
                  <c:v>34.174399999999999</c:v>
                </c:pt>
                <c:pt idx="12">
                  <c:v>34.580300000000001</c:v>
                </c:pt>
                <c:pt idx="13">
                  <c:v>34.9863</c:v>
                </c:pt>
                <c:pt idx="14">
                  <c:v>35.390099999999997</c:v>
                </c:pt>
                <c:pt idx="15">
                  <c:v>35.801299999999998</c:v>
                </c:pt>
                <c:pt idx="16">
                  <c:v>36.204999999999998</c:v>
                </c:pt>
                <c:pt idx="17">
                  <c:v>36.605899999999998</c:v>
                </c:pt>
                <c:pt idx="18">
                  <c:v>37.015700000000002</c:v>
                </c:pt>
                <c:pt idx="19">
                  <c:v>37.424700000000001</c:v>
                </c:pt>
                <c:pt idx="20">
                  <c:v>37.8307</c:v>
                </c:pt>
                <c:pt idx="21">
                  <c:v>38.235500000000002</c:v>
                </c:pt>
                <c:pt idx="22">
                  <c:v>38.641399999999997</c:v>
                </c:pt>
                <c:pt idx="23">
                  <c:v>39.047499999999999</c:v>
                </c:pt>
                <c:pt idx="24">
                  <c:v>39.451300000000003</c:v>
                </c:pt>
                <c:pt idx="25">
                  <c:v>39.857399999999998</c:v>
                </c:pt>
                <c:pt idx="26">
                  <c:v>40.269300000000001</c:v>
                </c:pt>
                <c:pt idx="27">
                  <c:v>40.668100000000003</c:v>
                </c:pt>
                <c:pt idx="28">
                  <c:v>41.08</c:v>
                </c:pt>
                <c:pt idx="29">
                  <c:v>41.482900000000001</c:v>
                </c:pt>
                <c:pt idx="30">
                  <c:v>41.893700000000003</c:v>
                </c:pt>
                <c:pt idx="31">
                  <c:v>42.298999999999999</c:v>
                </c:pt>
                <c:pt idx="32">
                  <c:v>42.706600000000002</c:v>
                </c:pt>
                <c:pt idx="33">
                  <c:v>43.109499999999997</c:v>
                </c:pt>
                <c:pt idx="34">
                  <c:v>43.514299999999999</c:v>
                </c:pt>
                <c:pt idx="35">
                  <c:v>43.921300000000002</c:v>
                </c:pt>
                <c:pt idx="36">
                  <c:v>44.328299999999999</c:v>
                </c:pt>
                <c:pt idx="37">
                  <c:v>44.731099999999998</c:v>
                </c:pt>
                <c:pt idx="38">
                  <c:v>45.143000000000001</c:v>
                </c:pt>
                <c:pt idx="39">
                  <c:v>45.549399999999999</c:v>
                </c:pt>
                <c:pt idx="40">
                  <c:v>45.9499</c:v>
                </c:pt>
                <c:pt idx="41">
                  <c:v>46.356900000000003</c:v>
                </c:pt>
                <c:pt idx="42">
                  <c:v>46.763800000000003</c:v>
                </c:pt>
                <c:pt idx="43">
                  <c:v>47.175600000000003</c:v>
                </c:pt>
                <c:pt idx="44">
                  <c:v>47.579599999999999</c:v>
                </c:pt>
                <c:pt idx="45">
                  <c:v>47.988799999999998</c:v>
                </c:pt>
                <c:pt idx="46">
                  <c:v>48.398600000000002</c:v>
                </c:pt>
                <c:pt idx="47">
                  <c:v>48.802199999999999</c:v>
                </c:pt>
                <c:pt idx="48">
                  <c:v>49.2072</c:v>
                </c:pt>
                <c:pt idx="49">
                  <c:v>49.618099999999998</c:v>
                </c:pt>
                <c:pt idx="50">
                  <c:v>50.014000000000003</c:v>
                </c:pt>
                <c:pt idx="51">
                  <c:v>50.418999999999997</c:v>
                </c:pt>
                <c:pt idx="52">
                  <c:v>50.8339</c:v>
                </c:pt>
                <c:pt idx="53">
                  <c:v>51.238</c:v>
                </c:pt>
                <c:pt idx="54">
                  <c:v>51.636699999999998</c:v>
                </c:pt>
                <c:pt idx="55">
                  <c:v>52.050600000000003</c:v>
                </c:pt>
                <c:pt idx="56">
                  <c:v>52.456499999999998</c:v>
                </c:pt>
                <c:pt idx="57">
                  <c:v>52.863399999999999</c:v>
                </c:pt>
                <c:pt idx="58">
                  <c:v>53.270499999999998</c:v>
                </c:pt>
                <c:pt idx="59">
                  <c:v>53.673299999999998</c:v>
                </c:pt>
                <c:pt idx="60">
                  <c:v>54.084299999999999</c:v>
                </c:pt>
                <c:pt idx="61">
                  <c:v>54.487099999999998</c:v>
                </c:pt>
                <c:pt idx="62">
                  <c:v>54.892099999999999</c:v>
                </c:pt>
                <c:pt idx="63">
                  <c:v>55.301499999999997</c:v>
                </c:pt>
                <c:pt idx="64">
                  <c:v>55.713900000000002</c:v>
                </c:pt>
                <c:pt idx="65">
                  <c:v>56.112699999999997</c:v>
                </c:pt>
                <c:pt idx="66">
                  <c:v>56.518900000000002</c:v>
                </c:pt>
                <c:pt idx="67">
                  <c:v>56.926699999999997</c:v>
                </c:pt>
                <c:pt idx="68">
                  <c:v>57.333399999999997</c:v>
                </c:pt>
                <c:pt idx="69">
                  <c:v>57.735399999999998</c:v>
                </c:pt>
                <c:pt idx="70">
                  <c:v>58.144300000000001</c:v>
                </c:pt>
                <c:pt idx="71">
                  <c:v>58.5505</c:v>
                </c:pt>
                <c:pt idx="72">
                  <c:v>58.957099999999997</c:v>
                </c:pt>
                <c:pt idx="73">
                  <c:v>59.366999999999997</c:v>
                </c:pt>
                <c:pt idx="74">
                  <c:v>59.773899999999998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35.938400000000001</c:v>
                </c:pt>
                <c:pt idx="1">
                  <c:v>35.218600000000002</c:v>
                </c:pt>
                <c:pt idx="2">
                  <c:v>34.656100000000002</c:v>
                </c:pt>
                <c:pt idx="3">
                  <c:v>34.087000000000003</c:v>
                </c:pt>
                <c:pt idx="4">
                  <c:v>33.488399999999999</c:v>
                </c:pt>
                <c:pt idx="5">
                  <c:v>32.933</c:v>
                </c:pt>
                <c:pt idx="6">
                  <c:v>32.4084</c:v>
                </c:pt>
                <c:pt idx="7">
                  <c:v>31.915300000000002</c:v>
                </c:pt>
                <c:pt idx="8">
                  <c:v>31.484200000000001</c:v>
                </c:pt>
                <c:pt idx="9">
                  <c:v>31.093399999999999</c:v>
                </c:pt>
                <c:pt idx="10">
                  <c:v>30.757200000000001</c:v>
                </c:pt>
                <c:pt idx="11">
                  <c:v>30.394300000000001</c:v>
                </c:pt>
                <c:pt idx="12">
                  <c:v>30.095300000000002</c:v>
                </c:pt>
                <c:pt idx="13">
                  <c:v>29.9099</c:v>
                </c:pt>
                <c:pt idx="14">
                  <c:v>29.720299999999998</c:v>
                </c:pt>
                <c:pt idx="15">
                  <c:v>29.580200000000001</c:v>
                </c:pt>
                <c:pt idx="16">
                  <c:v>29.507699999999996</c:v>
                </c:pt>
                <c:pt idx="17">
                  <c:v>29.5518</c:v>
                </c:pt>
                <c:pt idx="18">
                  <c:v>29.723800000000001</c:v>
                </c:pt>
                <c:pt idx="19">
                  <c:v>30.003</c:v>
                </c:pt>
                <c:pt idx="20">
                  <c:v>30.441700000000001</c:v>
                </c:pt>
                <c:pt idx="21">
                  <c:v>30.943700000000003</c:v>
                </c:pt>
                <c:pt idx="22">
                  <c:v>31.477300000000003</c:v>
                </c:pt>
                <c:pt idx="23">
                  <c:v>32.102199999999996</c:v>
                </c:pt>
                <c:pt idx="24">
                  <c:v>32.741300000000003</c:v>
                </c:pt>
                <c:pt idx="25">
                  <c:v>33.477800000000002</c:v>
                </c:pt>
                <c:pt idx="26">
                  <c:v>34.2121</c:v>
                </c:pt>
                <c:pt idx="27">
                  <c:v>34.963100000000004</c:v>
                </c:pt>
                <c:pt idx="28">
                  <c:v>35.7684</c:v>
                </c:pt>
                <c:pt idx="29">
                  <c:v>36.5779</c:v>
                </c:pt>
                <c:pt idx="30">
                  <c:v>37.313600000000001</c:v>
                </c:pt>
                <c:pt idx="31">
                  <c:v>37.976900000000001</c:v>
                </c:pt>
                <c:pt idx="32">
                  <c:v>38.555599999999998</c:v>
                </c:pt>
                <c:pt idx="33">
                  <c:v>38.996399999999994</c:v>
                </c:pt>
                <c:pt idx="34">
                  <c:v>39.363999999999997</c:v>
                </c:pt>
                <c:pt idx="35">
                  <c:v>39.645899999999997</c:v>
                </c:pt>
                <c:pt idx="36">
                  <c:v>39.876899999999999</c:v>
                </c:pt>
                <c:pt idx="37">
                  <c:v>40.075600000000001</c:v>
                </c:pt>
                <c:pt idx="38">
                  <c:v>40.217399999999998</c:v>
                </c:pt>
                <c:pt idx="39">
                  <c:v>40.3508</c:v>
                </c:pt>
                <c:pt idx="40">
                  <c:v>40.454700000000003</c:v>
                </c:pt>
                <c:pt idx="41">
                  <c:v>40.573100000000004</c:v>
                </c:pt>
                <c:pt idx="42">
                  <c:v>40.686299999999996</c:v>
                </c:pt>
                <c:pt idx="43">
                  <c:v>40.869299999999996</c:v>
                </c:pt>
                <c:pt idx="44">
                  <c:v>41.125</c:v>
                </c:pt>
                <c:pt idx="45">
                  <c:v>41.428799999999995</c:v>
                </c:pt>
                <c:pt idx="46">
                  <c:v>41.7836</c:v>
                </c:pt>
                <c:pt idx="47">
                  <c:v>42.116399999999999</c:v>
                </c:pt>
                <c:pt idx="48">
                  <c:v>42.410399999999996</c:v>
                </c:pt>
                <c:pt idx="49">
                  <c:v>42.674399999999999</c:v>
                </c:pt>
                <c:pt idx="50">
                  <c:v>42.905700000000003</c:v>
                </c:pt>
                <c:pt idx="51">
                  <c:v>42.9587</c:v>
                </c:pt>
                <c:pt idx="52">
                  <c:v>42.9833</c:v>
                </c:pt>
                <c:pt idx="53">
                  <c:v>42.972799999999999</c:v>
                </c:pt>
                <c:pt idx="54">
                  <c:v>42.964599999999997</c:v>
                </c:pt>
                <c:pt idx="55">
                  <c:v>42.969900000000003</c:v>
                </c:pt>
                <c:pt idx="56">
                  <c:v>42.9831</c:v>
                </c:pt>
                <c:pt idx="57">
                  <c:v>42.978100000000005</c:v>
                </c:pt>
                <c:pt idx="58">
                  <c:v>43.0017</c:v>
                </c:pt>
                <c:pt idx="59">
                  <c:v>43.039400000000001</c:v>
                </c:pt>
                <c:pt idx="60">
                  <c:v>43.119199999999999</c:v>
                </c:pt>
                <c:pt idx="61">
                  <c:v>43.240099999999998</c:v>
                </c:pt>
                <c:pt idx="62">
                  <c:v>43.374600000000001</c:v>
                </c:pt>
                <c:pt idx="63">
                  <c:v>43.5501</c:v>
                </c:pt>
                <c:pt idx="64">
                  <c:v>43.819399999999995</c:v>
                </c:pt>
                <c:pt idx="65">
                  <c:v>44.168900000000001</c:v>
                </c:pt>
                <c:pt idx="66">
                  <c:v>44.632399999999997</c:v>
                </c:pt>
                <c:pt idx="67">
                  <c:v>45.248600000000003</c:v>
                </c:pt>
                <c:pt idx="68">
                  <c:v>45.915499999999994</c:v>
                </c:pt>
                <c:pt idx="69">
                  <c:v>46.601799999999997</c:v>
                </c:pt>
                <c:pt idx="70">
                  <c:v>47.223500000000001</c:v>
                </c:pt>
                <c:pt idx="71">
                  <c:v>47.643700000000003</c:v>
                </c:pt>
                <c:pt idx="72">
                  <c:v>48.112000000000002</c:v>
                </c:pt>
                <c:pt idx="73">
                  <c:v>48.394100000000002</c:v>
                </c:pt>
                <c:pt idx="74">
                  <c:v>48.855900000000005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59.575100000000006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59.575100000000006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59.575100000000006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59.575100000000006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59.575100000000006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59.575100000000006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59.575100000000006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59.575100000000006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59.575100000000006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59.575100000000006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59.575100000000006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59.575100000000006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59.575100000000006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59.575100000000006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59.575100000000006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59.575100000000006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59.575100000000006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59.575100000000006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59.575100000000006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59.575100000000006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59.575100000000006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59.575100000000006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14.943474999999999</c:v>
                </c:pt>
                <c:pt idx="1">
                  <c:v>44.830424999999998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36.471845945945965</c:v>
                </c:pt>
                <c:pt idx="1">
                  <c:v>38.505210810810802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37.217799999999997</c:v>
                </c:pt>
                <c:pt idx="1">
                  <c:v>33.571300000000001</c:v>
                </c:pt>
                <c:pt idx="2">
                  <c:v>25.782900000000001</c:v>
                </c:pt>
                <c:pt idx="3">
                  <c:v>32.058399999999999</c:v>
                </c:pt>
                <c:pt idx="4">
                  <c:v>66.422799999999995</c:v>
                </c:pt>
                <c:pt idx="5">
                  <c:v>79.483500000000006</c:v>
                </c:pt>
                <c:pt idx="6">
                  <c:v>16.9617</c:v>
                </c:pt>
                <c:pt idx="7">
                  <c:v>72.863900000000001</c:v>
                </c:pt>
                <c:pt idx="8">
                  <c:v>22.026299999999999</c:v>
                </c:pt>
                <c:pt idx="9">
                  <c:v>21.848099999999999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39.7209</c:v>
                </c:pt>
                <c:pt idx="1">
                  <c:v>40.536499999999997</c:v>
                </c:pt>
                <c:pt idx="2">
                  <c:v>21.134399999999999</c:v>
                </c:pt>
                <c:pt idx="3">
                  <c:v>32.814100000000003</c:v>
                </c:pt>
                <c:pt idx="4">
                  <c:v>62.008099999999999</c:v>
                </c:pt>
                <c:pt idx="5">
                  <c:v>76.018600000000006</c:v>
                </c:pt>
                <c:pt idx="6">
                  <c:v>18.179500000000001</c:v>
                </c:pt>
                <c:pt idx="7">
                  <c:v>68.529799999999994</c:v>
                </c:pt>
                <c:pt idx="8">
                  <c:v>19.727699999999999</c:v>
                </c:pt>
                <c:pt idx="9">
                  <c:v>36.895299999999999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0.52140259330062899</c:v>
                </c:pt>
                <c:pt idx="1">
                  <c:v>0.28451059927526662</c:v>
                </c:pt>
                <c:pt idx="2">
                  <c:v>0.19408680742410436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2229</c:v>
                </c:pt>
                <c:pt idx="7">
                  <c:v>0</c:v>
                </c:pt>
                <c:pt idx="8">
                  <c:v>3769</c:v>
                </c:pt>
                <c:pt idx="9">
                  <c:v>0</c:v>
                </c:pt>
                <c:pt idx="10">
                  <c:v>0</c:v>
                </c:pt>
                <c:pt idx="11">
                  <c:v>12330</c:v>
                </c:pt>
                <c:pt idx="12">
                  <c:v>0</c:v>
                </c:pt>
                <c:pt idx="13">
                  <c:v>15328</c:v>
                </c:pt>
                <c:pt idx="14">
                  <c:v>0</c:v>
                </c:pt>
                <c:pt idx="15">
                  <c:v>0</c:v>
                </c:pt>
                <c:pt idx="16">
                  <c:v>17278</c:v>
                </c:pt>
                <c:pt idx="17">
                  <c:v>0</c:v>
                </c:pt>
                <c:pt idx="18">
                  <c:v>0</c:v>
                </c:pt>
                <c:pt idx="19">
                  <c:v>21925</c:v>
                </c:pt>
                <c:pt idx="20">
                  <c:v>0</c:v>
                </c:pt>
                <c:pt idx="21">
                  <c:v>27651</c:v>
                </c:pt>
                <c:pt idx="22">
                  <c:v>0</c:v>
                </c:pt>
                <c:pt idx="23">
                  <c:v>0</c:v>
                </c:pt>
                <c:pt idx="24">
                  <c:v>34511</c:v>
                </c:pt>
                <c:pt idx="25">
                  <c:v>0</c:v>
                </c:pt>
                <c:pt idx="26">
                  <c:v>42659</c:v>
                </c:pt>
                <c:pt idx="27">
                  <c:v>0</c:v>
                </c:pt>
                <c:pt idx="28">
                  <c:v>0</c:v>
                </c:pt>
                <c:pt idx="29">
                  <c:v>47254</c:v>
                </c:pt>
                <c:pt idx="30">
                  <c:v>0</c:v>
                </c:pt>
                <c:pt idx="31">
                  <c:v>54497</c:v>
                </c:pt>
                <c:pt idx="32">
                  <c:v>0</c:v>
                </c:pt>
                <c:pt idx="33">
                  <c:v>0</c:v>
                </c:pt>
                <c:pt idx="34">
                  <c:v>60361</c:v>
                </c:pt>
                <c:pt idx="35">
                  <c:v>0</c:v>
                </c:pt>
                <c:pt idx="36">
                  <c:v>0</c:v>
                </c:pt>
                <c:pt idx="37">
                  <c:v>65636</c:v>
                </c:pt>
                <c:pt idx="38">
                  <c:v>0</c:v>
                </c:pt>
                <c:pt idx="39">
                  <c:v>56242</c:v>
                </c:pt>
                <c:pt idx="40">
                  <c:v>0</c:v>
                </c:pt>
                <c:pt idx="41">
                  <c:v>0</c:v>
                </c:pt>
                <c:pt idx="42">
                  <c:v>65800</c:v>
                </c:pt>
                <c:pt idx="43">
                  <c:v>0</c:v>
                </c:pt>
                <c:pt idx="44">
                  <c:v>66514</c:v>
                </c:pt>
                <c:pt idx="45">
                  <c:v>0</c:v>
                </c:pt>
                <c:pt idx="46">
                  <c:v>0</c:v>
                </c:pt>
                <c:pt idx="47">
                  <c:v>70460</c:v>
                </c:pt>
                <c:pt idx="48">
                  <c:v>0</c:v>
                </c:pt>
                <c:pt idx="49">
                  <c:v>71485</c:v>
                </c:pt>
                <c:pt idx="50">
                  <c:v>0</c:v>
                </c:pt>
                <c:pt idx="51">
                  <c:v>0</c:v>
                </c:pt>
                <c:pt idx="52">
                  <c:v>88349</c:v>
                </c:pt>
                <c:pt idx="53">
                  <c:v>0</c:v>
                </c:pt>
                <c:pt idx="54">
                  <c:v>0</c:v>
                </c:pt>
                <c:pt idx="55">
                  <c:v>80762</c:v>
                </c:pt>
                <c:pt idx="56">
                  <c:v>0</c:v>
                </c:pt>
                <c:pt idx="57">
                  <c:v>80310</c:v>
                </c:pt>
                <c:pt idx="58">
                  <c:v>0</c:v>
                </c:pt>
                <c:pt idx="59">
                  <c:v>0</c:v>
                </c:pt>
                <c:pt idx="60">
                  <c:v>77127</c:v>
                </c:pt>
                <c:pt idx="61">
                  <c:v>0</c:v>
                </c:pt>
                <c:pt idx="62">
                  <c:v>74748</c:v>
                </c:pt>
                <c:pt idx="63">
                  <c:v>0</c:v>
                </c:pt>
                <c:pt idx="64">
                  <c:v>0</c:v>
                </c:pt>
                <c:pt idx="65">
                  <c:v>76282</c:v>
                </c:pt>
                <c:pt idx="66">
                  <c:v>0</c:v>
                </c:pt>
                <c:pt idx="67">
                  <c:v>88913</c:v>
                </c:pt>
                <c:pt idx="68">
                  <c:v>0</c:v>
                </c:pt>
                <c:pt idx="69">
                  <c:v>0</c:v>
                </c:pt>
                <c:pt idx="70">
                  <c:v>81302</c:v>
                </c:pt>
                <c:pt idx="71">
                  <c:v>0</c:v>
                </c:pt>
                <c:pt idx="72">
                  <c:v>0</c:v>
                </c:pt>
                <c:pt idx="73">
                  <c:v>85240</c:v>
                </c:pt>
                <c:pt idx="74">
                  <c:v>0</c:v>
                </c:pt>
                <c:pt idx="75">
                  <c:v>83433</c:v>
                </c:pt>
                <c:pt idx="76">
                  <c:v>0</c:v>
                </c:pt>
                <c:pt idx="77">
                  <c:v>0</c:v>
                </c:pt>
                <c:pt idx="78">
                  <c:v>71222</c:v>
                </c:pt>
                <c:pt idx="79">
                  <c:v>0</c:v>
                </c:pt>
                <c:pt idx="80">
                  <c:v>70413</c:v>
                </c:pt>
                <c:pt idx="81">
                  <c:v>0</c:v>
                </c:pt>
                <c:pt idx="82">
                  <c:v>0</c:v>
                </c:pt>
                <c:pt idx="83">
                  <c:v>69172</c:v>
                </c:pt>
                <c:pt idx="84">
                  <c:v>0</c:v>
                </c:pt>
                <c:pt idx="85">
                  <c:v>0</c:v>
                </c:pt>
                <c:pt idx="86">
                  <c:v>63502</c:v>
                </c:pt>
                <c:pt idx="87">
                  <c:v>0</c:v>
                </c:pt>
                <c:pt idx="88">
                  <c:v>56102</c:v>
                </c:pt>
                <c:pt idx="89">
                  <c:v>0</c:v>
                </c:pt>
                <c:pt idx="90">
                  <c:v>0</c:v>
                </c:pt>
                <c:pt idx="91">
                  <c:v>58727</c:v>
                </c:pt>
                <c:pt idx="92">
                  <c:v>0</c:v>
                </c:pt>
                <c:pt idx="93">
                  <c:v>47991</c:v>
                </c:pt>
                <c:pt idx="94">
                  <c:v>0</c:v>
                </c:pt>
                <c:pt idx="95">
                  <c:v>0</c:v>
                </c:pt>
                <c:pt idx="96">
                  <c:v>41342</c:v>
                </c:pt>
                <c:pt idx="97">
                  <c:v>0</c:v>
                </c:pt>
                <c:pt idx="98">
                  <c:v>42665</c:v>
                </c:pt>
                <c:pt idx="99">
                  <c:v>0</c:v>
                </c:pt>
                <c:pt idx="100">
                  <c:v>0</c:v>
                </c:pt>
                <c:pt idx="101">
                  <c:v>40335</c:v>
                </c:pt>
                <c:pt idx="102">
                  <c:v>0</c:v>
                </c:pt>
                <c:pt idx="103">
                  <c:v>0</c:v>
                </c:pt>
                <c:pt idx="104">
                  <c:v>43142</c:v>
                </c:pt>
                <c:pt idx="105">
                  <c:v>0</c:v>
                </c:pt>
                <c:pt idx="106">
                  <c:v>39400</c:v>
                </c:pt>
                <c:pt idx="107">
                  <c:v>0</c:v>
                </c:pt>
                <c:pt idx="108">
                  <c:v>0</c:v>
                </c:pt>
                <c:pt idx="109">
                  <c:v>36377</c:v>
                </c:pt>
                <c:pt idx="110">
                  <c:v>0</c:v>
                </c:pt>
                <c:pt idx="111">
                  <c:v>34761</c:v>
                </c:pt>
                <c:pt idx="112">
                  <c:v>0</c:v>
                </c:pt>
                <c:pt idx="113">
                  <c:v>0</c:v>
                </c:pt>
                <c:pt idx="114">
                  <c:v>29994</c:v>
                </c:pt>
                <c:pt idx="115">
                  <c:v>0</c:v>
                </c:pt>
                <c:pt idx="116">
                  <c:v>34043</c:v>
                </c:pt>
                <c:pt idx="117">
                  <c:v>0</c:v>
                </c:pt>
                <c:pt idx="118">
                  <c:v>0</c:v>
                </c:pt>
                <c:pt idx="119">
                  <c:v>31646</c:v>
                </c:pt>
                <c:pt idx="120">
                  <c:v>0</c:v>
                </c:pt>
                <c:pt idx="121">
                  <c:v>0</c:v>
                </c:pt>
                <c:pt idx="122">
                  <c:v>26503</c:v>
                </c:pt>
                <c:pt idx="123">
                  <c:v>0</c:v>
                </c:pt>
                <c:pt idx="124">
                  <c:v>26647</c:v>
                </c:pt>
                <c:pt idx="125">
                  <c:v>0</c:v>
                </c:pt>
                <c:pt idx="126">
                  <c:v>0</c:v>
                </c:pt>
                <c:pt idx="127">
                  <c:v>26517</c:v>
                </c:pt>
                <c:pt idx="128">
                  <c:v>0</c:v>
                </c:pt>
                <c:pt idx="129">
                  <c:v>30690</c:v>
                </c:pt>
                <c:pt idx="130">
                  <c:v>0</c:v>
                </c:pt>
                <c:pt idx="131">
                  <c:v>0</c:v>
                </c:pt>
                <c:pt idx="132">
                  <c:v>26041</c:v>
                </c:pt>
                <c:pt idx="133">
                  <c:v>0</c:v>
                </c:pt>
                <c:pt idx="134">
                  <c:v>25367</c:v>
                </c:pt>
                <c:pt idx="135">
                  <c:v>0</c:v>
                </c:pt>
                <c:pt idx="136">
                  <c:v>0</c:v>
                </c:pt>
                <c:pt idx="137">
                  <c:v>22935</c:v>
                </c:pt>
                <c:pt idx="138">
                  <c:v>0</c:v>
                </c:pt>
                <c:pt idx="139">
                  <c:v>0</c:v>
                </c:pt>
                <c:pt idx="140">
                  <c:v>23181</c:v>
                </c:pt>
                <c:pt idx="141">
                  <c:v>0</c:v>
                </c:pt>
                <c:pt idx="142">
                  <c:v>21268</c:v>
                </c:pt>
                <c:pt idx="143">
                  <c:v>0</c:v>
                </c:pt>
                <c:pt idx="144">
                  <c:v>0</c:v>
                </c:pt>
                <c:pt idx="145">
                  <c:v>18590</c:v>
                </c:pt>
                <c:pt idx="146">
                  <c:v>0</c:v>
                </c:pt>
                <c:pt idx="147">
                  <c:v>16539</c:v>
                </c:pt>
                <c:pt idx="148">
                  <c:v>0</c:v>
                </c:pt>
                <c:pt idx="149">
                  <c:v>0</c:v>
                </c:pt>
                <c:pt idx="150">
                  <c:v>16672</c:v>
                </c:pt>
                <c:pt idx="151">
                  <c:v>0</c:v>
                </c:pt>
                <c:pt idx="152">
                  <c:v>16821</c:v>
                </c:pt>
                <c:pt idx="153">
                  <c:v>0</c:v>
                </c:pt>
                <c:pt idx="154">
                  <c:v>0</c:v>
                </c:pt>
                <c:pt idx="155">
                  <c:v>14738</c:v>
                </c:pt>
                <c:pt idx="156">
                  <c:v>0</c:v>
                </c:pt>
                <c:pt idx="157">
                  <c:v>0</c:v>
                </c:pt>
                <c:pt idx="158">
                  <c:v>10350</c:v>
                </c:pt>
                <c:pt idx="159">
                  <c:v>0</c:v>
                </c:pt>
                <c:pt idx="160">
                  <c:v>9910</c:v>
                </c:pt>
                <c:pt idx="161">
                  <c:v>0</c:v>
                </c:pt>
                <c:pt idx="162">
                  <c:v>0</c:v>
                </c:pt>
                <c:pt idx="163">
                  <c:v>8982</c:v>
                </c:pt>
                <c:pt idx="164">
                  <c:v>0</c:v>
                </c:pt>
                <c:pt idx="165">
                  <c:v>5998</c:v>
                </c:pt>
                <c:pt idx="166">
                  <c:v>0</c:v>
                </c:pt>
                <c:pt idx="167">
                  <c:v>0</c:v>
                </c:pt>
                <c:pt idx="168">
                  <c:v>5565</c:v>
                </c:pt>
                <c:pt idx="169">
                  <c:v>0</c:v>
                </c:pt>
                <c:pt idx="170">
                  <c:v>0</c:v>
                </c:pt>
                <c:pt idx="171">
                  <c:v>5441</c:v>
                </c:pt>
                <c:pt idx="172">
                  <c:v>0</c:v>
                </c:pt>
                <c:pt idx="173">
                  <c:v>5244</c:v>
                </c:pt>
                <c:pt idx="174">
                  <c:v>0</c:v>
                </c:pt>
                <c:pt idx="175">
                  <c:v>0</c:v>
                </c:pt>
                <c:pt idx="176">
                  <c:v>5168</c:v>
                </c:pt>
                <c:pt idx="177">
                  <c:v>0</c:v>
                </c:pt>
                <c:pt idx="178">
                  <c:v>4984</c:v>
                </c:pt>
                <c:pt idx="179">
                  <c:v>0</c:v>
                </c:pt>
                <c:pt idx="180">
                  <c:v>0</c:v>
                </c:pt>
                <c:pt idx="181">
                  <c:v>3965</c:v>
                </c:pt>
                <c:pt idx="182">
                  <c:v>0</c:v>
                </c:pt>
                <c:pt idx="183">
                  <c:v>4505</c:v>
                </c:pt>
                <c:pt idx="184">
                  <c:v>0</c:v>
                </c:pt>
                <c:pt idx="185">
                  <c:v>0</c:v>
                </c:pt>
                <c:pt idx="186">
                  <c:v>3400</c:v>
                </c:pt>
                <c:pt idx="187">
                  <c:v>0</c:v>
                </c:pt>
                <c:pt idx="188">
                  <c:v>0</c:v>
                </c:pt>
                <c:pt idx="189">
                  <c:v>2678</c:v>
                </c:pt>
                <c:pt idx="190">
                  <c:v>0</c:v>
                </c:pt>
                <c:pt idx="191">
                  <c:v>2445</c:v>
                </c:pt>
                <c:pt idx="192">
                  <c:v>0</c:v>
                </c:pt>
                <c:pt idx="193">
                  <c:v>0</c:v>
                </c:pt>
                <c:pt idx="194">
                  <c:v>1843</c:v>
                </c:pt>
                <c:pt idx="195">
                  <c:v>0</c:v>
                </c:pt>
                <c:pt idx="196">
                  <c:v>1168</c:v>
                </c:pt>
                <c:pt idx="197">
                  <c:v>0</c:v>
                </c:pt>
                <c:pt idx="198">
                  <c:v>0</c:v>
                </c:pt>
                <c:pt idx="199">
                  <c:v>202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158</c:v>
                </c:pt>
                <c:pt idx="7">
                  <c:v>0</c:v>
                </c:pt>
                <c:pt idx="8">
                  <c:v>415</c:v>
                </c:pt>
                <c:pt idx="9">
                  <c:v>0</c:v>
                </c:pt>
                <c:pt idx="10">
                  <c:v>0</c:v>
                </c:pt>
                <c:pt idx="11">
                  <c:v>2744</c:v>
                </c:pt>
                <c:pt idx="12">
                  <c:v>0</c:v>
                </c:pt>
                <c:pt idx="13">
                  <c:v>7744</c:v>
                </c:pt>
                <c:pt idx="14">
                  <c:v>0</c:v>
                </c:pt>
                <c:pt idx="15">
                  <c:v>0</c:v>
                </c:pt>
                <c:pt idx="16">
                  <c:v>6978</c:v>
                </c:pt>
                <c:pt idx="17">
                  <c:v>0</c:v>
                </c:pt>
                <c:pt idx="18">
                  <c:v>0</c:v>
                </c:pt>
                <c:pt idx="19">
                  <c:v>8458</c:v>
                </c:pt>
                <c:pt idx="20">
                  <c:v>0</c:v>
                </c:pt>
                <c:pt idx="21">
                  <c:v>15858</c:v>
                </c:pt>
                <c:pt idx="22">
                  <c:v>0</c:v>
                </c:pt>
                <c:pt idx="23">
                  <c:v>0</c:v>
                </c:pt>
                <c:pt idx="24">
                  <c:v>29976</c:v>
                </c:pt>
                <c:pt idx="25">
                  <c:v>0</c:v>
                </c:pt>
                <c:pt idx="26">
                  <c:v>30410</c:v>
                </c:pt>
                <c:pt idx="27">
                  <c:v>0</c:v>
                </c:pt>
                <c:pt idx="28">
                  <c:v>0</c:v>
                </c:pt>
                <c:pt idx="29">
                  <c:v>36458</c:v>
                </c:pt>
                <c:pt idx="30">
                  <c:v>0</c:v>
                </c:pt>
                <c:pt idx="31">
                  <c:v>57963</c:v>
                </c:pt>
                <c:pt idx="32">
                  <c:v>0</c:v>
                </c:pt>
                <c:pt idx="33">
                  <c:v>0</c:v>
                </c:pt>
                <c:pt idx="34">
                  <c:v>80084</c:v>
                </c:pt>
                <c:pt idx="35">
                  <c:v>0</c:v>
                </c:pt>
                <c:pt idx="36">
                  <c:v>0</c:v>
                </c:pt>
                <c:pt idx="37">
                  <c:v>69562</c:v>
                </c:pt>
                <c:pt idx="38">
                  <c:v>0</c:v>
                </c:pt>
                <c:pt idx="39">
                  <c:v>56796</c:v>
                </c:pt>
                <c:pt idx="40">
                  <c:v>0</c:v>
                </c:pt>
                <c:pt idx="41">
                  <c:v>0</c:v>
                </c:pt>
                <c:pt idx="42">
                  <c:v>53091</c:v>
                </c:pt>
                <c:pt idx="43">
                  <c:v>0</c:v>
                </c:pt>
                <c:pt idx="44">
                  <c:v>53511</c:v>
                </c:pt>
                <c:pt idx="45">
                  <c:v>0</c:v>
                </c:pt>
                <c:pt idx="46">
                  <c:v>0</c:v>
                </c:pt>
                <c:pt idx="47">
                  <c:v>57929</c:v>
                </c:pt>
                <c:pt idx="48">
                  <c:v>0</c:v>
                </c:pt>
                <c:pt idx="49">
                  <c:v>72341</c:v>
                </c:pt>
                <c:pt idx="50">
                  <c:v>0</c:v>
                </c:pt>
                <c:pt idx="51">
                  <c:v>0</c:v>
                </c:pt>
                <c:pt idx="52">
                  <c:v>78150</c:v>
                </c:pt>
                <c:pt idx="53">
                  <c:v>0</c:v>
                </c:pt>
                <c:pt idx="54">
                  <c:v>0</c:v>
                </c:pt>
                <c:pt idx="55">
                  <c:v>87563</c:v>
                </c:pt>
                <c:pt idx="56">
                  <c:v>0</c:v>
                </c:pt>
                <c:pt idx="57">
                  <c:v>95508</c:v>
                </c:pt>
                <c:pt idx="58">
                  <c:v>0</c:v>
                </c:pt>
                <c:pt idx="59">
                  <c:v>0</c:v>
                </c:pt>
                <c:pt idx="60">
                  <c:v>128137</c:v>
                </c:pt>
                <c:pt idx="61">
                  <c:v>0</c:v>
                </c:pt>
                <c:pt idx="62">
                  <c:v>102921</c:v>
                </c:pt>
                <c:pt idx="63">
                  <c:v>0</c:v>
                </c:pt>
                <c:pt idx="64">
                  <c:v>0</c:v>
                </c:pt>
                <c:pt idx="65">
                  <c:v>99441</c:v>
                </c:pt>
                <c:pt idx="66">
                  <c:v>0</c:v>
                </c:pt>
                <c:pt idx="67">
                  <c:v>109363</c:v>
                </c:pt>
                <c:pt idx="68">
                  <c:v>0</c:v>
                </c:pt>
                <c:pt idx="69">
                  <c:v>0</c:v>
                </c:pt>
                <c:pt idx="70">
                  <c:v>98933</c:v>
                </c:pt>
                <c:pt idx="71">
                  <c:v>0</c:v>
                </c:pt>
                <c:pt idx="72">
                  <c:v>0</c:v>
                </c:pt>
                <c:pt idx="73">
                  <c:v>101200</c:v>
                </c:pt>
                <c:pt idx="74">
                  <c:v>0</c:v>
                </c:pt>
                <c:pt idx="75">
                  <c:v>99683</c:v>
                </c:pt>
                <c:pt idx="76">
                  <c:v>0</c:v>
                </c:pt>
                <c:pt idx="77">
                  <c:v>0</c:v>
                </c:pt>
                <c:pt idx="78">
                  <c:v>95568</c:v>
                </c:pt>
                <c:pt idx="79">
                  <c:v>0</c:v>
                </c:pt>
                <c:pt idx="80">
                  <c:v>101674</c:v>
                </c:pt>
                <c:pt idx="81">
                  <c:v>0</c:v>
                </c:pt>
                <c:pt idx="82">
                  <c:v>0</c:v>
                </c:pt>
                <c:pt idx="83">
                  <c:v>96427</c:v>
                </c:pt>
                <c:pt idx="84">
                  <c:v>0</c:v>
                </c:pt>
                <c:pt idx="85">
                  <c:v>0</c:v>
                </c:pt>
                <c:pt idx="86">
                  <c:v>96017</c:v>
                </c:pt>
                <c:pt idx="87">
                  <c:v>0</c:v>
                </c:pt>
                <c:pt idx="88">
                  <c:v>94832</c:v>
                </c:pt>
                <c:pt idx="89">
                  <c:v>0</c:v>
                </c:pt>
                <c:pt idx="90">
                  <c:v>0</c:v>
                </c:pt>
                <c:pt idx="91">
                  <c:v>87138</c:v>
                </c:pt>
                <c:pt idx="92">
                  <c:v>0</c:v>
                </c:pt>
                <c:pt idx="93">
                  <c:v>81278</c:v>
                </c:pt>
                <c:pt idx="94">
                  <c:v>0</c:v>
                </c:pt>
                <c:pt idx="95">
                  <c:v>0</c:v>
                </c:pt>
                <c:pt idx="96">
                  <c:v>77403</c:v>
                </c:pt>
                <c:pt idx="97">
                  <c:v>0</c:v>
                </c:pt>
                <c:pt idx="98">
                  <c:v>73018</c:v>
                </c:pt>
                <c:pt idx="99">
                  <c:v>0</c:v>
                </c:pt>
                <c:pt idx="100">
                  <c:v>0</c:v>
                </c:pt>
                <c:pt idx="101">
                  <c:v>60594</c:v>
                </c:pt>
                <c:pt idx="102">
                  <c:v>0</c:v>
                </c:pt>
                <c:pt idx="103">
                  <c:v>0</c:v>
                </c:pt>
                <c:pt idx="104">
                  <c:v>56243</c:v>
                </c:pt>
                <c:pt idx="105">
                  <c:v>0</c:v>
                </c:pt>
                <c:pt idx="106">
                  <c:v>46094</c:v>
                </c:pt>
                <c:pt idx="107">
                  <c:v>0</c:v>
                </c:pt>
                <c:pt idx="108">
                  <c:v>0</c:v>
                </c:pt>
                <c:pt idx="109">
                  <c:v>46735</c:v>
                </c:pt>
                <c:pt idx="110">
                  <c:v>0</c:v>
                </c:pt>
                <c:pt idx="111">
                  <c:v>42704</c:v>
                </c:pt>
                <c:pt idx="112">
                  <c:v>0</c:v>
                </c:pt>
                <c:pt idx="113">
                  <c:v>0</c:v>
                </c:pt>
                <c:pt idx="114">
                  <c:v>41546</c:v>
                </c:pt>
                <c:pt idx="115">
                  <c:v>0</c:v>
                </c:pt>
                <c:pt idx="116">
                  <c:v>40539</c:v>
                </c:pt>
                <c:pt idx="117">
                  <c:v>0</c:v>
                </c:pt>
                <c:pt idx="118">
                  <c:v>0</c:v>
                </c:pt>
                <c:pt idx="119">
                  <c:v>39218</c:v>
                </c:pt>
                <c:pt idx="120">
                  <c:v>0</c:v>
                </c:pt>
                <c:pt idx="121">
                  <c:v>0</c:v>
                </c:pt>
                <c:pt idx="122">
                  <c:v>43028</c:v>
                </c:pt>
                <c:pt idx="123">
                  <c:v>0</c:v>
                </c:pt>
                <c:pt idx="124">
                  <c:v>45068</c:v>
                </c:pt>
                <c:pt idx="125">
                  <c:v>0</c:v>
                </c:pt>
                <c:pt idx="126">
                  <c:v>0</c:v>
                </c:pt>
                <c:pt idx="127">
                  <c:v>38116</c:v>
                </c:pt>
                <c:pt idx="128">
                  <c:v>0</c:v>
                </c:pt>
                <c:pt idx="129">
                  <c:v>27587</c:v>
                </c:pt>
                <c:pt idx="130">
                  <c:v>0</c:v>
                </c:pt>
                <c:pt idx="131">
                  <c:v>0</c:v>
                </c:pt>
                <c:pt idx="132">
                  <c:v>24157</c:v>
                </c:pt>
                <c:pt idx="133">
                  <c:v>0</c:v>
                </c:pt>
                <c:pt idx="134">
                  <c:v>18820</c:v>
                </c:pt>
                <c:pt idx="135">
                  <c:v>0</c:v>
                </c:pt>
                <c:pt idx="136">
                  <c:v>0</c:v>
                </c:pt>
                <c:pt idx="137">
                  <c:v>17253</c:v>
                </c:pt>
                <c:pt idx="138">
                  <c:v>0</c:v>
                </c:pt>
                <c:pt idx="139">
                  <c:v>0</c:v>
                </c:pt>
                <c:pt idx="140">
                  <c:v>19748</c:v>
                </c:pt>
                <c:pt idx="141">
                  <c:v>0</c:v>
                </c:pt>
                <c:pt idx="142">
                  <c:v>21732</c:v>
                </c:pt>
                <c:pt idx="143">
                  <c:v>0</c:v>
                </c:pt>
                <c:pt idx="144">
                  <c:v>0</c:v>
                </c:pt>
                <c:pt idx="145">
                  <c:v>17798</c:v>
                </c:pt>
                <c:pt idx="146">
                  <c:v>0</c:v>
                </c:pt>
                <c:pt idx="147">
                  <c:v>12336</c:v>
                </c:pt>
                <c:pt idx="148">
                  <c:v>0</c:v>
                </c:pt>
                <c:pt idx="149">
                  <c:v>0</c:v>
                </c:pt>
                <c:pt idx="150">
                  <c:v>9506</c:v>
                </c:pt>
                <c:pt idx="151">
                  <c:v>0</c:v>
                </c:pt>
                <c:pt idx="152">
                  <c:v>9600</c:v>
                </c:pt>
                <c:pt idx="153">
                  <c:v>0</c:v>
                </c:pt>
                <c:pt idx="154">
                  <c:v>0</c:v>
                </c:pt>
                <c:pt idx="155">
                  <c:v>9809</c:v>
                </c:pt>
                <c:pt idx="156">
                  <c:v>0</c:v>
                </c:pt>
                <c:pt idx="157">
                  <c:v>0</c:v>
                </c:pt>
                <c:pt idx="158">
                  <c:v>10129</c:v>
                </c:pt>
                <c:pt idx="159">
                  <c:v>0</c:v>
                </c:pt>
                <c:pt idx="160">
                  <c:v>9700</c:v>
                </c:pt>
                <c:pt idx="161">
                  <c:v>0</c:v>
                </c:pt>
                <c:pt idx="162">
                  <c:v>0</c:v>
                </c:pt>
                <c:pt idx="163">
                  <c:v>7001</c:v>
                </c:pt>
                <c:pt idx="164">
                  <c:v>0</c:v>
                </c:pt>
                <c:pt idx="165">
                  <c:v>7311</c:v>
                </c:pt>
                <c:pt idx="166">
                  <c:v>0</c:v>
                </c:pt>
                <c:pt idx="167">
                  <c:v>0</c:v>
                </c:pt>
                <c:pt idx="168">
                  <c:v>6767</c:v>
                </c:pt>
                <c:pt idx="169">
                  <c:v>0</c:v>
                </c:pt>
                <c:pt idx="170">
                  <c:v>0</c:v>
                </c:pt>
                <c:pt idx="171">
                  <c:v>5066</c:v>
                </c:pt>
                <c:pt idx="172">
                  <c:v>0</c:v>
                </c:pt>
                <c:pt idx="173">
                  <c:v>3162</c:v>
                </c:pt>
                <c:pt idx="174">
                  <c:v>0</c:v>
                </c:pt>
                <c:pt idx="175">
                  <c:v>0</c:v>
                </c:pt>
                <c:pt idx="176">
                  <c:v>2487</c:v>
                </c:pt>
                <c:pt idx="177">
                  <c:v>0</c:v>
                </c:pt>
                <c:pt idx="178">
                  <c:v>1875</c:v>
                </c:pt>
                <c:pt idx="179">
                  <c:v>0</c:v>
                </c:pt>
                <c:pt idx="180">
                  <c:v>0</c:v>
                </c:pt>
                <c:pt idx="181">
                  <c:v>1336</c:v>
                </c:pt>
                <c:pt idx="182">
                  <c:v>0</c:v>
                </c:pt>
                <c:pt idx="183">
                  <c:v>301</c:v>
                </c:pt>
                <c:pt idx="184">
                  <c:v>0</c:v>
                </c:pt>
                <c:pt idx="185">
                  <c:v>0</c:v>
                </c:pt>
                <c:pt idx="186">
                  <c:v>161</c:v>
                </c:pt>
                <c:pt idx="187">
                  <c:v>0</c:v>
                </c:pt>
                <c:pt idx="188">
                  <c:v>0</c:v>
                </c:pt>
                <c:pt idx="189">
                  <c:v>162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0.21675239089016182</c:v>
                </c:pt>
                <c:pt idx="1">
                  <c:v>0.35358759547444812</c:v>
                </c:pt>
                <c:pt idx="2">
                  <c:v>0.42966001363539003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0.47594612229580641</c:v>
                </c:pt>
                <c:pt idx="1">
                  <c:v>0.2842213872909492</c:v>
                </c:pt>
                <c:pt idx="2">
                  <c:v>0.23983249041324439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9.2116325000000003</c:v>
                </c:pt>
                <c:pt idx="1">
                  <c:v>14.8819575</c:v>
                </c:pt>
                <c:pt idx="2">
                  <c:v>22.762050000000002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0.40504800000000002</c:v>
                </c:pt>
                <c:pt idx="2">
                  <c:v>0.81174199999999996</c:v>
                </c:pt>
                <c:pt idx="3">
                  <c:v>1.2185299999999999</c:v>
                </c:pt>
                <c:pt idx="4">
                  <c:v>1.62263</c:v>
                </c:pt>
                <c:pt idx="5">
                  <c:v>2.0345300000000002</c:v>
                </c:pt>
                <c:pt idx="6">
                  <c:v>2.4343699999999999</c:v>
                </c:pt>
                <c:pt idx="7">
                  <c:v>2.84422</c:v>
                </c:pt>
                <c:pt idx="8">
                  <c:v>3.24953</c:v>
                </c:pt>
                <c:pt idx="9">
                  <c:v>3.6562800000000002</c:v>
                </c:pt>
                <c:pt idx="10">
                  <c:v>4.0640400000000003</c:v>
                </c:pt>
                <c:pt idx="11">
                  <c:v>4.4690899999999996</c:v>
                </c:pt>
                <c:pt idx="12">
                  <c:v>4.8748699999999996</c:v>
                </c:pt>
                <c:pt idx="13">
                  <c:v>5.2838599999999998</c:v>
                </c:pt>
                <c:pt idx="14">
                  <c:v>5.6888800000000002</c:v>
                </c:pt>
                <c:pt idx="15">
                  <c:v>6.0955399999999997</c:v>
                </c:pt>
                <c:pt idx="16">
                  <c:v>6.5015000000000001</c:v>
                </c:pt>
                <c:pt idx="17">
                  <c:v>6.9093</c:v>
                </c:pt>
                <c:pt idx="18">
                  <c:v>7.3133600000000003</c:v>
                </c:pt>
                <c:pt idx="19">
                  <c:v>7.7193500000000004</c:v>
                </c:pt>
                <c:pt idx="20">
                  <c:v>8.1272000000000002</c:v>
                </c:pt>
                <c:pt idx="21">
                  <c:v>8.5309699999999999</c:v>
                </c:pt>
                <c:pt idx="22">
                  <c:v>8.9390099999999997</c:v>
                </c:pt>
                <c:pt idx="23">
                  <c:v>9.3493600000000008</c:v>
                </c:pt>
                <c:pt idx="24">
                  <c:v>9.7546800000000005</c:v>
                </c:pt>
                <c:pt idx="25">
                  <c:v>10.1556</c:v>
                </c:pt>
                <c:pt idx="26">
                  <c:v>10.5616</c:v>
                </c:pt>
                <c:pt idx="27">
                  <c:v>10.967599999999999</c:v>
                </c:pt>
                <c:pt idx="28">
                  <c:v>11.3733</c:v>
                </c:pt>
                <c:pt idx="29">
                  <c:v>11.783300000000001</c:v>
                </c:pt>
                <c:pt idx="30">
                  <c:v>12.1851</c:v>
                </c:pt>
                <c:pt idx="31">
                  <c:v>12.594099999999999</c:v>
                </c:pt>
                <c:pt idx="32">
                  <c:v>12.996700000000001</c:v>
                </c:pt>
                <c:pt idx="33">
                  <c:v>13.4109</c:v>
                </c:pt>
                <c:pt idx="34">
                  <c:v>13.813700000000001</c:v>
                </c:pt>
                <c:pt idx="35">
                  <c:v>14.2218</c:v>
                </c:pt>
                <c:pt idx="36">
                  <c:v>14.6236</c:v>
                </c:pt>
                <c:pt idx="37">
                  <c:v>15.032999999999999</c:v>
                </c:pt>
                <c:pt idx="38">
                  <c:v>15.4345</c:v>
                </c:pt>
                <c:pt idx="39">
                  <c:v>15.844900000000001</c:v>
                </c:pt>
                <c:pt idx="40">
                  <c:v>16.253299999999999</c:v>
                </c:pt>
                <c:pt idx="41">
                  <c:v>16.658300000000001</c:v>
                </c:pt>
                <c:pt idx="42">
                  <c:v>17.066199999999998</c:v>
                </c:pt>
                <c:pt idx="43">
                  <c:v>17.4663</c:v>
                </c:pt>
                <c:pt idx="44">
                  <c:v>17.872</c:v>
                </c:pt>
                <c:pt idx="45">
                  <c:v>18.282299999999999</c:v>
                </c:pt>
                <c:pt idx="46">
                  <c:v>18.6889</c:v>
                </c:pt>
                <c:pt idx="47">
                  <c:v>19.0977</c:v>
                </c:pt>
                <c:pt idx="48">
                  <c:v>19.502600000000001</c:v>
                </c:pt>
                <c:pt idx="49">
                  <c:v>19.9055</c:v>
                </c:pt>
                <c:pt idx="50">
                  <c:v>20.319500000000001</c:v>
                </c:pt>
                <c:pt idx="51">
                  <c:v>20.717500000000001</c:v>
                </c:pt>
                <c:pt idx="52">
                  <c:v>21.124600000000001</c:v>
                </c:pt>
                <c:pt idx="53">
                  <c:v>21.531300000000002</c:v>
                </c:pt>
                <c:pt idx="54">
                  <c:v>21.939900000000002</c:v>
                </c:pt>
                <c:pt idx="55">
                  <c:v>22.342199999999998</c:v>
                </c:pt>
                <c:pt idx="56">
                  <c:v>22.754000000000001</c:v>
                </c:pt>
                <c:pt idx="57">
                  <c:v>23.157</c:v>
                </c:pt>
                <c:pt idx="58">
                  <c:v>23.561</c:v>
                </c:pt>
                <c:pt idx="59">
                  <c:v>23.971800000000002</c:v>
                </c:pt>
                <c:pt idx="60">
                  <c:v>24.3766</c:v>
                </c:pt>
                <c:pt idx="61">
                  <c:v>24.8096</c:v>
                </c:pt>
                <c:pt idx="62">
                  <c:v>25.185600000000001</c:v>
                </c:pt>
                <c:pt idx="63">
                  <c:v>25.595700000000001</c:v>
                </c:pt>
                <c:pt idx="64">
                  <c:v>26.003299999999999</c:v>
                </c:pt>
                <c:pt idx="65">
                  <c:v>26.404599999999999</c:v>
                </c:pt>
                <c:pt idx="66">
                  <c:v>26.8142</c:v>
                </c:pt>
                <c:pt idx="67">
                  <c:v>27.225999999999999</c:v>
                </c:pt>
                <c:pt idx="68">
                  <c:v>27.6281</c:v>
                </c:pt>
                <c:pt idx="69">
                  <c:v>28.033300000000001</c:v>
                </c:pt>
                <c:pt idx="70">
                  <c:v>28.4391</c:v>
                </c:pt>
                <c:pt idx="71">
                  <c:v>28.846699999999998</c:v>
                </c:pt>
                <c:pt idx="72">
                  <c:v>29.248999999999999</c:v>
                </c:pt>
                <c:pt idx="73">
                  <c:v>29.6556</c:v>
                </c:pt>
                <c:pt idx="74">
                  <c:v>30.064399999999999</c:v>
                </c:pt>
                <c:pt idx="75">
                  <c:v>30.517199999999999</c:v>
                </c:pt>
                <c:pt idx="76">
                  <c:v>30.9222</c:v>
                </c:pt>
                <c:pt idx="77">
                  <c:v>31.327999999999999</c:v>
                </c:pt>
                <c:pt idx="78">
                  <c:v>31.735399999999998</c:v>
                </c:pt>
                <c:pt idx="79">
                  <c:v>32.139200000000002</c:v>
                </c:pt>
                <c:pt idx="80">
                  <c:v>32.547800000000002</c:v>
                </c:pt>
                <c:pt idx="81">
                  <c:v>32.954700000000003</c:v>
                </c:pt>
                <c:pt idx="82">
                  <c:v>33.3566</c:v>
                </c:pt>
                <c:pt idx="83">
                  <c:v>33.763399999999997</c:v>
                </c:pt>
                <c:pt idx="84">
                  <c:v>34.174399999999999</c:v>
                </c:pt>
                <c:pt idx="85">
                  <c:v>34.580300000000001</c:v>
                </c:pt>
                <c:pt idx="86">
                  <c:v>34.9863</c:v>
                </c:pt>
                <c:pt idx="87">
                  <c:v>35.390099999999997</c:v>
                </c:pt>
                <c:pt idx="88">
                  <c:v>35.801299999999998</c:v>
                </c:pt>
                <c:pt idx="89">
                  <c:v>36.204999999999998</c:v>
                </c:pt>
                <c:pt idx="90">
                  <c:v>36.605899999999998</c:v>
                </c:pt>
                <c:pt idx="91">
                  <c:v>37.015700000000002</c:v>
                </c:pt>
                <c:pt idx="92">
                  <c:v>37.424700000000001</c:v>
                </c:pt>
                <c:pt idx="93">
                  <c:v>37.8307</c:v>
                </c:pt>
                <c:pt idx="94">
                  <c:v>38.235500000000002</c:v>
                </c:pt>
                <c:pt idx="95">
                  <c:v>38.641399999999997</c:v>
                </c:pt>
                <c:pt idx="96">
                  <c:v>39.047499999999999</c:v>
                </c:pt>
                <c:pt idx="97">
                  <c:v>39.451300000000003</c:v>
                </c:pt>
                <c:pt idx="98">
                  <c:v>39.857399999999998</c:v>
                </c:pt>
                <c:pt idx="99">
                  <c:v>40.269300000000001</c:v>
                </c:pt>
                <c:pt idx="100">
                  <c:v>40.668100000000003</c:v>
                </c:pt>
                <c:pt idx="101">
                  <c:v>41.08</c:v>
                </c:pt>
                <c:pt idx="102">
                  <c:v>41.482900000000001</c:v>
                </c:pt>
                <c:pt idx="103">
                  <c:v>41.893700000000003</c:v>
                </c:pt>
                <c:pt idx="104">
                  <c:v>42.298999999999999</c:v>
                </c:pt>
                <c:pt idx="105">
                  <c:v>42.706600000000002</c:v>
                </c:pt>
                <c:pt idx="106">
                  <c:v>43.109499999999997</c:v>
                </c:pt>
                <c:pt idx="107">
                  <c:v>43.514299999999999</c:v>
                </c:pt>
                <c:pt idx="108">
                  <c:v>43.921300000000002</c:v>
                </c:pt>
                <c:pt idx="109">
                  <c:v>44.328299999999999</c:v>
                </c:pt>
                <c:pt idx="110">
                  <c:v>44.731099999999998</c:v>
                </c:pt>
                <c:pt idx="111">
                  <c:v>45.143000000000001</c:v>
                </c:pt>
                <c:pt idx="112">
                  <c:v>45.549399999999999</c:v>
                </c:pt>
                <c:pt idx="113">
                  <c:v>45.9499</c:v>
                </c:pt>
                <c:pt idx="114">
                  <c:v>46.356900000000003</c:v>
                </c:pt>
                <c:pt idx="115">
                  <c:v>46.763800000000003</c:v>
                </c:pt>
                <c:pt idx="116">
                  <c:v>47.175600000000003</c:v>
                </c:pt>
                <c:pt idx="117">
                  <c:v>47.579599999999999</c:v>
                </c:pt>
                <c:pt idx="118">
                  <c:v>47.988799999999998</c:v>
                </c:pt>
                <c:pt idx="119">
                  <c:v>48.398600000000002</c:v>
                </c:pt>
                <c:pt idx="120">
                  <c:v>48.802199999999999</c:v>
                </c:pt>
                <c:pt idx="121">
                  <c:v>49.2072</c:v>
                </c:pt>
                <c:pt idx="122">
                  <c:v>49.618099999999998</c:v>
                </c:pt>
                <c:pt idx="123">
                  <c:v>50.014000000000003</c:v>
                </c:pt>
                <c:pt idx="124">
                  <c:v>50.418999999999997</c:v>
                </c:pt>
                <c:pt idx="125">
                  <c:v>50.8339</c:v>
                </c:pt>
                <c:pt idx="126">
                  <c:v>51.238</c:v>
                </c:pt>
                <c:pt idx="127">
                  <c:v>51.636699999999998</c:v>
                </c:pt>
                <c:pt idx="128">
                  <c:v>52.050600000000003</c:v>
                </c:pt>
                <c:pt idx="129">
                  <c:v>52.456499999999998</c:v>
                </c:pt>
                <c:pt idx="130">
                  <c:v>52.863399999999999</c:v>
                </c:pt>
                <c:pt idx="131">
                  <c:v>53.270499999999998</c:v>
                </c:pt>
                <c:pt idx="132">
                  <c:v>53.673299999999998</c:v>
                </c:pt>
                <c:pt idx="133">
                  <c:v>54.084299999999999</c:v>
                </c:pt>
                <c:pt idx="134">
                  <c:v>54.487099999999998</c:v>
                </c:pt>
                <c:pt idx="135">
                  <c:v>54.892099999999999</c:v>
                </c:pt>
                <c:pt idx="136">
                  <c:v>55.301499999999997</c:v>
                </c:pt>
                <c:pt idx="137">
                  <c:v>55.713900000000002</c:v>
                </c:pt>
                <c:pt idx="138">
                  <c:v>56.112699999999997</c:v>
                </c:pt>
                <c:pt idx="139">
                  <c:v>56.518900000000002</c:v>
                </c:pt>
                <c:pt idx="140">
                  <c:v>56.926699999999997</c:v>
                </c:pt>
                <c:pt idx="141">
                  <c:v>57.333399999999997</c:v>
                </c:pt>
                <c:pt idx="142">
                  <c:v>57.735399999999998</c:v>
                </c:pt>
                <c:pt idx="143">
                  <c:v>58.144300000000001</c:v>
                </c:pt>
                <c:pt idx="144">
                  <c:v>58.5505</c:v>
                </c:pt>
                <c:pt idx="145">
                  <c:v>58.957099999999997</c:v>
                </c:pt>
                <c:pt idx="146">
                  <c:v>59.366999999999997</c:v>
                </c:pt>
                <c:pt idx="147">
                  <c:v>59.773899999999998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1.7280200000000001</c:v>
                </c:pt>
                <c:pt idx="1">
                  <c:v>1.7859</c:v>
                </c:pt>
                <c:pt idx="2">
                  <c:v>1.84219</c:v>
                </c:pt>
                <c:pt idx="3">
                  <c:v>1.8961800000000002</c:v>
                </c:pt>
                <c:pt idx="4">
                  <c:v>1.95075</c:v>
                </c:pt>
                <c:pt idx="5">
                  <c:v>2.0044400000000002</c:v>
                </c:pt>
                <c:pt idx="6">
                  <c:v>2.0558100000000001</c:v>
                </c:pt>
                <c:pt idx="7">
                  <c:v>2.1054200000000001</c:v>
                </c:pt>
                <c:pt idx="8">
                  <c:v>2.1537899999999999</c:v>
                </c:pt>
                <c:pt idx="9">
                  <c:v>2.2024900000000001</c:v>
                </c:pt>
                <c:pt idx="10">
                  <c:v>2.2538399999999998</c:v>
                </c:pt>
                <c:pt idx="11">
                  <c:v>2.3058999999999998</c:v>
                </c:pt>
                <c:pt idx="12">
                  <c:v>2.35934</c:v>
                </c:pt>
                <c:pt idx="13">
                  <c:v>2.4113799999999999</c:v>
                </c:pt>
                <c:pt idx="14">
                  <c:v>2.4655199999999997</c:v>
                </c:pt>
                <c:pt idx="15">
                  <c:v>2.5219100000000001</c:v>
                </c:pt>
                <c:pt idx="16">
                  <c:v>2.5775700000000001</c:v>
                </c:pt>
                <c:pt idx="17">
                  <c:v>2.6334900000000001</c:v>
                </c:pt>
                <c:pt idx="18">
                  <c:v>2.6897700000000002</c:v>
                </c:pt>
                <c:pt idx="19">
                  <c:v>2.7442899999999999</c:v>
                </c:pt>
                <c:pt idx="20">
                  <c:v>2.7968500000000001</c:v>
                </c:pt>
                <c:pt idx="21">
                  <c:v>2.84823</c:v>
                </c:pt>
                <c:pt idx="22">
                  <c:v>2.8959800000000002</c:v>
                </c:pt>
                <c:pt idx="23">
                  <c:v>2.9419200000000001</c:v>
                </c:pt>
                <c:pt idx="24">
                  <c:v>2.9863200000000001</c:v>
                </c:pt>
                <c:pt idx="25">
                  <c:v>3.0301499999999999</c:v>
                </c:pt>
                <c:pt idx="26">
                  <c:v>3.0750499999999996</c:v>
                </c:pt>
                <c:pt idx="27">
                  <c:v>3.1181299999999998</c:v>
                </c:pt>
                <c:pt idx="28">
                  <c:v>3.16106</c:v>
                </c:pt>
                <c:pt idx="29">
                  <c:v>3.2033299999999998</c:v>
                </c:pt>
                <c:pt idx="30">
                  <c:v>3.2430199999999996</c:v>
                </c:pt>
                <c:pt idx="31">
                  <c:v>3.2822400000000003</c:v>
                </c:pt>
                <c:pt idx="32">
                  <c:v>3.3198400000000001</c:v>
                </c:pt>
                <c:pt idx="33">
                  <c:v>3.35744</c:v>
                </c:pt>
                <c:pt idx="34">
                  <c:v>3.3917000000000002</c:v>
                </c:pt>
                <c:pt idx="35">
                  <c:v>3.4217300000000002</c:v>
                </c:pt>
                <c:pt idx="36">
                  <c:v>3.4482900000000001</c:v>
                </c:pt>
                <c:pt idx="37">
                  <c:v>3.4712500000000004</c:v>
                </c:pt>
                <c:pt idx="38">
                  <c:v>3.49037</c:v>
                </c:pt>
                <c:pt idx="39">
                  <c:v>3.5089199999999998</c:v>
                </c:pt>
                <c:pt idx="40">
                  <c:v>3.5275499999999997</c:v>
                </c:pt>
                <c:pt idx="41">
                  <c:v>3.5432000000000001</c:v>
                </c:pt>
                <c:pt idx="42">
                  <c:v>3.5552600000000001</c:v>
                </c:pt>
                <c:pt idx="43">
                  <c:v>3.5624199999999999</c:v>
                </c:pt>
                <c:pt idx="44">
                  <c:v>3.5659600000000005</c:v>
                </c:pt>
                <c:pt idx="45">
                  <c:v>3.5664800000000003</c:v>
                </c:pt>
                <c:pt idx="46">
                  <c:v>3.5673300000000001</c:v>
                </c:pt>
                <c:pt idx="47">
                  <c:v>3.5682499999999999</c:v>
                </c:pt>
                <c:pt idx="48">
                  <c:v>3.5676000000000001</c:v>
                </c:pt>
                <c:pt idx="49">
                  <c:v>3.5657000000000001</c:v>
                </c:pt>
                <c:pt idx="50">
                  <c:v>3.5618100000000004</c:v>
                </c:pt>
                <c:pt idx="51">
                  <c:v>3.55585</c:v>
                </c:pt>
                <c:pt idx="52">
                  <c:v>3.5493299999999999</c:v>
                </c:pt>
                <c:pt idx="53">
                  <c:v>3.5417500000000004</c:v>
                </c:pt>
                <c:pt idx="54">
                  <c:v>3.5325499999999996</c:v>
                </c:pt>
                <c:pt idx="55">
                  <c:v>3.5256500000000002</c:v>
                </c:pt>
                <c:pt idx="56">
                  <c:v>3.5121899999999999</c:v>
                </c:pt>
                <c:pt idx="57">
                  <c:v>3.5024899999999999</c:v>
                </c:pt>
                <c:pt idx="58">
                  <c:v>3.4877799999999999</c:v>
                </c:pt>
                <c:pt idx="59">
                  <c:v>3.4681299999999999</c:v>
                </c:pt>
                <c:pt idx="60">
                  <c:v>3.4506900000000003</c:v>
                </c:pt>
                <c:pt idx="61">
                  <c:v>3.4326699999999999</c:v>
                </c:pt>
                <c:pt idx="62">
                  <c:v>3.4187799999999999</c:v>
                </c:pt>
                <c:pt idx="63">
                  <c:v>3.3933299999999997</c:v>
                </c:pt>
                <c:pt idx="64">
                  <c:v>3.3702900000000002</c:v>
                </c:pt>
                <c:pt idx="65">
                  <c:v>3.34361</c:v>
                </c:pt>
                <c:pt idx="66">
                  <c:v>3.3235100000000002</c:v>
                </c:pt>
                <c:pt idx="67">
                  <c:v>3.29874</c:v>
                </c:pt>
                <c:pt idx="68">
                  <c:v>3.2837399999999999</c:v>
                </c:pt>
                <c:pt idx="69">
                  <c:v>3.27162</c:v>
                </c:pt>
                <c:pt idx="70">
                  <c:v>3.2606200000000003</c:v>
                </c:pt>
                <c:pt idx="71">
                  <c:v>3.24864</c:v>
                </c:pt>
                <c:pt idx="72">
                  <c:v>3.2393699999999996</c:v>
                </c:pt>
                <c:pt idx="73">
                  <c:v>3.22818</c:v>
                </c:pt>
                <c:pt idx="74">
                  <c:v>3.2144400000000002</c:v>
                </c:pt>
                <c:pt idx="75">
                  <c:v>3.2019599999999997</c:v>
                </c:pt>
                <c:pt idx="76">
                  <c:v>3.1892199999999997</c:v>
                </c:pt>
                <c:pt idx="77">
                  <c:v>3.1761900000000001</c:v>
                </c:pt>
                <c:pt idx="78">
                  <c:v>3.1608100000000001</c:v>
                </c:pt>
                <c:pt idx="79">
                  <c:v>3.1414199999999997</c:v>
                </c:pt>
                <c:pt idx="80">
                  <c:v>3.1185800000000001</c:v>
                </c:pt>
                <c:pt idx="81">
                  <c:v>3.09246</c:v>
                </c:pt>
                <c:pt idx="82">
                  <c:v>3.0649700000000002</c:v>
                </c:pt>
                <c:pt idx="83">
                  <c:v>3.0374800000000004</c:v>
                </c:pt>
                <c:pt idx="84">
                  <c:v>3.0132700000000003</c:v>
                </c:pt>
                <c:pt idx="85">
                  <c:v>2.9895100000000001</c:v>
                </c:pt>
                <c:pt idx="86">
                  <c:v>2.9670899999999998</c:v>
                </c:pt>
                <c:pt idx="87">
                  <c:v>2.9477500000000001</c:v>
                </c:pt>
                <c:pt idx="88">
                  <c:v>2.9295399999999998</c:v>
                </c:pt>
                <c:pt idx="89">
                  <c:v>2.9110900000000002</c:v>
                </c:pt>
                <c:pt idx="90">
                  <c:v>2.8922099999999999</c:v>
                </c:pt>
                <c:pt idx="91">
                  <c:v>2.8692699999999998</c:v>
                </c:pt>
                <c:pt idx="92">
                  <c:v>2.8452000000000002</c:v>
                </c:pt>
                <c:pt idx="93">
                  <c:v>2.8238600000000003</c:v>
                </c:pt>
                <c:pt idx="94">
                  <c:v>2.8060700000000001</c:v>
                </c:pt>
                <c:pt idx="95">
                  <c:v>2.7939399999999996</c:v>
                </c:pt>
                <c:pt idx="96">
                  <c:v>2.78362</c:v>
                </c:pt>
                <c:pt idx="97">
                  <c:v>2.7754799999999999</c:v>
                </c:pt>
                <c:pt idx="98">
                  <c:v>2.7688600000000001</c:v>
                </c:pt>
                <c:pt idx="99">
                  <c:v>2.7642899999999999</c:v>
                </c:pt>
                <c:pt idx="100">
                  <c:v>2.7619199999999999</c:v>
                </c:pt>
                <c:pt idx="101">
                  <c:v>2.7621200000000004</c:v>
                </c:pt>
                <c:pt idx="102">
                  <c:v>2.7647599999999999</c:v>
                </c:pt>
                <c:pt idx="103">
                  <c:v>2.7705299999999999</c:v>
                </c:pt>
                <c:pt idx="104">
                  <c:v>2.7799100000000001</c:v>
                </c:pt>
                <c:pt idx="105">
                  <c:v>2.7940399999999999</c:v>
                </c:pt>
                <c:pt idx="106">
                  <c:v>2.8127600000000004</c:v>
                </c:pt>
                <c:pt idx="107">
                  <c:v>2.8335300000000001</c:v>
                </c:pt>
                <c:pt idx="108">
                  <c:v>2.8563100000000001</c:v>
                </c:pt>
                <c:pt idx="109">
                  <c:v>2.8811599999999999</c:v>
                </c:pt>
                <c:pt idx="110">
                  <c:v>2.9069099999999999</c:v>
                </c:pt>
                <c:pt idx="111">
                  <c:v>2.9335200000000001</c:v>
                </c:pt>
                <c:pt idx="112">
                  <c:v>2.9609100000000002</c:v>
                </c:pt>
                <c:pt idx="113">
                  <c:v>2.9894400000000001</c:v>
                </c:pt>
                <c:pt idx="114">
                  <c:v>3.0195300000000005</c:v>
                </c:pt>
                <c:pt idx="115">
                  <c:v>3.05091</c:v>
                </c:pt>
                <c:pt idx="116">
                  <c:v>3.0812600000000003</c:v>
                </c:pt>
                <c:pt idx="117">
                  <c:v>3.10765</c:v>
                </c:pt>
                <c:pt idx="118">
                  <c:v>3.1267699999999996</c:v>
                </c:pt>
                <c:pt idx="119">
                  <c:v>3.1410900000000002</c:v>
                </c:pt>
                <c:pt idx="120">
                  <c:v>3.1525099999999999</c:v>
                </c:pt>
                <c:pt idx="121">
                  <c:v>3.1593300000000002</c:v>
                </c:pt>
                <c:pt idx="122">
                  <c:v>3.1638300000000004</c:v>
                </c:pt>
                <c:pt idx="123">
                  <c:v>3.1666499999999997</c:v>
                </c:pt>
                <c:pt idx="124">
                  <c:v>3.17699</c:v>
                </c:pt>
                <c:pt idx="125">
                  <c:v>3.1872299999999996</c:v>
                </c:pt>
                <c:pt idx="126">
                  <c:v>3.1958500000000001</c:v>
                </c:pt>
                <c:pt idx="127">
                  <c:v>3.2031000000000001</c:v>
                </c:pt>
                <c:pt idx="128">
                  <c:v>3.2093300000000005</c:v>
                </c:pt>
                <c:pt idx="129">
                  <c:v>3.2153999999999998</c:v>
                </c:pt>
                <c:pt idx="130">
                  <c:v>3.2194600000000002</c:v>
                </c:pt>
                <c:pt idx="131">
                  <c:v>3.2211800000000004</c:v>
                </c:pt>
                <c:pt idx="132">
                  <c:v>3.2223099999999998</c:v>
                </c:pt>
                <c:pt idx="133">
                  <c:v>3.2216399999999998</c:v>
                </c:pt>
                <c:pt idx="134">
                  <c:v>3.2173400000000001</c:v>
                </c:pt>
                <c:pt idx="135">
                  <c:v>3.2117899999999997</c:v>
                </c:pt>
                <c:pt idx="136">
                  <c:v>3.2040500000000001</c:v>
                </c:pt>
                <c:pt idx="137">
                  <c:v>3.19306</c:v>
                </c:pt>
                <c:pt idx="138">
                  <c:v>3.1771700000000003</c:v>
                </c:pt>
                <c:pt idx="139">
                  <c:v>3.15665</c:v>
                </c:pt>
                <c:pt idx="140">
                  <c:v>3.1286900000000002</c:v>
                </c:pt>
                <c:pt idx="141">
                  <c:v>3.0956099999999998</c:v>
                </c:pt>
                <c:pt idx="142">
                  <c:v>3.0585100000000001</c:v>
                </c:pt>
                <c:pt idx="143">
                  <c:v>3.0301400000000003</c:v>
                </c:pt>
                <c:pt idx="144">
                  <c:v>3.0037099999999999</c:v>
                </c:pt>
                <c:pt idx="145">
                  <c:v>2.9694700000000003</c:v>
                </c:pt>
                <c:pt idx="146">
                  <c:v>2.9542600000000001</c:v>
                </c:pt>
                <c:pt idx="147">
                  <c:v>2.9389500000000002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0.40504800000000002</c:v>
                </c:pt>
                <c:pt idx="2">
                  <c:v>0.81174199999999996</c:v>
                </c:pt>
                <c:pt idx="3">
                  <c:v>1.2185299999999999</c:v>
                </c:pt>
                <c:pt idx="4">
                  <c:v>1.62263</c:v>
                </c:pt>
                <c:pt idx="5">
                  <c:v>2.0345300000000002</c:v>
                </c:pt>
                <c:pt idx="6">
                  <c:v>2.4343699999999999</c:v>
                </c:pt>
                <c:pt idx="7">
                  <c:v>2.84422</c:v>
                </c:pt>
                <c:pt idx="8">
                  <c:v>3.24953</c:v>
                </c:pt>
                <c:pt idx="9">
                  <c:v>3.6562800000000002</c:v>
                </c:pt>
                <c:pt idx="10">
                  <c:v>4.0640400000000003</c:v>
                </c:pt>
                <c:pt idx="11">
                  <c:v>4.4690899999999996</c:v>
                </c:pt>
                <c:pt idx="12">
                  <c:v>4.8748699999999996</c:v>
                </c:pt>
                <c:pt idx="13">
                  <c:v>5.2838599999999998</c:v>
                </c:pt>
                <c:pt idx="14">
                  <c:v>5.6888800000000002</c:v>
                </c:pt>
                <c:pt idx="15">
                  <c:v>6.0955399999999997</c:v>
                </c:pt>
                <c:pt idx="16">
                  <c:v>6.5015000000000001</c:v>
                </c:pt>
                <c:pt idx="17">
                  <c:v>6.9093</c:v>
                </c:pt>
                <c:pt idx="18">
                  <c:v>7.3133600000000003</c:v>
                </c:pt>
                <c:pt idx="19">
                  <c:v>7.7193500000000004</c:v>
                </c:pt>
                <c:pt idx="20">
                  <c:v>8.1272000000000002</c:v>
                </c:pt>
                <c:pt idx="21">
                  <c:v>8.5309699999999999</c:v>
                </c:pt>
                <c:pt idx="22">
                  <c:v>8.9390099999999997</c:v>
                </c:pt>
                <c:pt idx="23">
                  <c:v>9.3493600000000008</c:v>
                </c:pt>
                <c:pt idx="24">
                  <c:v>9.7546800000000005</c:v>
                </c:pt>
                <c:pt idx="25">
                  <c:v>10.1556</c:v>
                </c:pt>
                <c:pt idx="26">
                  <c:v>10.5616</c:v>
                </c:pt>
                <c:pt idx="27">
                  <c:v>10.967599999999999</c:v>
                </c:pt>
                <c:pt idx="28">
                  <c:v>11.3733</c:v>
                </c:pt>
                <c:pt idx="29">
                  <c:v>11.783300000000001</c:v>
                </c:pt>
                <c:pt idx="30">
                  <c:v>12.1851</c:v>
                </c:pt>
                <c:pt idx="31">
                  <c:v>12.594099999999999</c:v>
                </c:pt>
                <c:pt idx="32">
                  <c:v>12.996700000000001</c:v>
                </c:pt>
                <c:pt idx="33">
                  <c:v>13.4109</c:v>
                </c:pt>
                <c:pt idx="34">
                  <c:v>13.813700000000001</c:v>
                </c:pt>
                <c:pt idx="35">
                  <c:v>14.2218</c:v>
                </c:pt>
                <c:pt idx="36">
                  <c:v>14.6236</c:v>
                </c:pt>
                <c:pt idx="37">
                  <c:v>15.032999999999999</c:v>
                </c:pt>
                <c:pt idx="38">
                  <c:v>15.4345</c:v>
                </c:pt>
                <c:pt idx="39">
                  <c:v>15.844900000000001</c:v>
                </c:pt>
                <c:pt idx="40">
                  <c:v>16.253299999999999</c:v>
                </c:pt>
                <c:pt idx="41">
                  <c:v>16.658300000000001</c:v>
                </c:pt>
                <c:pt idx="42">
                  <c:v>17.066199999999998</c:v>
                </c:pt>
                <c:pt idx="43">
                  <c:v>17.4663</c:v>
                </c:pt>
                <c:pt idx="44">
                  <c:v>17.872</c:v>
                </c:pt>
                <c:pt idx="45">
                  <c:v>18.282299999999999</c:v>
                </c:pt>
                <c:pt idx="46">
                  <c:v>18.6889</c:v>
                </c:pt>
                <c:pt idx="47">
                  <c:v>19.0977</c:v>
                </c:pt>
                <c:pt idx="48">
                  <c:v>19.502600000000001</c:v>
                </c:pt>
                <c:pt idx="49">
                  <c:v>19.9055</c:v>
                </c:pt>
                <c:pt idx="50">
                  <c:v>20.319500000000001</c:v>
                </c:pt>
                <c:pt idx="51">
                  <c:v>20.717500000000001</c:v>
                </c:pt>
                <c:pt idx="52">
                  <c:v>21.124600000000001</c:v>
                </c:pt>
                <c:pt idx="53">
                  <c:v>21.531300000000002</c:v>
                </c:pt>
                <c:pt idx="54">
                  <c:v>21.939900000000002</c:v>
                </c:pt>
                <c:pt idx="55">
                  <c:v>22.342199999999998</c:v>
                </c:pt>
                <c:pt idx="56">
                  <c:v>22.754000000000001</c:v>
                </c:pt>
                <c:pt idx="57">
                  <c:v>23.157</c:v>
                </c:pt>
                <c:pt idx="58">
                  <c:v>23.561</c:v>
                </c:pt>
                <c:pt idx="59">
                  <c:v>23.971800000000002</c:v>
                </c:pt>
                <c:pt idx="60">
                  <c:v>24.3766</c:v>
                </c:pt>
                <c:pt idx="61">
                  <c:v>24.8096</c:v>
                </c:pt>
                <c:pt idx="62">
                  <c:v>25.185600000000001</c:v>
                </c:pt>
                <c:pt idx="63">
                  <c:v>25.595700000000001</c:v>
                </c:pt>
                <c:pt idx="64">
                  <c:v>26.003299999999999</c:v>
                </c:pt>
                <c:pt idx="65">
                  <c:v>26.404599999999999</c:v>
                </c:pt>
                <c:pt idx="66">
                  <c:v>26.8142</c:v>
                </c:pt>
                <c:pt idx="67">
                  <c:v>27.225999999999999</c:v>
                </c:pt>
                <c:pt idx="68">
                  <c:v>27.6281</c:v>
                </c:pt>
                <c:pt idx="69">
                  <c:v>28.033300000000001</c:v>
                </c:pt>
                <c:pt idx="70">
                  <c:v>28.4391</c:v>
                </c:pt>
                <c:pt idx="71">
                  <c:v>28.846699999999998</c:v>
                </c:pt>
                <c:pt idx="72">
                  <c:v>29.248999999999999</c:v>
                </c:pt>
                <c:pt idx="73">
                  <c:v>29.6556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1.7280200000000001</c:v>
                </c:pt>
                <c:pt idx="1">
                  <c:v>1.7859</c:v>
                </c:pt>
                <c:pt idx="2">
                  <c:v>1.84219</c:v>
                </c:pt>
                <c:pt idx="3">
                  <c:v>1.8961800000000002</c:v>
                </c:pt>
                <c:pt idx="4">
                  <c:v>1.95075</c:v>
                </c:pt>
                <c:pt idx="5">
                  <c:v>2.0044400000000002</c:v>
                </c:pt>
                <c:pt idx="6">
                  <c:v>2.0558100000000001</c:v>
                </c:pt>
                <c:pt idx="7">
                  <c:v>2.1054200000000001</c:v>
                </c:pt>
                <c:pt idx="8">
                  <c:v>2.1537899999999999</c:v>
                </c:pt>
                <c:pt idx="9">
                  <c:v>2.2024900000000001</c:v>
                </c:pt>
                <c:pt idx="10">
                  <c:v>2.2538399999999998</c:v>
                </c:pt>
                <c:pt idx="11">
                  <c:v>2.3058999999999998</c:v>
                </c:pt>
                <c:pt idx="12">
                  <c:v>2.35934</c:v>
                </c:pt>
                <c:pt idx="13">
                  <c:v>2.4113799999999999</c:v>
                </c:pt>
                <c:pt idx="14">
                  <c:v>2.4655199999999997</c:v>
                </c:pt>
                <c:pt idx="15">
                  <c:v>2.5219100000000001</c:v>
                </c:pt>
                <c:pt idx="16">
                  <c:v>2.5775700000000001</c:v>
                </c:pt>
                <c:pt idx="17">
                  <c:v>2.6334900000000001</c:v>
                </c:pt>
                <c:pt idx="18">
                  <c:v>2.6897700000000002</c:v>
                </c:pt>
                <c:pt idx="19">
                  <c:v>2.7442899999999999</c:v>
                </c:pt>
                <c:pt idx="20">
                  <c:v>2.7968500000000001</c:v>
                </c:pt>
                <c:pt idx="21">
                  <c:v>2.84823</c:v>
                </c:pt>
                <c:pt idx="22">
                  <c:v>2.8959800000000002</c:v>
                </c:pt>
                <c:pt idx="23">
                  <c:v>2.9419200000000001</c:v>
                </c:pt>
                <c:pt idx="24">
                  <c:v>2.9863200000000001</c:v>
                </c:pt>
                <c:pt idx="25">
                  <c:v>3.0301499999999999</c:v>
                </c:pt>
                <c:pt idx="26">
                  <c:v>3.0750499999999996</c:v>
                </c:pt>
                <c:pt idx="27">
                  <c:v>3.1181299999999998</c:v>
                </c:pt>
                <c:pt idx="28">
                  <c:v>3.16106</c:v>
                </c:pt>
                <c:pt idx="29">
                  <c:v>3.2033299999999998</c:v>
                </c:pt>
                <c:pt idx="30">
                  <c:v>3.2430199999999996</c:v>
                </c:pt>
                <c:pt idx="31">
                  <c:v>3.2822400000000003</c:v>
                </c:pt>
                <c:pt idx="32">
                  <c:v>3.3198400000000001</c:v>
                </c:pt>
                <c:pt idx="33">
                  <c:v>3.35744</c:v>
                </c:pt>
                <c:pt idx="34">
                  <c:v>3.3917000000000002</c:v>
                </c:pt>
                <c:pt idx="35">
                  <c:v>3.4217300000000002</c:v>
                </c:pt>
                <c:pt idx="36">
                  <c:v>3.4482900000000001</c:v>
                </c:pt>
                <c:pt idx="37">
                  <c:v>3.4712500000000004</c:v>
                </c:pt>
                <c:pt idx="38">
                  <c:v>3.49037</c:v>
                </c:pt>
                <c:pt idx="39">
                  <c:v>3.5089199999999998</c:v>
                </c:pt>
                <c:pt idx="40">
                  <c:v>3.5275499999999997</c:v>
                </c:pt>
                <c:pt idx="41">
                  <c:v>3.5432000000000001</c:v>
                </c:pt>
                <c:pt idx="42">
                  <c:v>3.5552600000000001</c:v>
                </c:pt>
                <c:pt idx="43">
                  <c:v>3.5624199999999999</c:v>
                </c:pt>
                <c:pt idx="44">
                  <c:v>3.5659600000000005</c:v>
                </c:pt>
                <c:pt idx="45">
                  <c:v>3.5664800000000003</c:v>
                </c:pt>
                <c:pt idx="46">
                  <c:v>3.5673300000000001</c:v>
                </c:pt>
                <c:pt idx="47">
                  <c:v>3.5682499999999999</c:v>
                </c:pt>
                <c:pt idx="48">
                  <c:v>3.5676000000000001</c:v>
                </c:pt>
                <c:pt idx="49">
                  <c:v>3.5657000000000001</c:v>
                </c:pt>
                <c:pt idx="50">
                  <c:v>3.5618100000000004</c:v>
                </c:pt>
                <c:pt idx="51">
                  <c:v>3.55585</c:v>
                </c:pt>
                <c:pt idx="52">
                  <c:v>3.5493299999999999</c:v>
                </c:pt>
                <c:pt idx="53">
                  <c:v>3.5417500000000004</c:v>
                </c:pt>
                <c:pt idx="54">
                  <c:v>3.5325499999999996</c:v>
                </c:pt>
                <c:pt idx="55">
                  <c:v>3.5256500000000002</c:v>
                </c:pt>
                <c:pt idx="56">
                  <c:v>3.5121899999999999</c:v>
                </c:pt>
                <c:pt idx="57">
                  <c:v>3.5024899999999999</c:v>
                </c:pt>
                <c:pt idx="58">
                  <c:v>3.4877799999999999</c:v>
                </c:pt>
                <c:pt idx="59">
                  <c:v>3.4681299999999999</c:v>
                </c:pt>
                <c:pt idx="60">
                  <c:v>3.4506900000000003</c:v>
                </c:pt>
                <c:pt idx="61">
                  <c:v>3.4326699999999999</c:v>
                </c:pt>
                <c:pt idx="62">
                  <c:v>3.4187799999999999</c:v>
                </c:pt>
                <c:pt idx="63">
                  <c:v>3.3933299999999997</c:v>
                </c:pt>
                <c:pt idx="64">
                  <c:v>3.3702900000000002</c:v>
                </c:pt>
                <c:pt idx="65">
                  <c:v>3.34361</c:v>
                </c:pt>
                <c:pt idx="66">
                  <c:v>3.3235100000000002</c:v>
                </c:pt>
                <c:pt idx="67">
                  <c:v>3.29874</c:v>
                </c:pt>
                <c:pt idx="68">
                  <c:v>3.2837399999999999</c:v>
                </c:pt>
                <c:pt idx="69">
                  <c:v>3.27162</c:v>
                </c:pt>
                <c:pt idx="70">
                  <c:v>3.2606200000000003</c:v>
                </c:pt>
                <c:pt idx="71">
                  <c:v>3.24864</c:v>
                </c:pt>
                <c:pt idx="72">
                  <c:v>3.2393699999999996</c:v>
                </c:pt>
                <c:pt idx="73">
                  <c:v>3.22818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29.6556</c:v>
                </c:pt>
                <c:pt idx="1">
                  <c:v>30.064399999999999</c:v>
                </c:pt>
                <c:pt idx="2">
                  <c:v>30.517199999999999</c:v>
                </c:pt>
                <c:pt idx="3">
                  <c:v>30.9222</c:v>
                </c:pt>
                <c:pt idx="4">
                  <c:v>31.327999999999999</c:v>
                </c:pt>
                <c:pt idx="5">
                  <c:v>31.735399999999998</c:v>
                </c:pt>
                <c:pt idx="6">
                  <c:v>32.139200000000002</c:v>
                </c:pt>
                <c:pt idx="7">
                  <c:v>32.547800000000002</c:v>
                </c:pt>
                <c:pt idx="8">
                  <c:v>32.954700000000003</c:v>
                </c:pt>
                <c:pt idx="9">
                  <c:v>33.3566</c:v>
                </c:pt>
                <c:pt idx="10">
                  <c:v>33.763399999999997</c:v>
                </c:pt>
                <c:pt idx="11">
                  <c:v>34.174399999999999</c:v>
                </c:pt>
                <c:pt idx="12">
                  <c:v>34.580300000000001</c:v>
                </c:pt>
                <c:pt idx="13">
                  <c:v>34.9863</c:v>
                </c:pt>
                <c:pt idx="14">
                  <c:v>35.390099999999997</c:v>
                </c:pt>
                <c:pt idx="15">
                  <c:v>35.801299999999998</c:v>
                </c:pt>
                <c:pt idx="16">
                  <c:v>36.204999999999998</c:v>
                </c:pt>
                <c:pt idx="17">
                  <c:v>36.605899999999998</c:v>
                </c:pt>
                <c:pt idx="18">
                  <c:v>37.015700000000002</c:v>
                </c:pt>
                <c:pt idx="19">
                  <c:v>37.424700000000001</c:v>
                </c:pt>
                <c:pt idx="20">
                  <c:v>37.8307</c:v>
                </c:pt>
                <c:pt idx="21">
                  <c:v>38.235500000000002</c:v>
                </c:pt>
                <c:pt idx="22">
                  <c:v>38.641399999999997</c:v>
                </c:pt>
                <c:pt idx="23">
                  <c:v>39.047499999999999</c:v>
                </c:pt>
                <c:pt idx="24">
                  <c:v>39.451300000000003</c:v>
                </c:pt>
                <c:pt idx="25">
                  <c:v>39.857399999999998</c:v>
                </c:pt>
                <c:pt idx="26">
                  <c:v>40.269300000000001</c:v>
                </c:pt>
                <c:pt idx="27">
                  <c:v>40.668100000000003</c:v>
                </c:pt>
                <c:pt idx="28">
                  <c:v>41.08</c:v>
                </c:pt>
                <c:pt idx="29">
                  <c:v>41.482900000000001</c:v>
                </c:pt>
                <c:pt idx="30">
                  <c:v>41.893700000000003</c:v>
                </c:pt>
                <c:pt idx="31">
                  <c:v>42.298999999999999</c:v>
                </c:pt>
                <c:pt idx="32">
                  <c:v>42.706600000000002</c:v>
                </c:pt>
                <c:pt idx="33">
                  <c:v>43.109499999999997</c:v>
                </c:pt>
                <c:pt idx="34">
                  <c:v>43.514299999999999</c:v>
                </c:pt>
                <c:pt idx="35">
                  <c:v>43.921300000000002</c:v>
                </c:pt>
                <c:pt idx="36">
                  <c:v>44.328299999999999</c:v>
                </c:pt>
                <c:pt idx="37">
                  <c:v>44.731099999999998</c:v>
                </c:pt>
                <c:pt idx="38">
                  <c:v>45.143000000000001</c:v>
                </c:pt>
                <c:pt idx="39">
                  <c:v>45.549399999999999</c:v>
                </c:pt>
                <c:pt idx="40">
                  <c:v>45.9499</c:v>
                </c:pt>
                <c:pt idx="41">
                  <c:v>46.356900000000003</c:v>
                </c:pt>
                <c:pt idx="42">
                  <c:v>46.763800000000003</c:v>
                </c:pt>
                <c:pt idx="43">
                  <c:v>47.175600000000003</c:v>
                </c:pt>
                <c:pt idx="44">
                  <c:v>47.579599999999999</c:v>
                </c:pt>
                <c:pt idx="45">
                  <c:v>47.988799999999998</c:v>
                </c:pt>
                <c:pt idx="46">
                  <c:v>48.398600000000002</c:v>
                </c:pt>
                <c:pt idx="47">
                  <c:v>48.802199999999999</c:v>
                </c:pt>
                <c:pt idx="48">
                  <c:v>49.2072</c:v>
                </c:pt>
                <c:pt idx="49">
                  <c:v>49.618099999999998</c:v>
                </c:pt>
                <c:pt idx="50">
                  <c:v>50.014000000000003</c:v>
                </c:pt>
                <c:pt idx="51">
                  <c:v>50.418999999999997</c:v>
                </c:pt>
                <c:pt idx="52">
                  <c:v>50.8339</c:v>
                </c:pt>
                <c:pt idx="53">
                  <c:v>51.238</c:v>
                </c:pt>
                <c:pt idx="54">
                  <c:v>51.636699999999998</c:v>
                </c:pt>
                <c:pt idx="55">
                  <c:v>52.050600000000003</c:v>
                </c:pt>
                <c:pt idx="56">
                  <c:v>52.456499999999998</c:v>
                </c:pt>
                <c:pt idx="57">
                  <c:v>52.863399999999999</c:v>
                </c:pt>
                <c:pt idx="58">
                  <c:v>53.270499999999998</c:v>
                </c:pt>
                <c:pt idx="59">
                  <c:v>53.673299999999998</c:v>
                </c:pt>
                <c:pt idx="60">
                  <c:v>54.084299999999999</c:v>
                </c:pt>
                <c:pt idx="61">
                  <c:v>54.487099999999998</c:v>
                </c:pt>
                <c:pt idx="62">
                  <c:v>54.892099999999999</c:v>
                </c:pt>
                <c:pt idx="63">
                  <c:v>55.301499999999997</c:v>
                </c:pt>
                <c:pt idx="64">
                  <c:v>55.713900000000002</c:v>
                </c:pt>
                <c:pt idx="65">
                  <c:v>56.112699999999997</c:v>
                </c:pt>
                <c:pt idx="66">
                  <c:v>56.518900000000002</c:v>
                </c:pt>
                <c:pt idx="67">
                  <c:v>56.926699999999997</c:v>
                </c:pt>
                <c:pt idx="68">
                  <c:v>57.333399999999997</c:v>
                </c:pt>
                <c:pt idx="69">
                  <c:v>57.735399999999998</c:v>
                </c:pt>
                <c:pt idx="70">
                  <c:v>58.144300000000001</c:v>
                </c:pt>
                <c:pt idx="71">
                  <c:v>58.5505</c:v>
                </c:pt>
                <c:pt idx="72">
                  <c:v>58.957099999999997</c:v>
                </c:pt>
                <c:pt idx="73">
                  <c:v>59.366999999999997</c:v>
                </c:pt>
                <c:pt idx="74">
                  <c:v>59.773899999999998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3.22818</c:v>
                </c:pt>
                <c:pt idx="1">
                  <c:v>3.2144400000000002</c:v>
                </c:pt>
                <c:pt idx="2">
                  <c:v>3.2019599999999997</c:v>
                </c:pt>
                <c:pt idx="3">
                  <c:v>3.1892199999999997</c:v>
                </c:pt>
                <c:pt idx="4">
                  <c:v>3.1761900000000001</c:v>
                </c:pt>
                <c:pt idx="5">
                  <c:v>3.1608100000000001</c:v>
                </c:pt>
                <c:pt idx="6">
                  <c:v>3.1414199999999997</c:v>
                </c:pt>
                <c:pt idx="7">
                  <c:v>3.1185800000000001</c:v>
                </c:pt>
                <c:pt idx="8">
                  <c:v>3.09246</c:v>
                </c:pt>
                <c:pt idx="9">
                  <c:v>3.0649700000000002</c:v>
                </c:pt>
                <c:pt idx="10">
                  <c:v>3.0374800000000004</c:v>
                </c:pt>
                <c:pt idx="11">
                  <c:v>3.0132700000000003</c:v>
                </c:pt>
                <c:pt idx="12">
                  <c:v>2.9895100000000001</c:v>
                </c:pt>
                <c:pt idx="13">
                  <c:v>2.9670899999999998</c:v>
                </c:pt>
                <c:pt idx="14">
                  <c:v>2.9477500000000001</c:v>
                </c:pt>
                <c:pt idx="15">
                  <c:v>2.9295399999999998</c:v>
                </c:pt>
                <c:pt idx="16">
                  <c:v>2.9110900000000002</c:v>
                </c:pt>
                <c:pt idx="17">
                  <c:v>2.8922099999999999</c:v>
                </c:pt>
                <c:pt idx="18">
                  <c:v>2.8692699999999998</c:v>
                </c:pt>
                <c:pt idx="19">
                  <c:v>2.8452000000000002</c:v>
                </c:pt>
                <c:pt idx="20">
                  <c:v>2.8238600000000003</c:v>
                </c:pt>
                <c:pt idx="21">
                  <c:v>2.8060700000000001</c:v>
                </c:pt>
                <c:pt idx="22">
                  <c:v>2.7939399999999996</c:v>
                </c:pt>
                <c:pt idx="23">
                  <c:v>2.78362</c:v>
                </c:pt>
                <c:pt idx="24">
                  <c:v>2.7754799999999999</c:v>
                </c:pt>
                <c:pt idx="25">
                  <c:v>2.7688600000000001</c:v>
                </c:pt>
                <c:pt idx="26">
                  <c:v>2.7642899999999999</c:v>
                </c:pt>
                <c:pt idx="27">
                  <c:v>2.7619199999999999</c:v>
                </c:pt>
                <c:pt idx="28">
                  <c:v>2.7621200000000004</c:v>
                </c:pt>
                <c:pt idx="29">
                  <c:v>2.7647599999999999</c:v>
                </c:pt>
                <c:pt idx="30">
                  <c:v>2.7705299999999999</c:v>
                </c:pt>
                <c:pt idx="31">
                  <c:v>2.7799100000000001</c:v>
                </c:pt>
                <c:pt idx="32">
                  <c:v>2.7940399999999999</c:v>
                </c:pt>
                <c:pt idx="33">
                  <c:v>2.8127600000000004</c:v>
                </c:pt>
                <c:pt idx="34">
                  <c:v>2.8335300000000001</c:v>
                </c:pt>
                <c:pt idx="35">
                  <c:v>2.8563100000000001</c:v>
                </c:pt>
                <c:pt idx="36">
                  <c:v>2.8811599999999999</c:v>
                </c:pt>
                <c:pt idx="37">
                  <c:v>2.9069099999999999</c:v>
                </c:pt>
                <c:pt idx="38">
                  <c:v>2.9335200000000001</c:v>
                </c:pt>
                <c:pt idx="39">
                  <c:v>2.9609100000000002</c:v>
                </c:pt>
                <c:pt idx="40">
                  <c:v>2.9894400000000001</c:v>
                </c:pt>
                <c:pt idx="41">
                  <c:v>3.0195300000000005</c:v>
                </c:pt>
                <c:pt idx="42">
                  <c:v>3.05091</c:v>
                </c:pt>
                <c:pt idx="43">
                  <c:v>3.0812600000000003</c:v>
                </c:pt>
                <c:pt idx="44">
                  <c:v>3.10765</c:v>
                </c:pt>
                <c:pt idx="45">
                  <c:v>3.1267699999999996</c:v>
                </c:pt>
                <c:pt idx="46">
                  <c:v>3.1410900000000002</c:v>
                </c:pt>
                <c:pt idx="47">
                  <c:v>3.1525099999999999</c:v>
                </c:pt>
                <c:pt idx="48">
                  <c:v>3.1593300000000002</c:v>
                </c:pt>
                <c:pt idx="49">
                  <c:v>3.1638300000000004</c:v>
                </c:pt>
                <c:pt idx="50">
                  <c:v>3.1666499999999997</c:v>
                </c:pt>
                <c:pt idx="51">
                  <c:v>3.17699</c:v>
                </c:pt>
                <c:pt idx="52">
                  <c:v>3.1872299999999996</c:v>
                </c:pt>
                <c:pt idx="53">
                  <c:v>3.1958500000000001</c:v>
                </c:pt>
                <c:pt idx="54">
                  <c:v>3.2031000000000001</c:v>
                </c:pt>
                <c:pt idx="55">
                  <c:v>3.2093300000000005</c:v>
                </c:pt>
                <c:pt idx="56">
                  <c:v>3.2153999999999998</c:v>
                </c:pt>
                <c:pt idx="57">
                  <c:v>3.2194600000000002</c:v>
                </c:pt>
                <c:pt idx="58">
                  <c:v>3.2211800000000004</c:v>
                </c:pt>
                <c:pt idx="59">
                  <c:v>3.2223099999999998</c:v>
                </c:pt>
                <c:pt idx="60">
                  <c:v>3.2216399999999998</c:v>
                </c:pt>
                <c:pt idx="61">
                  <c:v>3.2173400000000001</c:v>
                </c:pt>
                <c:pt idx="62">
                  <c:v>3.2117899999999997</c:v>
                </c:pt>
                <c:pt idx="63">
                  <c:v>3.2040500000000001</c:v>
                </c:pt>
                <c:pt idx="64">
                  <c:v>3.19306</c:v>
                </c:pt>
                <c:pt idx="65">
                  <c:v>3.1771700000000003</c:v>
                </c:pt>
                <c:pt idx="66">
                  <c:v>3.15665</c:v>
                </c:pt>
                <c:pt idx="67">
                  <c:v>3.1286900000000002</c:v>
                </c:pt>
                <c:pt idx="68">
                  <c:v>3.0956099999999998</c:v>
                </c:pt>
                <c:pt idx="69">
                  <c:v>3.0585100000000001</c:v>
                </c:pt>
                <c:pt idx="70">
                  <c:v>3.0301400000000003</c:v>
                </c:pt>
                <c:pt idx="71">
                  <c:v>3.0037099999999999</c:v>
                </c:pt>
                <c:pt idx="72">
                  <c:v>2.9694700000000003</c:v>
                </c:pt>
                <c:pt idx="73">
                  <c:v>2.9542600000000001</c:v>
                </c:pt>
                <c:pt idx="74">
                  <c:v>2.9389500000000002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1.7280200000000001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1.7280200000000001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1.7280200000000001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1.7280200000000001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1.7280200000000001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1.7280200000000001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1.7280200000000001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1.7280200000000001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1.7280200000000001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1.7280200000000001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1.7280200000000001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1.7280200000000001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1.7280200000000001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1.7280200000000001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1.7280200000000001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1.7280200000000001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1.7280200000000001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1.7280200000000001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1.7280200000000001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1.7280200000000001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1.7280200000000001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1.7280200000000001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14.943474999999999</c:v>
                </c:pt>
                <c:pt idx="1">
                  <c:v>44.830424999999998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3.0550120270270273</c:v>
                </c:pt>
                <c:pt idx="1">
                  <c:v>3.0225381081081077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0.40504800000000002</c:v>
                </c:pt>
                <c:pt idx="2">
                  <c:v>0.81174199999999996</c:v>
                </c:pt>
                <c:pt idx="3">
                  <c:v>1.2185299999999999</c:v>
                </c:pt>
                <c:pt idx="4">
                  <c:v>1.62263</c:v>
                </c:pt>
                <c:pt idx="5">
                  <c:v>2.0345300000000002</c:v>
                </c:pt>
                <c:pt idx="6">
                  <c:v>2.4343699999999999</c:v>
                </c:pt>
                <c:pt idx="7">
                  <c:v>2.84422</c:v>
                </c:pt>
                <c:pt idx="8">
                  <c:v>3.24953</c:v>
                </c:pt>
                <c:pt idx="9">
                  <c:v>3.6562800000000002</c:v>
                </c:pt>
                <c:pt idx="10">
                  <c:v>4.0640400000000003</c:v>
                </c:pt>
                <c:pt idx="11">
                  <c:v>4.4690899999999996</c:v>
                </c:pt>
                <c:pt idx="12">
                  <c:v>4.8748699999999996</c:v>
                </c:pt>
                <c:pt idx="13">
                  <c:v>5.2838599999999998</c:v>
                </c:pt>
                <c:pt idx="14">
                  <c:v>5.6888800000000002</c:v>
                </c:pt>
                <c:pt idx="15">
                  <c:v>6.0955399999999997</c:v>
                </c:pt>
                <c:pt idx="16">
                  <c:v>6.5015000000000001</c:v>
                </c:pt>
                <c:pt idx="17">
                  <c:v>6.9093</c:v>
                </c:pt>
                <c:pt idx="18">
                  <c:v>7.3133600000000003</c:v>
                </c:pt>
                <c:pt idx="19">
                  <c:v>7.7193500000000004</c:v>
                </c:pt>
                <c:pt idx="20">
                  <c:v>8.1272000000000002</c:v>
                </c:pt>
                <c:pt idx="21">
                  <c:v>8.5309699999999999</c:v>
                </c:pt>
                <c:pt idx="22">
                  <c:v>8.9390099999999997</c:v>
                </c:pt>
                <c:pt idx="23">
                  <c:v>9.3493600000000008</c:v>
                </c:pt>
                <c:pt idx="24">
                  <c:v>9.7546800000000005</c:v>
                </c:pt>
                <c:pt idx="25">
                  <c:v>10.1556</c:v>
                </c:pt>
                <c:pt idx="26">
                  <c:v>10.5616</c:v>
                </c:pt>
                <c:pt idx="27">
                  <c:v>10.967599999999999</c:v>
                </c:pt>
                <c:pt idx="28">
                  <c:v>11.3733</c:v>
                </c:pt>
                <c:pt idx="29">
                  <c:v>11.783300000000001</c:v>
                </c:pt>
                <c:pt idx="30">
                  <c:v>12.1851</c:v>
                </c:pt>
                <c:pt idx="31">
                  <c:v>12.594099999999999</c:v>
                </c:pt>
                <c:pt idx="32">
                  <c:v>12.996700000000001</c:v>
                </c:pt>
                <c:pt idx="33">
                  <c:v>13.4109</c:v>
                </c:pt>
                <c:pt idx="34">
                  <c:v>13.813700000000001</c:v>
                </c:pt>
                <c:pt idx="35">
                  <c:v>14.2218</c:v>
                </c:pt>
                <c:pt idx="36">
                  <c:v>14.6236</c:v>
                </c:pt>
                <c:pt idx="37">
                  <c:v>15.032999999999999</c:v>
                </c:pt>
                <c:pt idx="38">
                  <c:v>15.4345</c:v>
                </c:pt>
                <c:pt idx="39">
                  <c:v>15.844900000000001</c:v>
                </c:pt>
                <c:pt idx="40">
                  <c:v>16.253299999999999</c:v>
                </c:pt>
                <c:pt idx="41">
                  <c:v>16.658300000000001</c:v>
                </c:pt>
                <c:pt idx="42">
                  <c:v>17.066199999999998</c:v>
                </c:pt>
                <c:pt idx="43">
                  <c:v>17.4663</c:v>
                </c:pt>
                <c:pt idx="44">
                  <c:v>17.872</c:v>
                </c:pt>
                <c:pt idx="45">
                  <c:v>18.282299999999999</c:v>
                </c:pt>
                <c:pt idx="46">
                  <c:v>18.6889</c:v>
                </c:pt>
                <c:pt idx="47">
                  <c:v>19.0977</c:v>
                </c:pt>
                <c:pt idx="48">
                  <c:v>19.502600000000001</c:v>
                </c:pt>
                <c:pt idx="49">
                  <c:v>19.9055</c:v>
                </c:pt>
                <c:pt idx="50">
                  <c:v>20.319500000000001</c:v>
                </c:pt>
                <c:pt idx="51">
                  <c:v>20.717500000000001</c:v>
                </c:pt>
                <c:pt idx="52">
                  <c:v>21.124600000000001</c:v>
                </c:pt>
                <c:pt idx="53">
                  <c:v>21.531300000000002</c:v>
                </c:pt>
                <c:pt idx="54">
                  <c:v>21.939900000000002</c:v>
                </c:pt>
                <c:pt idx="55">
                  <c:v>22.342199999999998</c:v>
                </c:pt>
                <c:pt idx="56">
                  <c:v>22.754000000000001</c:v>
                </c:pt>
                <c:pt idx="57">
                  <c:v>23.157</c:v>
                </c:pt>
                <c:pt idx="58">
                  <c:v>23.561</c:v>
                </c:pt>
                <c:pt idx="59">
                  <c:v>23.971800000000002</c:v>
                </c:pt>
                <c:pt idx="60">
                  <c:v>24.3766</c:v>
                </c:pt>
                <c:pt idx="61">
                  <c:v>24.8096</c:v>
                </c:pt>
                <c:pt idx="62">
                  <c:v>25.185600000000001</c:v>
                </c:pt>
                <c:pt idx="63">
                  <c:v>25.595700000000001</c:v>
                </c:pt>
                <c:pt idx="64">
                  <c:v>26.003299999999999</c:v>
                </c:pt>
                <c:pt idx="65">
                  <c:v>26.404599999999999</c:v>
                </c:pt>
                <c:pt idx="66">
                  <c:v>26.8142</c:v>
                </c:pt>
                <c:pt idx="67">
                  <c:v>27.225999999999999</c:v>
                </c:pt>
                <c:pt idx="68">
                  <c:v>27.6281</c:v>
                </c:pt>
                <c:pt idx="69">
                  <c:v>28.033300000000001</c:v>
                </c:pt>
                <c:pt idx="70">
                  <c:v>28.4391</c:v>
                </c:pt>
                <c:pt idx="71">
                  <c:v>28.846699999999998</c:v>
                </c:pt>
                <c:pt idx="72">
                  <c:v>29.248999999999999</c:v>
                </c:pt>
                <c:pt idx="73">
                  <c:v>29.6556</c:v>
                </c:pt>
                <c:pt idx="74">
                  <c:v>30.064399999999999</c:v>
                </c:pt>
                <c:pt idx="75">
                  <c:v>30.517199999999999</c:v>
                </c:pt>
                <c:pt idx="76">
                  <c:v>30.9222</c:v>
                </c:pt>
                <c:pt idx="77">
                  <c:v>31.327999999999999</c:v>
                </c:pt>
                <c:pt idx="78">
                  <c:v>31.735399999999998</c:v>
                </c:pt>
                <c:pt idx="79">
                  <c:v>32.139200000000002</c:v>
                </c:pt>
                <c:pt idx="80">
                  <c:v>32.547800000000002</c:v>
                </c:pt>
                <c:pt idx="81">
                  <c:v>32.954700000000003</c:v>
                </c:pt>
                <c:pt idx="82">
                  <c:v>33.3566</c:v>
                </c:pt>
                <c:pt idx="83">
                  <c:v>33.763399999999997</c:v>
                </c:pt>
                <c:pt idx="84">
                  <c:v>34.174399999999999</c:v>
                </c:pt>
                <c:pt idx="85">
                  <c:v>34.580300000000001</c:v>
                </c:pt>
                <c:pt idx="86">
                  <c:v>34.9863</c:v>
                </c:pt>
                <c:pt idx="87">
                  <c:v>35.390099999999997</c:v>
                </c:pt>
                <c:pt idx="88">
                  <c:v>35.801299999999998</c:v>
                </c:pt>
                <c:pt idx="89">
                  <c:v>36.204999999999998</c:v>
                </c:pt>
                <c:pt idx="90">
                  <c:v>36.605899999999998</c:v>
                </c:pt>
                <c:pt idx="91">
                  <c:v>37.015700000000002</c:v>
                </c:pt>
                <c:pt idx="92">
                  <c:v>37.424700000000001</c:v>
                </c:pt>
                <c:pt idx="93">
                  <c:v>37.8307</c:v>
                </c:pt>
                <c:pt idx="94">
                  <c:v>38.235500000000002</c:v>
                </c:pt>
                <c:pt idx="95">
                  <c:v>38.641399999999997</c:v>
                </c:pt>
                <c:pt idx="96">
                  <c:v>39.047499999999999</c:v>
                </c:pt>
                <c:pt idx="97">
                  <c:v>39.451300000000003</c:v>
                </c:pt>
                <c:pt idx="98">
                  <c:v>39.857399999999998</c:v>
                </c:pt>
                <c:pt idx="99">
                  <c:v>40.269300000000001</c:v>
                </c:pt>
                <c:pt idx="100">
                  <c:v>40.668100000000003</c:v>
                </c:pt>
                <c:pt idx="101">
                  <c:v>41.08</c:v>
                </c:pt>
                <c:pt idx="102">
                  <c:v>41.482900000000001</c:v>
                </c:pt>
                <c:pt idx="103">
                  <c:v>41.893700000000003</c:v>
                </c:pt>
                <c:pt idx="104">
                  <c:v>42.298999999999999</c:v>
                </c:pt>
                <c:pt idx="105">
                  <c:v>42.706600000000002</c:v>
                </c:pt>
                <c:pt idx="106">
                  <c:v>43.109499999999997</c:v>
                </c:pt>
                <c:pt idx="107">
                  <c:v>43.514299999999999</c:v>
                </c:pt>
                <c:pt idx="108">
                  <c:v>43.921300000000002</c:v>
                </c:pt>
                <c:pt idx="109">
                  <c:v>44.328299999999999</c:v>
                </c:pt>
                <c:pt idx="110">
                  <c:v>44.731099999999998</c:v>
                </c:pt>
                <c:pt idx="111">
                  <c:v>45.143000000000001</c:v>
                </c:pt>
                <c:pt idx="112">
                  <c:v>45.549399999999999</c:v>
                </c:pt>
                <c:pt idx="113">
                  <c:v>45.9499</c:v>
                </c:pt>
                <c:pt idx="114">
                  <c:v>46.356900000000003</c:v>
                </c:pt>
                <c:pt idx="115">
                  <c:v>46.763800000000003</c:v>
                </c:pt>
                <c:pt idx="116">
                  <c:v>47.175600000000003</c:v>
                </c:pt>
                <c:pt idx="117">
                  <c:v>47.579599999999999</c:v>
                </c:pt>
                <c:pt idx="118">
                  <c:v>47.988799999999998</c:v>
                </c:pt>
                <c:pt idx="119">
                  <c:v>48.398600000000002</c:v>
                </c:pt>
                <c:pt idx="120">
                  <c:v>48.802199999999999</c:v>
                </c:pt>
                <c:pt idx="121">
                  <c:v>49.2072</c:v>
                </c:pt>
                <c:pt idx="122">
                  <c:v>49.618099999999998</c:v>
                </c:pt>
                <c:pt idx="123">
                  <c:v>50.014000000000003</c:v>
                </c:pt>
                <c:pt idx="124">
                  <c:v>50.418999999999997</c:v>
                </c:pt>
                <c:pt idx="125">
                  <c:v>50.8339</c:v>
                </c:pt>
                <c:pt idx="126">
                  <c:v>51.238</c:v>
                </c:pt>
                <c:pt idx="127">
                  <c:v>51.636699999999998</c:v>
                </c:pt>
                <c:pt idx="128">
                  <c:v>52.050600000000003</c:v>
                </c:pt>
                <c:pt idx="129">
                  <c:v>52.456499999999998</c:v>
                </c:pt>
                <c:pt idx="130">
                  <c:v>52.863399999999999</c:v>
                </c:pt>
                <c:pt idx="131">
                  <c:v>53.270499999999998</c:v>
                </c:pt>
                <c:pt idx="132">
                  <c:v>53.673299999999998</c:v>
                </c:pt>
                <c:pt idx="133">
                  <c:v>54.084299999999999</c:v>
                </c:pt>
                <c:pt idx="134">
                  <c:v>54.487099999999998</c:v>
                </c:pt>
                <c:pt idx="135">
                  <c:v>54.892099999999999</c:v>
                </c:pt>
                <c:pt idx="136">
                  <c:v>55.301499999999997</c:v>
                </c:pt>
                <c:pt idx="137">
                  <c:v>55.713900000000002</c:v>
                </c:pt>
                <c:pt idx="138">
                  <c:v>56.112699999999997</c:v>
                </c:pt>
                <c:pt idx="139">
                  <c:v>56.518900000000002</c:v>
                </c:pt>
                <c:pt idx="140">
                  <c:v>56.926699999999997</c:v>
                </c:pt>
                <c:pt idx="141">
                  <c:v>57.333399999999997</c:v>
                </c:pt>
                <c:pt idx="142">
                  <c:v>57.735399999999998</c:v>
                </c:pt>
                <c:pt idx="143">
                  <c:v>58.144300000000001</c:v>
                </c:pt>
                <c:pt idx="144">
                  <c:v>58.5505</c:v>
                </c:pt>
                <c:pt idx="145">
                  <c:v>58.957099999999997</c:v>
                </c:pt>
                <c:pt idx="146">
                  <c:v>59.366999999999997</c:v>
                </c:pt>
                <c:pt idx="147">
                  <c:v>59.773899999999998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59.575100000000006</c:v>
                </c:pt>
                <c:pt idx="1">
                  <c:v>58.682699999999997</c:v>
                </c:pt>
                <c:pt idx="2">
                  <c:v>57.6798</c:v>
                </c:pt>
                <c:pt idx="3">
                  <c:v>56.668700000000008</c:v>
                </c:pt>
                <c:pt idx="4">
                  <c:v>55.575300000000006</c:v>
                </c:pt>
                <c:pt idx="5">
                  <c:v>54.445900000000002</c:v>
                </c:pt>
                <c:pt idx="6">
                  <c:v>53.402999999999999</c:v>
                </c:pt>
                <c:pt idx="7">
                  <c:v>52.408799999999999</c:v>
                </c:pt>
                <c:pt idx="8">
                  <c:v>51.458000000000006</c:v>
                </c:pt>
                <c:pt idx="9">
                  <c:v>50.431599999999996</c:v>
                </c:pt>
                <c:pt idx="10">
                  <c:v>49.231000000000002</c:v>
                </c:pt>
                <c:pt idx="11">
                  <c:v>47.983899999999998</c:v>
                </c:pt>
                <c:pt idx="12">
                  <c:v>46.676899999999996</c:v>
                </c:pt>
                <c:pt idx="13">
                  <c:v>45.285599999999995</c:v>
                </c:pt>
                <c:pt idx="14">
                  <c:v>43.8658</c:v>
                </c:pt>
                <c:pt idx="15">
                  <c:v>42.491800000000005</c:v>
                </c:pt>
                <c:pt idx="16">
                  <c:v>41.1569</c:v>
                </c:pt>
                <c:pt idx="17">
                  <c:v>39.844099999999997</c:v>
                </c:pt>
                <c:pt idx="18">
                  <c:v>38.587500000000006</c:v>
                </c:pt>
                <c:pt idx="19">
                  <c:v>37.370599999999996</c:v>
                </c:pt>
                <c:pt idx="20">
                  <c:v>36.156599999999997</c:v>
                </c:pt>
                <c:pt idx="21">
                  <c:v>35.015800000000006</c:v>
                </c:pt>
                <c:pt idx="22">
                  <c:v>33.964800000000004</c:v>
                </c:pt>
                <c:pt idx="23">
                  <c:v>32.937100000000001</c:v>
                </c:pt>
                <c:pt idx="24">
                  <c:v>31.9575</c:v>
                </c:pt>
                <c:pt idx="25">
                  <c:v>31.0091</c:v>
                </c:pt>
                <c:pt idx="26">
                  <c:v>30.0427</c:v>
                </c:pt>
                <c:pt idx="27">
                  <c:v>29.2273</c:v>
                </c:pt>
                <c:pt idx="28">
                  <c:v>28.543299999999999</c:v>
                </c:pt>
                <c:pt idx="29">
                  <c:v>27.913300000000003</c:v>
                </c:pt>
                <c:pt idx="30">
                  <c:v>27.416200000000003</c:v>
                </c:pt>
                <c:pt idx="31">
                  <c:v>26.980599999999999</c:v>
                </c:pt>
                <c:pt idx="32">
                  <c:v>26.627800000000001</c:v>
                </c:pt>
                <c:pt idx="33">
                  <c:v>26.361600000000003</c:v>
                </c:pt>
                <c:pt idx="34">
                  <c:v>26.232699999999998</c:v>
                </c:pt>
                <c:pt idx="35">
                  <c:v>26.152199999999997</c:v>
                </c:pt>
                <c:pt idx="36">
                  <c:v>26.129599999999996</c:v>
                </c:pt>
                <c:pt idx="37">
                  <c:v>26.135100000000001</c:v>
                </c:pt>
                <c:pt idx="38">
                  <c:v>26.272200000000002</c:v>
                </c:pt>
                <c:pt idx="39">
                  <c:v>26.374700000000001</c:v>
                </c:pt>
                <c:pt idx="40">
                  <c:v>26.4422</c:v>
                </c:pt>
                <c:pt idx="41">
                  <c:v>26.574199999999998</c:v>
                </c:pt>
                <c:pt idx="42">
                  <c:v>26.776699999999998</c:v>
                </c:pt>
                <c:pt idx="43">
                  <c:v>27.066800000000001</c:v>
                </c:pt>
                <c:pt idx="44">
                  <c:v>27.443800000000003</c:v>
                </c:pt>
                <c:pt idx="45">
                  <c:v>27.9254</c:v>
                </c:pt>
                <c:pt idx="46">
                  <c:v>28.396999999999998</c:v>
                </c:pt>
                <c:pt idx="47">
                  <c:v>28.899399999999996</c:v>
                </c:pt>
                <c:pt idx="48">
                  <c:v>29.488999999999997</c:v>
                </c:pt>
                <c:pt idx="49">
                  <c:v>30.109599999999997</c:v>
                </c:pt>
                <c:pt idx="50">
                  <c:v>30.7562</c:v>
                </c:pt>
                <c:pt idx="51">
                  <c:v>31.448399999999999</c:v>
                </c:pt>
                <c:pt idx="52">
                  <c:v>32.104999999999997</c:v>
                </c:pt>
                <c:pt idx="53">
                  <c:v>32.706899999999997</c:v>
                </c:pt>
                <c:pt idx="54">
                  <c:v>33.308999999999997</c:v>
                </c:pt>
                <c:pt idx="55">
                  <c:v>33.815200000000004</c:v>
                </c:pt>
                <c:pt idx="56">
                  <c:v>34.450800000000001</c:v>
                </c:pt>
                <c:pt idx="57">
                  <c:v>34.941400000000002</c:v>
                </c:pt>
                <c:pt idx="58">
                  <c:v>35.463799999999999</c:v>
                </c:pt>
                <c:pt idx="59">
                  <c:v>35.9709</c:v>
                </c:pt>
                <c:pt idx="60">
                  <c:v>36.391199999999998</c:v>
                </c:pt>
                <c:pt idx="61">
                  <c:v>36.744399999999999</c:v>
                </c:pt>
                <c:pt idx="62">
                  <c:v>37.055199999999999</c:v>
                </c:pt>
                <c:pt idx="63">
                  <c:v>37.261200000000002</c:v>
                </c:pt>
                <c:pt idx="64">
                  <c:v>37.500499999999995</c:v>
                </c:pt>
                <c:pt idx="65">
                  <c:v>37.746200000000002</c:v>
                </c:pt>
                <c:pt idx="66">
                  <c:v>38.023699999999998</c:v>
                </c:pt>
                <c:pt idx="67">
                  <c:v>38.021599999999999</c:v>
                </c:pt>
                <c:pt idx="68">
                  <c:v>37.898299999999999</c:v>
                </c:pt>
                <c:pt idx="69">
                  <c:v>37.610700000000001</c:v>
                </c:pt>
                <c:pt idx="70">
                  <c:v>37.173499999999997</c:v>
                </c:pt>
                <c:pt idx="71">
                  <c:v>36.727199999999996</c:v>
                </c:pt>
                <c:pt idx="72">
                  <c:v>36.459599999999995</c:v>
                </c:pt>
                <c:pt idx="73">
                  <c:v>35.938400000000001</c:v>
                </c:pt>
                <c:pt idx="74">
                  <c:v>35.218600000000002</c:v>
                </c:pt>
                <c:pt idx="75">
                  <c:v>34.656100000000002</c:v>
                </c:pt>
                <c:pt idx="76">
                  <c:v>34.087000000000003</c:v>
                </c:pt>
                <c:pt idx="77">
                  <c:v>33.488399999999999</c:v>
                </c:pt>
                <c:pt idx="78">
                  <c:v>32.933</c:v>
                </c:pt>
                <c:pt idx="79">
                  <c:v>32.4084</c:v>
                </c:pt>
                <c:pt idx="80">
                  <c:v>31.915300000000002</c:v>
                </c:pt>
                <c:pt idx="81">
                  <c:v>31.484200000000001</c:v>
                </c:pt>
                <c:pt idx="82">
                  <c:v>31.093399999999999</c:v>
                </c:pt>
                <c:pt idx="83">
                  <c:v>30.757200000000001</c:v>
                </c:pt>
                <c:pt idx="84">
                  <c:v>30.394300000000001</c:v>
                </c:pt>
                <c:pt idx="85">
                  <c:v>30.095300000000002</c:v>
                </c:pt>
                <c:pt idx="86">
                  <c:v>29.9099</c:v>
                </c:pt>
                <c:pt idx="87">
                  <c:v>29.720299999999998</c:v>
                </c:pt>
                <c:pt idx="88">
                  <c:v>29.580200000000001</c:v>
                </c:pt>
                <c:pt idx="89">
                  <c:v>29.507699999999996</c:v>
                </c:pt>
                <c:pt idx="90">
                  <c:v>29.5518</c:v>
                </c:pt>
                <c:pt idx="91">
                  <c:v>29.723800000000001</c:v>
                </c:pt>
                <c:pt idx="92">
                  <c:v>30.003</c:v>
                </c:pt>
                <c:pt idx="93">
                  <c:v>30.441700000000001</c:v>
                </c:pt>
                <c:pt idx="94">
                  <c:v>30.943700000000003</c:v>
                </c:pt>
                <c:pt idx="95">
                  <c:v>31.477300000000003</c:v>
                </c:pt>
                <c:pt idx="96">
                  <c:v>32.102199999999996</c:v>
                </c:pt>
                <c:pt idx="97">
                  <c:v>32.741300000000003</c:v>
                </c:pt>
                <c:pt idx="98">
                  <c:v>33.477800000000002</c:v>
                </c:pt>
                <c:pt idx="99">
                  <c:v>34.2121</c:v>
                </c:pt>
                <c:pt idx="100">
                  <c:v>34.963100000000004</c:v>
                </c:pt>
                <c:pt idx="101">
                  <c:v>35.7684</c:v>
                </c:pt>
                <c:pt idx="102">
                  <c:v>36.5779</c:v>
                </c:pt>
                <c:pt idx="103">
                  <c:v>37.313600000000001</c:v>
                </c:pt>
                <c:pt idx="104">
                  <c:v>37.976900000000001</c:v>
                </c:pt>
                <c:pt idx="105">
                  <c:v>38.555599999999998</c:v>
                </c:pt>
                <c:pt idx="106">
                  <c:v>38.996399999999994</c:v>
                </c:pt>
                <c:pt idx="107">
                  <c:v>39.363999999999997</c:v>
                </c:pt>
                <c:pt idx="108">
                  <c:v>39.645899999999997</c:v>
                </c:pt>
                <c:pt idx="109">
                  <c:v>39.876899999999999</c:v>
                </c:pt>
                <c:pt idx="110">
                  <c:v>40.075600000000001</c:v>
                </c:pt>
                <c:pt idx="111">
                  <c:v>40.217399999999998</c:v>
                </c:pt>
                <c:pt idx="112">
                  <c:v>40.3508</c:v>
                </c:pt>
                <c:pt idx="113">
                  <c:v>40.454700000000003</c:v>
                </c:pt>
                <c:pt idx="114">
                  <c:v>40.573100000000004</c:v>
                </c:pt>
                <c:pt idx="115">
                  <c:v>40.686299999999996</c:v>
                </c:pt>
                <c:pt idx="116">
                  <c:v>40.869299999999996</c:v>
                </c:pt>
                <c:pt idx="117">
                  <c:v>41.125</c:v>
                </c:pt>
                <c:pt idx="118">
                  <c:v>41.428799999999995</c:v>
                </c:pt>
                <c:pt idx="119">
                  <c:v>41.7836</c:v>
                </c:pt>
                <c:pt idx="120">
                  <c:v>42.116399999999999</c:v>
                </c:pt>
                <c:pt idx="121">
                  <c:v>42.410399999999996</c:v>
                </c:pt>
                <c:pt idx="122">
                  <c:v>42.674399999999999</c:v>
                </c:pt>
                <c:pt idx="123">
                  <c:v>42.905700000000003</c:v>
                </c:pt>
                <c:pt idx="124">
                  <c:v>42.9587</c:v>
                </c:pt>
                <c:pt idx="125">
                  <c:v>42.9833</c:v>
                </c:pt>
                <c:pt idx="126">
                  <c:v>42.972799999999999</c:v>
                </c:pt>
                <c:pt idx="127">
                  <c:v>42.964599999999997</c:v>
                </c:pt>
                <c:pt idx="128">
                  <c:v>42.969900000000003</c:v>
                </c:pt>
                <c:pt idx="129">
                  <c:v>42.9831</c:v>
                </c:pt>
                <c:pt idx="130">
                  <c:v>42.978100000000005</c:v>
                </c:pt>
                <c:pt idx="131">
                  <c:v>43.0017</c:v>
                </c:pt>
                <c:pt idx="132">
                  <c:v>43.039400000000001</c:v>
                </c:pt>
                <c:pt idx="133">
                  <c:v>43.119199999999999</c:v>
                </c:pt>
                <c:pt idx="134">
                  <c:v>43.240099999999998</c:v>
                </c:pt>
                <c:pt idx="135">
                  <c:v>43.374600000000001</c:v>
                </c:pt>
                <c:pt idx="136">
                  <c:v>43.5501</c:v>
                </c:pt>
                <c:pt idx="137">
                  <c:v>43.819399999999995</c:v>
                </c:pt>
                <c:pt idx="138">
                  <c:v>44.168900000000001</c:v>
                </c:pt>
                <c:pt idx="139">
                  <c:v>44.632399999999997</c:v>
                </c:pt>
                <c:pt idx="140">
                  <c:v>45.248600000000003</c:v>
                </c:pt>
                <c:pt idx="141">
                  <c:v>45.915499999999994</c:v>
                </c:pt>
                <c:pt idx="142">
                  <c:v>46.601799999999997</c:v>
                </c:pt>
                <c:pt idx="143">
                  <c:v>47.223500000000001</c:v>
                </c:pt>
                <c:pt idx="144">
                  <c:v>47.643700000000003</c:v>
                </c:pt>
                <c:pt idx="145">
                  <c:v>48.112000000000002</c:v>
                </c:pt>
                <c:pt idx="146">
                  <c:v>48.394100000000002</c:v>
                </c:pt>
                <c:pt idx="147">
                  <c:v>48.855900000000005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0.40504800000000002</c:v>
                </c:pt>
                <c:pt idx="2">
                  <c:v>0.81174199999999996</c:v>
                </c:pt>
                <c:pt idx="3">
                  <c:v>1.2185299999999999</c:v>
                </c:pt>
                <c:pt idx="4">
                  <c:v>1.62263</c:v>
                </c:pt>
                <c:pt idx="5">
                  <c:v>2.0345300000000002</c:v>
                </c:pt>
                <c:pt idx="6">
                  <c:v>2.4343699999999999</c:v>
                </c:pt>
                <c:pt idx="7">
                  <c:v>2.84422</c:v>
                </c:pt>
                <c:pt idx="8">
                  <c:v>3.24953</c:v>
                </c:pt>
                <c:pt idx="9">
                  <c:v>3.6562800000000002</c:v>
                </c:pt>
                <c:pt idx="10">
                  <c:v>4.0640400000000003</c:v>
                </c:pt>
                <c:pt idx="11">
                  <c:v>4.4690899999999996</c:v>
                </c:pt>
                <c:pt idx="12">
                  <c:v>4.8748699999999996</c:v>
                </c:pt>
                <c:pt idx="13">
                  <c:v>5.2838599999999998</c:v>
                </c:pt>
                <c:pt idx="14">
                  <c:v>5.6888800000000002</c:v>
                </c:pt>
                <c:pt idx="15">
                  <c:v>6.0955399999999997</c:v>
                </c:pt>
                <c:pt idx="16">
                  <c:v>6.5015000000000001</c:v>
                </c:pt>
                <c:pt idx="17">
                  <c:v>6.9093</c:v>
                </c:pt>
                <c:pt idx="18">
                  <c:v>7.3133600000000003</c:v>
                </c:pt>
                <c:pt idx="19">
                  <c:v>7.7193500000000004</c:v>
                </c:pt>
                <c:pt idx="20">
                  <c:v>8.1272000000000002</c:v>
                </c:pt>
                <c:pt idx="21">
                  <c:v>8.5309699999999999</c:v>
                </c:pt>
                <c:pt idx="22">
                  <c:v>8.9390099999999997</c:v>
                </c:pt>
                <c:pt idx="23">
                  <c:v>9.3493600000000008</c:v>
                </c:pt>
                <c:pt idx="24">
                  <c:v>9.7546800000000005</c:v>
                </c:pt>
                <c:pt idx="25">
                  <c:v>10.1556</c:v>
                </c:pt>
                <c:pt idx="26">
                  <c:v>10.5616</c:v>
                </c:pt>
                <c:pt idx="27">
                  <c:v>10.967599999999999</c:v>
                </c:pt>
                <c:pt idx="28">
                  <c:v>11.3733</c:v>
                </c:pt>
                <c:pt idx="29">
                  <c:v>11.783300000000001</c:v>
                </c:pt>
                <c:pt idx="30">
                  <c:v>12.1851</c:v>
                </c:pt>
                <c:pt idx="31">
                  <c:v>12.594099999999999</c:v>
                </c:pt>
                <c:pt idx="32">
                  <c:v>12.996700000000001</c:v>
                </c:pt>
                <c:pt idx="33">
                  <c:v>13.4109</c:v>
                </c:pt>
                <c:pt idx="34">
                  <c:v>13.813700000000001</c:v>
                </c:pt>
                <c:pt idx="35">
                  <c:v>14.2218</c:v>
                </c:pt>
                <c:pt idx="36">
                  <c:v>14.6236</c:v>
                </c:pt>
                <c:pt idx="37">
                  <c:v>15.032999999999999</c:v>
                </c:pt>
                <c:pt idx="38">
                  <c:v>15.4345</c:v>
                </c:pt>
                <c:pt idx="39">
                  <c:v>15.844900000000001</c:v>
                </c:pt>
                <c:pt idx="40">
                  <c:v>16.253299999999999</c:v>
                </c:pt>
                <c:pt idx="41">
                  <c:v>16.658300000000001</c:v>
                </c:pt>
                <c:pt idx="42">
                  <c:v>17.066199999999998</c:v>
                </c:pt>
                <c:pt idx="43">
                  <c:v>17.4663</c:v>
                </c:pt>
                <c:pt idx="44">
                  <c:v>17.872</c:v>
                </c:pt>
                <c:pt idx="45">
                  <c:v>18.282299999999999</c:v>
                </c:pt>
                <c:pt idx="46">
                  <c:v>18.6889</c:v>
                </c:pt>
                <c:pt idx="47">
                  <c:v>19.0977</c:v>
                </c:pt>
                <c:pt idx="48">
                  <c:v>19.502600000000001</c:v>
                </c:pt>
                <c:pt idx="49">
                  <c:v>19.9055</c:v>
                </c:pt>
                <c:pt idx="50">
                  <c:v>20.319500000000001</c:v>
                </c:pt>
                <c:pt idx="51">
                  <c:v>20.717500000000001</c:v>
                </c:pt>
                <c:pt idx="52">
                  <c:v>21.124600000000001</c:v>
                </c:pt>
                <c:pt idx="53">
                  <c:v>21.531300000000002</c:v>
                </c:pt>
                <c:pt idx="54">
                  <c:v>21.939900000000002</c:v>
                </c:pt>
                <c:pt idx="55">
                  <c:v>22.342199999999998</c:v>
                </c:pt>
                <c:pt idx="56">
                  <c:v>22.754000000000001</c:v>
                </c:pt>
                <c:pt idx="57">
                  <c:v>23.157</c:v>
                </c:pt>
                <c:pt idx="58">
                  <c:v>23.561</c:v>
                </c:pt>
                <c:pt idx="59">
                  <c:v>23.971800000000002</c:v>
                </c:pt>
                <c:pt idx="60">
                  <c:v>24.3766</c:v>
                </c:pt>
                <c:pt idx="61">
                  <c:v>24.8096</c:v>
                </c:pt>
                <c:pt idx="62">
                  <c:v>25.185600000000001</c:v>
                </c:pt>
                <c:pt idx="63">
                  <c:v>25.595700000000001</c:v>
                </c:pt>
                <c:pt idx="64">
                  <c:v>26.003299999999999</c:v>
                </c:pt>
                <c:pt idx="65">
                  <c:v>26.404599999999999</c:v>
                </c:pt>
                <c:pt idx="66">
                  <c:v>26.8142</c:v>
                </c:pt>
                <c:pt idx="67">
                  <c:v>27.225999999999999</c:v>
                </c:pt>
                <c:pt idx="68">
                  <c:v>27.6281</c:v>
                </c:pt>
                <c:pt idx="69">
                  <c:v>28.033300000000001</c:v>
                </c:pt>
                <c:pt idx="70">
                  <c:v>28.4391</c:v>
                </c:pt>
                <c:pt idx="71">
                  <c:v>28.846699999999998</c:v>
                </c:pt>
                <c:pt idx="72">
                  <c:v>29.248999999999999</c:v>
                </c:pt>
                <c:pt idx="73">
                  <c:v>29.6556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59.575100000000006</c:v>
                </c:pt>
                <c:pt idx="1">
                  <c:v>58.682699999999997</c:v>
                </c:pt>
                <c:pt idx="2">
                  <c:v>57.6798</c:v>
                </c:pt>
                <c:pt idx="3">
                  <c:v>56.668700000000008</c:v>
                </c:pt>
                <c:pt idx="4">
                  <c:v>55.575300000000006</c:v>
                </c:pt>
                <c:pt idx="5">
                  <c:v>54.445900000000002</c:v>
                </c:pt>
                <c:pt idx="6">
                  <c:v>53.402999999999999</c:v>
                </c:pt>
                <c:pt idx="7">
                  <c:v>52.408799999999999</c:v>
                </c:pt>
                <c:pt idx="8">
                  <c:v>51.458000000000006</c:v>
                </c:pt>
                <c:pt idx="9">
                  <c:v>50.431599999999996</c:v>
                </c:pt>
                <c:pt idx="10">
                  <c:v>49.231000000000002</c:v>
                </c:pt>
                <c:pt idx="11">
                  <c:v>47.983899999999998</c:v>
                </c:pt>
                <c:pt idx="12">
                  <c:v>46.676899999999996</c:v>
                </c:pt>
                <c:pt idx="13">
                  <c:v>45.285599999999995</c:v>
                </c:pt>
                <c:pt idx="14">
                  <c:v>43.8658</c:v>
                </c:pt>
                <c:pt idx="15">
                  <c:v>42.491800000000005</c:v>
                </c:pt>
                <c:pt idx="16">
                  <c:v>41.1569</c:v>
                </c:pt>
                <c:pt idx="17">
                  <c:v>39.844099999999997</c:v>
                </c:pt>
                <c:pt idx="18">
                  <c:v>38.587500000000006</c:v>
                </c:pt>
                <c:pt idx="19">
                  <c:v>37.370599999999996</c:v>
                </c:pt>
                <c:pt idx="20">
                  <c:v>36.156599999999997</c:v>
                </c:pt>
                <c:pt idx="21">
                  <c:v>35.015800000000006</c:v>
                </c:pt>
                <c:pt idx="22">
                  <c:v>33.964800000000004</c:v>
                </c:pt>
                <c:pt idx="23">
                  <c:v>32.937100000000001</c:v>
                </c:pt>
                <c:pt idx="24">
                  <c:v>31.9575</c:v>
                </c:pt>
                <c:pt idx="25">
                  <c:v>31.0091</c:v>
                </c:pt>
                <c:pt idx="26">
                  <c:v>30.0427</c:v>
                </c:pt>
                <c:pt idx="27">
                  <c:v>29.2273</c:v>
                </c:pt>
                <c:pt idx="28">
                  <c:v>28.543299999999999</c:v>
                </c:pt>
                <c:pt idx="29">
                  <c:v>27.913300000000003</c:v>
                </c:pt>
                <c:pt idx="30">
                  <c:v>27.416200000000003</c:v>
                </c:pt>
                <c:pt idx="31">
                  <c:v>26.980599999999999</c:v>
                </c:pt>
                <c:pt idx="32">
                  <c:v>26.627800000000001</c:v>
                </c:pt>
                <c:pt idx="33">
                  <c:v>26.361600000000003</c:v>
                </c:pt>
                <c:pt idx="34">
                  <c:v>26.232699999999998</c:v>
                </c:pt>
                <c:pt idx="35">
                  <c:v>26.152199999999997</c:v>
                </c:pt>
                <c:pt idx="36">
                  <c:v>26.129599999999996</c:v>
                </c:pt>
                <c:pt idx="37">
                  <c:v>26.135100000000001</c:v>
                </c:pt>
                <c:pt idx="38">
                  <c:v>26.272200000000002</c:v>
                </c:pt>
                <c:pt idx="39">
                  <c:v>26.374700000000001</c:v>
                </c:pt>
                <c:pt idx="40">
                  <c:v>26.4422</c:v>
                </c:pt>
                <c:pt idx="41">
                  <c:v>26.574199999999998</c:v>
                </c:pt>
                <c:pt idx="42">
                  <c:v>26.776699999999998</c:v>
                </c:pt>
                <c:pt idx="43">
                  <c:v>27.066800000000001</c:v>
                </c:pt>
                <c:pt idx="44">
                  <c:v>27.443800000000003</c:v>
                </c:pt>
                <c:pt idx="45">
                  <c:v>27.9254</c:v>
                </c:pt>
                <c:pt idx="46">
                  <c:v>28.396999999999998</c:v>
                </c:pt>
                <c:pt idx="47">
                  <c:v>28.899399999999996</c:v>
                </c:pt>
                <c:pt idx="48">
                  <c:v>29.488999999999997</c:v>
                </c:pt>
                <c:pt idx="49">
                  <c:v>30.109599999999997</c:v>
                </c:pt>
                <c:pt idx="50">
                  <c:v>30.7562</c:v>
                </c:pt>
                <c:pt idx="51">
                  <c:v>31.448399999999999</c:v>
                </c:pt>
                <c:pt idx="52">
                  <c:v>32.104999999999997</c:v>
                </c:pt>
                <c:pt idx="53">
                  <c:v>32.706899999999997</c:v>
                </c:pt>
                <c:pt idx="54">
                  <c:v>33.308999999999997</c:v>
                </c:pt>
                <c:pt idx="55">
                  <c:v>33.815200000000004</c:v>
                </c:pt>
                <c:pt idx="56">
                  <c:v>34.450800000000001</c:v>
                </c:pt>
                <c:pt idx="57">
                  <c:v>34.941400000000002</c:v>
                </c:pt>
                <c:pt idx="58">
                  <c:v>35.463799999999999</c:v>
                </c:pt>
                <c:pt idx="59">
                  <c:v>35.9709</c:v>
                </c:pt>
                <c:pt idx="60">
                  <c:v>36.391199999999998</c:v>
                </c:pt>
                <c:pt idx="61">
                  <c:v>36.744399999999999</c:v>
                </c:pt>
                <c:pt idx="62">
                  <c:v>37.055199999999999</c:v>
                </c:pt>
                <c:pt idx="63">
                  <c:v>37.261200000000002</c:v>
                </c:pt>
                <c:pt idx="64">
                  <c:v>37.500499999999995</c:v>
                </c:pt>
                <c:pt idx="65">
                  <c:v>37.746200000000002</c:v>
                </c:pt>
                <c:pt idx="66">
                  <c:v>38.023699999999998</c:v>
                </c:pt>
                <c:pt idx="67">
                  <c:v>38.021599999999999</c:v>
                </c:pt>
                <c:pt idx="68">
                  <c:v>37.898299999999999</c:v>
                </c:pt>
                <c:pt idx="69">
                  <c:v>37.610700000000001</c:v>
                </c:pt>
                <c:pt idx="70">
                  <c:v>37.173499999999997</c:v>
                </c:pt>
                <c:pt idx="71">
                  <c:v>36.727199999999996</c:v>
                </c:pt>
                <c:pt idx="72">
                  <c:v>36.459599999999995</c:v>
                </c:pt>
                <c:pt idx="73">
                  <c:v>35.938400000000001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29.6556</c:v>
                </c:pt>
                <c:pt idx="1">
                  <c:v>30.064399999999999</c:v>
                </c:pt>
                <c:pt idx="2">
                  <c:v>30.517199999999999</c:v>
                </c:pt>
                <c:pt idx="3">
                  <c:v>30.9222</c:v>
                </c:pt>
                <c:pt idx="4">
                  <c:v>31.327999999999999</c:v>
                </c:pt>
                <c:pt idx="5">
                  <c:v>31.735399999999998</c:v>
                </c:pt>
                <c:pt idx="6">
                  <c:v>32.139200000000002</c:v>
                </c:pt>
                <c:pt idx="7">
                  <c:v>32.547800000000002</c:v>
                </c:pt>
                <c:pt idx="8">
                  <c:v>32.954700000000003</c:v>
                </c:pt>
                <c:pt idx="9">
                  <c:v>33.3566</c:v>
                </c:pt>
                <c:pt idx="10">
                  <c:v>33.763399999999997</c:v>
                </c:pt>
                <c:pt idx="11">
                  <c:v>34.174399999999999</c:v>
                </c:pt>
                <c:pt idx="12">
                  <c:v>34.580300000000001</c:v>
                </c:pt>
                <c:pt idx="13">
                  <c:v>34.9863</c:v>
                </c:pt>
                <c:pt idx="14">
                  <c:v>35.390099999999997</c:v>
                </c:pt>
                <c:pt idx="15">
                  <c:v>35.801299999999998</c:v>
                </c:pt>
                <c:pt idx="16">
                  <c:v>36.204999999999998</c:v>
                </c:pt>
                <c:pt idx="17">
                  <c:v>36.605899999999998</c:v>
                </c:pt>
                <c:pt idx="18">
                  <c:v>37.015700000000002</c:v>
                </c:pt>
                <c:pt idx="19">
                  <c:v>37.424700000000001</c:v>
                </c:pt>
                <c:pt idx="20">
                  <c:v>37.8307</c:v>
                </c:pt>
                <c:pt idx="21">
                  <c:v>38.235500000000002</c:v>
                </c:pt>
                <c:pt idx="22">
                  <c:v>38.641399999999997</c:v>
                </c:pt>
                <c:pt idx="23">
                  <c:v>39.047499999999999</c:v>
                </c:pt>
                <c:pt idx="24">
                  <c:v>39.451300000000003</c:v>
                </c:pt>
                <c:pt idx="25">
                  <c:v>39.857399999999998</c:v>
                </c:pt>
                <c:pt idx="26">
                  <c:v>40.269300000000001</c:v>
                </c:pt>
                <c:pt idx="27">
                  <c:v>40.668100000000003</c:v>
                </c:pt>
                <c:pt idx="28">
                  <c:v>41.08</c:v>
                </c:pt>
                <c:pt idx="29">
                  <c:v>41.482900000000001</c:v>
                </c:pt>
                <c:pt idx="30">
                  <c:v>41.893700000000003</c:v>
                </c:pt>
                <c:pt idx="31">
                  <c:v>42.298999999999999</c:v>
                </c:pt>
                <c:pt idx="32">
                  <c:v>42.706600000000002</c:v>
                </c:pt>
                <c:pt idx="33">
                  <c:v>43.109499999999997</c:v>
                </c:pt>
                <c:pt idx="34">
                  <c:v>43.514299999999999</c:v>
                </c:pt>
                <c:pt idx="35">
                  <c:v>43.921300000000002</c:v>
                </c:pt>
                <c:pt idx="36">
                  <c:v>44.328299999999999</c:v>
                </c:pt>
                <c:pt idx="37">
                  <c:v>44.731099999999998</c:v>
                </c:pt>
                <c:pt idx="38">
                  <c:v>45.143000000000001</c:v>
                </c:pt>
                <c:pt idx="39">
                  <c:v>45.549399999999999</c:v>
                </c:pt>
                <c:pt idx="40">
                  <c:v>45.9499</c:v>
                </c:pt>
                <c:pt idx="41">
                  <c:v>46.356900000000003</c:v>
                </c:pt>
                <c:pt idx="42">
                  <c:v>46.763800000000003</c:v>
                </c:pt>
                <c:pt idx="43">
                  <c:v>47.175600000000003</c:v>
                </c:pt>
                <c:pt idx="44">
                  <c:v>47.579599999999999</c:v>
                </c:pt>
                <c:pt idx="45">
                  <c:v>47.988799999999998</c:v>
                </c:pt>
                <c:pt idx="46">
                  <c:v>48.398600000000002</c:v>
                </c:pt>
                <c:pt idx="47">
                  <c:v>48.802199999999999</c:v>
                </c:pt>
                <c:pt idx="48">
                  <c:v>49.2072</c:v>
                </c:pt>
                <c:pt idx="49">
                  <c:v>49.618099999999998</c:v>
                </c:pt>
                <c:pt idx="50">
                  <c:v>50.014000000000003</c:v>
                </c:pt>
                <c:pt idx="51">
                  <c:v>50.418999999999997</c:v>
                </c:pt>
                <c:pt idx="52">
                  <c:v>50.8339</c:v>
                </c:pt>
                <c:pt idx="53">
                  <c:v>51.238</c:v>
                </c:pt>
                <c:pt idx="54">
                  <c:v>51.636699999999998</c:v>
                </c:pt>
                <c:pt idx="55">
                  <c:v>52.050600000000003</c:v>
                </c:pt>
                <c:pt idx="56">
                  <c:v>52.456499999999998</c:v>
                </c:pt>
                <c:pt idx="57">
                  <c:v>52.863399999999999</c:v>
                </c:pt>
                <c:pt idx="58">
                  <c:v>53.270499999999998</c:v>
                </c:pt>
                <c:pt idx="59">
                  <c:v>53.673299999999998</c:v>
                </c:pt>
                <c:pt idx="60">
                  <c:v>54.084299999999999</c:v>
                </c:pt>
                <c:pt idx="61">
                  <c:v>54.487099999999998</c:v>
                </c:pt>
                <c:pt idx="62">
                  <c:v>54.892099999999999</c:v>
                </c:pt>
                <c:pt idx="63">
                  <c:v>55.301499999999997</c:v>
                </c:pt>
                <c:pt idx="64">
                  <c:v>55.713900000000002</c:v>
                </c:pt>
                <c:pt idx="65">
                  <c:v>56.112699999999997</c:v>
                </c:pt>
                <c:pt idx="66">
                  <c:v>56.518900000000002</c:v>
                </c:pt>
                <c:pt idx="67">
                  <c:v>56.926699999999997</c:v>
                </c:pt>
                <c:pt idx="68">
                  <c:v>57.333399999999997</c:v>
                </c:pt>
                <c:pt idx="69">
                  <c:v>57.735399999999998</c:v>
                </c:pt>
                <c:pt idx="70">
                  <c:v>58.144300000000001</c:v>
                </c:pt>
                <c:pt idx="71">
                  <c:v>58.5505</c:v>
                </c:pt>
                <c:pt idx="72">
                  <c:v>58.957099999999997</c:v>
                </c:pt>
                <c:pt idx="73">
                  <c:v>59.366999999999997</c:v>
                </c:pt>
                <c:pt idx="74">
                  <c:v>59.773899999999998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35.938400000000001</c:v>
                </c:pt>
                <c:pt idx="1">
                  <c:v>35.218600000000002</c:v>
                </c:pt>
                <c:pt idx="2">
                  <c:v>34.656100000000002</c:v>
                </c:pt>
                <c:pt idx="3">
                  <c:v>34.087000000000003</c:v>
                </c:pt>
                <c:pt idx="4">
                  <c:v>33.488399999999999</c:v>
                </c:pt>
                <c:pt idx="5">
                  <c:v>32.933</c:v>
                </c:pt>
                <c:pt idx="6">
                  <c:v>32.4084</c:v>
                </c:pt>
                <c:pt idx="7">
                  <c:v>31.915300000000002</c:v>
                </c:pt>
                <c:pt idx="8">
                  <c:v>31.484200000000001</c:v>
                </c:pt>
                <c:pt idx="9">
                  <c:v>31.093399999999999</c:v>
                </c:pt>
                <c:pt idx="10">
                  <c:v>30.757200000000001</c:v>
                </c:pt>
                <c:pt idx="11">
                  <c:v>30.394300000000001</c:v>
                </c:pt>
                <c:pt idx="12">
                  <c:v>30.095300000000002</c:v>
                </c:pt>
                <c:pt idx="13">
                  <c:v>29.9099</c:v>
                </c:pt>
                <c:pt idx="14">
                  <c:v>29.720299999999998</c:v>
                </c:pt>
                <c:pt idx="15">
                  <c:v>29.580200000000001</c:v>
                </c:pt>
                <c:pt idx="16">
                  <c:v>29.507699999999996</c:v>
                </c:pt>
                <c:pt idx="17">
                  <c:v>29.5518</c:v>
                </c:pt>
                <c:pt idx="18">
                  <c:v>29.723800000000001</c:v>
                </c:pt>
                <c:pt idx="19">
                  <c:v>30.003</c:v>
                </c:pt>
                <c:pt idx="20">
                  <c:v>30.441700000000001</c:v>
                </c:pt>
                <c:pt idx="21">
                  <c:v>30.943700000000003</c:v>
                </c:pt>
                <c:pt idx="22">
                  <c:v>31.477300000000003</c:v>
                </c:pt>
                <c:pt idx="23">
                  <c:v>32.102199999999996</c:v>
                </c:pt>
                <c:pt idx="24">
                  <c:v>32.741300000000003</c:v>
                </c:pt>
                <c:pt idx="25">
                  <c:v>33.477800000000002</c:v>
                </c:pt>
                <c:pt idx="26">
                  <c:v>34.2121</c:v>
                </c:pt>
                <c:pt idx="27">
                  <c:v>34.963100000000004</c:v>
                </c:pt>
                <c:pt idx="28">
                  <c:v>35.7684</c:v>
                </c:pt>
                <c:pt idx="29">
                  <c:v>36.5779</c:v>
                </c:pt>
                <c:pt idx="30">
                  <c:v>37.313600000000001</c:v>
                </c:pt>
                <c:pt idx="31">
                  <c:v>37.976900000000001</c:v>
                </c:pt>
                <c:pt idx="32">
                  <c:v>38.555599999999998</c:v>
                </c:pt>
                <c:pt idx="33">
                  <c:v>38.996399999999994</c:v>
                </c:pt>
                <c:pt idx="34">
                  <c:v>39.363999999999997</c:v>
                </c:pt>
                <c:pt idx="35">
                  <c:v>39.645899999999997</c:v>
                </c:pt>
                <c:pt idx="36">
                  <c:v>39.876899999999999</c:v>
                </c:pt>
                <c:pt idx="37">
                  <c:v>40.075600000000001</c:v>
                </c:pt>
                <c:pt idx="38">
                  <c:v>40.217399999999998</c:v>
                </c:pt>
                <c:pt idx="39">
                  <c:v>40.3508</c:v>
                </c:pt>
                <c:pt idx="40">
                  <c:v>40.454700000000003</c:v>
                </c:pt>
                <c:pt idx="41">
                  <c:v>40.573100000000004</c:v>
                </c:pt>
                <c:pt idx="42">
                  <c:v>40.686299999999996</c:v>
                </c:pt>
                <c:pt idx="43">
                  <c:v>40.869299999999996</c:v>
                </c:pt>
                <c:pt idx="44">
                  <c:v>41.125</c:v>
                </c:pt>
                <c:pt idx="45">
                  <c:v>41.428799999999995</c:v>
                </c:pt>
                <c:pt idx="46">
                  <c:v>41.7836</c:v>
                </c:pt>
                <c:pt idx="47">
                  <c:v>42.116399999999999</c:v>
                </c:pt>
                <c:pt idx="48">
                  <c:v>42.410399999999996</c:v>
                </c:pt>
                <c:pt idx="49">
                  <c:v>42.674399999999999</c:v>
                </c:pt>
                <c:pt idx="50">
                  <c:v>42.905700000000003</c:v>
                </c:pt>
                <c:pt idx="51">
                  <c:v>42.9587</c:v>
                </c:pt>
                <c:pt idx="52">
                  <c:v>42.9833</c:v>
                </c:pt>
                <c:pt idx="53">
                  <c:v>42.972799999999999</c:v>
                </c:pt>
                <c:pt idx="54">
                  <c:v>42.964599999999997</c:v>
                </c:pt>
                <c:pt idx="55">
                  <c:v>42.969900000000003</c:v>
                </c:pt>
                <c:pt idx="56">
                  <c:v>42.9831</c:v>
                </c:pt>
                <c:pt idx="57">
                  <c:v>42.978100000000005</c:v>
                </c:pt>
                <c:pt idx="58">
                  <c:v>43.0017</c:v>
                </c:pt>
                <c:pt idx="59">
                  <c:v>43.039400000000001</c:v>
                </c:pt>
                <c:pt idx="60">
                  <c:v>43.119199999999999</c:v>
                </c:pt>
                <c:pt idx="61">
                  <c:v>43.240099999999998</c:v>
                </c:pt>
                <c:pt idx="62">
                  <c:v>43.374600000000001</c:v>
                </c:pt>
                <c:pt idx="63">
                  <c:v>43.5501</c:v>
                </c:pt>
                <c:pt idx="64">
                  <c:v>43.819399999999995</c:v>
                </c:pt>
                <c:pt idx="65">
                  <c:v>44.168900000000001</c:v>
                </c:pt>
                <c:pt idx="66">
                  <c:v>44.632399999999997</c:v>
                </c:pt>
                <c:pt idx="67">
                  <c:v>45.248600000000003</c:v>
                </c:pt>
                <c:pt idx="68">
                  <c:v>45.915499999999994</c:v>
                </c:pt>
                <c:pt idx="69">
                  <c:v>46.601799999999997</c:v>
                </c:pt>
                <c:pt idx="70">
                  <c:v>47.223500000000001</c:v>
                </c:pt>
                <c:pt idx="71">
                  <c:v>47.643700000000003</c:v>
                </c:pt>
                <c:pt idx="72">
                  <c:v>48.112000000000002</c:v>
                </c:pt>
                <c:pt idx="73">
                  <c:v>48.394100000000002</c:v>
                </c:pt>
                <c:pt idx="74">
                  <c:v>48.855900000000005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59.575100000000006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59.575100000000006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59.575100000000006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59.575100000000006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59.575100000000006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59.575100000000006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59.575100000000006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59.575100000000006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59.575100000000006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59.575100000000006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59.575100000000006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59.575100000000006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59.575100000000006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59.575100000000006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59.575100000000006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59.575100000000006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59.575100000000006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59.575100000000006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59.575100000000006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59.575100000000006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59.575100000000006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59.575100000000006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14.943474999999999</c:v>
                </c:pt>
                <c:pt idx="1">
                  <c:v>44.830424999999998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36.471845945945965</c:v>
                </c:pt>
                <c:pt idx="1">
                  <c:v>38.505210810810802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1.7280200000000001</c:v>
                </c:pt>
                <c:pt idx="1">
                  <c:v>1.7859</c:v>
                </c:pt>
                <c:pt idx="2">
                  <c:v>1.84219</c:v>
                </c:pt>
                <c:pt idx="3">
                  <c:v>1.8961800000000002</c:v>
                </c:pt>
                <c:pt idx="4">
                  <c:v>1.95075</c:v>
                </c:pt>
                <c:pt idx="5">
                  <c:v>2.0044400000000002</c:v>
                </c:pt>
                <c:pt idx="6">
                  <c:v>2.0558100000000001</c:v>
                </c:pt>
                <c:pt idx="7">
                  <c:v>2.1054200000000001</c:v>
                </c:pt>
                <c:pt idx="8">
                  <c:v>2.1537899999999999</c:v>
                </c:pt>
                <c:pt idx="9">
                  <c:v>2.2024900000000001</c:v>
                </c:pt>
                <c:pt idx="10">
                  <c:v>2.2538399999999998</c:v>
                </c:pt>
                <c:pt idx="11">
                  <c:v>2.3058999999999998</c:v>
                </c:pt>
                <c:pt idx="12">
                  <c:v>2.35934</c:v>
                </c:pt>
                <c:pt idx="13">
                  <c:v>2.4113799999999999</c:v>
                </c:pt>
                <c:pt idx="14">
                  <c:v>2.4655199999999997</c:v>
                </c:pt>
                <c:pt idx="15">
                  <c:v>2.5219100000000001</c:v>
                </c:pt>
                <c:pt idx="16">
                  <c:v>2.5775700000000001</c:v>
                </c:pt>
                <c:pt idx="17">
                  <c:v>2.6334900000000001</c:v>
                </c:pt>
                <c:pt idx="18">
                  <c:v>2.6897700000000002</c:v>
                </c:pt>
                <c:pt idx="19">
                  <c:v>2.7442899999999999</c:v>
                </c:pt>
                <c:pt idx="20">
                  <c:v>2.7968500000000001</c:v>
                </c:pt>
                <c:pt idx="21">
                  <c:v>2.84823</c:v>
                </c:pt>
                <c:pt idx="22">
                  <c:v>2.8959800000000002</c:v>
                </c:pt>
                <c:pt idx="23">
                  <c:v>2.9419200000000001</c:v>
                </c:pt>
                <c:pt idx="24">
                  <c:v>2.9863200000000001</c:v>
                </c:pt>
                <c:pt idx="25">
                  <c:v>3.0301499999999999</c:v>
                </c:pt>
                <c:pt idx="26">
                  <c:v>3.0750499999999996</c:v>
                </c:pt>
                <c:pt idx="27">
                  <c:v>3.1181299999999998</c:v>
                </c:pt>
                <c:pt idx="28">
                  <c:v>3.16106</c:v>
                </c:pt>
                <c:pt idx="29">
                  <c:v>3.2033299999999998</c:v>
                </c:pt>
                <c:pt idx="30">
                  <c:v>3.2430199999999996</c:v>
                </c:pt>
                <c:pt idx="31">
                  <c:v>3.2822400000000003</c:v>
                </c:pt>
                <c:pt idx="32">
                  <c:v>3.3198400000000001</c:v>
                </c:pt>
                <c:pt idx="33">
                  <c:v>3.35744</c:v>
                </c:pt>
                <c:pt idx="34">
                  <c:v>3.3917000000000002</c:v>
                </c:pt>
                <c:pt idx="35">
                  <c:v>3.4217300000000002</c:v>
                </c:pt>
                <c:pt idx="36">
                  <c:v>3.4482900000000001</c:v>
                </c:pt>
                <c:pt idx="37">
                  <c:v>3.4712500000000004</c:v>
                </c:pt>
                <c:pt idx="38">
                  <c:v>3.49037</c:v>
                </c:pt>
                <c:pt idx="39">
                  <c:v>3.5089199999999998</c:v>
                </c:pt>
                <c:pt idx="40">
                  <c:v>3.5275499999999997</c:v>
                </c:pt>
                <c:pt idx="41">
                  <c:v>3.5432000000000001</c:v>
                </c:pt>
                <c:pt idx="42">
                  <c:v>3.5552600000000001</c:v>
                </c:pt>
                <c:pt idx="43">
                  <c:v>3.5624199999999999</c:v>
                </c:pt>
                <c:pt idx="44">
                  <c:v>3.5659600000000005</c:v>
                </c:pt>
                <c:pt idx="45">
                  <c:v>3.5664800000000003</c:v>
                </c:pt>
                <c:pt idx="46">
                  <c:v>3.5673300000000001</c:v>
                </c:pt>
                <c:pt idx="47">
                  <c:v>3.5682499999999999</c:v>
                </c:pt>
                <c:pt idx="48">
                  <c:v>3.5676000000000001</c:v>
                </c:pt>
                <c:pt idx="49">
                  <c:v>3.5657000000000001</c:v>
                </c:pt>
                <c:pt idx="50">
                  <c:v>3.5618100000000004</c:v>
                </c:pt>
                <c:pt idx="51">
                  <c:v>3.55585</c:v>
                </c:pt>
                <c:pt idx="52">
                  <c:v>3.5493299999999999</c:v>
                </c:pt>
                <c:pt idx="53">
                  <c:v>3.5417500000000004</c:v>
                </c:pt>
                <c:pt idx="54">
                  <c:v>3.5325499999999996</c:v>
                </c:pt>
                <c:pt idx="55">
                  <c:v>3.5256500000000002</c:v>
                </c:pt>
                <c:pt idx="56">
                  <c:v>3.5121899999999999</c:v>
                </c:pt>
                <c:pt idx="57">
                  <c:v>3.5024899999999999</c:v>
                </c:pt>
                <c:pt idx="58">
                  <c:v>3.4877799999999999</c:v>
                </c:pt>
                <c:pt idx="59">
                  <c:v>3.4681299999999999</c:v>
                </c:pt>
                <c:pt idx="60">
                  <c:v>3.4506900000000003</c:v>
                </c:pt>
                <c:pt idx="61">
                  <c:v>3.4326699999999999</c:v>
                </c:pt>
                <c:pt idx="62">
                  <c:v>3.4187799999999999</c:v>
                </c:pt>
                <c:pt idx="63">
                  <c:v>3.3933299999999997</c:v>
                </c:pt>
                <c:pt idx="64">
                  <c:v>3.3702900000000002</c:v>
                </c:pt>
                <c:pt idx="65">
                  <c:v>3.34361</c:v>
                </c:pt>
                <c:pt idx="66">
                  <c:v>3.3235100000000002</c:v>
                </c:pt>
                <c:pt idx="67">
                  <c:v>3.29874</c:v>
                </c:pt>
                <c:pt idx="68">
                  <c:v>3.2837399999999999</c:v>
                </c:pt>
                <c:pt idx="69">
                  <c:v>3.27162</c:v>
                </c:pt>
                <c:pt idx="70">
                  <c:v>3.2606200000000003</c:v>
                </c:pt>
                <c:pt idx="71">
                  <c:v>3.24864</c:v>
                </c:pt>
                <c:pt idx="72">
                  <c:v>3.2393699999999996</c:v>
                </c:pt>
                <c:pt idx="73">
                  <c:v>3.22818</c:v>
                </c:pt>
                <c:pt idx="74">
                  <c:v>3.2144400000000002</c:v>
                </c:pt>
                <c:pt idx="75">
                  <c:v>3.2019599999999997</c:v>
                </c:pt>
                <c:pt idx="76">
                  <c:v>3.1892199999999997</c:v>
                </c:pt>
                <c:pt idx="77">
                  <c:v>3.1761900000000001</c:v>
                </c:pt>
                <c:pt idx="78">
                  <c:v>3.1608100000000001</c:v>
                </c:pt>
                <c:pt idx="79">
                  <c:v>3.1414199999999997</c:v>
                </c:pt>
                <c:pt idx="80">
                  <c:v>3.1185800000000001</c:v>
                </c:pt>
                <c:pt idx="81">
                  <c:v>3.09246</c:v>
                </c:pt>
                <c:pt idx="82">
                  <c:v>3.0649700000000002</c:v>
                </c:pt>
                <c:pt idx="83">
                  <c:v>3.0374800000000004</c:v>
                </c:pt>
                <c:pt idx="84">
                  <c:v>3.0132700000000003</c:v>
                </c:pt>
                <c:pt idx="85">
                  <c:v>2.9895100000000001</c:v>
                </c:pt>
                <c:pt idx="86">
                  <c:v>2.9670899999999998</c:v>
                </c:pt>
                <c:pt idx="87">
                  <c:v>2.9477500000000001</c:v>
                </c:pt>
                <c:pt idx="88">
                  <c:v>2.9295399999999998</c:v>
                </c:pt>
                <c:pt idx="89">
                  <c:v>2.9110900000000002</c:v>
                </c:pt>
                <c:pt idx="90">
                  <c:v>2.8922099999999999</c:v>
                </c:pt>
                <c:pt idx="91">
                  <c:v>2.8692699999999998</c:v>
                </c:pt>
                <c:pt idx="92">
                  <c:v>2.8452000000000002</c:v>
                </c:pt>
                <c:pt idx="93">
                  <c:v>2.8238600000000003</c:v>
                </c:pt>
                <c:pt idx="94">
                  <c:v>2.8060700000000001</c:v>
                </c:pt>
                <c:pt idx="95">
                  <c:v>2.7939399999999996</c:v>
                </c:pt>
                <c:pt idx="96">
                  <c:v>2.78362</c:v>
                </c:pt>
                <c:pt idx="97">
                  <c:v>2.7754799999999999</c:v>
                </c:pt>
                <c:pt idx="98">
                  <c:v>2.7688600000000001</c:v>
                </c:pt>
                <c:pt idx="99">
                  <c:v>2.7642899999999999</c:v>
                </c:pt>
                <c:pt idx="100">
                  <c:v>2.7619199999999999</c:v>
                </c:pt>
                <c:pt idx="101">
                  <c:v>2.7621200000000004</c:v>
                </c:pt>
                <c:pt idx="102">
                  <c:v>2.7647599999999999</c:v>
                </c:pt>
                <c:pt idx="103">
                  <c:v>2.7705299999999999</c:v>
                </c:pt>
                <c:pt idx="104">
                  <c:v>2.7799100000000001</c:v>
                </c:pt>
                <c:pt idx="105">
                  <c:v>2.7940399999999999</c:v>
                </c:pt>
                <c:pt idx="106">
                  <c:v>2.8127600000000004</c:v>
                </c:pt>
                <c:pt idx="107">
                  <c:v>2.8335300000000001</c:v>
                </c:pt>
                <c:pt idx="108">
                  <c:v>2.8563100000000001</c:v>
                </c:pt>
                <c:pt idx="109">
                  <c:v>2.8811599999999999</c:v>
                </c:pt>
                <c:pt idx="110">
                  <c:v>2.9069099999999999</c:v>
                </c:pt>
                <c:pt idx="111">
                  <c:v>2.9335200000000001</c:v>
                </c:pt>
                <c:pt idx="112">
                  <c:v>2.9609100000000002</c:v>
                </c:pt>
                <c:pt idx="113">
                  <c:v>2.9894400000000001</c:v>
                </c:pt>
                <c:pt idx="114">
                  <c:v>3.0195300000000005</c:v>
                </c:pt>
                <c:pt idx="115">
                  <c:v>3.05091</c:v>
                </c:pt>
                <c:pt idx="116">
                  <c:v>3.0812600000000003</c:v>
                </c:pt>
                <c:pt idx="117">
                  <c:v>3.10765</c:v>
                </c:pt>
                <c:pt idx="118">
                  <c:v>3.1267699999999996</c:v>
                </c:pt>
                <c:pt idx="119">
                  <c:v>3.1410900000000002</c:v>
                </c:pt>
                <c:pt idx="120">
                  <c:v>3.1525099999999999</c:v>
                </c:pt>
                <c:pt idx="121">
                  <c:v>3.1593300000000002</c:v>
                </c:pt>
                <c:pt idx="122">
                  <c:v>3.1638300000000004</c:v>
                </c:pt>
                <c:pt idx="123">
                  <c:v>3.1666499999999997</c:v>
                </c:pt>
                <c:pt idx="124">
                  <c:v>3.17699</c:v>
                </c:pt>
                <c:pt idx="125">
                  <c:v>3.1872299999999996</c:v>
                </c:pt>
                <c:pt idx="126">
                  <c:v>3.1958500000000001</c:v>
                </c:pt>
                <c:pt idx="127">
                  <c:v>3.2031000000000001</c:v>
                </c:pt>
                <c:pt idx="128">
                  <c:v>3.2093300000000005</c:v>
                </c:pt>
                <c:pt idx="129">
                  <c:v>3.2153999999999998</c:v>
                </c:pt>
                <c:pt idx="130">
                  <c:v>3.2194600000000002</c:v>
                </c:pt>
                <c:pt idx="131">
                  <c:v>3.2211800000000004</c:v>
                </c:pt>
                <c:pt idx="132">
                  <c:v>3.2223099999999998</c:v>
                </c:pt>
                <c:pt idx="133">
                  <c:v>3.2216399999999998</c:v>
                </c:pt>
                <c:pt idx="134">
                  <c:v>3.2173400000000001</c:v>
                </c:pt>
                <c:pt idx="135">
                  <c:v>3.2117899999999997</c:v>
                </c:pt>
                <c:pt idx="136">
                  <c:v>3.2040500000000001</c:v>
                </c:pt>
                <c:pt idx="137">
                  <c:v>3.19306</c:v>
                </c:pt>
                <c:pt idx="138">
                  <c:v>3.1771700000000003</c:v>
                </c:pt>
                <c:pt idx="139">
                  <c:v>3.15665</c:v>
                </c:pt>
                <c:pt idx="140">
                  <c:v>3.1286900000000002</c:v>
                </c:pt>
                <c:pt idx="141">
                  <c:v>3.0956099999999998</c:v>
                </c:pt>
                <c:pt idx="142">
                  <c:v>3.0585100000000001</c:v>
                </c:pt>
                <c:pt idx="143">
                  <c:v>3.0301400000000003</c:v>
                </c:pt>
                <c:pt idx="144">
                  <c:v>3.0037099999999999</c:v>
                </c:pt>
                <c:pt idx="145">
                  <c:v>2.9694700000000003</c:v>
                </c:pt>
                <c:pt idx="146">
                  <c:v>2.9542600000000001</c:v>
                </c:pt>
                <c:pt idx="147">
                  <c:v>2.9389500000000002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59.575100000000006</c:v>
                </c:pt>
                <c:pt idx="1">
                  <c:v>58.682699999999997</c:v>
                </c:pt>
                <c:pt idx="2">
                  <c:v>57.6798</c:v>
                </c:pt>
                <c:pt idx="3">
                  <c:v>56.668700000000008</c:v>
                </c:pt>
                <c:pt idx="4">
                  <c:v>55.575300000000006</c:v>
                </c:pt>
                <c:pt idx="5">
                  <c:v>54.445900000000002</c:v>
                </c:pt>
                <c:pt idx="6">
                  <c:v>53.402999999999999</c:v>
                </c:pt>
                <c:pt idx="7">
                  <c:v>52.408799999999999</c:v>
                </c:pt>
                <c:pt idx="8">
                  <c:v>51.458000000000006</c:v>
                </c:pt>
                <c:pt idx="9">
                  <c:v>50.431599999999996</c:v>
                </c:pt>
                <c:pt idx="10">
                  <c:v>49.231000000000002</c:v>
                </c:pt>
                <c:pt idx="11">
                  <c:v>47.983899999999998</c:v>
                </c:pt>
                <c:pt idx="12">
                  <c:v>46.676899999999996</c:v>
                </c:pt>
                <c:pt idx="13">
                  <c:v>45.285599999999995</c:v>
                </c:pt>
                <c:pt idx="14">
                  <c:v>43.8658</c:v>
                </c:pt>
                <c:pt idx="15">
                  <c:v>42.491800000000005</c:v>
                </c:pt>
                <c:pt idx="16">
                  <c:v>41.1569</c:v>
                </c:pt>
                <c:pt idx="17">
                  <c:v>39.844099999999997</c:v>
                </c:pt>
                <c:pt idx="18">
                  <c:v>38.587500000000006</c:v>
                </c:pt>
                <c:pt idx="19">
                  <c:v>37.370599999999996</c:v>
                </c:pt>
                <c:pt idx="20">
                  <c:v>36.156599999999997</c:v>
                </c:pt>
                <c:pt idx="21">
                  <c:v>35.015800000000006</c:v>
                </c:pt>
                <c:pt idx="22">
                  <c:v>33.964800000000004</c:v>
                </c:pt>
                <c:pt idx="23">
                  <c:v>32.937100000000001</c:v>
                </c:pt>
                <c:pt idx="24">
                  <c:v>31.9575</c:v>
                </c:pt>
                <c:pt idx="25">
                  <c:v>31.0091</c:v>
                </c:pt>
                <c:pt idx="26">
                  <c:v>30.0427</c:v>
                </c:pt>
                <c:pt idx="27">
                  <c:v>29.2273</c:v>
                </c:pt>
                <c:pt idx="28">
                  <c:v>28.543299999999999</c:v>
                </c:pt>
                <c:pt idx="29">
                  <c:v>27.913300000000003</c:v>
                </c:pt>
                <c:pt idx="30">
                  <c:v>27.416200000000003</c:v>
                </c:pt>
                <c:pt idx="31">
                  <c:v>26.980599999999999</c:v>
                </c:pt>
                <c:pt idx="32">
                  <c:v>26.627800000000001</c:v>
                </c:pt>
                <c:pt idx="33">
                  <c:v>26.361600000000003</c:v>
                </c:pt>
                <c:pt idx="34">
                  <c:v>26.232699999999998</c:v>
                </c:pt>
                <c:pt idx="35">
                  <c:v>26.152199999999997</c:v>
                </c:pt>
                <c:pt idx="36">
                  <c:v>26.129599999999996</c:v>
                </c:pt>
                <c:pt idx="37">
                  <c:v>26.135100000000001</c:v>
                </c:pt>
                <c:pt idx="38">
                  <c:v>26.272200000000002</c:v>
                </c:pt>
                <c:pt idx="39">
                  <c:v>26.374700000000001</c:v>
                </c:pt>
                <c:pt idx="40">
                  <c:v>26.4422</c:v>
                </c:pt>
                <c:pt idx="41">
                  <c:v>26.574199999999998</c:v>
                </c:pt>
                <c:pt idx="42">
                  <c:v>26.776699999999998</c:v>
                </c:pt>
                <c:pt idx="43">
                  <c:v>27.066800000000001</c:v>
                </c:pt>
                <c:pt idx="44">
                  <c:v>27.443800000000003</c:v>
                </c:pt>
                <c:pt idx="45">
                  <c:v>27.9254</c:v>
                </c:pt>
                <c:pt idx="46">
                  <c:v>28.396999999999998</c:v>
                </c:pt>
                <c:pt idx="47">
                  <c:v>28.899399999999996</c:v>
                </c:pt>
                <c:pt idx="48">
                  <c:v>29.488999999999997</c:v>
                </c:pt>
                <c:pt idx="49">
                  <c:v>30.109599999999997</c:v>
                </c:pt>
                <c:pt idx="50">
                  <c:v>30.7562</c:v>
                </c:pt>
                <c:pt idx="51">
                  <c:v>31.448399999999999</c:v>
                </c:pt>
                <c:pt idx="52">
                  <c:v>32.104999999999997</c:v>
                </c:pt>
                <c:pt idx="53">
                  <c:v>32.706899999999997</c:v>
                </c:pt>
                <c:pt idx="54">
                  <c:v>33.308999999999997</c:v>
                </c:pt>
                <c:pt idx="55">
                  <c:v>33.815200000000004</c:v>
                </c:pt>
                <c:pt idx="56">
                  <c:v>34.450800000000001</c:v>
                </c:pt>
                <c:pt idx="57">
                  <c:v>34.941400000000002</c:v>
                </c:pt>
                <c:pt idx="58">
                  <c:v>35.463799999999999</c:v>
                </c:pt>
                <c:pt idx="59">
                  <c:v>35.9709</c:v>
                </c:pt>
                <c:pt idx="60">
                  <c:v>36.391199999999998</c:v>
                </c:pt>
                <c:pt idx="61">
                  <c:v>36.744399999999999</c:v>
                </c:pt>
                <c:pt idx="62">
                  <c:v>37.055199999999999</c:v>
                </c:pt>
                <c:pt idx="63">
                  <c:v>37.261200000000002</c:v>
                </c:pt>
                <c:pt idx="64">
                  <c:v>37.500499999999995</c:v>
                </c:pt>
                <c:pt idx="65">
                  <c:v>37.746200000000002</c:v>
                </c:pt>
                <c:pt idx="66">
                  <c:v>38.023699999999998</c:v>
                </c:pt>
                <c:pt idx="67">
                  <c:v>38.021599999999999</c:v>
                </c:pt>
                <c:pt idx="68">
                  <c:v>37.898299999999999</c:v>
                </c:pt>
                <c:pt idx="69">
                  <c:v>37.610700000000001</c:v>
                </c:pt>
                <c:pt idx="70">
                  <c:v>37.173499999999997</c:v>
                </c:pt>
                <c:pt idx="71">
                  <c:v>36.727199999999996</c:v>
                </c:pt>
                <c:pt idx="72">
                  <c:v>36.459599999999995</c:v>
                </c:pt>
                <c:pt idx="73">
                  <c:v>35.938400000000001</c:v>
                </c:pt>
                <c:pt idx="74">
                  <c:v>35.218600000000002</c:v>
                </c:pt>
                <c:pt idx="75">
                  <c:v>34.656100000000002</c:v>
                </c:pt>
                <c:pt idx="76">
                  <c:v>34.087000000000003</c:v>
                </c:pt>
                <c:pt idx="77">
                  <c:v>33.488399999999999</c:v>
                </c:pt>
                <c:pt idx="78">
                  <c:v>32.933</c:v>
                </c:pt>
                <c:pt idx="79">
                  <c:v>32.4084</c:v>
                </c:pt>
                <c:pt idx="80">
                  <c:v>31.915300000000002</c:v>
                </c:pt>
                <c:pt idx="81">
                  <c:v>31.484200000000001</c:v>
                </c:pt>
                <c:pt idx="82">
                  <c:v>31.093399999999999</c:v>
                </c:pt>
                <c:pt idx="83">
                  <c:v>30.757200000000001</c:v>
                </c:pt>
                <c:pt idx="84">
                  <c:v>30.394300000000001</c:v>
                </c:pt>
                <c:pt idx="85">
                  <c:v>30.095300000000002</c:v>
                </c:pt>
                <c:pt idx="86">
                  <c:v>29.9099</c:v>
                </c:pt>
                <c:pt idx="87">
                  <c:v>29.720299999999998</c:v>
                </c:pt>
                <c:pt idx="88">
                  <c:v>29.580200000000001</c:v>
                </c:pt>
                <c:pt idx="89">
                  <c:v>29.507699999999996</c:v>
                </c:pt>
                <c:pt idx="90">
                  <c:v>29.5518</c:v>
                </c:pt>
                <c:pt idx="91">
                  <c:v>29.723800000000001</c:v>
                </c:pt>
                <c:pt idx="92">
                  <c:v>30.003</c:v>
                </c:pt>
                <c:pt idx="93">
                  <c:v>30.441700000000001</c:v>
                </c:pt>
                <c:pt idx="94">
                  <c:v>30.943700000000003</c:v>
                </c:pt>
                <c:pt idx="95">
                  <c:v>31.477300000000003</c:v>
                </c:pt>
                <c:pt idx="96">
                  <c:v>32.102199999999996</c:v>
                </c:pt>
                <c:pt idx="97">
                  <c:v>32.741300000000003</c:v>
                </c:pt>
                <c:pt idx="98">
                  <c:v>33.477800000000002</c:v>
                </c:pt>
                <c:pt idx="99">
                  <c:v>34.2121</c:v>
                </c:pt>
                <c:pt idx="100">
                  <c:v>34.963100000000004</c:v>
                </c:pt>
                <c:pt idx="101">
                  <c:v>35.7684</c:v>
                </c:pt>
                <c:pt idx="102">
                  <c:v>36.5779</c:v>
                </c:pt>
                <c:pt idx="103">
                  <c:v>37.313600000000001</c:v>
                </c:pt>
                <c:pt idx="104">
                  <c:v>37.976900000000001</c:v>
                </c:pt>
                <c:pt idx="105">
                  <c:v>38.555599999999998</c:v>
                </c:pt>
                <c:pt idx="106">
                  <c:v>38.996399999999994</c:v>
                </c:pt>
                <c:pt idx="107">
                  <c:v>39.363999999999997</c:v>
                </c:pt>
                <c:pt idx="108">
                  <c:v>39.645899999999997</c:v>
                </c:pt>
                <c:pt idx="109">
                  <c:v>39.876899999999999</c:v>
                </c:pt>
                <c:pt idx="110">
                  <c:v>40.075600000000001</c:v>
                </c:pt>
                <c:pt idx="111">
                  <c:v>40.217399999999998</c:v>
                </c:pt>
                <c:pt idx="112">
                  <c:v>40.3508</c:v>
                </c:pt>
                <c:pt idx="113">
                  <c:v>40.454700000000003</c:v>
                </c:pt>
                <c:pt idx="114">
                  <c:v>40.573100000000004</c:v>
                </c:pt>
                <c:pt idx="115">
                  <c:v>40.686299999999996</c:v>
                </c:pt>
                <c:pt idx="116">
                  <c:v>40.869299999999996</c:v>
                </c:pt>
                <c:pt idx="117">
                  <c:v>41.125</c:v>
                </c:pt>
                <c:pt idx="118">
                  <c:v>41.428799999999995</c:v>
                </c:pt>
                <c:pt idx="119">
                  <c:v>41.7836</c:v>
                </c:pt>
                <c:pt idx="120">
                  <c:v>42.116399999999999</c:v>
                </c:pt>
                <c:pt idx="121">
                  <c:v>42.410399999999996</c:v>
                </c:pt>
                <c:pt idx="122">
                  <c:v>42.674399999999999</c:v>
                </c:pt>
                <c:pt idx="123">
                  <c:v>42.905700000000003</c:v>
                </c:pt>
                <c:pt idx="124">
                  <c:v>42.9587</c:v>
                </c:pt>
                <c:pt idx="125">
                  <c:v>42.9833</c:v>
                </c:pt>
                <c:pt idx="126">
                  <c:v>42.972799999999999</c:v>
                </c:pt>
                <c:pt idx="127">
                  <c:v>42.964599999999997</c:v>
                </c:pt>
                <c:pt idx="128">
                  <c:v>42.969900000000003</c:v>
                </c:pt>
                <c:pt idx="129">
                  <c:v>42.9831</c:v>
                </c:pt>
                <c:pt idx="130">
                  <c:v>42.978100000000005</c:v>
                </c:pt>
                <c:pt idx="131">
                  <c:v>43.0017</c:v>
                </c:pt>
                <c:pt idx="132">
                  <c:v>43.039400000000001</c:v>
                </c:pt>
                <c:pt idx="133">
                  <c:v>43.119199999999999</c:v>
                </c:pt>
                <c:pt idx="134">
                  <c:v>43.240099999999998</c:v>
                </c:pt>
                <c:pt idx="135">
                  <c:v>43.374600000000001</c:v>
                </c:pt>
                <c:pt idx="136">
                  <c:v>43.5501</c:v>
                </c:pt>
                <c:pt idx="137">
                  <c:v>43.819399999999995</c:v>
                </c:pt>
                <c:pt idx="138">
                  <c:v>44.168900000000001</c:v>
                </c:pt>
                <c:pt idx="139">
                  <c:v>44.632399999999997</c:v>
                </c:pt>
                <c:pt idx="140">
                  <c:v>45.248600000000003</c:v>
                </c:pt>
                <c:pt idx="141">
                  <c:v>45.915499999999994</c:v>
                </c:pt>
                <c:pt idx="142">
                  <c:v>46.601799999999997</c:v>
                </c:pt>
                <c:pt idx="143">
                  <c:v>47.223500000000001</c:v>
                </c:pt>
                <c:pt idx="144">
                  <c:v>47.643700000000003</c:v>
                </c:pt>
                <c:pt idx="145">
                  <c:v>48.112000000000002</c:v>
                </c:pt>
                <c:pt idx="146">
                  <c:v>48.394100000000002</c:v>
                </c:pt>
                <c:pt idx="147">
                  <c:v>48.855900000000005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1.7280200000000001</c:v>
                </c:pt>
                <c:pt idx="1">
                  <c:v>1.7859</c:v>
                </c:pt>
                <c:pt idx="2">
                  <c:v>1.84219</c:v>
                </c:pt>
                <c:pt idx="3">
                  <c:v>1.8961800000000002</c:v>
                </c:pt>
                <c:pt idx="4">
                  <c:v>1.95075</c:v>
                </c:pt>
                <c:pt idx="5">
                  <c:v>2.0044400000000002</c:v>
                </c:pt>
                <c:pt idx="6">
                  <c:v>2.0558100000000001</c:v>
                </c:pt>
                <c:pt idx="7">
                  <c:v>2.1054200000000001</c:v>
                </c:pt>
                <c:pt idx="8">
                  <c:v>2.1537899999999999</c:v>
                </c:pt>
                <c:pt idx="9">
                  <c:v>2.2024900000000001</c:v>
                </c:pt>
                <c:pt idx="10">
                  <c:v>2.2538399999999998</c:v>
                </c:pt>
                <c:pt idx="11">
                  <c:v>2.3058999999999998</c:v>
                </c:pt>
                <c:pt idx="12">
                  <c:v>2.35934</c:v>
                </c:pt>
                <c:pt idx="13">
                  <c:v>2.4113799999999999</c:v>
                </c:pt>
                <c:pt idx="14">
                  <c:v>2.4655199999999997</c:v>
                </c:pt>
                <c:pt idx="15">
                  <c:v>2.5219100000000001</c:v>
                </c:pt>
                <c:pt idx="16">
                  <c:v>2.5775700000000001</c:v>
                </c:pt>
                <c:pt idx="17">
                  <c:v>2.6334900000000001</c:v>
                </c:pt>
                <c:pt idx="18">
                  <c:v>2.6897700000000002</c:v>
                </c:pt>
                <c:pt idx="19">
                  <c:v>2.7442899999999999</c:v>
                </c:pt>
                <c:pt idx="20">
                  <c:v>2.7968500000000001</c:v>
                </c:pt>
                <c:pt idx="21">
                  <c:v>2.84823</c:v>
                </c:pt>
                <c:pt idx="22">
                  <c:v>2.8959800000000002</c:v>
                </c:pt>
                <c:pt idx="23">
                  <c:v>2.9419200000000001</c:v>
                </c:pt>
                <c:pt idx="24">
                  <c:v>2.9863200000000001</c:v>
                </c:pt>
                <c:pt idx="25">
                  <c:v>3.0301499999999999</c:v>
                </c:pt>
                <c:pt idx="26">
                  <c:v>3.0750499999999996</c:v>
                </c:pt>
                <c:pt idx="27">
                  <c:v>3.1181299999999998</c:v>
                </c:pt>
                <c:pt idx="28">
                  <c:v>3.16106</c:v>
                </c:pt>
                <c:pt idx="29">
                  <c:v>3.2033299999999998</c:v>
                </c:pt>
                <c:pt idx="30">
                  <c:v>3.2430199999999996</c:v>
                </c:pt>
                <c:pt idx="31">
                  <c:v>3.2822400000000003</c:v>
                </c:pt>
                <c:pt idx="32">
                  <c:v>3.3198400000000001</c:v>
                </c:pt>
                <c:pt idx="33">
                  <c:v>3.35744</c:v>
                </c:pt>
                <c:pt idx="34">
                  <c:v>3.3917000000000002</c:v>
                </c:pt>
                <c:pt idx="35">
                  <c:v>3.4217300000000002</c:v>
                </c:pt>
                <c:pt idx="36">
                  <c:v>3.4482900000000001</c:v>
                </c:pt>
                <c:pt idx="37">
                  <c:v>3.4712500000000004</c:v>
                </c:pt>
                <c:pt idx="38">
                  <c:v>3.49037</c:v>
                </c:pt>
                <c:pt idx="39">
                  <c:v>3.5089199999999998</c:v>
                </c:pt>
                <c:pt idx="40">
                  <c:v>3.5275499999999997</c:v>
                </c:pt>
                <c:pt idx="41">
                  <c:v>3.5432000000000001</c:v>
                </c:pt>
                <c:pt idx="42">
                  <c:v>3.5552600000000001</c:v>
                </c:pt>
                <c:pt idx="43">
                  <c:v>3.5624199999999999</c:v>
                </c:pt>
                <c:pt idx="44">
                  <c:v>3.5659600000000005</c:v>
                </c:pt>
                <c:pt idx="45">
                  <c:v>3.5664800000000003</c:v>
                </c:pt>
                <c:pt idx="46">
                  <c:v>3.5673300000000001</c:v>
                </c:pt>
                <c:pt idx="47">
                  <c:v>3.5682499999999999</c:v>
                </c:pt>
                <c:pt idx="48">
                  <c:v>3.5676000000000001</c:v>
                </c:pt>
                <c:pt idx="49">
                  <c:v>3.5657000000000001</c:v>
                </c:pt>
                <c:pt idx="50">
                  <c:v>3.5618100000000004</c:v>
                </c:pt>
                <c:pt idx="51">
                  <c:v>3.55585</c:v>
                </c:pt>
                <c:pt idx="52">
                  <c:v>3.5493299999999999</c:v>
                </c:pt>
                <c:pt idx="53">
                  <c:v>3.5417500000000004</c:v>
                </c:pt>
                <c:pt idx="54">
                  <c:v>3.5325499999999996</c:v>
                </c:pt>
                <c:pt idx="55">
                  <c:v>3.5256500000000002</c:v>
                </c:pt>
                <c:pt idx="56">
                  <c:v>3.5121899999999999</c:v>
                </c:pt>
                <c:pt idx="57">
                  <c:v>3.5024899999999999</c:v>
                </c:pt>
                <c:pt idx="58">
                  <c:v>3.4877799999999999</c:v>
                </c:pt>
                <c:pt idx="59">
                  <c:v>3.4681299999999999</c:v>
                </c:pt>
                <c:pt idx="60">
                  <c:v>3.4506900000000003</c:v>
                </c:pt>
                <c:pt idx="61">
                  <c:v>3.4326699999999999</c:v>
                </c:pt>
                <c:pt idx="62">
                  <c:v>3.4187799999999999</c:v>
                </c:pt>
                <c:pt idx="63">
                  <c:v>3.3933299999999997</c:v>
                </c:pt>
                <c:pt idx="64">
                  <c:v>3.3702900000000002</c:v>
                </c:pt>
                <c:pt idx="65">
                  <c:v>3.34361</c:v>
                </c:pt>
                <c:pt idx="66">
                  <c:v>3.3235100000000002</c:v>
                </c:pt>
                <c:pt idx="67">
                  <c:v>3.29874</c:v>
                </c:pt>
                <c:pt idx="68">
                  <c:v>3.2837399999999999</c:v>
                </c:pt>
                <c:pt idx="69">
                  <c:v>3.27162</c:v>
                </c:pt>
                <c:pt idx="70">
                  <c:v>3.2606200000000003</c:v>
                </c:pt>
                <c:pt idx="71">
                  <c:v>3.24864</c:v>
                </c:pt>
                <c:pt idx="72">
                  <c:v>3.2393699999999996</c:v>
                </c:pt>
                <c:pt idx="73">
                  <c:v>3.22818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59.575100000000006</c:v>
                </c:pt>
                <c:pt idx="1">
                  <c:v>58.682699999999997</c:v>
                </c:pt>
                <c:pt idx="2">
                  <c:v>57.6798</c:v>
                </c:pt>
                <c:pt idx="3">
                  <c:v>56.668700000000008</c:v>
                </c:pt>
                <c:pt idx="4">
                  <c:v>55.575300000000006</c:v>
                </c:pt>
                <c:pt idx="5">
                  <c:v>54.445900000000002</c:v>
                </c:pt>
                <c:pt idx="6">
                  <c:v>53.402999999999999</c:v>
                </c:pt>
                <c:pt idx="7">
                  <c:v>52.408799999999999</c:v>
                </c:pt>
                <c:pt idx="8">
                  <c:v>51.458000000000006</c:v>
                </c:pt>
                <c:pt idx="9">
                  <c:v>50.431599999999996</c:v>
                </c:pt>
                <c:pt idx="10">
                  <c:v>49.231000000000002</c:v>
                </c:pt>
                <c:pt idx="11">
                  <c:v>47.983899999999998</c:v>
                </c:pt>
                <c:pt idx="12">
                  <c:v>46.676899999999996</c:v>
                </c:pt>
                <c:pt idx="13">
                  <c:v>45.285599999999995</c:v>
                </c:pt>
                <c:pt idx="14">
                  <c:v>43.8658</c:v>
                </c:pt>
                <c:pt idx="15">
                  <c:v>42.491800000000005</c:v>
                </c:pt>
                <c:pt idx="16">
                  <c:v>41.1569</c:v>
                </c:pt>
                <c:pt idx="17">
                  <c:v>39.844099999999997</c:v>
                </c:pt>
                <c:pt idx="18">
                  <c:v>38.587500000000006</c:v>
                </c:pt>
                <c:pt idx="19">
                  <c:v>37.370599999999996</c:v>
                </c:pt>
                <c:pt idx="20">
                  <c:v>36.156599999999997</c:v>
                </c:pt>
                <c:pt idx="21">
                  <c:v>35.015800000000006</c:v>
                </c:pt>
                <c:pt idx="22">
                  <c:v>33.964800000000004</c:v>
                </c:pt>
                <c:pt idx="23">
                  <c:v>32.937100000000001</c:v>
                </c:pt>
                <c:pt idx="24">
                  <c:v>31.9575</c:v>
                </c:pt>
                <c:pt idx="25">
                  <c:v>31.0091</c:v>
                </c:pt>
                <c:pt idx="26">
                  <c:v>30.0427</c:v>
                </c:pt>
                <c:pt idx="27">
                  <c:v>29.2273</c:v>
                </c:pt>
                <c:pt idx="28">
                  <c:v>28.543299999999999</c:v>
                </c:pt>
                <c:pt idx="29">
                  <c:v>27.913300000000003</c:v>
                </c:pt>
                <c:pt idx="30">
                  <c:v>27.416200000000003</c:v>
                </c:pt>
                <c:pt idx="31">
                  <c:v>26.980599999999999</c:v>
                </c:pt>
                <c:pt idx="32">
                  <c:v>26.627800000000001</c:v>
                </c:pt>
                <c:pt idx="33">
                  <c:v>26.361600000000003</c:v>
                </c:pt>
                <c:pt idx="34">
                  <c:v>26.232699999999998</c:v>
                </c:pt>
                <c:pt idx="35">
                  <c:v>26.152199999999997</c:v>
                </c:pt>
                <c:pt idx="36">
                  <c:v>26.129599999999996</c:v>
                </c:pt>
                <c:pt idx="37">
                  <c:v>26.135100000000001</c:v>
                </c:pt>
                <c:pt idx="38">
                  <c:v>26.272200000000002</c:v>
                </c:pt>
                <c:pt idx="39">
                  <c:v>26.374700000000001</c:v>
                </c:pt>
                <c:pt idx="40">
                  <c:v>26.4422</c:v>
                </c:pt>
                <c:pt idx="41">
                  <c:v>26.574199999999998</c:v>
                </c:pt>
                <c:pt idx="42">
                  <c:v>26.776699999999998</c:v>
                </c:pt>
                <c:pt idx="43">
                  <c:v>27.066800000000001</c:v>
                </c:pt>
                <c:pt idx="44">
                  <c:v>27.443800000000003</c:v>
                </c:pt>
                <c:pt idx="45">
                  <c:v>27.9254</c:v>
                </c:pt>
                <c:pt idx="46">
                  <c:v>28.396999999999998</c:v>
                </c:pt>
                <c:pt idx="47">
                  <c:v>28.899399999999996</c:v>
                </c:pt>
                <c:pt idx="48">
                  <c:v>29.488999999999997</c:v>
                </c:pt>
                <c:pt idx="49">
                  <c:v>30.109599999999997</c:v>
                </c:pt>
                <c:pt idx="50">
                  <c:v>30.7562</c:v>
                </c:pt>
                <c:pt idx="51">
                  <c:v>31.448399999999999</c:v>
                </c:pt>
                <c:pt idx="52">
                  <c:v>32.104999999999997</c:v>
                </c:pt>
                <c:pt idx="53">
                  <c:v>32.706899999999997</c:v>
                </c:pt>
                <c:pt idx="54">
                  <c:v>33.308999999999997</c:v>
                </c:pt>
                <c:pt idx="55">
                  <c:v>33.815200000000004</c:v>
                </c:pt>
                <c:pt idx="56">
                  <c:v>34.450800000000001</c:v>
                </c:pt>
                <c:pt idx="57">
                  <c:v>34.941400000000002</c:v>
                </c:pt>
                <c:pt idx="58">
                  <c:v>35.463799999999999</c:v>
                </c:pt>
                <c:pt idx="59">
                  <c:v>35.9709</c:v>
                </c:pt>
                <c:pt idx="60">
                  <c:v>36.391199999999998</c:v>
                </c:pt>
                <c:pt idx="61">
                  <c:v>36.744399999999999</c:v>
                </c:pt>
                <c:pt idx="62">
                  <c:v>37.055199999999999</c:v>
                </c:pt>
                <c:pt idx="63">
                  <c:v>37.261200000000002</c:v>
                </c:pt>
                <c:pt idx="64">
                  <c:v>37.500499999999995</c:v>
                </c:pt>
                <c:pt idx="65">
                  <c:v>37.746200000000002</c:v>
                </c:pt>
                <c:pt idx="66">
                  <c:v>38.023699999999998</c:v>
                </c:pt>
                <c:pt idx="67">
                  <c:v>38.021599999999999</c:v>
                </c:pt>
                <c:pt idx="68">
                  <c:v>37.898299999999999</c:v>
                </c:pt>
                <c:pt idx="69">
                  <c:v>37.610700000000001</c:v>
                </c:pt>
                <c:pt idx="70">
                  <c:v>37.173499999999997</c:v>
                </c:pt>
                <c:pt idx="71">
                  <c:v>36.727199999999996</c:v>
                </c:pt>
                <c:pt idx="72">
                  <c:v>36.459599999999995</c:v>
                </c:pt>
                <c:pt idx="73">
                  <c:v>35.938400000000001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3.22818</c:v>
                </c:pt>
                <c:pt idx="1">
                  <c:v>3.2144400000000002</c:v>
                </c:pt>
                <c:pt idx="2">
                  <c:v>3.2019599999999997</c:v>
                </c:pt>
                <c:pt idx="3">
                  <c:v>3.1892199999999997</c:v>
                </c:pt>
                <c:pt idx="4">
                  <c:v>3.1761900000000001</c:v>
                </c:pt>
                <c:pt idx="5">
                  <c:v>3.1608100000000001</c:v>
                </c:pt>
                <c:pt idx="6">
                  <c:v>3.1414199999999997</c:v>
                </c:pt>
                <c:pt idx="7">
                  <c:v>3.1185800000000001</c:v>
                </c:pt>
                <c:pt idx="8">
                  <c:v>3.09246</c:v>
                </c:pt>
                <c:pt idx="9">
                  <c:v>3.0649700000000002</c:v>
                </c:pt>
                <c:pt idx="10">
                  <c:v>3.0374800000000004</c:v>
                </c:pt>
                <c:pt idx="11">
                  <c:v>3.0132700000000003</c:v>
                </c:pt>
                <c:pt idx="12">
                  <c:v>2.9895100000000001</c:v>
                </c:pt>
                <c:pt idx="13">
                  <c:v>2.9670899999999998</c:v>
                </c:pt>
                <c:pt idx="14">
                  <c:v>2.9477500000000001</c:v>
                </c:pt>
                <c:pt idx="15">
                  <c:v>2.9295399999999998</c:v>
                </c:pt>
                <c:pt idx="16">
                  <c:v>2.9110900000000002</c:v>
                </c:pt>
                <c:pt idx="17">
                  <c:v>2.8922099999999999</c:v>
                </c:pt>
                <c:pt idx="18">
                  <c:v>2.8692699999999998</c:v>
                </c:pt>
                <c:pt idx="19">
                  <c:v>2.8452000000000002</c:v>
                </c:pt>
                <c:pt idx="20">
                  <c:v>2.8238600000000003</c:v>
                </c:pt>
                <c:pt idx="21">
                  <c:v>2.8060700000000001</c:v>
                </c:pt>
                <c:pt idx="22">
                  <c:v>2.7939399999999996</c:v>
                </c:pt>
                <c:pt idx="23">
                  <c:v>2.78362</c:v>
                </c:pt>
                <c:pt idx="24">
                  <c:v>2.7754799999999999</c:v>
                </c:pt>
                <c:pt idx="25">
                  <c:v>2.7688600000000001</c:v>
                </c:pt>
                <c:pt idx="26">
                  <c:v>2.7642899999999999</c:v>
                </c:pt>
                <c:pt idx="27">
                  <c:v>2.7619199999999999</c:v>
                </c:pt>
                <c:pt idx="28">
                  <c:v>2.7621200000000004</c:v>
                </c:pt>
                <c:pt idx="29">
                  <c:v>2.7647599999999999</c:v>
                </c:pt>
                <c:pt idx="30">
                  <c:v>2.7705299999999999</c:v>
                </c:pt>
                <c:pt idx="31">
                  <c:v>2.7799100000000001</c:v>
                </c:pt>
                <c:pt idx="32">
                  <c:v>2.7940399999999999</c:v>
                </c:pt>
                <c:pt idx="33">
                  <c:v>2.8127600000000004</c:v>
                </c:pt>
                <c:pt idx="34">
                  <c:v>2.8335300000000001</c:v>
                </c:pt>
                <c:pt idx="35">
                  <c:v>2.8563100000000001</c:v>
                </c:pt>
                <c:pt idx="36">
                  <c:v>2.8811599999999999</c:v>
                </c:pt>
                <c:pt idx="37">
                  <c:v>2.9069099999999999</c:v>
                </c:pt>
                <c:pt idx="38">
                  <c:v>2.9335200000000001</c:v>
                </c:pt>
                <c:pt idx="39">
                  <c:v>2.9609100000000002</c:v>
                </c:pt>
                <c:pt idx="40">
                  <c:v>2.9894400000000001</c:v>
                </c:pt>
                <c:pt idx="41">
                  <c:v>3.0195300000000005</c:v>
                </c:pt>
                <c:pt idx="42">
                  <c:v>3.05091</c:v>
                </c:pt>
                <c:pt idx="43">
                  <c:v>3.0812600000000003</c:v>
                </c:pt>
                <c:pt idx="44">
                  <c:v>3.10765</c:v>
                </c:pt>
                <c:pt idx="45">
                  <c:v>3.1267699999999996</c:v>
                </c:pt>
                <c:pt idx="46">
                  <c:v>3.1410900000000002</c:v>
                </c:pt>
                <c:pt idx="47">
                  <c:v>3.1525099999999999</c:v>
                </c:pt>
                <c:pt idx="48">
                  <c:v>3.1593300000000002</c:v>
                </c:pt>
                <c:pt idx="49">
                  <c:v>3.1638300000000004</c:v>
                </c:pt>
                <c:pt idx="50">
                  <c:v>3.1666499999999997</c:v>
                </c:pt>
                <c:pt idx="51">
                  <c:v>3.17699</c:v>
                </c:pt>
                <c:pt idx="52">
                  <c:v>3.1872299999999996</c:v>
                </c:pt>
                <c:pt idx="53">
                  <c:v>3.1958500000000001</c:v>
                </c:pt>
                <c:pt idx="54">
                  <c:v>3.2031000000000001</c:v>
                </c:pt>
                <c:pt idx="55">
                  <c:v>3.2093300000000005</c:v>
                </c:pt>
                <c:pt idx="56">
                  <c:v>3.2153999999999998</c:v>
                </c:pt>
                <c:pt idx="57">
                  <c:v>3.2194600000000002</c:v>
                </c:pt>
                <c:pt idx="58">
                  <c:v>3.2211800000000004</c:v>
                </c:pt>
                <c:pt idx="59">
                  <c:v>3.2223099999999998</c:v>
                </c:pt>
                <c:pt idx="60">
                  <c:v>3.2216399999999998</c:v>
                </c:pt>
                <c:pt idx="61">
                  <c:v>3.2173400000000001</c:v>
                </c:pt>
                <c:pt idx="62">
                  <c:v>3.2117899999999997</c:v>
                </c:pt>
                <c:pt idx="63">
                  <c:v>3.2040500000000001</c:v>
                </c:pt>
                <c:pt idx="64">
                  <c:v>3.19306</c:v>
                </c:pt>
                <c:pt idx="65">
                  <c:v>3.1771700000000003</c:v>
                </c:pt>
                <c:pt idx="66">
                  <c:v>3.15665</c:v>
                </c:pt>
                <c:pt idx="67">
                  <c:v>3.1286900000000002</c:v>
                </c:pt>
                <c:pt idx="68">
                  <c:v>3.0956099999999998</c:v>
                </c:pt>
                <c:pt idx="69">
                  <c:v>3.0585100000000001</c:v>
                </c:pt>
                <c:pt idx="70">
                  <c:v>3.0301400000000003</c:v>
                </c:pt>
                <c:pt idx="71">
                  <c:v>3.0037099999999999</c:v>
                </c:pt>
                <c:pt idx="72">
                  <c:v>2.9694700000000003</c:v>
                </c:pt>
                <c:pt idx="73">
                  <c:v>2.9542600000000001</c:v>
                </c:pt>
                <c:pt idx="74">
                  <c:v>2.9389500000000002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35.938400000000001</c:v>
                </c:pt>
                <c:pt idx="1">
                  <c:v>35.218600000000002</c:v>
                </c:pt>
                <c:pt idx="2">
                  <c:v>34.656100000000002</c:v>
                </c:pt>
                <c:pt idx="3">
                  <c:v>34.087000000000003</c:v>
                </c:pt>
                <c:pt idx="4">
                  <c:v>33.488399999999999</c:v>
                </c:pt>
                <c:pt idx="5">
                  <c:v>32.933</c:v>
                </c:pt>
                <c:pt idx="6">
                  <c:v>32.4084</c:v>
                </c:pt>
                <c:pt idx="7">
                  <c:v>31.915300000000002</c:v>
                </c:pt>
                <c:pt idx="8">
                  <c:v>31.484200000000001</c:v>
                </c:pt>
                <c:pt idx="9">
                  <c:v>31.093399999999999</c:v>
                </c:pt>
                <c:pt idx="10">
                  <c:v>30.757200000000001</c:v>
                </c:pt>
                <c:pt idx="11">
                  <c:v>30.394300000000001</c:v>
                </c:pt>
                <c:pt idx="12">
                  <c:v>30.095300000000002</c:v>
                </c:pt>
                <c:pt idx="13">
                  <c:v>29.9099</c:v>
                </c:pt>
                <c:pt idx="14">
                  <c:v>29.720299999999998</c:v>
                </c:pt>
                <c:pt idx="15">
                  <c:v>29.580200000000001</c:v>
                </c:pt>
                <c:pt idx="16">
                  <c:v>29.507699999999996</c:v>
                </c:pt>
                <c:pt idx="17">
                  <c:v>29.5518</c:v>
                </c:pt>
                <c:pt idx="18">
                  <c:v>29.723800000000001</c:v>
                </c:pt>
                <c:pt idx="19">
                  <c:v>30.003</c:v>
                </c:pt>
                <c:pt idx="20">
                  <c:v>30.441700000000001</c:v>
                </c:pt>
                <c:pt idx="21">
                  <c:v>30.943700000000003</c:v>
                </c:pt>
                <c:pt idx="22">
                  <c:v>31.477300000000003</c:v>
                </c:pt>
                <c:pt idx="23">
                  <c:v>32.102199999999996</c:v>
                </c:pt>
                <c:pt idx="24">
                  <c:v>32.741300000000003</c:v>
                </c:pt>
                <c:pt idx="25">
                  <c:v>33.477800000000002</c:v>
                </c:pt>
                <c:pt idx="26">
                  <c:v>34.2121</c:v>
                </c:pt>
                <c:pt idx="27">
                  <c:v>34.963100000000004</c:v>
                </c:pt>
                <c:pt idx="28">
                  <c:v>35.7684</c:v>
                </c:pt>
                <c:pt idx="29">
                  <c:v>36.5779</c:v>
                </c:pt>
                <c:pt idx="30">
                  <c:v>37.313600000000001</c:v>
                </c:pt>
                <c:pt idx="31">
                  <c:v>37.976900000000001</c:v>
                </c:pt>
                <c:pt idx="32">
                  <c:v>38.555599999999998</c:v>
                </c:pt>
                <c:pt idx="33">
                  <c:v>38.996399999999994</c:v>
                </c:pt>
                <c:pt idx="34">
                  <c:v>39.363999999999997</c:v>
                </c:pt>
                <c:pt idx="35">
                  <c:v>39.645899999999997</c:v>
                </c:pt>
                <c:pt idx="36">
                  <c:v>39.876899999999999</c:v>
                </c:pt>
                <c:pt idx="37">
                  <c:v>40.075600000000001</c:v>
                </c:pt>
                <c:pt idx="38">
                  <c:v>40.217399999999998</c:v>
                </c:pt>
                <c:pt idx="39">
                  <c:v>40.3508</c:v>
                </c:pt>
                <c:pt idx="40">
                  <c:v>40.454700000000003</c:v>
                </c:pt>
                <c:pt idx="41">
                  <c:v>40.573100000000004</c:v>
                </c:pt>
                <c:pt idx="42">
                  <c:v>40.686299999999996</c:v>
                </c:pt>
                <c:pt idx="43">
                  <c:v>40.869299999999996</c:v>
                </c:pt>
                <c:pt idx="44">
                  <c:v>41.125</c:v>
                </c:pt>
                <c:pt idx="45">
                  <c:v>41.428799999999995</c:v>
                </c:pt>
                <c:pt idx="46">
                  <c:v>41.7836</c:v>
                </c:pt>
                <c:pt idx="47">
                  <c:v>42.116399999999999</c:v>
                </c:pt>
                <c:pt idx="48">
                  <c:v>42.410399999999996</c:v>
                </c:pt>
                <c:pt idx="49">
                  <c:v>42.674399999999999</c:v>
                </c:pt>
                <c:pt idx="50">
                  <c:v>42.905700000000003</c:v>
                </c:pt>
                <c:pt idx="51">
                  <c:v>42.9587</c:v>
                </c:pt>
                <c:pt idx="52">
                  <c:v>42.9833</c:v>
                </c:pt>
                <c:pt idx="53">
                  <c:v>42.972799999999999</c:v>
                </c:pt>
                <c:pt idx="54">
                  <c:v>42.964599999999997</c:v>
                </c:pt>
                <c:pt idx="55">
                  <c:v>42.969900000000003</c:v>
                </c:pt>
                <c:pt idx="56">
                  <c:v>42.9831</c:v>
                </c:pt>
                <c:pt idx="57">
                  <c:v>42.978100000000005</c:v>
                </c:pt>
                <c:pt idx="58">
                  <c:v>43.0017</c:v>
                </c:pt>
                <c:pt idx="59">
                  <c:v>43.039400000000001</c:v>
                </c:pt>
                <c:pt idx="60">
                  <c:v>43.119199999999999</c:v>
                </c:pt>
                <c:pt idx="61">
                  <c:v>43.240099999999998</c:v>
                </c:pt>
                <c:pt idx="62">
                  <c:v>43.374600000000001</c:v>
                </c:pt>
                <c:pt idx="63">
                  <c:v>43.5501</c:v>
                </c:pt>
                <c:pt idx="64">
                  <c:v>43.819399999999995</c:v>
                </c:pt>
                <c:pt idx="65">
                  <c:v>44.168900000000001</c:v>
                </c:pt>
                <c:pt idx="66">
                  <c:v>44.632399999999997</c:v>
                </c:pt>
                <c:pt idx="67">
                  <c:v>45.248600000000003</c:v>
                </c:pt>
                <c:pt idx="68">
                  <c:v>45.915499999999994</c:v>
                </c:pt>
                <c:pt idx="69">
                  <c:v>46.601799999999997</c:v>
                </c:pt>
                <c:pt idx="70">
                  <c:v>47.223500000000001</c:v>
                </c:pt>
                <c:pt idx="71">
                  <c:v>47.643700000000003</c:v>
                </c:pt>
                <c:pt idx="72">
                  <c:v>48.112000000000002</c:v>
                </c:pt>
                <c:pt idx="73">
                  <c:v>48.394100000000002</c:v>
                </c:pt>
                <c:pt idx="74">
                  <c:v>48.855900000000005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1.7280200000000001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59.575100000000006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3.0550120270270273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36.471845945945965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3.0225381081081077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38.505210810810802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3.0225381081081077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38.505210810810802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13"/>
      <c r="D1" s="114"/>
      <c r="E1" s="114"/>
      <c r="F1" s="114"/>
      <c r="G1" s="114"/>
      <c r="H1" s="114"/>
      <c r="I1" s="114"/>
      <c r="J1" s="26"/>
      <c r="K1" s="8"/>
      <c r="L1" s="2"/>
      <c r="M1" s="2"/>
      <c r="N1" s="2"/>
      <c r="O1" s="2"/>
      <c r="P1" s="2"/>
    </row>
    <row r="2" spans="2:21" ht="27.75" customHeight="1" thickBot="1">
      <c r="B2" s="154" t="s">
        <v>290</v>
      </c>
      <c r="C2" s="155"/>
      <c r="D2" s="155"/>
      <c r="E2" s="155"/>
      <c r="F2" s="155"/>
      <c r="G2" s="155"/>
      <c r="H2" s="155"/>
      <c r="I2" s="155"/>
      <c r="J2" s="155"/>
      <c r="K2" s="155"/>
      <c r="L2" s="90"/>
      <c r="M2" s="90"/>
      <c r="N2" s="90"/>
      <c r="O2" s="90"/>
      <c r="P2" s="90"/>
    </row>
    <row r="3" spans="2:21" ht="13.5">
      <c r="B3" s="136" t="str">
        <f>lang!B2</f>
        <v>心理生理状态分析结果</v>
      </c>
      <c r="C3" s="137"/>
      <c r="D3" s="137"/>
      <c r="E3" s="137"/>
      <c r="F3" s="137"/>
      <c r="G3" s="137"/>
      <c r="H3" s="137"/>
      <c r="I3" s="137"/>
      <c r="J3" s="137"/>
      <c r="K3" s="138"/>
    </row>
    <row r="4" spans="2:21" ht="34.5" customHeight="1" thickBot="1">
      <c r="B4" s="139"/>
      <c r="C4" s="140"/>
      <c r="D4" s="140"/>
      <c r="E4" s="140"/>
      <c r="F4" s="140"/>
      <c r="G4" s="140"/>
      <c r="H4" s="140"/>
      <c r="I4" s="140"/>
      <c r="J4" s="140"/>
      <c r="K4" s="141"/>
    </row>
    <row r="5" spans="2:21" ht="16.5" customHeight="1">
      <c r="B5" s="45" t="str">
        <f>lang!B24</f>
        <v>姓名</v>
      </c>
      <c r="C5" s="198" t="s">
        <v>571</v>
      </c>
      <c r="D5" s="151"/>
      <c r="E5" s="151"/>
      <c r="F5" s="152"/>
      <c r="G5" s="48" t="str">
        <f>lang!B27</f>
        <v>编号</v>
      </c>
      <c r="H5" s="150">
        <v>51</v>
      </c>
      <c r="I5" s="151"/>
      <c r="J5" s="151"/>
      <c r="K5" s="153"/>
    </row>
    <row r="6" spans="2:21" ht="17.25" customHeight="1">
      <c r="B6" s="46" t="str">
        <f>lang!B25</f>
        <v>性别</v>
      </c>
      <c r="C6" s="197" t="s">
        <v>570</v>
      </c>
      <c r="D6" s="188"/>
      <c r="E6" s="188"/>
      <c r="F6" s="189"/>
      <c r="G6" s="49" t="str">
        <f>lang!B28</f>
        <v xml:space="preserve"> 日期</v>
      </c>
      <c r="H6" s="172">
        <f>FH_info!A2</f>
        <v>43607.672881944447</v>
      </c>
      <c r="I6" s="173"/>
      <c r="J6" s="173"/>
      <c r="K6" s="174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90">
        <v>27</v>
      </c>
      <c r="D7" s="191"/>
      <c r="E7" s="191"/>
      <c r="F7" s="192"/>
      <c r="G7" s="50" t="str">
        <f>lang!B29</f>
        <v>误差率（%）</v>
      </c>
      <c r="H7" s="175">
        <f>M!B17*1</f>
        <v>16.2605</v>
      </c>
      <c r="I7" s="176"/>
      <c r="J7" s="176"/>
      <c r="K7" s="177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68" t="str">
        <f>lang!B30</f>
        <v>10项参数结果</v>
      </c>
      <c r="C8" s="169"/>
      <c r="D8" s="170"/>
      <c r="E8" s="170"/>
      <c r="F8" s="170"/>
      <c r="G8" s="170"/>
      <c r="H8" s="170"/>
      <c r="I8" s="170"/>
      <c r="J8" s="170"/>
      <c r="K8" s="171"/>
      <c r="M8" s="27" t="str">
        <f>lang!B14</f>
        <v>攻击性</v>
      </c>
      <c r="N8" s="59">
        <f>M!B5*1</f>
        <v>39.340899999999998</v>
      </c>
      <c r="O8" s="59">
        <f>M!C5*1</f>
        <v>8.4142600000000005</v>
      </c>
      <c r="P8" s="59">
        <f>M!D5*1</f>
        <v>21.388100000000001</v>
      </c>
      <c r="Q8" s="59">
        <f>M!E5*1</f>
        <v>20</v>
      </c>
      <c r="R8" s="59">
        <f>M!F5*1</f>
        <v>7.9105100000000004</v>
      </c>
      <c r="S8" s="59">
        <f>M!G5*1</f>
        <v>50</v>
      </c>
      <c r="T8" s="59">
        <f>M!H5*1</f>
        <v>49.6417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35.847200000000001</v>
      </c>
      <c r="O9" s="59">
        <f>M!C6*1</f>
        <v>4.2087199999999996</v>
      </c>
      <c r="P9" s="59">
        <f>M!D6*1</f>
        <v>11.7407</v>
      </c>
      <c r="Q9" s="59">
        <f>M!E6*1</f>
        <v>20</v>
      </c>
      <c r="R9" s="59">
        <f>M!F6*1</f>
        <v>25.609500000000001</v>
      </c>
      <c r="S9" s="59">
        <f>M!G6*1</f>
        <v>40</v>
      </c>
      <c r="T9" s="59">
        <f>M!H6*1</f>
        <v>43.107399999999998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7.9105100000000004</v>
      </c>
      <c r="D10" s="99">
        <f>N8</f>
        <v>39.340899999999998</v>
      </c>
      <c r="E10" s="100">
        <f>T8</f>
        <v>49.6417</v>
      </c>
      <c r="F10" s="91">
        <f>P8</f>
        <v>21.388100000000001</v>
      </c>
      <c r="G10" s="81" t="str">
        <f>CONCATENATE(M9,"
(20 ~ 40)")</f>
        <v>压力
(20 ~ 40)</v>
      </c>
      <c r="H10" s="98">
        <f>R9</f>
        <v>25.609500000000001</v>
      </c>
      <c r="I10" s="108">
        <f>N9</f>
        <v>35.847200000000001</v>
      </c>
      <c r="J10" s="98">
        <f>T9</f>
        <v>43.107399999999998</v>
      </c>
      <c r="K10" s="92">
        <f>P9</f>
        <v>11.7407</v>
      </c>
      <c r="L10" s="6"/>
      <c r="M10" s="27" t="str">
        <f>lang!B16</f>
        <v>焦虑</v>
      </c>
      <c r="N10" s="59">
        <f>M!B7*1</f>
        <v>24.517499999999998</v>
      </c>
      <c r="O10" s="59">
        <f>M!C7*1</f>
        <v>6.8702899999999998</v>
      </c>
      <c r="P10" s="59">
        <f>M!D7*1</f>
        <v>28.021999999999998</v>
      </c>
      <c r="Q10" s="59">
        <f>M!E7*1</f>
        <v>15</v>
      </c>
      <c r="R10" s="59">
        <f>M!F7*1</f>
        <v>9.5702099999999994</v>
      </c>
      <c r="S10" s="59">
        <f>M!G7*1</f>
        <v>40</v>
      </c>
      <c r="T10" s="59">
        <f>M!H7*1</f>
        <v>37.357300000000002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9.5702099999999994</v>
      </c>
      <c r="D11" s="102">
        <f>N10</f>
        <v>24.517499999999998</v>
      </c>
      <c r="E11" s="103">
        <f>T10</f>
        <v>37.357300000000002</v>
      </c>
      <c r="F11" s="94">
        <f>P10</f>
        <v>28.021999999999998</v>
      </c>
      <c r="G11" s="52" t="str">
        <f>CONCATENATE(M11,"
(20 ~ 50)")</f>
        <v>可疑
(20 ~ 50)</v>
      </c>
      <c r="H11" s="101">
        <f>R11</f>
        <v>14.767899999999999</v>
      </c>
      <c r="I11" s="104">
        <f>N11</f>
        <v>32.482799999999997</v>
      </c>
      <c r="J11" s="101">
        <f>T11</f>
        <v>37.087400000000002</v>
      </c>
      <c r="K11" s="95">
        <f>P11</f>
        <v>13.242000000000001</v>
      </c>
      <c r="L11" s="4"/>
      <c r="M11" s="27" t="str">
        <f>lang!B17</f>
        <v>可疑</v>
      </c>
      <c r="N11" s="59">
        <f>M!B8*1</f>
        <v>32.482799999999997</v>
      </c>
      <c r="O11" s="59">
        <f>M!C8*1</f>
        <v>4.3013700000000004</v>
      </c>
      <c r="P11" s="59">
        <f>M!D8*1</f>
        <v>13.242000000000001</v>
      </c>
      <c r="Q11" s="59">
        <f>M!E8*1</f>
        <v>20</v>
      </c>
      <c r="R11" s="59">
        <f>M!F8*1</f>
        <v>14.767899999999999</v>
      </c>
      <c r="S11" s="59">
        <f>M!G8*1</f>
        <v>50</v>
      </c>
      <c r="T11" s="59">
        <f>M!H8*1</f>
        <v>37.087400000000002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47.104100000000003</v>
      </c>
      <c r="D12" s="104">
        <f>N12</f>
        <v>64.565700000000007</v>
      </c>
      <c r="E12" s="101">
        <f>T12</f>
        <v>77.610100000000003</v>
      </c>
      <c r="F12" s="93">
        <f>P12</f>
        <v>10.341200000000001</v>
      </c>
      <c r="G12" s="52" t="str">
        <f>CONCATENATE(M13,"
(40 ~ 100)")</f>
        <v>自信
(40 ~ 100)</v>
      </c>
      <c r="H12" s="101">
        <f>R13</f>
        <v>68.267499999999998</v>
      </c>
      <c r="I12" s="104">
        <f>N13</f>
        <v>77.932599999999994</v>
      </c>
      <c r="J12" s="101">
        <f>T13</f>
        <v>83.232500000000002</v>
      </c>
      <c r="K12" s="95">
        <f>P13</f>
        <v>3.1210900000000001</v>
      </c>
      <c r="L12" s="4"/>
      <c r="M12" s="27" t="str">
        <f>lang!B18</f>
        <v>平衡</v>
      </c>
      <c r="N12" s="59">
        <f>M!B9*1</f>
        <v>64.565700000000007</v>
      </c>
      <c r="O12" s="59">
        <f>M!C9*1</f>
        <v>6.6768799999999997</v>
      </c>
      <c r="P12" s="59">
        <f>M!D9*1</f>
        <v>10.341200000000001</v>
      </c>
      <c r="Q12" s="59">
        <f>M!E9*1</f>
        <v>50</v>
      </c>
      <c r="R12" s="59">
        <f>M!F9*1</f>
        <v>47.104100000000003</v>
      </c>
      <c r="S12" s="59">
        <f>M!G9*1</f>
        <v>100</v>
      </c>
      <c r="T12" s="59">
        <f>M!H9*1</f>
        <v>77.610100000000003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5.3714199999999996</v>
      </c>
      <c r="D13" s="102">
        <f>N14</f>
        <v>17.669699999999999</v>
      </c>
      <c r="E13" s="103">
        <f>T14</f>
        <v>22.933399999999999</v>
      </c>
      <c r="F13" s="94">
        <f>P14</f>
        <v>24.042100000000001</v>
      </c>
      <c r="G13" s="52" t="str">
        <f>CONCATENATE(M15,"
(50 ~ 100)")</f>
        <v>自我调节
(50 ~ 100)</v>
      </c>
      <c r="H13" s="101">
        <f>R15</f>
        <v>61.047800000000002</v>
      </c>
      <c r="I13" s="104">
        <f>N15</f>
        <v>71.108800000000002</v>
      </c>
      <c r="J13" s="101">
        <f>T15</f>
        <v>79.267399999999995</v>
      </c>
      <c r="K13" s="95">
        <f>P15</f>
        <v>5.9055499999999999</v>
      </c>
      <c r="L13" s="4"/>
      <c r="M13" s="27" t="str">
        <f>lang!B19</f>
        <v>自信</v>
      </c>
      <c r="N13" s="59">
        <f>M!B10*1</f>
        <v>77.932599999999994</v>
      </c>
      <c r="O13" s="59">
        <f>M!C10*1</f>
        <v>2.43235</v>
      </c>
      <c r="P13" s="59">
        <f>M!D10*1</f>
        <v>3.1210900000000001</v>
      </c>
      <c r="Q13" s="59">
        <f>M!E10*1</f>
        <v>40</v>
      </c>
      <c r="R13" s="59">
        <f>M!F10*1</f>
        <v>68.267499999999998</v>
      </c>
      <c r="S13" s="59">
        <f>M!G10*1</f>
        <v>100</v>
      </c>
      <c r="T13" s="59">
        <f>M!H10*1</f>
        <v>83.232500000000002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14.158899999999999</v>
      </c>
      <c r="D14" s="106">
        <f>N16</f>
        <v>20.4969</v>
      </c>
      <c r="E14" s="107">
        <f>T16</f>
        <v>32.497399999999999</v>
      </c>
      <c r="F14" s="96">
        <f>P16</f>
        <v>15.5359</v>
      </c>
      <c r="G14" s="112" t="str">
        <f>CONCATENATE(M17,"
(10 ~ 50)")</f>
        <v>神经质
(10 ~ 50)</v>
      </c>
      <c r="H14" s="105">
        <f>R17</f>
        <v>1.5427900000000001</v>
      </c>
      <c r="I14" s="106">
        <f>N17</f>
        <v>31.843800000000002</v>
      </c>
      <c r="J14" s="107">
        <f>T17</f>
        <v>32.1965</v>
      </c>
      <c r="K14" s="97">
        <f>P17</f>
        <v>29.266400000000001</v>
      </c>
      <c r="M14" s="27" t="str">
        <f>lang!B20</f>
        <v>活力</v>
      </c>
      <c r="N14" s="59">
        <f>M!B11*1</f>
        <v>17.669699999999999</v>
      </c>
      <c r="O14" s="59">
        <f>M!C11*1</f>
        <v>4.2481600000000004</v>
      </c>
      <c r="P14" s="59">
        <f>M!D11*1</f>
        <v>24.042100000000001</v>
      </c>
      <c r="Q14" s="59">
        <f>M!E11*1</f>
        <v>10</v>
      </c>
      <c r="R14" s="59">
        <f>M!F11*1</f>
        <v>5.3714199999999996</v>
      </c>
      <c r="S14" s="59">
        <f>M!G11*1</f>
        <v>50</v>
      </c>
      <c r="T14" s="59">
        <f>M!H11*1</f>
        <v>22.933399999999999</v>
      </c>
      <c r="U14" s="14"/>
    </row>
    <row r="15" spans="2:21" ht="19.5" customHeight="1" thickBot="1">
      <c r="B15" s="147" t="str">
        <f>lang!B3</f>
        <v>参数表</v>
      </c>
      <c r="C15" s="148"/>
      <c r="D15" s="148"/>
      <c r="E15" s="148"/>
      <c r="F15" s="149"/>
      <c r="G15" s="144" t="str">
        <f>lang!B4</f>
        <v>情感状态分布图</v>
      </c>
      <c r="H15" s="145"/>
      <c r="I15" s="145"/>
      <c r="J15" s="145"/>
      <c r="K15" s="146"/>
      <c r="M15" s="27" t="str">
        <f>lang!B21</f>
        <v>自我调节</v>
      </c>
      <c r="N15" s="59">
        <f>M!B12*1</f>
        <v>71.108800000000002</v>
      </c>
      <c r="O15" s="59">
        <f>M!C12*1</f>
        <v>4.1993600000000004</v>
      </c>
      <c r="P15" s="59">
        <f>M!D12*1</f>
        <v>5.9055499999999999</v>
      </c>
      <c r="Q15" s="59">
        <f>M!E12*1</f>
        <v>50</v>
      </c>
      <c r="R15" s="59">
        <f>M!F12*1</f>
        <v>61.047800000000002</v>
      </c>
      <c r="S15" s="59">
        <f>M!G12*1</f>
        <v>100</v>
      </c>
      <c r="T15" s="59">
        <f>M!H12*1</f>
        <v>79.267399999999995</v>
      </c>
      <c r="U15" s="14"/>
    </row>
    <row r="16" spans="2:21" ht="21" customHeight="1">
      <c r="B16" s="38"/>
      <c r="C16" s="28"/>
      <c r="D16" s="28"/>
      <c r="E16" s="28"/>
      <c r="F16" s="28"/>
      <c r="G16" s="125"/>
      <c r="H16" s="126"/>
      <c r="I16" s="126"/>
      <c r="J16" s="126"/>
      <c r="K16" s="127"/>
      <c r="M16" s="27" t="str">
        <f>lang!B22</f>
        <v>抑郁</v>
      </c>
      <c r="N16" s="59">
        <f>M!B13*1</f>
        <v>20.4969</v>
      </c>
      <c r="O16" s="59">
        <f>M!C13*1</f>
        <v>3.18438</v>
      </c>
      <c r="P16" s="59">
        <f>M!D13*1</f>
        <v>15.5359</v>
      </c>
      <c r="Q16" s="59">
        <f>M!E13*1</f>
        <v>10</v>
      </c>
      <c r="R16" s="59">
        <f>M!F13*1</f>
        <v>14.158899999999999</v>
      </c>
      <c r="S16" s="59">
        <f>M!G13*1</f>
        <v>25</v>
      </c>
      <c r="T16" s="59">
        <f>M!H13*1</f>
        <v>32.497399999999999</v>
      </c>
      <c r="U16" s="14"/>
    </row>
    <row r="17" spans="2:24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7" t="str">
        <f>lang!B23</f>
        <v>神经质</v>
      </c>
      <c r="N17" s="59">
        <f>M!B14*1</f>
        <v>31.843800000000002</v>
      </c>
      <c r="O17" s="59">
        <f>M!C14*1</f>
        <v>9.3195099999999993</v>
      </c>
      <c r="P17" s="59">
        <f>M!D14*1</f>
        <v>29.266400000000001</v>
      </c>
      <c r="Q17" s="59">
        <f>M!E14*1</f>
        <v>10</v>
      </c>
      <c r="R17" s="59">
        <f>M!F14*1</f>
        <v>1.5427900000000001</v>
      </c>
      <c r="S17" s="59">
        <f>M!G14*1</f>
        <v>50</v>
      </c>
      <c r="T17" s="59">
        <f>M!H14*1</f>
        <v>32.1965</v>
      </c>
      <c r="U17" s="15"/>
    </row>
    <row r="18" spans="2:24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lang!B7</f>
        <v>Positive</v>
      </c>
      <c r="N18" s="65">
        <f>SUM(N12:N15)/4</f>
        <v>57.819200000000002</v>
      </c>
      <c r="O18" s="22">
        <f>N18/(N18+N19+N20)</f>
        <v>0.49402644385327166</v>
      </c>
      <c r="P18" s="65">
        <f>SUM(P12:P15)/4</f>
        <v>10.852485</v>
      </c>
      <c r="Q18" s="22">
        <f>P18/(P18+P19+P20)</f>
        <v>0.20929799302184773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lang!B8</f>
        <v>Negative</v>
      </c>
      <c r="N19" s="18">
        <f>SUM(N8:N11)/4</f>
        <v>33.0471</v>
      </c>
      <c r="O19" s="22">
        <f>N19/(N18+N19+N20)</f>
        <v>0.28236539579695763</v>
      </c>
      <c r="P19" s="18">
        <f>SUM(P8:P11)/4</f>
        <v>18.598199999999999</v>
      </c>
      <c r="Q19" s="22">
        <f>P19/(P18+P19+P20)</f>
        <v>0.35867968799946998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 t="str">
        <f>lang!B9</f>
        <v>Physiological</v>
      </c>
      <c r="N20" s="18">
        <f>(N16+N17)/2</f>
        <v>26.170349999999999</v>
      </c>
      <c r="O20" s="22">
        <f>N20/(N18+N19+N20)</f>
        <v>0.22360816034977077</v>
      </c>
      <c r="P20" s="18">
        <f>(P16+P17)/2</f>
        <v>22.401150000000001</v>
      </c>
      <c r="Q20" s="22">
        <f>P20/(P18+P19+P20)</f>
        <v>0.43202231897868226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21" t="str">
        <f>lang!B50</f>
        <v>Sat</v>
      </c>
      <c r="N21" s="88">
        <f ca="1">(info!V3-info!U3)-(info!X3-info!W3)</f>
        <v>2.3581040540540388E-2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28"/>
      <c r="H22" s="129"/>
      <c r="I22" s="129"/>
      <c r="J22" s="129"/>
      <c r="K22" s="13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31"/>
      <c r="H23" s="132"/>
      <c r="I23" s="132"/>
      <c r="J23" s="132"/>
      <c r="K23" s="133"/>
      <c r="M23" s="16"/>
      <c r="O23" s="17"/>
      <c r="Q23"/>
      <c r="T23"/>
      <c r="U23" s="19"/>
    </row>
    <row r="24" spans="2:24" ht="17.25" customHeight="1" thickBot="1">
      <c r="B24" s="193" t="str">
        <f>lang!B5</f>
        <v>频率分布直方图</v>
      </c>
      <c r="C24" s="194"/>
      <c r="D24" s="194"/>
      <c r="E24" s="194"/>
      <c r="F24" s="195"/>
      <c r="G24" s="122" t="str">
        <f>lang!B6</f>
        <v xml:space="preserve">心理变化 - 心理基础代谢 </v>
      </c>
      <c r="H24" s="123"/>
      <c r="I24" s="123"/>
      <c r="J24" s="123"/>
      <c r="K24" s="12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1.4940311504791319</v>
      </c>
      <c r="D25" s="44" t="str">
        <f>lang!B11</f>
        <v>频率方差</v>
      </c>
      <c r="E25" s="142">
        <f ca="1">FH!L3</f>
        <v>0.66917394152574705</v>
      </c>
      <c r="F25" s="143"/>
      <c r="G25" s="134" t="str">
        <f>lang!B12</f>
        <v>生理变化率</v>
      </c>
      <c r="H25" s="135"/>
      <c r="I25" s="62" t="str">
        <f ca="1">CONCATENATE(info!M7,"-",info!M8)</f>
        <v>26.1-59.6</v>
      </c>
      <c r="J25" s="42" t="str">
        <f>lang!B13</f>
        <v>千卡l/分钟</v>
      </c>
      <c r="K25" s="41" t="str">
        <f ca="1">CONCATENATE(info!M5,"-",info!M6)</f>
        <v>1.7-3.6</v>
      </c>
      <c r="M25" s="16"/>
      <c r="O25" s="17"/>
      <c r="P25" s="17"/>
      <c r="Q25"/>
      <c r="T25"/>
      <c r="U25" s="19"/>
    </row>
    <row r="26" spans="2:24" ht="156.75" customHeight="1" thickBot="1">
      <c r="B26" s="115" ph="1"/>
      <c r="C26" s="116" ph="1"/>
      <c r="D26" s="116" ph="1"/>
      <c r="E26" s="117" ph="1"/>
      <c r="F26" s="39" ph="1"/>
      <c r="G26" s="118"/>
      <c r="H26" s="119"/>
      <c r="I26" s="119"/>
      <c r="J26" s="120"/>
      <c r="K26" s="121"/>
      <c r="M26"/>
      <c r="O26" s="17"/>
      <c r="Q26"/>
      <c r="T26"/>
      <c r="U26" s="19"/>
    </row>
    <row r="27" spans="2:24" ht="15" customHeight="1" thickBot="1">
      <c r="B27" s="162" t="str">
        <f>CONCATENATE( lang!B31," ",ROUND(100-FH_info!L2,0),"%]")</f>
        <v>Result [Quality 100%]</v>
      </c>
      <c r="C27" s="163"/>
      <c r="D27" s="163"/>
      <c r="E27" s="163"/>
      <c r="F27" s="163"/>
      <c r="G27" s="163"/>
      <c r="H27" s="163"/>
      <c r="I27" s="163"/>
      <c r="J27" s="163"/>
      <c r="K27" s="164"/>
      <c r="M27"/>
      <c r="Q27"/>
      <c r="T27"/>
    </row>
    <row r="28" spans="2:24" ht="15.75" thickBot="1">
      <c r="B28" s="178" t="str">
        <f>lang!B32</f>
        <v>外向性</v>
      </c>
      <c r="C28" s="179"/>
      <c r="D28" s="180"/>
      <c r="E28" s="162">
        <f>M!B18*100</f>
        <v>39.774100000000004</v>
      </c>
      <c r="F28" s="164"/>
      <c r="G28" s="178" t="str">
        <f>lang!B33</f>
        <v>稳定性</v>
      </c>
      <c r="H28" s="179"/>
      <c r="I28" s="180"/>
      <c r="J28" s="181">
        <f>M!B19*100</f>
        <v>64.324200000000005</v>
      </c>
      <c r="K28" s="182"/>
    </row>
    <row r="29" spans="2:24" ht="24.75" customHeight="1">
      <c r="B29" s="165" t="str">
        <f>lang!B34</f>
        <v xml:space="preserve">心理生理状态分析结果： </v>
      </c>
      <c r="C29" s="166"/>
      <c r="D29" s="166"/>
      <c r="E29" s="166"/>
      <c r="F29" s="166"/>
      <c r="G29" s="166"/>
      <c r="H29" s="166"/>
      <c r="I29" s="166"/>
      <c r="J29" s="166"/>
      <c r="K29" s="167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83" t="str">
        <f>lang!B37</f>
        <v>意见</v>
      </c>
      <c r="C32" s="184"/>
      <c r="D32" s="185"/>
      <c r="E32" s="185"/>
      <c r="F32" s="185"/>
      <c r="G32" s="185"/>
      <c r="H32" s="185"/>
      <c r="I32" s="185"/>
      <c r="J32" s="185"/>
      <c r="K32" s="186"/>
      <c r="M32"/>
      <c r="Q32"/>
      <c r="T32"/>
      <c r="W32" s="33"/>
      <c r="X32" s="33"/>
    </row>
    <row r="33" spans="2:24" ht="18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20.25" customHeight="1">
      <c r="B34" s="156"/>
      <c r="C34" s="157"/>
      <c r="D34" s="157"/>
      <c r="E34" s="157"/>
      <c r="F34" s="157"/>
      <c r="G34" s="157"/>
      <c r="H34" s="157"/>
      <c r="I34" s="157"/>
      <c r="J34" s="157"/>
      <c r="K34" s="158"/>
      <c r="M34"/>
      <c r="Q34"/>
      <c r="T34"/>
      <c r="W34" s="33"/>
      <c r="X34" s="33"/>
    </row>
    <row r="35" spans="2:24" ht="35.25" customHeight="1" thickBot="1">
      <c r="B35" s="159"/>
      <c r="C35" s="160"/>
      <c r="D35" s="160"/>
      <c r="E35" s="160"/>
      <c r="F35" s="160"/>
      <c r="G35" s="160"/>
      <c r="H35" s="160"/>
      <c r="I35" s="160"/>
      <c r="J35" s="160"/>
      <c r="K35" s="161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13"/>
      <c r="D1" s="114"/>
      <c r="E1" s="114"/>
      <c r="F1" s="114"/>
      <c r="G1" s="114"/>
      <c r="H1" s="114"/>
      <c r="I1" s="114"/>
      <c r="J1" s="87"/>
      <c r="K1" s="87"/>
      <c r="L1" s="86"/>
      <c r="M1" s="86"/>
      <c r="N1" s="86"/>
      <c r="O1" s="86"/>
      <c r="P1" s="86"/>
    </row>
    <row r="2" spans="2:38" ht="13.5">
      <c r="B2" s="136" t="str">
        <f>lang!B2</f>
        <v>心理生理状态分析结果</v>
      </c>
      <c r="C2" s="137"/>
      <c r="D2" s="137"/>
      <c r="E2" s="137"/>
      <c r="F2" s="137"/>
      <c r="G2" s="137"/>
      <c r="H2" s="137"/>
      <c r="I2" s="137"/>
      <c r="J2" s="137"/>
      <c r="K2" s="138"/>
    </row>
    <row r="3" spans="2:38" ht="31.5" customHeight="1" thickBot="1">
      <c r="B3" s="139"/>
      <c r="C3" s="140"/>
      <c r="D3" s="140"/>
      <c r="E3" s="140"/>
      <c r="F3" s="140"/>
      <c r="G3" s="140"/>
      <c r="H3" s="140"/>
      <c r="I3" s="140"/>
      <c r="J3" s="140"/>
      <c r="K3" s="141"/>
    </row>
    <row r="4" spans="2:38" ht="16.5" customHeight="1">
      <c r="B4" s="45" t="str">
        <f>lang!B24</f>
        <v>姓名</v>
      </c>
      <c r="C4" s="150" t="str">
        <f>FH_info!B2</f>
        <v>.</v>
      </c>
      <c r="D4" s="151"/>
      <c r="E4" s="151"/>
      <c r="F4" s="152"/>
      <c r="G4" s="48" t="str">
        <f>lang!B27</f>
        <v>编号</v>
      </c>
      <c r="H4" s="150"/>
      <c r="I4" s="151"/>
      <c r="J4" s="151"/>
      <c r="K4" s="153"/>
    </row>
    <row r="5" spans="2:38" ht="17.25" customHeight="1">
      <c r="B5" s="46" t="str">
        <f>lang!B25</f>
        <v>性别</v>
      </c>
      <c r="C5" s="187"/>
      <c r="D5" s="188"/>
      <c r="E5" s="188"/>
      <c r="F5" s="189"/>
      <c r="G5" s="49" t="str">
        <f>lang!B28</f>
        <v xml:space="preserve"> 日期</v>
      </c>
      <c r="H5" s="172">
        <f>FH_info!A2</f>
        <v>43607.672881944447</v>
      </c>
      <c r="I5" s="173"/>
      <c r="J5" s="173"/>
      <c r="K5" s="174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90"/>
      <c r="D6" s="191"/>
      <c r="E6" s="191"/>
      <c r="F6" s="192"/>
      <c r="G6" s="50" t="str">
        <f>lang!B29</f>
        <v>误差率（%）</v>
      </c>
      <c r="H6" s="175">
        <f>dM!B17*1</f>
        <v>0</v>
      </c>
      <c r="I6" s="176"/>
      <c r="J6" s="176"/>
      <c r="K6" s="177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68" t="str">
        <f>lang!B30</f>
        <v>10项参数结果</v>
      </c>
      <c r="C7" s="169"/>
      <c r="D7" s="170"/>
      <c r="E7" s="170"/>
      <c r="F7" s="170"/>
      <c r="G7" s="170"/>
      <c r="H7" s="170"/>
      <c r="I7" s="170"/>
      <c r="J7" s="170"/>
      <c r="K7" s="171"/>
      <c r="M7" s="27" t="str">
        <f>lang!B14</f>
        <v>攻击性</v>
      </c>
      <c r="N7" s="59">
        <f>AF7-W7</f>
        <v>2.5031000000000034</v>
      </c>
      <c r="O7" s="59">
        <f t="shared" ref="O7:T7" si="2">AG7-X7</f>
        <v>-7.00746</v>
      </c>
      <c r="P7" s="59">
        <f t="shared" si="2"/>
        <v>-19.474379999999996</v>
      </c>
      <c r="Q7" s="59">
        <f t="shared" si="2"/>
        <v>0</v>
      </c>
      <c r="R7" s="59">
        <f t="shared" si="2"/>
        <v>23.226590000000002</v>
      </c>
      <c r="S7" s="59">
        <f t="shared" si="2"/>
        <v>0</v>
      </c>
      <c r="T7" s="59">
        <f t="shared" si="2"/>
        <v>-3.988900000000001</v>
      </c>
      <c r="U7" s="14"/>
      <c r="V7" s="27" t="str">
        <f>M7</f>
        <v>攻击性</v>
      </c>
      <c r="W7" s="59">
        <f>'M1'!B5*1</f>
        <v>37.217799999999997</v>
      </c>
      <c r="X7" s="59">
        <f>'M1'!C5*1</f>
        <v>10.8246</v>
      </c>
      <c r="Y7" s="59">
        <f>'M1'!D5*1</f>
        <v>29.084299999999999</v>
      </c>
      <c r="Z7" s="59">
        <f>'M1'!E5*1</f>
        <v>20</v>
      </c>
      <c r="AA7" s="59">
        <f>'M1'!F5*1</f>
        <v>7.9105100000000004</v>
      </c>
      <c r="AB7" s="59">
        <f>'M1'!G5*1</f>
        <v>50</v>
      </c>
      <c r="AC7" s="59">
        <f>'M1'!H5*1</f>
        <v>49.6417</v>
      </c>
      <c r="AE7" s="27" t="str">
        <f>V7</f>
        <v>攻击性</v>
      </c>
      <c r="AF7" s="59">
        <f>'M2'!B5*1</f>
        <v>39.7209</v>
      </c>
      <c r="AG7" s="59">
        <f>'M2'!C5*1</f>
        <v>3.8171400000000002</v>
      </c>
      <c r="AH7" s="59">
        <f>'M2'!D5*1</f>
        <v>9.6099200000000007</v>
      </c>
      <c r="AI7" s="59">
        <f>'M2'!E5*1</f>
        <v>20</v>
      </c>
      <c r="AJ7" s="59">
        <f>'M2'!F5*1</f>
        <v>31.1371</v>
      </c>
      <c r="AK7" s="59">
        <f>'M2'!G5*1</f>
        <v>50</v>
      </c>
      <c r="AL7" s="59">
        <f>'M2'!H5*1</f>
        <v>45.652799999999999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6.9651999999999958</v>
      </c>
      <c r="O8" s="59">
        <f t="shared" ref="O8:O16" si="5">AG8-X8</f>
        <v>-0.12917000000000023</v>
      </c>
      <c r="P8" s="59">
        <f t="shared" ref="P8:P16" si="6">AH8-Y8</f>
        <v>-1.740590000000001</v>
      </c>
      <c r="Q8" s="59">
        <f t="shared" ref="Q8:Q16" si="7">AI8-Z8</f>
        <v>0</v>
      </c>
      <c r="R8" s="59">
        <f t="shared" ref="R8:R16" si="8">AJ8-AA8</f>
        <v>8.683600000000002</v>
      </c>
      <c r="S8" s="59">
        <f t="shared" ref="S8:S16" si="9">AK8-AB8</f>
        <v>0</v>
      </c>
      <c r="T8" s="59">
        <f t="shared" ref="T8:T16" si="10">AL8-AC8</f>
        <v>5.0238000000000014</v>
      </c>
      <c r="U8" s="15"/>
      <c r="V8" s="27" t="str">
        <f t="shared" ref="V8:V16" si="11">M8</f>
        <v>压力</v>
      </c>
      <c r="W8" s="59">
        <f>'M1'!B6*1</f>
        <v>33.571300000000001</v>
      </c>
      <c r="X8" s="59">
        <f>'M1'!C6*1</f>
        <v>2.7782300000000002</v>
      </c>
      <c r="Y8" s="59">
        <f>'M1'!D6*1</f>
        <v>8.2756000000000007</v>
      </c>
      <c r="Z8" s="59">
        <f>'M1'!E6*1</f>
        <v>20</v>
      </c>
      <c r="AA8" s="59">
        <f>'M1'!F6*1</f>
        <v>25.609500000000001</v>
      </c>
      <c r="AB8" s="59">
        <f>'M1'!G6*1</f>
        <v>40</v>
      </c>
      <c r="AC8" s="59">
        <f>'M1'!H6*1</f>
        <v>38.083599999999997</v>
      </c>
      <c r="AE8" s="27" t="str">
        <f t="shared" ref="AE8:AE16" si="12">V8</f>
        <v>压力</v>
      </c>
      <c r="AF8" s="59">
        <f>'M2'!B6*1</f>
        <v>40.536499999999997</v>
      </c>
      <c r="AG8" s="59">
        <f>'M2'!C6*1</f>
        <v>2.64906</v>
      </c>
      <c r="AH8" s="59">
        <f>'M2'!D6*1</f>
        <v>6.5350099999999998</v>
      </c>
      <c r="AI8" s="59">
        <f>'M2'!E6*1</f>
        <v>20</v>
      </c>
      <c r="AJ8" s="59">
        <f>'M2'!F6*1</f>
        <v>34.293100000000003</v>
      </c>
      <c r="AK8" s="59">
        <f>'M2'!G6*1</f>
        <v>40</v>
      </c>
      <c r="AL8" s="59">
        <f>'M2'!H6*1</f>
        <v>43.107399999999998</v>
      </c>
    </row>
    <row r="9" spans="2:38" s="7" customFormat="1" ht="21" customHeight="1">
      <c r="B9" s="76" t="str">
        <f>CONCATENATE(M7,"
(20 ~ 50)")</f>
        <v>攻击性
(20 ~ 50)</v>
      </c>
      <c r="C9" s="77">
        <f>R7</f>
        <v>23.226590000000002</v>
      </c>
      <c r="D9" s="78">
        <f>N7</f>
        <v>2.5031000000000034</v>
      </c>
      <c r="E9" s="79">
        <f>T7</f>
        <v>-3.988900000000001</v>
      </c>
      <c r="F9" s="79">
        <f>P7</f>
        <v>-19.474379999999996</v>
      </c>
      <c r="G9" s="80" t="str">
        <f>CONCATENATE(M8,"
(20 ~ 40)")</f>
        <v>压力
(20 ~ 40)</v>
      </c>
      <c r="H9" s="77">
        <f>R8</f>
        <v>8.683600000000002</v>
      </c>
      <c r="I9" s="81">
        <f>N8</f>
        <v>6.9651999999999958</v>
      </c>
      <c r="J9" s="77">
        <f>T8</f>
        <v>5.0238000000000014</v>
      </c>
      <c r="K9" s="82">
        <f>P8</f>
        <v>-1.740590000000001</v>
      </c>
      <c r="L9" s="6"/>
      <c r="M9" s="27" t="str">
        <f>lang!B16</f>
        <v>焦虑</v>
      </c>
      <c r="N9" s="59">
        <f t="shared" si="4"/>
        <v>-4.6485000000000021</v>
      </c>
      <c r="O9" s="59">
        <f t="shared" si="5"/>
        <v>2.8919299999999994</v>
      </c>
      <c r="P9" s="59">
        <f t="shared" si="6"/>
        <v>17.748100000000001</v>
      </c>
      <c r="Q9" s="59">
        <f t="shared" si="7"/>
        <v>0</v>
      </c>
      <c r="R9" s="59">
        <f t="shared" si="8"/>
        <v>-7.1087899999999991</v>
      </c>
      <c r="S9" s="59">
        <f t="shared" si="9"/>
        <v>0</v>
      </c>
      <c r="T9" s="59">
        <f t="shared" si="10"/>
        <v>0.33279999999999887</v>
      </c>
      <c r="U9" s="14"/>
      <c r="V9" s="27" t="str">
        <f t="shared" si="11"/>
        <v>焦虑</v>
      </c>
      <c r="W9" s="59">
        <f>'M1'!B7*1</f>
        <v>25.782900000000001</v>
      </c>
      <c r="X9" s="59">
        <f>'M1'!C7*1</f>
        <v>4.7644900000000003</v>
      </c>
      <c r="Y9" s="59">
        <f>'M1'!D7*1</f>
        <v>18.479199999999999</v>
      </c>
      <c r="Z9" s="59">
        <f>'M1'!E7*1</f>
        <v>15</v>
      </c>
      <c r="AA9" s="59">
        <f>'M1'!F7*1</f>
        <v>16.678999999999998</v>
      </c>
      <c r="AB9" s="59">
        <f>'M1'!G7*1</f>
        <v>40</v>
      </c>
      <c r="AC9" s="59">
        <f>'M1'!H7*1</f>
        <v>37.024500000000003</v>
      </c>
      <c r="AE9" s="27" t="str">
        <f t="shared" si="12"/>
        <v>焦虑</v>
      </c>
      <c r="AF9" s="59">
        <f>'M2'!B7*1</f>
        <v>21.134399999999999</v>
      </c>
      <c r="AG9" s="59">
        <f>'M2'!C7*1</f>
        <v>7.6564199999999998</v>
      </c>
      <c r="AH9" s="59">
        <f>'M2'!D7*1</f>
        <v>36.2273</v>
      </c>
      <c r="AI9" s="59">
        <f>'M2'!E7*1</f>
        <v>15</v>
      </c>
      <c r="AJ9" s="59">
        <f>'M2'!F7*1</f>
        <v>9.5702099999999994</v>
      </c>
      <c r="AK9" s="59">
        <f>'M2'!G7*1</f>
        <v>40</v>
      </c>
      <c r="AL9" s="59">
        <f>'M2'!H7*1</f>
        <v>37.357300000000002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-7.1087899999999991</v>
      </c>
      <c r="D10" s="51">
        <f>N9</f>
        <v>-4.6485000000000021</v>
      </c>
      <c r="E10" s="53">
        <f>T9</f>
        <v>0.33279999999999887</v>
      </c>
      <c r="F10" s="53">
        <f>P9</f>
        <v>17.748100000000001</v>
      </c>
      <c r="G10" s="73" t="str">
        <f>CONCATENATE(M10,"
(20 ~ 50)")</f>
        <v>可疑
(20 ~ 50)</v>
      </c>
      <c r="H10" s="24">
        <f>R10</f>
        <v>14.684100000000003</v>
      </c>
      <c r="I10" s="52">
        <f>N10</f>
        <v>0.75570000000000448</v>
      </c>
      <c r="J10" s="24">
        <f>T10</f>
        <v>-0.18189999999999884</v>
      </c>
      <c r="K10" s="25">
        <f>P10</f>
        <v>-9.4634</v>
      </c>
      <c r="L10" s="4"/>
      <c r="M10" s="27" t="str">
        <f>lang!B17</f>
        <v>可疑</v>
      </c>
      <c r="N10" s="59">
        <f t="shared" si="4"/>
        <v>0.75570000000000448</v>
      </c>
      <c r="O10" s="59">
        <f t="shared" si="5"/>
        <v>-2.9797399999999996</v>
      </c>
      <c r="P10" s="59">
        <f t="shared" si="6"/>
        <v>-9.4634</v>
      </c>
      <c r="Q10" s="59">
        <f t="shared" si="7"/>
        <v>0</v>
      </c>
      <c r="R10" s="59">
        <f t="shared" si="8"/>
        <v>14.684100000000003</v>
      </c>
      <c r="S10" s="59">
        <f t="shared" si="9"/>
        <v>0</v>
      </c>
      <c r="T10" s="59">
        <f t="shared" si="10"/>
        <v>-0.18189999999999884</v>
      </c>
      <c r="U10" s="14"/>
      <c r="V10" s="27" t="str">
        <f t="shared" si="11"/>
        <v>可疑</v>
      </c>
      <c r="W10" s="59">
        <f>'M1'!B8*1</f>
        <v>32.058399999999999</v>
      </c>
      <c r="X10" s="59">
        <f>'M1'!C8*1</f>
        <v>5.3277799999999997</v>
      </c>
      <c r="Y10" s="59">
        <f>'M1'!D8*1</f>
        <v>16.619</v>
      </c>
      <c r="Z10" s="59">
        <f>'M1'!E8*1</f>
        <v>20</v>
      </c>
      <c r="AA10" s="59">
        <f>'M1'!F8*1</f>
        <v>14.767899999999999</v>
      </c>
      <c r="AB10" s="59">
        <f>'M1'!G8*1</f>
        <v>50</v>
      </c>
      <c r="AC10" s="59">
        <f>'M1'!H8*1</f>
        <v>37.087400000000002</v>
      </c>
      <c r="AE10" s="27" t="str">
        <f t="shared" si="12"/>
        <v>可疑</v>
      </c>
      <c r="AF10" s="59">
        <f>'M2'!B8*1</f>
        <v>32.814100000000003</v>
      </c>
      <c r="AG10" s="59">
        <f>'M2'!C8*1</f>
        <v>2.3480400000000001</v>
      </c>
      <c r="AH10" s="59">
        <f>'M2'!D8*1</f>
        <v>7.1555999999999997</v>
      </c>
      <c r="AI10" s="59">
        <f>'M2'!E8*1</f>
        <v>20</v>
      </c>
      <c r="AJ10" s="59">
        <f>'M2'!F8*1</f>
        <v>29.452000000000002</v>
      </c>
      <c r="AK10" s="59">
        <f>'M2'!G8*1</f>
        <v>50</v>
      </c>
      <c r="AL10" s="59">
        <f>'M2'!H8*1</f>
        <v>36.905500000000004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-9.923099999999998</v>
      </c>
      <c r="D11" s="52">
        <f>N11</f>
        <v>-4.4146999999999963</v>
      </c>
      <c r="E11" s="24">
        <f>T11</f>
        <v>-1.7244000000000028</v>
      </c>
      <c r="F11" s="24">
        <f>P11</f>
        <v>3.8827299999999996</v>
      </c>
      <c r="G11" s="73" t="str">
        <f>CONCATENATE(M12,"
(40 ~ 100)")</f>
        <v>自信
(40 ~ 100)</v>
      </c>
      <c r="H11" s="24">
        <f>R12</f>
        <v>-6.8701000000000079</v>
      </c>
      <c r="I11" s="52">
        <f>N12</f>
        <v>-3.4649000000000001</v>
      </c>
      <c r="J11" s="24">
        <f>T12</f>
        <v>-3.8183000000000078</v>
      </c>
      <c r="K11" s="25">
        <f>P12</f>
        <v>0.48670000000000035</v>
      </c>
      <c r="L11" s="4"/>
      <c r="M11" s="27" t="str">
        <f>lang!B18</f>
        <v>平衡</v>
      </c>
      <c r="N11" s="59">
        <f t="shared" si="4"/>
        <v>-4.4146999999999963</v>
      </c>
      <c r="O11" s="59">
        <f t="shared" si="5"/>
        <v>2.0573999999999995</v>
      </c>
      <c r="P11" s="59">
        <f t="shared" si="6"/>
        <v>3.8827299999999996</v>
      </c>
      <c r="Q11" s="59">
        <f t="shared" si="7"/>
        <v>0</v>
      </c>
      <c r="R11" s="59">
        <f t="shared" si="8"/>
        <v>-9.923099999999998</v>
      </c>
      <c r="S11" s="59">
        <f t="shared" si="9"/>
        <v>0</v>
      </c>
      <c r="T11" s="59">
        <f t="shared" si="10"/>
        <v>-1.7244000000000028</v>
      </c>
      <c r="U11" s="14"/>
      <c r="V11" s="27" t="str">
        <f t="shared" si="11"/>
        <v>平衡</v>
      </c>
      <c r="W11" s="59">
        <f>'M1'!B9*1</f>
        <v>66.422799999999995</v>
      </c>
      <c r="X11" s="59">
        <f>'M1'!C9*1</f>
        <v>5.2693000000000003</v>
      </c>
      <c r="Y11" s="59">
        <f>'M1'!D9*1</f>
        <v>7.9329700000000001</v>
      </c>
      <c r="Z11" s="59">
        <f>'M1'!E9*1</f>
        <v>50</v>
      </c>
      <c r="AA11" s="59">
        <f>'M1'!F9*1</f>
        <v>57.027200000000001</v>
      </c>
      <c r="AB11" s="59">
        <f>'M1'!G9*1</f>
        <v>100</v>
      </c>
      <c r="AC11" s="59">
        <f>'M1'!H9*1</f>
        <v>77.610100000000003</v>
      </c>
      <c r="AE11" s="27" t="str">
        <f t="shared" si="12"/>
        <v>平衡</v>
      </c>
      <c r="AF11" s="59">
        <f>'M2'!B9*1</f>
        <v>62.008099999999999</v>
      </c>
      <c r="AG11" s="59">
        <f>'M2'!C9*1</f>
        <v>7.3266999999999998</v>
      </c>
      <c r="AH11" s="59">
        <f>'M2'!D9*1</f>
        <v>11.8157</v>
      </c>
      <c r="AI11" s="59">
        <f>'M2'!E9*1</f>
        <v>50</v>
      </c>
      <c r="AJ11" s="59">
        <f>'M2'!F9*1</f>
        <v>47.104100000000003</v>
      </c>
      <c r="AK11" s="59">
        <f>'M2'!G9*1</f>
        <v>100</v>
      </c>
      <c r="AL11" s="59">
        <f>'M2'!H9*1</f>
        <v>75.8857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7.7390800000000004</v>
      </c>
      <c r="D12" s="51">
        <f>N13</f>
        <v>1.2178000000000004</v>
      </c>
      <c r="E12" s="53">
        <f>T13</f>
        <v>-1.1564999999999976</v>
      </c>
      <c r="F12" s="53">
        <f>P13</f>
        <v>-13.864899999999999</v>
      </c>
      <c r="G12" s="73" t="str">
        <f>CONCATENATE(M14,"
(50 ~ 100)")</f>
        <v>自我调节
(50 ~ 100)</v>
      </c>
      <c r="H12" s="24">
        <f>R14</f>
        <v>-6.0153999999999925</v>
      </c>
      <c r="I12" s="52">
        <f>N14</f>
        <v>-4.3341000000000065</v>
      </c>
      <c r="J12" s="24">
        <f>T14</f>
        <v>-2.0392999999999972</v>
      </c>
      <c r="K12" s="25">
        <f>P14</f>
        <v>1.9245299999999999</v>
      </c>
      <c r="L12" s="4"/>
      <c r="M12" s="27" t="str">
        <f>lang!B19</f>
        <v>自信</v>
      </c>
      <c r="N12" s="59">
        <f t="shared" si="4"/>
        <v>-3.4649000000000001</v>
      </c>
      <c r="O12" s="59">
        <f t="shared" si="5"/>
        <v>0.29818000000000011</v>
      </c>
      <c r="P12" s="59">
        <f t="shared" si="6"/>
        <v>0.48670000000000035</v>
      </c>
      <c r="Q12" s="59">
        <f t="shared" si="7"/>
        <v>0</v>
      </c>
      <c r="R12" s="59">
        <f t="shared" si="8"/>
        <v>-6.8701000000000079</v>
      </c>
      <c r="S12" s="59">
        <f t="shared" si="9"/>
        <v>0</v>
      </c>
      <c r="T12" s="59">
        <f t="shared" si="10"/>
        <v>-3.8183000000000078</v>
      </c>
      <c r="U12" s="15"/>
      <c r="V12" s="27" t="str">
        <f t="shared" si="11"/>
        <v>自信</v>
      </c>
      <c r="W12" s="59">
        <f>'M1'!B10*1</f>
        <v>79.483500000000006</v>
      </c>
      <c r="X12" s="59">
        <f>'M1'!C10*1</f>
        <v>1.6472899999999999</v>
      </c>
      <c r="Y12" s="59">
        <f>'M1'!D10*1</f>
        <v>2.0724999999999998</v>
      </c>
      <c r="Z12" s="59">
        <f>'M1'!E10*1</f>
        <v>40</v>
      </c>
      <c r="AA12" s="59">
        <f>'M1'!F10*1</f>
        <v>75.137600000000006</v>
      </c>
      <c r="AB12" s="59">
        <f>'M1'!G10*1</f>
        <v>100</v>
      </c>
      <c r="AC12" s="59">
        <f>'M1'!H10*1</f>
        <v>83.232500000000002</v>
      </c>
      <c r="AE12" s="27" t="str">
        <f t="shared" si="12"/>
        <v>自信</v>
      </c>
      <c r="AF12" s="59">
        <f>'M2'!B10*1</f>
        <v>76.018600000000006</v>
      </c>
      <c r="AG12" s="59">
        <f>'M2'!C10*1</f>
        <v>1.94547</v>
      </c>
      <c r="AH12" s="59">
        <f>'M2'!D10*1</f>
        <v>2.5592000000000001</v>
      </c>
      <c r="AI12" s="59">
        <f>'M2'!E10*1</f>
        <v>40</v>
      </c>
      <c r="AJ12" s="59">
        <f>'M2'!F10*1</f>
        <v>68.267499999999998</v>
      </c>
      <c r="AK12" s="59">
        <f>'M2'!G10*1</f>
        <v>100</v>
      </c>
      <c r="AL12" s="59">
        <f>'M2'!H10*1</f>
        <v>79.414199999999994</v>
      </c>
    </row>
    <row r="13" spans="2:38" ht="25.5" customHeight="1" thickBot="1">
      <c r="B13" s="72" t="str">
        <f>CONCATENATE(M15,"
(10 ~ 25)")</f>
        <v>抑郁
(10 ~ 25)</v>
      </c>
      <c r="C13" s="54">
        <f>R15</f>
        <v>-3.7322000000000024</v>
      </c>
      <c r="D13" s="55">
        <f>N15</f>
        <v>-2.2986000000000004</v>
      </c>
      <c r="E13" s="56">
        <f>T15</f>
        <v>5.5543999999999976</v>
      </c>
      <c r="F13" s="56">
        <f>P15</f>
        <v>8.7831700000000019</v>
      </c>
      <c r="G13" s="74" t="str">
        <f>CONCATENATE(M16,"
(10 ~ 50)")</f>
        <v>神经质
(10 ~ 50)</v>
      </c>
      <c r="H13" s="54">
        <f>R16</f>
        <v>1.2400599999999997</v>
      </c>
      <c r="I13" s="55">
        <f>N16</f>
        <v>15.0472</v>
      </c>
      <c r="J13" s="56">
        <f>T16</f>
        <v>2.2408000000000001</v>
      </c>
      <c r="K13" s="57">
        <f>P16</f>
        <v>-7.2825999999999986</v>
      </c>
      <c r="M13" s="27" t="str">
        <f>lang!B20</f>
        <v>活力</v>
      </c>
      <c r="N13" s="59">
        <f t="shared" si="4"/>
        <v>1.2178000000000004</v>
      </c>
      <c r="O13" s="59">
        <f t="shared" si="5"/>
        <v>-2.1547200000000002</v>
      </c>
      <c r="P13" s="59">
        <f t="shared" si="6"/>
        <v>-13.864899999999999</v>
      </c>
      <c r="Q13" s="59">
        <f t="shared" si="7"/>
        <v>0</v>
      </c>
      <c r="R13" s="59">
        <f t="shared" si="8"/>
        <v>7.7390800000000004</v>
      </c>
      <c r="S13" s="59">
        <f t="shared" si="9"/>
        <v>0</v>
      </c>
      <c r="T13" s="59">
        <f t="shared" si="10"/>
        <v>-1.1564999999999976</v>
      </c>
      <c r="U13" s="14"/>
      <c r="V13" s="27" t="str">
        <f t="shared" si="11"/>
        <v>活力</v>
      </c>
      <c r="W13" s="59">
        <f>'M1'!B11*1</f>
        <v>16.9617</v>
      </c>
      <c r="X13" s="59">
        <f>'M1'!C11*1</f>
        <v>5.0954600000000001</v>
      </c>
      <c r="Y13" s="59">
        <f>'M1'!D11*1</f>
        <v>30.041</v>
      </c>
      <c r="Z13" s="59">
        <f>'M1'!E11*1</f>
        <v>10</v>
      </c>
      <c r="AA13" s="59">
        <f>'M1'!F11*1</f>
        <v>5.3714199999999996</v>
      </c>
      <c r="AB13" s="59">
        <f>'M1'!G11*1</f>
        <v>50</v>
      </c>
      <c r="AC13" s="59">
        <f>'M1'!H11*1</f>
        <v>22.933399999999999</v>
      </c>
      <c r="AE13" s="27" t="str">
        <f t="shared" si="12"/>
        <v>活力</v>
      </c>
      <c r="AF13" s="59">
        <f>'M2'!B11*1</f>
        <v>18.179500000000001</v>
      </c>
      <c r="AG13" s="59">
        <f>'M2'!C11*1</f>
        <v>2.9407399999999999</v>
      </c>
      <c r="AH13" s="59">
        <f>'M2'!D11*1</f>
        <v>16.176100000000002</v>
      </c>
      <c r="AI13" s="59">
        <f>'M2'!E11*1</f>
        <v>10</v>
      </c>
      <c r="AJ13" s="59">
        <f>'M2'!F11*1</f>
        <v>13.1105</v>
      </c>
      <c r="AK13" s="59">
        <f>'M2'!G11*1</f>
        <v>50</v>
      </c>
      <c r="AL13" s="59">
        <f>'M2'!H11*1</f>
        <v>21.776900000000001</v>
      </c>
    </row>
    <row r="14" spans="2:38" ht="19.5" customHeight="1" thickBot="1">
      <c r="B14" s="147" t="str">
        <f>lang!B3</f>
        <v>参数表</v>
      </c>
      <c r="C14" s="148"/>
      <c r="D14" s="148"/>
      <c r="E14" s="148"/>
      <c r="F14" s="149"/>
      <c r="G14" s="144" t="str">
        <f>lang!B4</f>
        <v>情感状态分布图</v>
      </c>
      <c r="H14" s="145"/>
      <c r="I14" s="145"/>
      <c r="J14" s="145"/>
      <c r="K14" s="146"/>
      <c r="M14" s="27" t="str">
        <f>lang!B21</f>
        <v>自我调节</v>
      </c>
      <c r="N14" s="59">
        <f t="shared" si="4"/>
        <v>-4.3341000000000065</v>
      </c>
      <c r="O14" s="59">
        <f t="shared" si="5"/>
        <v>1.1294299999999997</v>
      </c>
      <c r="P14" s="59">
        <f t="shared" si="6"/>
        <v>1.9245299999999999</v>
      </c>
      <c r="Q14" s="59">
        <f t="shared" si="7"/>
        <v>0</v>
      </c>
      <c r="R14" s="59">
        <f t="shared" si="8"/>
        <v>-6.0153999999999925</v>
      </c>
      <c r="S14" s="59">
        <f t="shared" si="9"/>
        <v>0</v>
      </c>
      <c r="T14" s="59">
        <f t="shared" si="10"/>
        <v>-2.0392999999999972</v>
      </c>
      <c r="U14" s="14"/>
      <c r="V14" s="27" t="str">
        <f t="shared" si="11"/>
        <v>自我调节</v>
      </c>
      <c r="W14" s="59">
        <f>'M1'!B12*1</f>
        <v>72.863900000000001</v>
      </c>
      <c r="X14" s="59">
        <f>'M1'!C12*1</f>
        <v>3.1848800000000002</v>
      </c>
      <c r="Y14" s="59">
        <f>'M1'!D12*1</f>
        <v>4.3710000000000004</v>
      </c>
      <c r="Z14" s="59">
        <f>'M1'!E12*1</f>
        <v>50</v>
      </c>
      <c r="AA14" s="59">
        <f>'M1'!F12*1</f>
        <v>67.063199999999995</v>
      </c>
      <c r="AB14" s="59">
        <f>'M1'!G12*1</f>
        <v>100</v>
      </c>
      <c r="AC14" s="59">
        <f>'M1'!H12*1</f>
        <v>79.267399999999995</v>
      </c>
      <c r="AE14" s="27" t="str">
        <f t="shared" si="12"/>
        <v>自我调节</v>
      </c>
      <c r="AF14" s="59">
        <f>'M2'!B12*1</f>
        <v>68.529799999999994</v>
      </c>
      <c r="AG14" s="59">
        <f>'M2'!C12*1</f>
        <v>4.3143099999999999</v>
      </c>
      <c r="AH14" s="59">
        <f>'M2'!D12*1</f>
        <v>6.2955300000000003</v>
      </c>
      <c r="AI14" s="59">
        <f>'M2'!E12*1</f>
        <v>50</v>
      </c>
      <c r="AJ14" s="59">
        <f>'M2'!F12*1</f>
        <v>61.047800000000002</v>
      </c>
      <c r="AK14" s="59">
        <f>'M2'!G12*1</f>
        <v>100</v>
      </c>
      <c r="AL14" s="59">
        <f>'M2'!H12*1</f>
        <v>77.228099999999998</v>
      </c>
    </row>
    <row r="15" spans="2:38" ht="21" customHeight="1">
      <c r="B15" s="38"/>
      <c r="C15" s="28"/>
      <c r="D15" s="28"/>
      <c r="E15" s="28"/>
      <c r="F15" s="28"/>
      <c r="G15" s="125"/>
      <c r="H15" s="126"/>
      <c r="I15" s="126"/>
      <c r="J15" s="126"/>
      <c r="K15" s="127"/>
      <c r="M15" s="27" t="str">
        <f>lang!B22</f>
        <v>抑郁</v>
      </c>
      <c r="N15" s="59">
        <f t="shared" si="4"/>
        <v>-2.2986000000000004</v>
      </c>
      <c r="O15" s="59">
        <f t="shared" si="5"/>
        <v>1.5047199999999998</v>
      </c>
      <c r="P15" s="59">
        <f t="shared" si="6"/>
        <v>8.7831700000000019</v>
      </c>
      <c r="Q15" s="59">
        <f t="shared" si="7"/>
        <v>0</v>
      </c>
      <c r="R15" s="59">
        <f t="shared" si="8"/>
        <v>-3.7322000000000024</v>
      </c>
      <c r="S15" s="59">
        <f t="shared" si="9"/>
        <v>0</v>
      </c>
      <c r="T15" s="59">
        <f t="shared" si="10"/>
        <v>5.5543999999999976</v>
      </c>
      <c r="U15" s="14"/>
      <c r="V15" s="27" t="str">
        <f t="shared" si="11"/>
        <v>抑郁</v>
      </c>
      <c r="W15" s="59">
        <f>'M1'!B13*1</f>
        <v>22.026299999999999</v>
      </c>
      <c r="X15" s="59">
        <f>'M1'!C13*1</f>
        <v>2.1848100000000001</v>
      </c>
      <c r="Y15" s="59">
        <f>'M1'!D13*1</f>
        <v>9.9191299999999991</v>
      </c>
      <c r="Z15" s="59">
        <f>'M1'!E13*1</f>
        <v>10</v>
      </c>
      <c r="AA15" s="59">
        <f>'M1'!F13*1</f>
        <v>17.891100000000002</v>
      </c>
      <c r="AB15" s="59">
        <f>'M1'!G13*1</f>
        <v>25</v>
      </c>
      <c r="AC15" s="59">
        <f>'M1'!H13*1</f>
        <v>26.943000000000001</v>
      </c>
      <c r="AE15" s="27" t="str">
        <f t="shared" si="12"/>
        <v>抑郁</v>
      </c>
      <c r="AF15" s="59">
        <f>'M2'!B13*1</f>
        <v>19.727699999999999</v>
      </c>
      <c r="AG15" s="59">
        <f>'M2'!C13*1</f>
        <v>3.68953</v>
      </c>
      <c r="AH15" s="59">
        <f>'M2'!D13*1</f>
        <v>18.702300000000001</v>
      </c>
      <c r="AI15" s="59">
        <f>'M2'!E13*1</f>
        <v>10</v>
      </c>
      <c r="AJ15" s="59">
        <f>'M2'!F13*1</f>
        <v>14.158899999999999</v>
      </c>
      <c r="AK15" s="59">
        <f>'M2'!G13*1</f>
        <v>25</v>
      </c>
      <c r="AL15" s="59">
        <f>'M2'!H13*1</f>
        <v>32.497399999999999</v>
      </c>
    </row>
    <row r="16" spans="2:38" ht="21" customHeight="1">
      <c r="B16" s="29"/>
      <c r="C16" s="32"/>
      <c r="D16" s="32"/>
      <c r="E16" s="32"/>
      <c r="F16" s="32"/>
      <c r="G16" s="128"/>
      <c r="H16" s="129"/>
      <c r="I16" s="129"/>
      <c r="J16" s="129"/>
      <c r="K16" s="130"/>
      <c r="M16" s="27" t="str">
        <f>lang!B23</f>
        <v>神经质</v>
      </c>
      <c r="N16" s="59">
        <f t="shared" si="4"/>
        <v>15.0472</v>
      </c>
      <c r="O16" s="59">
        <f t="shared" si="5"/>
        <v>2.4448099999999995</v>
      </c>
      <c r="P16" s="59">
        <f t="shared" si="6"/>
        <v>-7.2825999999999986</v>
      </c>
      <c r="Q16" s="59">
        <f t="shared" si="7"/>
        <v>0</v>
      </c>
      <c r="R16" s="59">
        <f t="shared" si="8"/>
        <v>1.2400599999999997</v>
      </c>
      <c r="S16" s="59">
        <f t="shared" si="9"/>
        <v>0</v>
      </c>
      <c r="T16" s="59">
        <f t="shared" si="10"/>
        <v>2.2408000000000001</v>
      </c>
      <c r="U16" s="15"/>
      <c r="V16" s="27" t="str">
        <f t="shared" si="11"/>
        <v>神经质</v>
      </c>
      <c r="W16" s="59">
        <f>'M1'!B14*1</f>
        <v>21.848099999999999</v>
      </c>
      <c r="X16" s="59">
        <f>'M1'!C14*1</f>
        <v>7.4511799999999999</v>
      </c>
      <c r="Y16" s="59">
        <f>'M1'!D14*1</f>
        <v>34.104399999999998</v>
      </c>
      <c r="Z16" s="59">
        <f>'M1'!E14*1</f>
        <v>10</v>
      </c>
      <c r="AA16" s="59">
        <f>'M1'!F14*1</f>
        <v>1.5427900000000001</v>
      </c>
      <c r="AB16" s="59">
        <f>'M1'!G14*1</f>
        <v>50</v>
      </c>
      <c r="AC16" s="59">
        <f>'M1'!H14*1</f>
        <v>29.9557</v>
      </c>
      <c r="AE16" s="27" t="str">
        <f t="shared" si="12"/>
        <v>神经质</v>
      </c>
      <c r="AF16" s="59">
        <f>'M2'!B14*1</f>
        <v>36.895299999999999</v>
      </c>
      <c r="AG16" s="59">
        <f>'M2'!C14*1</f>
        <v>9.8959899999999994</v>
      </c>
      <c r="AH16" s="59">
        <f>'M2'!D14*1</f>
        <v>26.8218</v>
      </c>
      <c r="AI16" s="59">
        <f>'M2'!E14*1</f>
        <v>10</v>
      </c>
      <c r="AJ16" s="59">
        <f>'M2'!F14*1</f>
        <v>2.7828499999999998</v>
      </c>
      <c r="AK16" s="59">
        <f>'M2'!G14*1</f>
        <v>50</v>
      </c>
      <c r="AL16" s="59">
        <f>'M2'!H14*1</f>
        <v>32.1965</v>
      </c>
    </row>
    <row r="17" spans="2:38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1" t="str">
        <f>lang!B7</f>
        <v>Positive</v>
      </c>
      <c r="N17" s="65">
        <f>SUM(N11:N14)/4</f>
        <v>-2.7489750000000006</v>
      </c>
      <c r="O17" s="22">
        <f>N17/(N17+N18+N19)</f>
        <v>-0.54769186324513885</v>
      </c>
      <c r="P17" s="65">
        <f>SUM(P11:P14)/4</f>
        <v>-1.8927349999999998</v>
      </c>
      <c r="Q17" s="22">
        <f>P17/(P17+P18+P19)</f>
        <v>0.43262341236349361</v>
      </c>
      <c r="R17" s="14"/>
      <c r="S17" s="14"/>
      <c r="T17" s="14"/>
      <c r="U17" s="14"/>
      <c r="V17" s="21" t="str">
        <f>M17</f>
        <v>Positive</v>
      </c>
      <c r="W17" s="65">
        <f>SUM(W11:W14)/4</f>
        <v>58.932974999999999</v>
      </c>
      <c r="X17" s="22">
        <f>W17/(W17+W18+W19)</f>
        <v>0.52140259330062899</v>
      </c>
      <c r="Y17" s="65">
        <f>SUM(Y11:Y14)/4</f>
        <v>11.1043675</v>
      </c>
      <c r="Z17" s="22">
        <f>Y17/(Y17+Y18+Y19)</f>
        <v>0.21675239089016182</v>
      </c>
      <c r="AA17" s="14"/>
      <c r="AB17" s="14"/>
      <c r="AC17" s="14"/>
      <c r="AE17" s="21" t="str">
        <f>V17</f>
        <v>Positive</v>
      </c>
      <c r="AF17" s="65">
        <f>SUM(AF11:AF14)/4</f>
        <v>56.183999999999997</v>
      </c>
      <c r="AG17" s="22">
        <f>AF17/(AF17+AF18+AF19)</f>
        <v>0.47594612229580641</v>
      </c>
      <c r="AH17" s="65">
        <f>SUM(AH11:AH14)/4</f>
        <v>9.2116325000000003</v>
      </c>
      <c r="AI17" s="22">
        <f>AH17/(AH17+AH18+AH19)</f>
        <v>0.19659602344563001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lang!B8</f>
        <v>Negative</v>
      </c>
      <c r="N18" s="18">
        <f>SUM(N7:N10)/4</f>
        <v>1.3938750000000004</v>
      </c>
      <c r="O18" s="22">
        <f>N18/(N17+N18+N19)</f>
        <v>0.27770859897991723</v>
      </c>
      <c r="P18" s="18">
        <f>SUM(P7:P10)/4</f>
        <v>-3.2325674999999991</v>
      </c>
      <c r="Q18" s="22">
        <f>P18/(P17+P18+P19)</f>
        <v>0.73886961595010781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32.157599999999995</v>
      </c>
      <c r="X18" s="22">
        <f>W18/(W17+W18+W19)</f>
        <v>0.28451059927526662</v>
      </c>
      <c r="Y18" s="18">
        <f>SUM(Y7:Y10)/4</f>
        <v>18.114525</v>
      </c>
      <c r="Z18" s="22">
        <f>Y18/(Y17+Y18+Y19)</f>
        <v>0.35358759547444812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33.551474999999996</v>
      </c>
      <c r="AG18" s="22">
        <f>AF18/(AF17+AF18+AF19)</f>
        <v>0.2842213872909492</v>
      </c>
      <c r="AH18" s="18">
        <f>SUM(AH7:AH10)/4</f>
        <v>14.8819575</v>
      </c>
      <c r="AI18" s="22">
        <f>AH18/(AH17+AH18+AH19)</f>
        <v>0.31761293837838944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lang!B9</f>
        <v>Physiological</v>
      </c>
      <c r="N19" s="18">
        <f>(N15+N16)/2</f>
        <v>6.3742999999999999</v>
      </c>
      <c r="O19" s="22">
        <f>N19/(N17+N18+N19)</f>
        <v>1.2699832642652216</v>
      </c>
      <c r="P19" s="18">
        <f>(P15+P16)/2</f>
        <v>0.75028500000000165</v>
      </c>
      <c r="Q19" s="22">
        <f>P19/(P17+P18+P19)</f>
        <v>-0.1714930283136015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21.937199999999997</v>
      </c>
      <c r="X19" s="22">
        <f>W19/(W17+W18+W19)</f>
        <v>0.19408680742410436</v>
      </c>
      <c r="Y19" s="18">
        <f>(Y15+Y16)/2</f>
        <v>22.011764999999997</v>
      </c>
      <c r="Z19" s="22">
        <f>Y19/(Y17+Y18+Y19)</f>
        <v>0.42966001363539003</v>
      </c>
      <c r="AA19" s="14"/>
      <c r="AB19" s="14"/>
      <c r="AC19" s="14"/>
      <c r="AE19" s="21" t="str">
        <f t="shared" si="14"/>
        <v>Physiological</v>
      </c>
      <c r="AF19" s="18">
        <f>(AF15+AF16)/2</f>
        <v>28.311499999999999</v>
      </c>
      <c r="AG19" s="22">
        <f>AF19/(AF17+AF18+AF19)</f>
        <v>0.23983249041324439</v>
      </c>
      <c r="AH19" s="18">
        <f>(AH15+AH16)/2</f>
        <v>22.762050000000002</v>
      </c>
      <c r="AI19" s="22">
        <f>AH19/(AH17+AH18+AH19)</f>
        <v>0.48579103817598057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31"/>
      <c r="H22" s="132"/>
      <c r="I22" s="132"/>
      <c r="J22" s="132"/>
      <c r="K22" s="133"/>
      <c r="M22" s="16"/>
      <c r="O22" s="17"/>
      <c r="Q22"/>
      <c r="T22"/>
      <c r="U22" s="19"/>
    </row>
    <row r="23" spans="2:38" ht="17.25" customHeight="1" thickBot="1">
      <c r="B23" s="193" t="str">
        <f>lang!B5</f>
        <v>频率分布直方图</v>
      </c>
      <c r="C23" s="194"/>
      <c r="D23" s="194"/>
      <c r="E23" s="194"/>
      <c r="F23" s="195"/>
      <c r="G23" s="122" t="str">
        <f>lang!B6</f>
        <v xml:space="preserve">心理变化 - 心理基础代谢 </v>
      </c>
      <c r="H23" s="123"/>
      <c r="I23" s="123"/>
      <c r="J23" s="123"/>
      <c r="K23" s="12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1.48/1.51</v>
      </c>
      <c r="D24" s="44" t="str">
        <f>lang!B11</f>
        <v>频率方差</v>
      </c>
      <c r="E24" s="142" t="str">
        <f ca="1">CONCATENATE(ROUND('FH1'!L3,2),"/",ROUND('FH2'!L3,2))</f>
        <v>0.72/0.62</v>
      </c>
      <c r="F24" s="143"/>
      <c r="G24" s="134" t="str">
        <f>lang!B12</f>
        <v>生理变化率</v>
      </c>
      <c r="H24" s="135"/>
      <c r="I24" s="62" t="str">
        <f ca="1">CONCATENATE(info!M7,"-",info!M8)</f>
        <v>26.1-59.6</v>
      </c>
      <c r="J24" s="42" t="str">
        <f>lang!B13</f>
        <v>千卡l/分钟</v>
      </c>
      <c r="K24" s="41" t="str">
        <f ca="1">CONCATENATE(info!M5,"-",info!M6)</f>
        <v>1.7-3.6</v>
      </c>
      <c r="M24" s="16"/>
      <c r="O24" s="17"/>
      <c r="P24" s="17"/>
      <c r="Q24"/>
      <c r="T24"/>
      <c r="U24" s="19"/>
    </row>
    <row r="25" spans="2:38" ht="156.75" customHeight="1" thickBot="1">
      <c r="B25" s="115"/>
      <c r="C25" s="116"/>
      <c r="D25" s="116"/>
      <c r="E25" s="117"/>
      <c r="F25" s="39"/>
      <c r="G25" s="118"/>
      <c r="H25" s="119"/>
      <c r="I25" s="119"/>
      <c r="J25" s="120"/>
      <c r="K25" s="121"/>
      <c r="M25"/>
      <c r="O25" s="17"/>
      <c r="Q25"/>
      <c r="T25"/>
      <c r="U25" s="19"/>
    </row>
    <row r="26" spans="2:38" ht="15" customHeight="1" thickBot="1">
      <c r="B26" s="162" t="str">
        <f>CONCATENATE( lang!B31," ",ROUND(100-FH_info!L2,0),"%]")</f>
        <v>Result [Quality 100%]</v>
      </c>
      <c r="C26" s="163"/>
      <c r="D26" s="163"/>
      <c r="E26" s="163"/>
      <c r="F26" s="163"/>
      <c r="G26" s="163"/>
      <c r="H26" s="163"/>
      <c r="I26" s="163"/>
      <c r="J26" s="163"/>
      <c r="K26" s="164"/>
      <c r="M26"/>
      <c r="Q26"/>
      <c r="T26"/>
    </row>
    <row r="27" spans="2:38" ht="15.75" thickBot="1">
      <c r="B27" s="178" t="str">
        <f>lang!B32</f>
        <v>外向性</v>
      </c>
      <c r="C27" s="179"/>
      <c r="D27" s="180"/>
      <c r="E27" s="162">
        <f>dM!B18*100</f>
        <v>-8.281600000000001</v>
      </c>
      <c r="F27" s="164"/>
      <c r="G27" s="178" t="str">
        <f>lang!B33</f>
        <v>稳定性</v>
      </c>
      <c r="H27" s="179"/>
      <c r="I27" s="180"/>
      <c r="J27" s="181">
        <f>dM!B19*100</f>
        <v>2.175399999999994</v>
      </c>
      <c r="K27" s="182"/>
    </row>
    <row r="28" spans="2:38" ht="24.75" customHeight="1">
      <c r="B28" s="165" t="str">
        <f>lang!B34</f>
        <v xml:space="preserve">心理生理状态分析结果： </v>
      </c>
      <c r="C28" s="166"/>
      <c r="D28" s="166"/>
      <c r="E28" s="166"/>
      <c r="F28" s="166"/>
      <c r="G28" s="166"/>
      <c r="H28" s="166"/>
      <c r="I28" s="166"/>
      <c r="J28" s="166"/>
      <c r="K28" s="167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83" t="str">
        <f>lang!B37</f>
        <v>意见</v>
      </c>
      <c r="C31" s="184"/>
      <c r="D31" s="185"/>
      <c r="E31" s="185"/>
      <c r="F31" s="185"/>
      <c r="G31" s="185"/>
      <c r="H31" s="185"/>
      <c r="I31" s="185"/>
      <c r="J31" s="185"/>
      <c r="K31" s="186"/>
      <c r="M31"/>
      <c r="Q31"/>
      <c r="T31"/>
      <c r="W31" s="33"/>
      <c r="X31" s="33"/>
    </row>
    <row r="32" spans="2:38" ht="18" customHeight="1">
      <c r="B32" s="156"/>
      <c r="C32" s="157"/>
      <c r="D32" s="157"/>
      <c r="E32" s="157"/>
      <c r="F32" s="157"/>
      <c r="G32" s="157"/>
      <c r="H32" s="157"/>
      <c r="I32" s="157"/>
      <c r="J32" s="157"/>
      <c r="K32" s="158"/>
      <c r="M32"/>
      <c r="Q32"/>
      <c r="T32"/>
      <c r="W32" s="33"/>
      <c r="X32" s="33"/>
    </row>
    <row r="33" spans="2:24" ht="20.25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35.25" customHeight="1" thickBot="1">
      <c r="B34" s="159"/>
      <c r="C34" s="160"/>
      <c r="D34" s="160"/>
      <c r="E34" s="160"/>
      <c r="F34" s="160"/>
      <c r="G34" s="160"/>
      <c r="H34" s="160"/>
      <c r="I34" s="160"/>
      <c r="J34" s="160"/>
      <c r="K34" s="161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  <mergeCell ref="B23:F23"/>
    <mergeCell ref="G23:K23"/>
    <mergeCell ref="E24:F24"/>
    <mergeCell ref="G24:H24"/>
    <mergeCell ref="B25:E25"/>
    <mergeCell ref="G25:K25"/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-0.89821147678324609</v>
      </c>
      <c r="C2">
        <f t="array" aca="1" ref="C2" ca="1">CORREL(FT_E02,FT_PH02)</f>
        <v>0.42275615875133676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1.7280200000000001</v>
      </c>
      <c r="G2" s="61">
        <f>IF(FT!B2&lt;&gt;"",FT!B2*100,"")</f>
        <v>59.575100000000006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1.7859</v>
      </c>
      <c r="G3" s="61">
        <f>IF(FT!B3&lt;&gt;"",FT!B3*100,"")</f>
        <v>58.682699999999997</v>
      </c>
      <c r="H3" s="61">
        <f t="shared" ref="H3:H66" si="1">(IF(F3&lt;&gt;"",1,""))</f>
        <v>1</v>
      </c>
      <c r="I3" t="str">
        <f>IF(FT!B3&lt;&gt;"",FT!E3,"")</f>
        <v>1 [0.405048]</v>
      </c>
      <c r="J3">
        <f>IF(FT!B3&lt;&gt;"",FT!C3,"")</f>
        <v>0.40504800000000002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0.36471845945945963</v>
      </c>
      <c r="V3">
        <f ca="1">AVERAGE(OFFSET(FT!B2,info!$L$3/2,0,info!$L$3/2,1))</f>
        <v>0.38505210810810803</v>
      </c>
      <c r="W3">
        <f ca="1">AVERAGE(OFFSET(FT!A2,0,0,info!$L$3/2,1))</f>
        <v>0.30550120270270276</v>
      </c>
      <c r="X3">
        <f ca="1">AVERAGE(OFFSET(FT!A2,info!$L$3/2,0,info!$L$3/2,1))</f>
        <v>0.30225381081081076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1.84219</v>
      </c>
      <c r="G4" s="61">
        <f>IF(FT!B4&lt;&gt;"",FT!B4*100,"")</f>
        <v>57.6798</v>
      </c>
      <c r="H4" s="61">
        <f t="shared" si="1"/>
        <v>1</v>
      </c>
      <c r="I4" t="str">
        <f>IF(FT!B4&lt;&gt;"",FT!E4,"")</f>
        <v>1 [0.811742]</v>
      </c>
      <c r="J4">
        <f>IF(FT!B4&lt;&gt;"",FT!C4,"")</f>
        <v>0.81174199999999996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14.943474999999999</v>
      </c>
      <c r="V4">
        <f>U4*3</f>
        <v>44.830424999999998</v>
      </c>
      <c r="W4">
        <f>U4</f>
        <v>14.943474999999999</v>
      </c>
      <c r="X4">
        <f>V4</f>
        <v>44.830424999999998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1.8961800000000002</v>
      </c>
      <c r="G5" s="61">
        <f>IF(FT!B5&lt;&gt;"",FT!B5*100,"")</f>
        <v>56.668700000000008</v>
      </c>
      <c r="H5" s="61">
        <f t="shared" si="1"/>
        <v>1</v>
      </c>
      <c r="I5" t="str">
        <f>IF(FT!B5&lt;&gt;"",FT!E5,"")</f>
        <v>1 [1.218529]</v>
      </c>
      <c r="J5">
        <f>IF(FT!B5&lt;&gt;"",FT!C5,"")</f>
        <v>1.2185299999999999</v>
      </c>
      <c r="K5" t="s">
        <v>53</v>
      </c>
      <c r="L5" s="63">
        <f ca="1">MIN(FT_E)</f>
        <v>1.7280200000000001</v>
      </c>
      <c r="M5" s="63">
        <f ca="1">ROUND(L5,1)</f>
        <v>1.7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36.471845945945965</v>
      </c>
      <c r="V5">
        <f ca="1">V3*100</f>
        <v>38.505210810810802</v>
      </c>
      <c r="W5">
        <f ca="1">W3*10</f>
        <v>3.0550120270270273</v>
      </c>
      <c r="X5">
        <f ca="1">X3*10</f>
        <v>3.0225381081081077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1.95075</v>
      </c>
      <c r="G6" s="61">
        <f>IF(FT!B6&lt;&gt;"",FT!B6*100,"")</f>
        <v>55.575300000000006</v>
      </c>
      <c r="H6" s="61">
        <f t="shared" si="1"/>
        <v>1</v>
      </c>
      <c r="I6" t="str">
        <f>IF(FT!B6&lt;&gt;"",FT!E6,"")</f>
        <v>1 [1.622630]</v>
      </c>
      <c r="J6">
        <f>IF(FT!B6&lt;&gt;"",FT!C6,"")</f>
        <v>1.62263</v>
      </c>
      <c r="K6" t="s">
        <v>54</v>
      </c>
      <c r="L6" s="63">
        <f ca="1">MAX(FT_E)</f>
        <v>3.5682499999999999</v>
      </c>
      <c r="M6" s="63">
        <f ca="1">ROUND(L6,1)</f>
        <v>3.6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2.0044400000000002</v>
      </c>
      <c r="G7" s="61">
        <f>IF(FT!B7&lt;&gt;"",FT!B7*100,"")</f>
        <v>54.445900000000002</v>
      </c>
      <c r="H7" s="61">
        <f t="shared" si="1"/>
        <v>1</v>
      </c>
      <c r="I7" t="str">
        <f>IF(FT!B7&lt;&gt;"",FT!E7,"")</f>
        <v>1 [2.034534]</v>
      </c>
      <c r="J7">
        <f>IF(FT!B7&lt;&gt;"",FT!C7,"")</f>
        <v>2.0345300000000002</v>
      </c>
      <c r="K7" t="s">
        <v>55</v>
      </c>
      <c r="L7" s="63">
        <f ca="1">MIN(FT_PH)</f>
        <v>26.129599999999996</v>
      </c>
      <c r="M7" s="63">
        <f ca="1">ROUND(L7,1)</f>
        <v>26.1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2381</v>
      </c>
      <c r="D8" s="61">
        <f>FH!B8*1</f>
        <v>2381</v>
      </c>
      <c r="E8">
        <f t="shared" si="3"/>
        <v>6</v>
      </c>
      <c r="F8" s="61">
        <f>IF(FT!A8&lt;&gt;"",FT!A8*10,"")</f>
        <v>2.0558100000000001</v>
      </c>
      <c r="G8" s="61">
        <f>IF(FT!B8&lt;&gt;"",FT!B8*100,"")</f>
        <v>53.402999999999999</v>
      </c>
      <c r="H8" s="61">
        <f t="shared" si="1"/>
        <v>1</v>
      </c>
      <c r="I8" t="str">
        <f>IF(FT!B8&lt;&gt;"",FT!E8,"")</f>
        <v>1 [2.434367]</v>
      </c>
      <c r="J8">
        <f>IF(FT!B8&lt;&gt;"",FT!C8,"")</f>
        <v>2.4343699999999999</v>
      </c>
      <c r="K8" t="s">
        <v>56</v>
      </c>
      <c r="L8" s="63">
        <f ca="1">MAX(FT_PH)</f>
        <v>59.575100000000006</v>
      </c>
      <c r="M8" s="63">
        <f ca="1">ROUND(L8,1)</f>
        <v>59.6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2.1054200000000001</v>
      </c>
      <c r="G9" s="61">
        <f>IF(FT!B9&lt;&gt;"",FT!B9*100,"")</f>
        <v>52.408799999999999</v>
      </c>
      <c r="H9" s="61">
        <f t="shared" si="1"/>
        <v>1</v>
      </c>
      <c r="I9" t="str">
        <f>IF(FT!B9&lt;&gt;"",FT!E9,"")</f>
        <v>1 [2.844220]</v>
      </c>
      <c r="J9">
        <f>IF(FT!B9&lt;&gt;"",FT!C9,"")</f>
        <v>2.84422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4165</v>
      </c>
      <c r="D10" s="61">
        <f>FH!B10*1</f>
        <v>4165</v>
      </c>
      <c r="E10">
        <f t="shared" si="3"/>
        <v>8</v>
      </c>
      <c r="F10" s="61">
        <f>IF(FT!A10&lt;&gt;"",FT!A10*10,"")</f>
        <v>2.1537899999999999</v>
      </c>
      <c r="G10" s="61">
        <f>IF(FT!B10&lt;&gt;"",FT!B10*100,"")</f>
        <v>51.458000000000006</v>
      </c>
      <c r="H10" s="61">
        <f t="shared" si="1"/>
        <v>1</v>
      </c>
      <c r="I10" t="str">
        <f>IF(FT!B10&lt;&gt;"",FT!E10,"")</f>
        <v>1 [3.249530]</v>
      </c>
      <c r="J10">
        <f>IF(FT!B10&lt;&gt;"",FT!C10,"")</f>
        <v>3.24953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2.2024900000000001</v>
      </c>
      <c r="G11" s="61">
        <f>IF(FT!B11&lt;&gt;"",FT!B11*100,"")</f>
        <v>50.431599999999996</v>
      </c>
      <c r="H11" s="61">
        <f t="shared" si="1"/>
        <v>1</v>
      </c>
      <c r="I11" t="str">
        <f>IF(FT!B11&lt;&gt;"",FT!E11,"")</f>
        <v>1 [3.656278]</v>
      </c>
      <c r="J11">
        <f>IF(FT!B11&lt;&gt;"",FT!C11,"")</f>
        <v>3.6562800000000002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2.2538399999999998</v>
      </c>
      <c r="G12" s="61">
        <f>IF(FT!B12&lt;&gt;"",FT!B12*100,"")</f>
        <v>49.231000000000002</v>
      </c>
      <c r="H12" s="61">
        <f t="shared" si="1"/>
        <v>1</v>
      </c>
      <c r="I12" t="str">
        <f>IF(FT!B12&lt;&gt;"",FT!E12,"")</f>
        <v>1 [4.064039]</v>
      </c>
      <c r="J12">
        <f>IF(FT!B12&lt;&gt;"",FT!C12,"")</f>
        <v>4.0640400000000003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15057</v>
      </c>
      <c r="D13" s="61">
        <f>FH!B13*1</f>
        <v>15057</v>
      </c>
      <c r="E13">
        <f t="shared" si="3"/>
        <v>11</v>
      </c>
      <c r="F13" s="61">
        <f>IF(FT!A13&lt;&gt;"",FT!A13*10,"")</f>
        <v>2.3058999999999998</v>
      </c>
      <c r="G13" s="61">
        <f>IF(FT!B13&lt;&gt;"",FT!B13*100,"")</f>
        <v>47.983899999999998</v>
      </c>
      <c r="H13" s="61">
        <f t="shared" si="1"/>
        <v>1</v>
      </c>
      <c r="I13" t="str">
        <f>IF(FT!B13&lt;&gt;"",FT!E13,"")</f>
        <v>1 [4.469088]</v>
      </c>
      <c r="J13">
        <f>IF(FT!B13&lt;&gt;"",FT!C13,"")</f>
        <v>4.4690899999999996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2.35934</v>
      </c>
      <c r="G14" s="61">
        <f>IF(FT!B14&lt;&gt;"",FT!B14*100,"")</f>
        <v>46.676899999999996</v>
      </c>
      <c r="H14" s="61">
        <f t="shared" si="1"/>
        <v>1</v>
      </c>
      <c r="I14" t="str">
        <f>IF(FT!B14&lt;&gt;"",FT!E14,"")</f>
        <v>1 [4.874871]</v>
      </c>
      <c r="J14">
        <f>IF(FT!B14&lt;&gt;"",FT!C14,"")</f>
        <v>4.8748699999999996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23042</v>
      </c>
      <c r="D15" s="61">
        <f>FH!B15*1</f>
        <v>23042</v>
      </c>
      <c r="E15">
        <f t="shared" si="3"/>
        <v>13</v>
      </c>
      <c r="F15" s="61">
        <f>IF(FT!A15&lt;&gt;"",FT!A15*10,"")</f>
        <v>2.4113799999999999</v>
      </c>
      <c r="G15" s="61">
        <f>IF(FT!B15&lt;&gt;"",FT!B15*100,"")</f>
        <v>45.285599999999995</v>
      </c>
      <c r="H15" s="61">
        <f t="shared" si="1"/>
        <v>1</v>
      </c>
      <c r="I15" t="str">
        <f>IF(FT!B15&lt;&gt;"",FT!E15,"")</f>
        <v>1 [5.283858]</v>
      </c>
      <c r="J15">
        <f>IF(FT!B15&lt;&gt;"",FT!C15,"")</f>
        <v>5.2838599999999998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2.4655199999999997</v>
      </c>
      <c r="G16" s="61">
        <f>IF(FT!B16&lt;&gt;"",FT!B16*100,"")</f>
        <v>43.8658</v>
      </c>
      <c r="H16" s="61">
        <f t="shared" si="1"/>
        <v>1</v>
      </c>
      <c r="I16" t="str">
        <f>IF(FT!B16&lt;&gt;"",FT!E16,"")</f>
        <v>1 [5.688878]</v>
      </c>
      <c r="J16">
        <f>IF(FT!B16&lt;&gt;"",FT!C16,"")</f>
        <v>5.6888800000000002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2.5219100000000001</v>
      </c>
      <c r="G17" s="61">
        <f>IF(FT!B17&lt;&gt;"",FT!B17*100,"")</f>
        <v>42.491800000000005</v>
      </c>
      <c r="H17" s="61">
        <f t="shared" si="1"/>
        <v>1</v>
      </c>
      <c r="I17" t="str">
        <f>IF(FT!B17&lt;&gt;"",FT!E17,"")</f>
        <v>1 [6.095543]</v>
      </c>
      <c r="J17">
        <f>IF(FT!B17&lt;&gt;"",FT!C17,"")</f>
        <v>6.0955399999999997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24133</v>
      </c>
      <c r="D18" s="61">
        <f>FH!B18*1</f>
        <v>24133</v>
      </c>
      <c r="E18">
        <f t="shared" si="3"/>
        <v>16</v>
      </c>
      <c r="F18" s="61">
        <f>IF(FT!A18&lt;&gt;"",FT!A18*10,"")</f>
        <v>2.5775700000000001</v>
      </c>
      <c r="G18" s="61">
        <f>IF(FT!B18&lt;&gt;"",FT!B18*100,"")</f>
        <v>41.1569</v>
      </c>
      <c r="H18" s="61">
        <f t="shared" si="1"/>
        <v>1</v>
      </c>
      <c r="I18" t="str">
        <f>IF(FT!B18&lt;&gt;"",FT!E18,"")</f>
        <v>1 [6.501499]</v>
      </c>
      <c r="J18">
        <f>IF(FT!B18&lt;&gt;"",FT!C18,"")</f>
        <v>6.5015000000000001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2.6334900000000001</v>
      </c>
      <c r="G19" s="61">
        <f>IF(FT!B19&lt;&gt;"",FT!B19*100,"")</f>
        <v>39.844099999999997</v>
      </c>
      <c r="H19" s="61">
        <f t="shared" si="1"/>
        <v>1</v>
      </c>
      <c r="I19" t="str">
        <f>IF(FT!B19&lt;&gt;"",FT!E19,"")</f>
        <v>1 [6.909302]</v>
      </c>
      <c r="J19">
        <f>IF(FT!B19&lt;&gt;"",FT!C19,"")</f>
        <v>6.9093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2.6897700000000002</v>
      </c>
      <c r="G20" s="61">
        <f>IF(FT!B20&lt;&gt;"",FT!B20*100,"")</f>
        <v>38.587500000000006</v>
      </c>
      <c r="H20" s="61">
        <f t="shared" si="1"/>
        <v>1</v>
      </c>
      <c r="I20" t="str">
        <f>IF(FT!B20&lt;&gt;"",FT!E20,"")</f>
        <v>1 [7.313362]</v>
      </c>
      <c r="J20">
        <f>IF(FT!B20&lt;&gt;"",FT!C20,"")</f>
        <v>7.3133600000000003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30307</v>
      </c>
      <c r="D21" s="61">
        <f>FH!B21*1</f>
        <v>30307</v>
      </c>
      <c r="E21">
        <f t="shared" si="3"/>
        <v>19</v>
      </c>
      <c r="F21" s="61">
        <f>IF(FT!A21&lt;&gt;"",FT!A21*10,"")</f>
        <v>2.7442899999999999</v>
      </c>
      <c r="G21" s="61">
        <f>IF(FT!B21&lt;&gt;"",FT!B21*100,"")</f>
        <v>37.370599999999996</v>
      </c>
      <c r="H21" s="61">
        <f t="shared" si="1"/>
        <v>1</v>
      </c>
      <c r="I21" t="str">
        <f>IF(FT!B21&lt;&gt;"",FT!E21,"")</f>
        <v>1 [7.719348]</v>
      </c>
      <c r="J21">
        <f>IF(FT!B21&lt;&gt;"",FT!C21,"")</f>
        <v>7.7193500000000004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2.7968500000000001</v>
      </c>
      <c r="G22" s="61">
        <f>IF(FT!B22&lt;&gt;"",FT!B22*100,"")</f>
        <v>36.156599999999997</v>
      </c>
      <c r="H22" s="61">
        <f t="shared" si="1"/>
        <v>1</v>
      </c>
      <c r="I22" t="str">
        <f>IF(FT!B22&lt;&gt;"",FT!E22,"")</f>
        <v>1 [8.127198]</v>
      </c>
      <c r="J22">
        <f>IF(FT!B22&lt;&gt;"",FT!C22,"")</f>
        <v>8.1272000000000002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43407</v>
      </c>
      <c r="D23" s="61">
        <f>FH!B23*1</f>
        <v>43407</v>
      </c>
      <c r="E23">
        <f t="shared" si="3"/>
        <v>21</v>
      </c>
      <c r="F23" s="61">
        <f>IF(FT!A23&lt;&gt;"",FT!A23*10,"")</f>
        <v>2.84823</v>
      </c>
      <c r="G23" s="61">
        <f>IF(FT!B23&lt;&gt;"",FT!B23*100,"")</f>
        <v>35.015800000000006</v>
      </c>
      <c r="H23" s="61">
        <f t="shared" si="1"/>
        <v>1</v>
      </c>
      <c r="I23" t="str">
        <f>IF(FT!B23&lt;&gt;"",FT!E23,"")</f>
        <v>1 [8.530971]</v>
      </c>
      <c r="J23">
        <f>IF(FT!B23&lt;&gt;"",FT!C23,"")</f>
        <v>8.5309699999999999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2.8959800000000002</v>
      </c>
      <c r="G24" s="61">
        <f>IF(FT!B24&lt;&gt;"",FT!B24*100,"")</f>
        <v>33.964800000000004</v>
      </c>
      <c r="H24" s="61">
        <f t="shared" si="1"/>
        <v>1</v>
      </c>
      <c r="I24" t="str">
        <f>IF(FT!B24&lt;&gt;"",FT!E24,"")</f>
        <v>1 [8.939014]</v>
      </c>
      <c r="J24">
        <f>IF(FT!B24&lt;&gt;"",FT!C24,"")</f>
        <v>8.9390099999999997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2.9419200000000001</v>
      </c>
      <c r="G25" s="61">
        <f>IF(FT!B25&lt;&gt;"",FT!B25*100,"")</f>
        <v>32.937100000000001</v>
      </c>
      <c r="H25" s="61">
        <f t="shared" si="1"/>
        <v>1</v>
      </c>
      <c r="I25" t="str">
        <f>IF(FT!B25&lt;&gt;"",FT!E25,"")</f>
        <v>1 [9.349365]</v>
      </c>
      <c r="J25">
        <f>IF(FT!B25&lt;&gt;"",FT!C25,"")</f>
        <v>9.3493600000000008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64272</v>
      </c>
      <c r="D26" s="61">
        <f>FH!B26*1</f>
        <v>64272</v>
      </c>
      <c r="E26">
        <f t="shared" si="3"/>
        <v>24</v>
      </c>
      <c r="F26" s="61">
        <f>IF(FT!A26&lt;&gt;"",FT!A26*10,"")</f>
        <v>2.9863200000000001</v>
      </c>
      <c r="G26" s="61">
        <f>IF(FT!B26&lt;&gt;"",FT!B26*100,"")</f>
        <v>31.9575</v>
      </c>
      <c r="H26" s="61">
        <f t="shared" si="1"/>
        <v>1</v>
      </c>
      <c r="I26" t="str">
        <f>IF(FT!B26&lt;&gt;"",FT!E26,"")</f>
        <v>1 [9.754684]</v>
      </c>
      <c r="J26">
        <f>IF(FT!B26&lt;&gt;"",FT!C26,"")</f>
        <v>9.7546800000000005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3.0301499999999999</v>
      </c>
      <c r="G27" s="61">
        <f>IF(FT!B27&lt;&gt;"",FT!B27*100,"")</f>
        <v>31.0091</v>
      </c>
      <c r="H27" s="61">
        <f t="shared" si="1"/>
        <v>1</v>
      </c>
      <c r="I27" t="str">
        <f>IF(FT!B27&lt;&gt;"",FT!E27,"")</f>
        <v>1 [10.155606]</v>
      </c>
      <c r="J27">
        <f>IF(FT!B27&lt;&gt;"",FT!C27,"")</f>
        <v>10.1556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72457</v>
      </c>
      <c r="D28" s="61">
        <f>FH!B28*1</f>
        <v>72457</v>
      </c>
      <c r="E28">
        <f t="shared" si="3"/>
        <v>26</v>
      </c>
      <c r="F28" s="61">
        <f>IF(FT!A28&lt;&gt;"",FT!A28*10,"")</f>
        <v>3.0750499999999996</v>
      </c>
      <c r="G28" s="61">
        <f>IF(FT!B28&lt;&gt;"",FT!B28*100,"")</f>
        <v>30.0427</v>
      </c>
      <c r="H28" s="61">
        <f t="shared" si="1"/>
        <v>1</v>
      </c>
      <c r="I28" t="str">
        <f>IF(FT!B28&lt;&gt;"",FT!E28,"")</f>
        <v>1 [10.561574]</v>
      </c>
      <c r="J28">
        <f>IF(FT!B28&lt;&gt;"",FT!C28,"")</f>
        <v>10.5616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3.1181299999999998</v>
      </c>
      <c r="G29" s="61">
        <f>IF(FT!B29&lt;&gt;"",FT!B29*100,"")</f>
        <v>29.2273</v>
      </c>
      <c r="H29" s="61">
        <f t="shared" si="1"/>
        <v>1</v>
      </c>
      <c r="I29" t="str">
        <f>IF(FT!B29&lt;&gt;"",FT!E29,"")</f>
        <v>1 [10.967623]</v>
      </c>
      <c r="J29">
        <f>IF(FT!B29&lt;&gt;"",FT!C29,"")</f>
        <v>10.967599999999999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3.16106</v>
      </c>
      <c r="G30" s="61">
        <f>IF(FT!B30&lt;&gt;"",FT!B30*100,"")</f>
        <v>28.543299999999999</v>
      </c>
      <c r="H30" s="61">
        <f t="shared" si="1"/>
        <v>1</v>
      </c>
      <c r="I30" t="str">
        <f>IF(FT!B30&lt;&gt;"",FT!E30,"")</f>
        <v>1 [11.373320]</v>
      </c>
      <c r="J30">
        <f>IF(FT!B30&lt;&gt;"",FT!C30,"")</f>
        <v>11.3733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83238</v>
      </c>
      <c r="D31" s="61">
        <f>FH!B31*1</f>
        <v>83238</v>
      </c>
      <c r="E31">
        <f t="shared" si="3"/>
        <v>29</v>
      </c>
      <c r="F31" s="61">
        <f>IF(FT!A31&lt;&gt;"",FT!A31*10,"")</f>
        <v>3.2033299999999998</v>
      </c>
      <c r="G31" s="61">
        <f>IF(FT!B31&lt;&gt;"",FT!B31*100,"")</f>
        <v>27.913300000000003</v>
      </c>
      <c r="H31" s="61">
        <f t="shared" si="1"/>
        <v>1</v>
      </c>
      <c r="I31" t="str">
        <f>IF(FT!B31&lt;&gt;"",FT!E31,"")</f>
        <v>1 [11.783296]</v>
      </c>
      <c r="J31">
        <f>IF(FT!B31&lt;&gt;"",FT!C31,"")</f>
        <v>11.783300000000001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3.2430199999999996</v>
      </c>
      <c r="G32" s="61">
        <f>IF(FT!B32&lt;&gt;"",FT!B32*100,"")</f>
        <v>27.416200000000003</v>
      </c>
      <c r="H32" s="61">
        <f t="shared" si="1"/>
        <v>1</v>
      </c>
      <c r="I32" t="str">
        <f>IF(FT!B32&lt;&gt;"",FT!E32,"")</f>
        <v>1 [12.185149]</v>
      </c>
      <c r="J32">
        <f>IF(FT!B32&lt;&gt;"",FT!C32,"")</f>
        <v>12.1851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111470</v>
      </c>
      <c r="D33" s="61">
        <f>FH!B33*1</f>
        <v>111470</v>
      </c>
      <c r="E33">
        <f t="shared" si="3"/>
        <v>31</v>
      </c>
      <c r="F33" s="61">
        <f>IF(FT!A33&lt;&gt;"",FT!A33*10,"")</f>
        <v>3.2822400000000003</v>
      </c>
      <c r="G33" s="61">
        <f>IF(FT!B33&lt;&gt;"",FT!B33*100,"")</f>
        <v>26.980599999999999</v>
      </c>
      <c r="H33" s="61">
        <f t="shared" si="1"/>
        <v>1</v>
      </c>
      <c r="I33" t="str">
        <f>IF(FT!B33&lt;&gt;"",FT!E33,"")</f>
        <v>1 [12.594063]</v>
      </c>
      <c r="J33">
        <f>IF(FT!B33&lt;&gt;"",FT!C33,"")</f>
        <v>12.594099999999999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3.3198400000000001</v>
      </c>
      <c r="G34" s="61">
        <f>IF(FT!B34&lt;&gt;"",FT!B34*100,"")</f>
        <v>26.627800000000001</v>
      </c>
      <c r="H34" s="61">
        <f t="shared" si="1"/>
        <v>1</v>
      </c>
      <c r="I34" t="str">
        <f>IF(FT!B34&lt;&gt;"",FT!E34,"")</f>
        <v>1 [12.996734]</v>
      </c>
      <c r="J34">
        <f>IF(FT!B34&lt;&gt;"",FT!C34,"")</f>
        <v>12.996700000000001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3.35744</v>
      </c>
      <c r="G35" s="61">
        <f>IF(FT!B35&lt;&gt;"",FT!B35*100,"")</f>
        <v>26.361600000000003</v>
      </c>
      <c r="H35" s="61">
        <f t="shared" si="1"/>
        <v>1</v>
      </c>
      <c r="I35" t="str">
        <f>IF(FT!B35&lt;&gt;"",FT!E35,"")</f>
        <v>1 [13.410896]</v>
      </c>
      <c r="J35">
        <f>IF(FT!B35&lt;&gt;"",FT!C35,"")</f>
        <v>13.4109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137799</v>
      </c>
      <c r="D36" s="61">
        <f>FH!B36*1</f>
        <v>137799</v>
      </c>
      <c r="E36">
        <f t="shared" si="3"/>
        <v>34</v>
      </c>
      <c r="F36" s="61">
        <f>IF(FT!A36&lt;&gt;"",FT!A36*10,"")</f>
        <v>3.3917000000000002</v>
      </c>
      <c r="G36" s="61">
        <f>IF(FT!B36&lt;&gt;"",FT!B36*100,"")</f>
        <v>26.232699999999998</v>
      </c>
      <c r="H36" s="61">
        <f t="shared" si="1"/>
        <v>1</v>
      </c>
      <c r="I36" t="str">
        <f>IF(FT!B36&lt;&gt;"",FT!E36,"")</f>
        <v>1 [13.813655]</v>
      </c>
      <c r="J36">
        <f>IF(FT!B36&lt;&gt;"",FT!C36,"")</f>
        <v>13.813700000000001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3.4217300000000002</v>
      </c>
      <c r="G37" s="61">
        <f>IF(FT!B37&lt;&gt;"",FT!B37*100,"")</f>
        <v>26.152199999999997</v>
      </c>
      <c r="H37" s="61">
        <f t="shared" si="1"/>
        <v>1</v>
      </c>
      <c r="I37" t="str">
        <f>IF(FT!B37&lt;&gt;"",FT!E37,"")</f>
        <v>1 [14.221801]</v>
      </c>
      <c r="J37">
        <f>IF(FT!B37&lt;&gt;"",FT!C37,"")</f>
        <v>14.2218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3.4482900000000001</v>
      </c>
      <c r="G38" s="61">
        <f>IF(FT!B38&lt;&gt;"",FT!B38*100,"")</f>
        <v>26.129599999999996</v>
      </c>
      <c r="H38" s="61">
        <f t="shared" si="1"/>
        <v>1</v>
      </c>
      <c r="I38" t="str">
        <f>IF(FT!B38&lt;&gt;"",FT!E38,"")</f>
        <v>1 [14.623648]</v>
      </c>
      <c r="J38">
        <f>IF(FT!B38&lt;&gt;"",FT!C38,"")</f>
        <v>14.6236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133090</v>
      </c>
      <c r="D39" s="61">
        <f>FH!B39*1</f>
        <v>133090</v>
      </c>
      <c r="E39">
        <f t="shared" si="3"/>
        <v>37</v>
      </c>
      <c r="F39" s="61">
        <f>IF(FT!A39&lt;&gt;"",FT!A39*10,"")</f>
        <v>3.4712500000000004</v>
      </c>
      <c r="G39" s="61">
        <f>IF(FT!B39&lt;&gt;"",FT!B39*100,"")</f>
        <v>26.135100000000001</v>
      </c>
      <c r="H39" s="61">
        <f t="shared" si="1"/>
        <v>1</v>
      </c>
      <c r="I39" t="str">
        <f>IF(FT!B39&lt;&gt;"",FT!E39,"")</f>
        <v>1 [15.032994]</v>
      </c>
      <c r="J39">
        <f>IF(FT!B39&lt;&gt;"",FT!C39,"")</f>
        <v>15.032999999999999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3.49037</v>
      </c>
      <c r="G40" s="61">
        <f>IF(FT!B40&lt;&gt;"",FT!B40*100,"")</f>
        <v>26.272200000000002</v>
      </c>
      <c r="H40" s="61">
        <f t="shared" si="1"/>
        <v>1</v>
      </c>
      <c r="I40" t="str">
        <f>IF(FT!B40&lt;&gt;"",FT!E40,"")</f>
        <v>1 [15.434542]</v>
      </c>
      <c r="J40">
        <f>IF(FT!B40&lt;&gt;"",FT!C40,"")</f>
        <v>15.4345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111182</v>
      </c>
      <c r="D41" s="61">
        <f>FH!B41*1</f>
        <v>111182</v>
      </c>
      <c r="E41">
        <f t="shared" si="3"/>
        <v>39</v>
      </c>
      <c r="F41" s="61">
        <f>IF(FT!A41&lt;&gt;"",FT!A41*10,"")</f>
        <v>3.5089199999999998</v>
      </c>
      <c r="G41" s="61">
        <f>IF(FT!B41&lt;&gt;"",FT!B41*100,"")</f>
        <v>26.374700000000001</v>
      </c>
      <c r="H41" s="61">
        <f t="shared" si="1"/>
        <v>1</v>
      </c>
      <c r="I41" t="str">
        <f>IF(FT!B41&lt;&gt;"",FT!E41,"")</f>
        <v>1 [15.844932]</v>
      </c>
      <c r="J41">
        <f>IF(FT!B41&lt;&gt;"",FT!C41,"")</f>
        <v>15.844900000000001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3.5275499999999997</v>
      </c>
      <c r="G42" s="61">
        <f>IF(FT!B42&lt;&gt;"",FT!B42*100,"")</f>
        <v>26.4422</v>
      </c>
      <c r="H42" s="61">
        <f t="shared" si="1"/>
        <v>1</v>
      </c>
      <c r="I42" t="str">
        <f>IF(FT!B42&lt;&gt;"",FT!E42,"")</f>
        <v>1 [16.253317]</v>
      </c>
      <c r="J42">
        <f>IF(FT!B42&lt;&gt;"",FT!C42,"")</f>
        <v>16.253299999999999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3.5432000000000001</v>
      </c>
      <c r="G43" s="61">
        <f>IF(FT!B43&lt;&gt;"",FT!B43*100,"")</f>
        <v>26.574199999999998</v>
      </c>
      <c r="H43" s="61">
        <f t="shared" si="1"/>
        <v>1</v>
      </c>
      <c r="I43" t="str">
        <f>IF(FT!B43&lt;&gt;"",FT!E43,"")</f>
        <v>1 [16.658282]</v>
      </c>
      <c r="J43">
        <f>IF(FT!B43&lt;&gt;"",FT!C43,"")</f>
        <v>16.658300000000001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116922</v>
      </c>
      <c r="D44" s="61">
        <f>FH!B44*1</f>
        <v>116922</v>
      </c>
      <c r="E44">
        <f t="shared" si="3"/>
        <v>42</v>
      </c>
      <c r="F44" s="61">
        <f>IF(FT!A44&lt;&gt;"",FT!A44*10,"")</f>
        <v>3.5552600000000001</v>
      </c>
      <c r="G44" s="61">
        <f>IF(FT!B44&lt;&gt;"",FT!B44*100,"")</f>
        <v>26.776699999999998</v>
      </c>
      <c r="H44" s="61">
        <f t="shared" si="1"/>
        <v>1</v>
      </c>
      <c r="I44" t="str">
        <f>IF(FT!B44&lt;&gt;"",FT!E44,"")</f>
        <v>1 [17.066187]</v>
      </c>
      <c r="J44">
        <f>IF(FT!B44&lt;&gt;"",FT!C44,"")</f>
        <v>17.066199999999998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3.5624199999999999</v>
      </c>
      <c r="G45" s="61">
        <f>IF(FT!B45&lt;&gt;"",FT!B45*100,"")</f>
        <v>27.066800000000001</v>
      </c>
      <c r="H45" s="61">
        <f t="shared" si="1"/>
        <v>1</v>
      </c>
      <c r="I45" t="str">
        <f>IF(FT!B45&lt;&gt;"",FT!E45,"")</f>
        <v>1 [17.466344]</v>
      </c>
      <c r="J45">
        <f>IF(FT!B45&lt;&gt;"",FT!C45,"")</f>
        <v>17.4663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118519</v>
      </c>
      <c r="D46" s="61">
        <f>FH!B46*1</f>
        <v>118519</v>
      </c>
      <c r="E46">
        <f t="shared" si="3"/>
        <v>44</v>
      </c>
      <c r="F46" s="61">
        <f>IF(FT!A46&lt;&gt;"",FT!A46*10,"")</f>
        <v>3.5659600000000005</v>
      </c>
      <c r="G46" s="61">
        <f>IF(FT!B46&lt;&gt;"",FT!B46*100,"")</f>
        <v>27.443800000000003</v>
      </c>
      <c r="H46" s="61">
        <f t="shared" si="1"/>
        <v>1</v>
      </c>
      <c r="I46" t="str">
        <f>IF(FT!B46&lt;&gt;"",FT!E46,"")</f>
        <v>1 [17.871952]</v>
      </c>
      <c r="J46">
        <f>IF(FT!B46&lt;&gt;"",FT!C46,"")</f>
        <v>17.872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3.5664800000000003</v>
      </c>
      <c r="G47" s="61">
        <f>IF(FT!B47&lt;&gt;"",FT!B47*100,"")</f>
        <v>27.9254</v>
      </c>
      <c r="H47" s="61">
        <f t="shared" si="1"/>
        <v>1</v>
      </c>
      <c r="I47" t="str">
        <f>IF(FT!B47&lt;&gt;"",FT!E47,"")</f>
        <v>1 [18.282297]</v>
      </c>
      <c r="J47">
        <f>IF(FT!B47&lt;&gt;"",FT!C47,"")</f>
        <v>18.282299999999999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3.5673300000000001</v>
      </c>
      <c r="G48" s="61">
        <f>IF(FT!B48&lt;&gt;"",FT!B48*100,"")</f>
        <v>28.396999999999998</v>
      </c>
      <c r="H48" s="61">
        <f t="shared" si="1"/>
        <v>1</v>
      </c>
      <c r="I48" t="str">
        <f>IF(FT!B48&lt;&gt;"",FT!E48,"")</f>
        <v>1 [18.688858]</v>
      </c>
      <c r="J48">
        <f>IF(FT!B48&lt;&gt;"",FT!C48,"")</f>
        <v>18.6889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126548</v>
      </c>
      <c r="D49" s="61">
        <f>FH!B49*1</f>
        <v>126548</v>
      </c>
      <c r="E49">
        <f t="shared" si="3"/>
        <v>47</v>
      </c>
      <c r="F49" s="61">
        <f>IF(FT!A49&lt;&gt;"",FT!A49*10,"")</f>
        <v>3.5682499999999999</v>
      </c>
      <c r="G49" s="61">
        <f>IF(FT!B49&lt;&gt;"",FT!B49*100,"")</f>
        <v>28.899399999999996</v>
      </c>
      <c r="H49" s="61">
        <f t="shared" si="1"/>
        <v>1</v>
      </c>
      <c r="I49" t="str">
        <f>IF(FT!B49&lt;&gt;"",FT!E49,"")</f>
        <v>1 [19.097736]</v>
      </c>
      <c r="J49">
        <f>IF(FT!B49&lt;&gt;"",FT!C49,"")</f>
        <v>19.0977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3.5676000000000001</v>
      </c>
      <c r="G50" s="61">
        <f>IF(FT!B50&lt;&gt;"",FT!B50*100,"")</f>
        <v>29.488999999999997</v>
      </c>
      <c r="H50" s="61">
        <f t="shared" si="1"/>
        <v>1</v>
      </c>
      <c r="I50" t="str">
        <f>IF(FT!B50&lt;&gt;"",FT!E50,"")</f>
        <v>1 [19.502636]</v>
      </c>
      <c r="J50">
        <f>IF(FT!B50&lt;&gt;"",FT!C50,"")</f>
        <v>19.502600000000001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141209</v>
      </c>
      <c r="D51" s="61">
        <f>FH!B51*1</f>
        <v>141209</v>
      </c>
      <c r="E51">
        <f t="shared" si="3"/>
        <v>49</v>
      </c>
      <c r="F51" s="61">
        <f>IF(FT!A51&lt;&gt;"",FT!A51*10,"")</f>
        <v>3.5657000000000001</v>
      </c>
      <c r="G51" s="61">
        <f>IF(FT!B51&lt;&gt;"",FT!B51*100,"")</f>
        <v>30.109599999999997</v>
      </c>
      <c r="H51" s="61">
        <f t="shared" si="1"/>
        <v>1</v>
      </c>
      <c r="I51" t="str">
        <f>IF(FT!B51&lt;&gt;"",FT!E51,"")</f>
        <v>1 [19.905545]</v>
      </c>
      <c r="J51">
        <f>IF(FT!B51&lt;&gt;"",FT!C51,"")</f>
        <v>19.9055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3.5618100000000004</v>
      </c>
      <c r="G52" s="61">
        <f>IF(FT!B52&lt;&gt;"",FT!B52*100,"")</f>
        <v>30.7562</v>
      </c>
      <c r="H52" s="61">
        <f t="shared" si="1"/>
        <v>1</v>
      </c>
      <c r="I52" t="str">
        <f>IF(FT!B52&lt;&gt;"",FT!E52,"")</f>
        <v>1 [20.319525]</v>
      </c>
      <c r="J52">
        <f>IF(FT!B52&lt;&gt;"",FT!C52,"")</f>
        <v>20.319500000000001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3.55585</v>
      </c>
      <c r="G53" s="61">
        <f>IF(FT!B53&lt;&gt;"",FT!B53*100,"")</f>
        <v>31.448399999999999</v>
      </c>
      <c r="H53" s="61">
        <f t="shared" si="1"/>
        <v>1</v>
      </c>
      <c r="I53" t="str">
        <f>IF(FT!B53&lt;&gt;"",FT!E53,"")</f>
        <v>1 [20.717482]</v>
      </c>
      <c r="J53">
        <f>IF(FT!B53&lt;&gt;"",FT!C53,"")</f>
        <v>20.717500000000001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164198</v>
      </c>
      <c r="D54" s="61">
        <f>FH!B54*1</f>
        <v>164198</v>
      </c>
      <c r="E54">
        <f t="shared" si="3"/>
        <v>52</v>
      </c>
      <c r="F54" s="61">
        <f>IF(FT!A54&lt;&gt;"",FT!A54*10,"")</f>
        <v>3.5493299999999999</v>
      </c>
      <c r="G54" s="61">
        <f>IF(FT!B54&lt;&gt;"",FT!B54*100,"")</f>
        <v>32.104999999999997</v>
      </c>
      <c r="H54" s="61">
        <f t="shared" si="1"/>
        <v>1</v>
      </c>
      <c r="I54" t="str">
        <f>IF(FT!B54&lt;&gt;"",FT!E54,"")</f>
        <v>1 [21.124572]</v>
      </c>
      <c r="J54">
        <f>IF(FT!B54&lt;&gt;"",FT!C54,"")</f>
        <v>21.124600000000001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3.5417500000000004</v>
      </c>
      <c r="G55" s="61">
        <f>IF(FT!B55&lt;&gt;"",FT!B55*100,"")</f>
        <v>32.706899999999997</v>
      </c>
      <c r="H55" s="61">
        <f t="shared" si="1"/>
        <v>1</v>
      </c>
      <c r="I55" t="str">
        <f>IF(FT!B55&lt;&gt;"",FT!E55,"")</f>
        <v>1 [21.531258]</v>
      </c>
      <c r="J55">
        <f>IF(FT!B55&lt;&gt;"",FT!C55,"")</f>
        <v>21.531300000000002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3.5325499999999996</v>
      </c>
      <c r="G56" s="61">
        <f>IF(FT!B56&lt;&gt;"",FT!B56*100,"")</f>
        <v>33.308999999999997</v>
      </c>
      <c r="H56" s="61">
        <f t="shared" si="1"/>
        <v>1</v>
      </c>
      <c r="I56" t="str">
        <f>IF(FT!B56&lt;&gt;"",FT!E56,"")</f>
        <v>1 [21.939928]</v>
      </c>
      <c r="J56">
        <f>IF(FT!B56&lt;&gt;"",FT!C56,"")</f>
        <v>21.939900000000002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166053</v>
      </c>
      <c r="D57" s="61">
        <f>FH!B57*1</f>
        <v>166053</v>
      </c>
      <c r="E57">
        <f t="shared" si="3"/>
        <v>55</v>
      </c>
      <c r="F57" s="61">
        <f>IF(FT!A57&lt;&gt;"",FT!A57*10,"")</f>
        <v>3.5256500000000002</v>
      </c>
      <c r="G57" s="61">
        <f>IF(FT!B57&lt;&gt;"",FT!B57*100,"")</f>
        <v>33.815200000000004</v>
      </c>
      <c r="H57" s="61">
        <f t="shared" si="1"/>
        <v>1</v>
      </c>
      <c r="I57" t="str">
        <f>IF(FT!B57&lt;&gt;"",FT!E57,"")</f>
        <v>1 [22.342164]</v>
      </c>
      <c r="J57">
        <f>IF(FT!B57&lt;&gt;"",FT!C57,"")</f>
        <v>22.342199999999998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3.5121899999999999</v>
      </c>
      <c r="G58" s="61">
        <f>IF(FT!B58&lt;&gt;"",FT!B58*100,"")</f>
        <v>34.450800000000001</v>
      </c>
      <c r="H58" s="61">
        <f t="shared" si="1"/>
        <v>1</v>
      </c>
      <c r="I58" t="str">
        <f>IF(FT!B58&lt;&gt;"",FT!E58,"")</f>
        <v>1 [22.753980]</v>
      </c>
      <c r="J58">
        <f>IF(FT!B58&lt;&gt;"",FT!C58,"")</f>
        <v>22.754000000000001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173062</v>
      </c>
      <c r="D59" s="61">
        <f>FH!B59*1</f>
        <v>173062</v>
      </c>
      <c r="E59">
        <f t="shared" si="3"/>
        <v>57</v>
      </c>
      <c r="F59" s="61">
        <f>IF(FT!A59&lt;&gt;"",FT!A59*10,"")</f>
        <v>3.5024899999999999</v>
      </c>
      <c r="G59" s="61">
        <f>IF(FT!B59&lt;&gt;"",FT!B59*100,"")</f>
        <v>34.941400000000002</v>
      </c>
      <c r="H59" s="61">
        <f t="shared" si="1"/>
        <v>1</v>
      </c>
      <c r="I59" t="str">
        <f>IF(FT!B59&lt;&gt;"",FT!E59,"")</f>
        <v>1 [23.156963]</v>
      </c>
      <c r="J59">
        <f>IF(FT!B59&lt;&gt;"",FT!C59,"")</f>
        <v>23.157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3.4877799999999999</v>
      </c>
      <c r="G60" s="61">
        <f>IF(FT!B60&lt;&gt;"",FT!B60*100,"")</f>
        <v>35.463799999999999</v>
      </c>
      <c r="H60" s="61">
        <f t="shared" si="1"/>
        <v>1</v>
      </c>
      <c r="I60" t="str">
        <f>IF(FT!B60&lt;&gt;"",FT!E60,"")</f>
        <v>1 [23.561005]</v>
      </c>
      <c r="J60">
        <f>IF(FT!B60&lt;&gt;"",FT!C60,"")</f>
        <v>23.561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3.4681299999999999</v>
      </c>
      <c r="G61" s="61">
        <f>IF(FT!B61&lt;&gt;"",FT!B61*100,"")</f>
        <v>35.9709</v>
      </c>
      <c r="H61" s="61">
        <f t="shared" si="1"/>
        <v>1</v>
      </c>
      <c r="I61" t="str">
        <f>IF(FT!B61&lt;&gt;"",FT!E61,"")</f>
        <v>1 [23.971801]</v>
      </c>
      <c r="J61">
        <f>IF(FT!B61&lt;&gt;"",FT!C61,"")</f>
        <v>23.971800000000002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203296</v>
      </c>
      <c r="D62" s="61">
        <f>FH!B62*1</f>
        <v>203296</v>
      </c>
      <c r="E62">
        <f t="shared" si="3"/>
        <v>60</v>
      </c>
      <c r="F62" s="61">
        <f>IF(FT!A62&lt;&gt;"",FT!A62*10,"")</f>
        <v>3.4506900000000003</v>
      </c>
      <c r="G62" s="61">
        <f>IF(FT!B62&lt;&gt;"",FT!B62*100,"")</f>
        <v>36.391199999999998</v>
      </c>
      <c r="H62" s="61">
        <f t="shared" si="1"/>
        <v>1</v>
      </c>
      <c r="I62" t="str">
        <f>IF(FT!B62&lt;&gt;"",FT!E62,"")</f>
        <v>1 [24.376596]</v>
      </c>
      <c r="J62">
        <f>IF(FT!B62&lt;&gt;"",FT!C62,"")</f>
        <v>24.3766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3.4326699999999999</v>
      </c>
      <c r="G63" s="61">
        <f>IF(FT!B63&lt;&gt;"",FT!B63*100,"")</f>
        <v>36.744399999999999</v>
      </c>
      <c r="H63" s="61">
        <f t="shared" si="1"/>
        <v>1</v>
      </c>
      <c r="I63" t="str">
        <f>IF(FT!B63&lt;&gt;"",FT!E63,"")</f>
        <v>1 [24.809631]</v>
      </c>
      <c r="J63">
        <f>IF(FT!B63&lt;&gt;"",FT!C63,"")</f>
        <v>24.8096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175230</v>
      </c>
      <c r="D64" s="61">
        <f>FH!B64*1</f>
        <v>175230</v>
      </c>
      <c r="E64">
        <f t="shared" si="3"/>
        <v>62</v>
      </c>
      <c r="F64" s="61">
        <f>IF(FT!A64&lt;&gt;"",FT!A64*10,"")</f>
        <v>3.4187799999999999</v>
      </c>
      <c r="G64" s="61">
        <f>IF(FT!B64&lt;&gt;"",FT!B64*100,"")</f>
        <v>37.055199999999999</v>
      </c>
      <c r="H64" s="61">
        <f t="shared" si="1"/>
        <v>1</v>
      </c>
      <c r="I64" t="str">
        <f>IF(FT!B64&lt;&gt;"",FT!E64,"")</f>
        <v>1 [25.185557]</v>
      </c>
      <c r="J64">
        <f>IF(FT!B64&lt;&gt;"",FT!C64,"")</f>
        <v>25.185600000000001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3.3933299999999997</v>
      </c>
      <c r="G65" s="61">
        <f>IF(FT!B65&lt;&gt;"",FT!B65*100,"")</f>
        <v>37.261200000000002</v>
      </c>
      <c r="H65" s="61">
        <f t="shared" si="1"/>
        <v>1</v>
      </c>
      <c r="I65" t="str">
        <f>IF(FT!B65&lt;&gt;"",FT!E65,"")</f>
        <v>1 [25.595704]</v>
      </c>
      <c r="J65">
        <f>IF(FT!B65&lt;&gt;"",FT!C65,"")</f>
        <v>25.595700000000001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3.3702900000000002</v>
      </c>
      <c r="G66" s="61">
        <f>IF(FT!B66&lt;&gt;"",FT!B66*100,"")</f>
        <v>37.500499999999995</v>
      </c>
      <c r="H66" s="61">
        <f t="shared" si="1"/>
        <v>1</v>
      </c>
      <c r="I66" t="str">
        <f>IF(FT!B66&lt;&gt;"",FT!E66,"")</f>
        <v>1 [26.003286]</v>
      </c>
      <c r="J66">
        <f>IF(FT!B66&lt;&gt;"",FT!C66,"")</f>
        <v>26.003299999999999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173316</v>
      </c>
      <c r="D67" s="61">
        <f>FH!B67*1</f>
        <v>173316</v>
      </c>
      <c r="E67">
        <f t="shared" si="3"/>
        <v>65</v>
      </c>
      <c r="F67" s="61">
        <f>IF(FT!A67&lt;&gt;"",FT!A67*10,"")</f>
        <v>3.34361</v>
      </c>
      <c r="G67" s="61">
        <f>IF(FT!B67&lt;&gt;"",FT!B67*100,"")</f>
        <v>37.746200000000002</v>
      </c>
      <c r="H67" s="61">
        <f t="shared" ref="H67:H130" si="9">(IF(F67&lt;&gt;"",1,""))</f>
        <v>1</v>
      </c>
      <c r="I67" t="str">
        <f>IF(FT!B67&lt;&gt;"",FT!E67,"")</f>
        <v>1 [26.404567]</v>
      </c>
      <c r="J67">
        <f>IF(FT!B67&lt;&gt;"",FT!C67,"")</f>
        <v>26.404599999999999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3.3235100000000002</v>
      </c>
      <c r="G68" s="61">
        <f>IF(FT!B68&lt;&gt;"",FT!B68*100,"")</f>
        <v>38.023699999999998</v>
      </c>
      <c r="H68" s="61">
        <f t="shared" si="9"/>
        <v>1</v>
      </c>
      <c r="I68" t="str">
        <f>IF(FT!B68&lt;&gt;"",FT!E68,"")</f>
        <v>1 [26.814230]</v>
      </c>
      <c r="J68">
        <f>IF(FT!B68&lt;&gt;"",FT!C68,"")</f>
        <v>26.8142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194697</v>
      </c>
      <c r="D69" s="61">
        <f>FH!B69*1</f>
        <v>194697</v>
      </c>
      <c r="E69">
        <f t="shared" si="11"/>
        <v>67</v>
      </c>
      <c r="F69" s="61">
        <f>IF(FT!A69&lt;&gt;"",FT!A69*10,"")</f>
        <v>3.29874</v>
      </c>
      <c r="G69" s="61">
        <f>IF(FT!B69&lt;&gt;"",FT!B69*100,"")</f>
        <v>38.021599999999999</v>
      </c>
      <c r="H69" s="61">
        <f t="shared" si="9"/>
        <v>1</v>
      </c>
      <c r="I69" t="str">
        <f>IF(FT!B69&lt;&gt;"",FT!E69,"")</f>
        <v>1 [27.225993]</v>
      </c>
      <c r="J69">
        <f>IF(FT!B69&lt;&gt;"",FT!C69,"")</f>
        <v>27.225999999999999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3.2837399999999999</v>
      </c>
      <c r="G70" s="61">
        <f>IF(FT!B70&lt;&gt;"",FT!B70*100,"")</f>
        <v>37.898299999999999</v>
      </c>
      <c r="H70" s="61">
        <f t="shared" si="9"/>
        <v>1</v>
      </c>
      <c r="I70" t="str">
        <f>IF(FT!B70&lt;&gt;"",FT!E70,"")</f>
        <v>1 [27.628117]</v>
      </c>
      <c r="J70">
        <f>IF(FT!B70&lt;&gt;"",FT!C70,"")</f>
        <v>27.6281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3.27162</v>
      </c>
      <c r="G71" s="61">
        <f>IF(FT!B71&lt;&gt;"",FT!B71*100,"")</f>
        <v>37.610700000000001</v>
      </c>
      <c r="H71" s="61">
        <f t="shared" si="9"/>
        <v>1</v>
      </c>
      <c r="I71" t="str">
        <f>IF(FT!B71&lt;&gt;"",FT!E71,"")</f>
        <v>1 [28.033277]</v>
      </c>
      <c r="J71">
        <f>IF(FT!B71&lt;&gt;"",FT!C71,"")</f>
        <v>28.033300000000001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177494</v>
      </c>
      <c r="D72" s="61">
        <f>FH!B72*1</f>
        <v>177494</v>
      </c>
      <c r="E72">
        <f t="shared" si="11"/>
        <v>70</v>
      </c>
      <c r="F72" s="61">
        <f>IF(FT!A72&lt;&gt;"",FT!A72*10,"")</f>
        <v>3.2606200000000003</v>
      </c>
      <c r="G72" s="61">
        <f>IF(FT!B72&lt;&gt;"",FT!B72*100,"")</f>
        <v>37.173499999999997</v>
      </c>
      <c r="H72" s="61">
        <f t="shared" si="9"/>
        <v>1</v>
      </c>
      <c r="I72" t="str">
        <f>IF(FT!B72&lt;&gt;"",FT!E72,"")</f>
        <v>1 [28.439070]</v>
      </c>
      <c r="J72">
        <f>IF(FT!B72&lt;&gt;"",FT!C72,"")</f>
        <v>28.4391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3.24864</v>
      </c>
      <c r="G73" s="61">
        <f>IF(FT!B73&lt;&gt;"",FT!B73*100,"")</f>
        <v>36.727199999999996</v>
      </c>
      <c r="H73" s="61">
        <f t="shared" si="9"/>
        <v>1</v>
      </c>
      <c r="I73" t="str">
        <f>IF(FT!B73&lt;&gt;"",FT!E73,"")</f>
        <v>1 [28.846672]</v>
      </c>
      <c r="J73">
        <f>IF(FT!B73&lt;&gt;"",FT!C73,"")</f>
        <v>28.846699999999998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3.2393699999999996</v>
      </c>
      <c r="G74" s="61">
        <f>IF(FT!B74&lt;&gt;"",FT!B74*100,"")</f>
        <v>36.459599999999995</v>
      </c>
      <c r="H74" s="61">
        <f t="shared" si="9"/>
        <v>1</v>
      </c>
      <c r="I74" t="str">
        <f>IF(FT!B74&lt;&gt;"",FT!E74,"")</f>
        <v>1 [29.248980]</v>
      </c>
      <c r="J74">
        <f>IF(FT!B74&lt;&gt;"",FT!C74,"")</f>
        <v>29.248999999999999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182150</v>
      </c>
      <c r="D75" s="61">
        <f>FH!B75*1</f>
        <v>182150</v>
      </c>
      <c r="E75">
        <f t="shared" si="11"/>
        <v>73</v>
      </c>
      <c r="F75" s="61">
        <f>IF(FT!A75&lt;&gt;"",FT!A75*10,"")</f>
        <v>3.22818</v>
      </c>
      <c r="G75" s="61">
        <f>IF(FT!B75&lt;&gt;"",FT!B75*100,"")</f>
        <v>35.938400000000001</v>
      </c>
      <c r="H75" s="61">
        <f t="shared" si="9"/>
        <v>1</v>
      </c>
      <c r="I75" t="str">
        <f>IF(FT!B75&lt;&gt;"",FT!E75,"")</f>
        <v>1 [29.655614]</v>
      </c>
      <c r="J75">
        <f>IF(FT!B75&lt;&gt;"",FT!C75,"")</f>
        <v>29.6556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3.2144400000000002</v>
      </c>
      <c r="G76" s="61">
        <f>IF(FT!B76&lt;&gt;"",FT!B76*100,"")</f>
        <v>35.218600000000002</v>
      </c>
      <c r="H76" s="61">
        <f t="shared" si="9"/>
        <v>1</v>
      </c>
      <c r="I76" t="str">
        <f>IF(FT!B76&lt;&gt;"",FT!E76,"")</f>
        <v>2 [30.064375]</v>
      </c>
      <c r="J76">
        <f>IF(FT!B76&lt;&gt;"",FT!C76,"")</f>
        <v>30.064399999999999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178513</v>
      </c>
      <c r="D77" s="61">
        <f>FH!B77*1</f>
        <v>178513</v>
      </c>
      <c r="E77">
        <f t="shared" si="11"/>
        <v>75</v>
      </c>
      <c r="F77" s="61">
        <f>IF(FT!A77&lt;&gt;"",FT!A77*10,"")</f>
        <v>3.2019599999999997</v>
      </c>
      <c r="G77" s="61">
        <f>IF(FT!B77&lt;&gt;"",FT!B77*100,"")</f>
        <v>34.656100000000002</v>
      </c>
      <c r="H77" s="61">
        <f t="shared" si="9"/>
        <v>1</v>
      </c>
      <c r="I77" t="str">
        <f>IF(FT!B77&lt;&gt;"",FT!E77,"")</f>
        <v>2 [30.517230]</v>
      </c>
      <c r="J77">
        <f>IF(FT!B77&lt;&gt;"",FT!C77,"")</f>
        <v>30.517199999999999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3.1892199999999997</v>
      </c>
      <c r="G78" s="61">
        <f>IF(FT!B78&lt;&gt;"",FT!B78*100,"")</f>
        <v>34.087000000000003</v>
      </c>
      <c r="H78" s="61">
        <f t="shared" si="9"/>
        <v>1</v>
      </c>
      <c r="I78" t="str">
        <f>IF(FT!B78&lt;&gt;"",FT!E78,"")</f>
        <v>2 [30.922202]</v>
      </c>
      <c r="J78">
        <f>IF(FT!B78&lt;&gt;"",FT!C78,"")</f>
        <v>30.9222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3.1761900000000001</v>
      </c>
      <c r="G79" s="61">
        <f>IF(FT!B79&lt;&gt;"",FT!B79*100,"")</f>
        <v>33.488399999999999</v>
      </c>
      <c r="H79" s="61">
        <f t="shared" si="9"/>
        <v>1</v>
      </c>
      <c r="I79" t="str">
        <f>IF(FT!B79&lt;&gt;"",FT!E79,"")</f>
        <v>2 [31.328044]</v>
      </c>
      <c r="J79">
        <f>IF(FT!B79&lt;&gt;"",FT!C79,"")</f>
        <v>31.327999999999999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162929</v>
      </c>
      <c r="D80" s="61">
        <f>FH!B80*1</f>
        <v>162929</v>
      </c>
      <c r="E80">
        <f t="shared" si="11"/>
        <v>78</v>
      </c>
      <c r="F80" s="61">
        <f>IF(FT!A80&lt;&gt;"",FT!A80*10,"")</f>
        <v>3.1608100000000001</v>
      </c>
      <c r="G80" s="61">
        <f>IF(FT!B80&lt;&gt;"",FT!B80*100,"")</f>
        <v>32.933</v>
      </c>
      <c r="H80" s="61">
        <f t="shared" si="9"/>
        <v>1</v>
      </c>
      <c r="I80" t="str">
        <f>IF(FT!B80&lt;&gt;"",FT!E80,"")</f>
        <v>2 [31.735447]</v>
      </c>
      <c r="J80">
        <f>IF(FT!B80&lt;&gt;"",FT!C80,"")</f>
        <v>31.735399999999998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3.1414199999999997</v>
      </c>
      <c r="G81" s="61">
        <f>IF(FT!B81&lt;&gt;"",FT!B81*100,"")</f>
        <v>32.4084</v>
      </c>
      <c r="H81" s="61">
        <f t="shared" si="9"/>
        <v>1</v>
      </c>
      <c r="I81" t="str">
        <f>IF(FT!B81&lt;&gt;"",FT!E81,"")</f>
        <v>2 [32.139166]</v>
      </c>
      <c r="J81">
        <f>IF(FT!B81&lt;&gt;"",FT!C81,"")</f>
        <v>32.139200000000002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168599</v>
      </c>
      <c r="D82" s="61">
        <f>FH!B82*1</f>
        <v>168599</v>
      </c>
      <c r="E82">
        <f t="shared" si="11"/>
        <v>80</v>
      </c>
      <c r="F82" s="61">
        <f>IF(FT!A82&lt;&gt;"",FT!A82*10,"")</f>
        <v>3.1185800000000001</v>
      </c>
      <c r="G82" s="61">
        <f>IF(FT!B82&lt;&gt;"",FT!B82*100,"")</f>
        <v>31.915300000000002</v>
      </c>
      <c r="H82" s="61">
        <f t="shared" si="9"/>
        <v>1</v>
      </c>
      <c r="I82" t="str">
        <f>IF(FT!B82&lt;&gt;"",FT!E82,"")</f>
        <v>2 [32.547763]</v>
      </c>
      <c r="J82">
        <f>IF(FT!B82&lt;&gt;"",FT!C82,"")</f>
        <v>32.547800000000002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3.09246</v>
      </c>
      <c r="G83" s="61">
        <f>IF(FT!B83&lt;&gt;"",FT!B83*100,"")</f>
        <v>31.484200000000001</v>
      </c>
      <c r="H83" s="61">
        <f t="shared" si="9"/>
        <v>1</v>
      </c>
      <c r="I83" t="str">
        <f>IF(FT!B83&lt;&gt;"",FT!E83,"")</f>
        <v>2 [32.954706]</v>
      </c>
      <c r="J83">
        <f>IF(FT!B83&lt;&gt;"",FT!C83,"")</f>
        <v>32.954700000000003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3.0649700000000002</v>
      </c>
      <c r="G84" s="61">
        <f>IF(FT!B84&lt;&gt;"",FT!B84*100,"")</f>
        <v>31.093399999999999</v>
      </c>
      <c r="H84" s="61">
        <f t="shared" si="9"/>
        <v>1</v>
      </c>
      <c r="I84" t="str">
        <f>IF(FT!B84&lt;&gt;"",FT!E84,"")</f>
        <v>2 [33.356561]</v>
      </c>
      <c r="J84">
        <f>IF(FT!B84&lt;&gt;"",FT!C84,"")</f>
        <v>33.3566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160401</v>
      </c>
      <c r="D85" s="61">
        <f>FH!B85*1</f>
        <v>160401</v>
      </c>
      <c r="E85">
        <f t="shared" si="11"/>
        <v>83</v>
      </c>
      <c r="F85" s="61">
        <f>IF(FT!A85&lt;&gt;"",FT!A85*10,"")</f>
        <v>3.0374800000000004</v>
      </c>
      <c r="G85" s="61">
        <f>IF(FT!B85&lt;&gt;"",FT!B85*100,"")</f>
        <v>30.757200000000001</v>
      </c>
      <c r="H85" s="61">
        <f t="shared" si="9"/>
        <v>1</v>
      </c>
      <c r="I85" t="str">
        <f>IF(FT!B85&lt;&gt;"",FT!E85,"")</f>
        <v>2 [33.763437]</v>
      </c>
      <c r="J85">
        <f>IF(FT!B85&lt;&gt;"",FT!C85,"")</f>
        <v>33.763399999999997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3.0132700000000003</v>
      </c>
      <c r="G86" s="61">
        <f>IF(FT!B86&lt;&gt;"",FT!B86*100,"")</f>
        <v>30.394300000000001</v>
      </c>
      <c r="H86" s="61">
        <f t="shared" si="9"/>
        <v>1</v>
      </c>
      <c r="I86" t="str">
        <f>IF(FT!B86&lt;&gt;"",FT!E86,"")</f>
        <v>2 [34.174418]</v>
      </c>
      <c r="J86">
        <f>IF(FT!B86&lt;&gt;"",FT!C86,"")</f>
        <v>34.174399999999999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2.9895100000000001</v>
      </c>
      <c r="G87" s="61">
        <f>IF(FT!B87&lt;&gt;"",FT!B87*100,"")</f>
        <v>30.095300000000002</v>
      </c>
      <c r="H87" s="61">
        <f t="shared" si="9"/>
        <v>1</v>
      </c>
      <c r="I87" t="str">
        <f>IF(FT!B87&lt;&gt;"",FT!E87,"")</f>
        <v>2 [34.580308]</v>
      </c>
      <c r="J87">
        <f>IF(FT!B87&lt;&gt;"",FT!C87,"")</f>
        <v>34.580300000000001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154466</v>
      </c>
      <c r="D88" s="61">
        <f>FH!B88*1</f>
        <v>154466</v>
      </c>
      <c r="E88">
        <f t="shared" si="11"/>
        <v>86</v>
      </c>
      <c r="F88" s="61">
        <f>IF(FT!A88&lt;&gt;"",FT!A88*10,"")</f>
        <v>2.9670899999999998</v>
      </c>
      <c r="G88" s="61">
        <f>IF(FT!B88&lt;&gt;"",FT!B88*100,"")</f>
        <v>29.9099</v>
      </c>
      <c r="H88" s="61">
        <f t="shared" si="9"/>
        <v>1</v>
      </c>
      <c r="I88" t="str">
        <f>IF(FT!B88&lt;&gt;"",FT!E88,"")</f>
        <v>2 [34.986292]</v>
      </c>
      <c r="J88">
        <f>IF(FT!B88&lt;&gt;"",FT!C88,"")</f>
        <v>34.9863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2.9477500000000001</v>
      </c>
      <c r="G89" s="61">
        <f>IF(FT!B89&lt;&gt;"",FT!B89*100,"")</f>
        <v>29.720299999999998</v>
      </c>
      <c r="H89" s="61">
        <f t="shared" si="9"/>
        <v>1</v>
      </c>
      <c r="I89" t="str">
        <f>IF(FT!B89&lt;&gt;"",FT!E89,"")</f>
        <v>2 [35.390135]</v>
      </c>
      <c r="J89">
        <f>IF(FT!B89&lt;&gt;"",FT!C89,"")</f>
        <v>35.390099999999997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147255</v>
      </c>
      <c r="D90" s="61">
        <f>FH!B90*1</f>
        <v>147255</v>
      </c>
      <c r="E90">
        <f t="shared" si="11"/>
        <v>88</v>
      </c>
      <c r="F90" s="61">
        <f>IF(FT!A90&lt;&gt;"",FT!A90*10,"")</f>
        <v>2.9295399999999998</v>
      </c>
      <c r="G90" s="61">
        <f>IF(FT!B90&lt;&gt;"",FT!B90*100,"")</f>
        <v>29.580200000000001</v>
      </c>
      <c r="H90" s="61">
        <f t="shared" si="9"/>
        <v>1</v>
      </c>
      <c r="I90" t="str">
        <f>IF(FT!B90&lt;&gt;"",FT!E90,"")</f>
        <v>2 [35.801262]</v>
      </c>
      <c r="J90">
        <f>IF(FT!B90&lt;&gt;"",FT!C90,"")</f>
        <v>35.801299999999998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2.9110900000000002</v>
      </c>
      <c r="G91" s="61">
        <f>IF(FT!B91&lt;&gt;"",FT!B91*100,"")</f>
        <v>29.507699999999996</v>
      </c>
      <c r="H91" s="61">
        <f t="shared" si="9"/>
        <v>1</v>
      </c>
      <c r="I91" t="str">
        <f>IF(FT!B91&lt;&gt;"",FT!E91,"")</f>
        <v>2 [36.204960]</v>
      </c>
      <c r="J91">
        <f>IF(FT!B91&lt;&gt;"",FT!C91,"")</f>
        <v>36.204999999999998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2.8922099999999999</v>
      </c>
      <c r="G92" s="61">
        <f>IF(FT!B92&lt;&gt;"",FT!B92*100,"")</f>
        <v>29.5518</v>
      </c>
      <c r="H92" s="61">
        <f t="shared" si="9"/>
        <v>1</v>
      </c>
      <c r="I92" t="str">
        <f>IF(FT!B92&lt;&gt;"",FT!E92,"")</f>
        <v>2 [36.605940]</v>
      </c>
      <c r="J92">
        <f>IF(FT!B92&lt;&gt;"",FT!C92,"")</f>
        <v>36.605899999999998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142574</v>
      </c>
      <c r="D93" s="61">
        <f>FH!B93*1</f>
        <v>142574</v>
      </c>
      <c r="E93">
        <f t="shared" si="11"/>
        <v>91</v>
      </c>
      <c r="F93" s="61">
        <f>IF(FT!A93&lt;&gt;"",FT!A93*10,"")</f>
        <v>2.8692699999999998</v>
      </c>
      <c r="G93" s="61">
        <f>IF(FT!B93&lt;&gt;"",FT!B93*100,"")</f>
        <v>29.723800000000001</v>
      </c>
      <c r="H93" s="61">
        <f t="shared" si="9"/>
        <v>1</v>
      </c>
      <c r="I93" t="str">
        <f>IF(FT!B93&lt;&gt;"",FT!E93,"")</f>
        <v>2 [37.015735]</v>
      </c>
      <c r="J93">
        <f>IF(FT!B93&lt;&gt;"",FT!C93,"")</f>
        <v>37.015700000000002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2.8452000000000002</v>
      </c>
      <c r="G94" s="61">
        <f>IF(FT!B94&lt;&gt;"",FT!B94*100,"")</f>
        <v>30.003</v>
      </c>
      <c r="H94" s="61">
        <f t="shared" si="9"/>
        <v>1</v>
      </c>
      <c r="I94" t="str">
        <f>IF(FT!B94&lt;&gt;"",FT!E94,"")</f>
        <v>2 [37.424726]</v>
      </c>
      <c r="J94">
        <f>IF(FT!B94&lt;&gt;"",FT!C94,"")</f>
        <v>37.424700000000001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125468</v>
      </c>
      <c r="D95" s="61">
        <f>FH!B95*1</f>
        <v>125468</v>
      </c>
      <c r="E95">
        <f t="shared" si="11"/>
        <v>93</v>
      </c>
      <c r="F95" s="61">
        <f>IF(FT!A95&lt;&gt;"",FT!A95*10,"")</f>
        <v>2.8238600000000003</v>
      </c>
      <c r="G95" s="61">
        <f>IF(FT!B95&lt;&gt;"",FT!B95*100,"")</f>
        <v>30.441700000000001</v>
      </c>
      <c r="H95" s="61">
        <f t="shared" si="9"/>
        <v>1</v>
      </c>
      <c r="I95" t="str">
        <f>IF(FT!B95&lt;&gt;"",FT!E95,"")</f>
        <v>2 [37.830671]</v>
      </c>
      <c r="J95">
        <f>IF(FT!B95&lt;&gt;"",FT!C95,"")</f>
        <v>37.8307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2.8060700000000001</v>
      </c>
      <c r="G96" s="61">
        <f>IF(FT!B96&lt;&gt;"",FT!B96*100,"")</f>
        <v>30.943700000000003</v>
      </c>
      <c r="H96" s="61">
        <f t="shared" si="9"/>
        <v>1</v>
      </c>
      <c r="I96" t="str">
        <f>IF(FT!B96&lt;&gt;"",FT!E96,"")</f>
        <v>2 [38.235540]</v>
      </c>
      <c r="J96">
        <f>IF(FT!B96&lt;&gt;"",FT!C96,"")</f>
        <v>38.235500000000002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2.7939399999999996</v>
      </c>
      <c r="G97" s="61">
        <f>IF(FT!B97&lt;&gt;"",FT!B97*100,"")</f>
        <v>31.477300000000003</v>
      </c>
      <c r="H97" s="61">
        <f t="shared" si="9"/>
        <v>1</v>
      </c>
      <c r="I97" t="str">
        <f>IF(FT!B97&lt;&gt;"",FT!E97,"")</f>
        <v>2 [38.641421]</v>
      </c>
      <c r="J97">
        <f>IF(FT!B97&lt;&gt;"",FT!C97,"")</f>
        <v>38.641399999999997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115924</v>
      </c>
      <c r="D98" s="61">
        <f>FH!B98*1</f>
        <v>115924</v>
      </c>
      <c r="E98">
        <f t="shared" si="11"/>
        <v>96</v>
      </c>
      <c r="F98" s="61">
        <f>IF(FT!A98&lt;&gt;"",FT!A98*10,"")</f>
        <v>2.78362</v>
      </c>
      <c r="G98" s="61">
        <f>IF(FT!B98&lt;&gt;"",FT!B98*100,"")</f>
        <v>32.102199999999996</v>
      </c>
      <c r="H98" s="61">
        <f t="shared" si="9"/>
        <v>1</v>
      </c>
      <c r="I98" t="str">
        <f>IF(FT!B98&lt;&gt;"",FT!E98,"")</f>
        <v>2 [39.047497]</v>
      </c>
      <c r="J98">
        <f>IF(FT!B98&lt;&gt;"",FT!C98,"")</f>
        <v>39.047499999999999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2.7754799999999999</v>
      </c>
      <c r="G99" s="61">
        <f>IF(FT!B99&lt;&gt;"",FT!B99*100,"")</f>
        <v>32.741300000000003</v>
      </c>
      <c r="H99" s="61">
        <f t="shared" si="9"/>
        <v>1</v>
      </c>
      <c r="I99" t="str">
        <f>IF(FT!B99&lt;&gt;"",FT!E99,"")</f>
        <v>2 [39.451312]</v>
      </c>
      <c r="J99">
        <f>IF(FT!B99&lt;&gt;"",FT!C99,"")</f>
        <v>39.451300000000003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112891</v>
      </c>
      <c r="D100" s="61">
        <f>FH!B100*1</f>
        <v>112891</v>
      </c>
      <c r="E100">
        <f t="shared" si="11"/>
        <v>98</v>
      </c>
      <c r="F100" s="61">
        <f>IF(FT!A100&lt;&gt;"",FT!A100*10,"")</f>
        <v>2.7688600000000001</v>
      </c>
      <c r="G100" s="61">
        <f>IF(FT!B100&lt;&gt;"",FT!B100*100,"")</f>
        <v>33.477800000000002</v>
      </c>
      <c r="H100" s="61">
        <f t="shared" si="9"/>
        <v>1</v>
      </c>
      <c r="I100" t="str">
        <f>IF(FT!B100&lt;&gt;"",FT!E100,"")</f>
        <v>2 [39.857395]</v>
      </c>
      <c r="J100">
        <f>IF(FT!B100&lt;&gt;"",FT!C100,"")</f>
        <v>39.857399999999998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2.7642899999999999</v>
      </c>
      <c r="G101" s="61">
        <f>IF(FT!B101&lt;&gt;"",FT!B101*100,"")</f>
        <v>34.2121</v>
      </c>
      <c r="H101" s="61">
        <f t="shared" si="9"/>
        <v>1</v>
      </c>
      <c r="I101" t="str">
        <f>IF(FT!B101&lt;&gt;"",FT!E101,"")</f>
        <v>2 [40.269256]</v>
      </c>
      <c r="J101">
        <f>IF(FT!B101&lt;&gt;"",FT!C101,"")</f>
        <v>40.269300000000001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2.7619199999999999</v>
      </c>
      <c r="G102" s="61">
        <f>IF(FT!B102&lt;&gt;"",FT!B102*100,"")</f>
        <v>34.963100000000004</v>
      </c>
      <c r="H102" s="61">
        <f t="shared" si="9"/>
        <v>1</v>
      </c>
      <c r="I102" t="str">
        <f>IF(FT!B102&lt;&gt;"",FT!E102,"")</f>
        <v>2 [40.668122]</v>
      </c>
      <c r="J102">
        <f>IF(FT!B102&lt;&gt;"",FT!C102,"")</f>
        <v>40.668100000000003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98352</v>
      </c>
      <c r="D103" s="61">
        <f>FH!B103*1</f>
        <v>98352</v>
      </c>
      <c r="E103">
        <f t="shared" si="11"/>
        <v>101</v>
      </c>
      <c r="F103" s="61">
        <f>IF(FT!A103&lt;&gt;"",FT!A103*10,"")</f>
        <v>2.7621200000000004</v>
      </c>
      <c r="G103" s="61">
        <f>IF(FT!B103&lt;&gt;"",FT!B103*100,"")</f>
        <v>35.7684</v>
      </c>
      <c r="H103" s="61">
        <f t="shared" si="9"/>
        <v>1</v>
      </c>
      <c r="I103" t="str">
        <f>IF(FT!B103&lt;&gt;"",FT!E103,"")</f>
        <v>2 [41.079975]</v>
      </c>
      <c r="J103">
        <f>IF(FT!B103&lt;&gt;"",FT!C103,"")</f>
        <v>41.08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2.7647599999999999</v>
      </c>
      <c r="G104" s="61">
        <f>IF(FT!B104&lt;&gt;"",FT!B104*100,"")</f>
        <v>36.5779</v>
      </c>
      <c r="H104" s="61">
        <f t="shared" si="9"/>
        <v>1</v>
      </c>
      <c r="I104" t="str">
        <f>IF(FT!B104&lt;&gt;"",FT!E104,"")</f>
        <v>2 [41.482869]</v>
      </c>
      <c r="J104">
        <f>IF(FT!B104&lt;&gt;"",FT!C104,"")</f>
        <v>41.482900000000001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2.7705299999999999</v>
      </c>
      <c r="G105" s="61">
        <f>IF(FT!B105&lt;&gt;"",FT!B105*100,"")</f>
        <v>37.313600000000001</v>
      </c>
      <c r="H105" s="61">
        <f t="shared" si="9"/>
        <v>1</v>
      </c>
      <c r="I105" t="str">
        <f>IF(FT!B105&lt;&gt;"",FT!E105,"")</f>
        <v>2 [41.893702]</v>
      </c>
      <c r="J105">
        <f>IF(FT!B105&lt;&gt;"",FT!C105,"")</f>
        <v>41.893700000000003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97923</v>
      </c>
      <c r="D106" s="61">
        <f>FH!B106*1</f>
        <v>97923</v>
      </c>
      <c r="E106">
        <f t="shared" si="11"/>
        <v>104</v>
      </c>
      <c r="F106" s="61">
        <f>IF(FT!A106&lt;&gt;"",FT!A106*10,"")</f>
        <v>2.7799100000000001</v>
      </c>
      <c r="G106" s="61">
        <f>IF(FT!B106&lt;&gt;"",FT!B106*100,"")</f>
        <v>37.976900000000001</v>
      </c>
      <c r="H106" s="61">
        <f t="shared" si="9"/>
        <v>1</v>
      </c>
      <c r="I106" t="str">
        <f>IF(FT!B106&lt;&gt;"",FT!E106,"")</f>
        <v>2 [42.298990]</v>
      </c>
      <c r="J106">
        <f>IF(FT!B106&lt;&gt;"",FT!C106,"")</f>
        <v>42.298999999999999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2.7940399999999999</v>
      </c>
      <c r="G107" s="61">
        <f>IF(FT!B107&lt;&gt;"",FT!B107*100,"")</f>
        <v>38.555599999999998</v>
      </c>
      <c r="H107" s="61">
        <f t="shared" si="9"/>
        <v>1</v>
      </c>
      <c r="I107" t="str">
        <f>IF(FT!B107&lt;&gt;"",FT!E107,"")</f>
        <v>2 [42.706574]</v>
      </c>
      <c r="J107">
        <f>IF(FT!B107&lt;&gt;"",FT!C107,"")</f>
        <v>42.706600000000002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84222</v>
      </c>
      <c r="D108" s="61">
        <f>FH!B108*1</f>
        <v>84222</v>
      </c>
      <c r="E108">
        <f t="shared" si="11"/>
        <v>106</v>
      </c>
      <c r="F108" s="61">
        <f>IF(FT!A108&lt;&gt;"",FT!A108*10,"")</f>
        <v>2.8127600000000004</v>
      </c>
      <c r="G108" s="61">
        <f>IF(FT!B108&lt;&gt;"",FT!B108*100,"")</f>
        <v>38.996399999999994</v>
      </c>
      <c r="H108" s="61">
        <f t="shared" si="9"/>
        <v>1</v>
      </c>
      <c r="I108" t="str">
        <f>IF(FT!B108&lt;&gt;"",FT!E108,"")</f>
        <v>2 [43.109519]</v>
      </c>
      <c r="J108">
        <f>IF(FT!B108&lt;&gt;"",FT!C108,"")</f>
        <v>43.109499999999997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2.8335300000000001</v>
      </c>
      <c r="G109" s="61">
        <f>IF(FT!B109&lt;&gt;"",FT!B109*100,"")</f>
        <v>39.363999999999997</v>
      </c>
      <c r="H109" s="61">
        <f t="shared" si="9"/>
        <v>1</v>
      </c>
      <c r="I109" t="str">
        <f>IF(FT!B109&lt;&gt;"",FT!E109,"")</f>
        <v>2 [43.514327]</v>
      </c>
      <c r="J109">
        <f>IF(FT!B109&lt;&gt;"",FT!C109,"")</f>
        <v>43.514299999999999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2.8563100000000001</v>
      </c>
      <c r="G110" s="61">
        <f>IF(FT!B110&lt;&gt;"",FT!B110*100,"")</f>
        <v>39.645899999999997</v>
      </c>
      <c r="H110" s="61">
        <f t="shared" si="9"/>
        <v>1</v>
      </c>
      <c r="I110" t="str">
        <f>IF(FT!B110&lt;&gt;"",FT!E110,"")</f>
        <v>2 [43.921335]</v>
      </c>
      <c r="J110">
        <f>IF(FT!B110&lt;&gt;"",FT!C110,"")</f>
        <v>43.921300000000002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81614</v>
      </c>
      <c r="D111" s="61">
        <f>FH!B111*1</f>
        <v>81614</v>
      </c>
      <c r="E111">
        <f t="shared" si="11"/>
        <v>109</v>
      </c>
      <c r="F111" s="61">
        <f>IF(FT!A111&lt;&gt;"",FT!A111*10,"")</f>
        <v>2.8811599999999999</v>
      </c>
      <c r="G111" s="61">
        <f>IF(FT!B111&lt;&gt;"",FT!B111*100,"")</f>
        <v>39.876899999999999</v>
      </c>
      <c r="H111" s="61">
        <f t="shared" si="9"/>
        <v>1</v>
      </c>
      <c r="I111" t="str">
        <f>IF(FT!B111&lt;&gt;"",FT!E111,"")</f>
        <v>2 [44.328271]</v>
      </c>
      <c r="J111">
        <f>IF(FT!B111&lt;&gt;"",FT!C111,"")</f>
        <v>44.328299999999999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2.9069099999999999</v>
      </c>
      <c r="G112" s="61">
        <f>IF(FT!B112&lt;&gt;"",FT!B112*100,"")</f>
        <v>40.075600000000001</v>
      </c>
      <c r="H112" s="61">
        <f t="shared" si="9"/>
        <v>1</v>
      </c>
      <c r="I112" t="str">
        <f>IF(FT!B112&lt;&gt;"",FT!E112,"")</f>
        <v>2 [44.731124]</v>
      </c>
      <c r="J112">
        <f>IF(FT!B112&lt;&gt;"",FT!C112,"")</f>
        <v>44.731099999999998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75311</v>
      </c>
      <c r="D113" s="61">
        <f>FH!B113*1</f>
        <v>75311</v>
      </c>
      <c r="E113">
        <f t="shared" si="11"/>
        <v>111</v>
      </c>
      <c r="F113" s="61">
        <f>IF(FT!A113&lt;&gt;"",FT!A113*10,"")</f>
        <v>2.9335200000000001</v>
      </c>
      <c r="G113" s="61">
        <f>IF(FT!B113&lt;&gt;"",FT!B113*100,"")</f>
        <v>40.217399999999998</v>
      </c>
      <c r="H113" s="61">
        <f t="shared" si="9"/>
        <v>1</v>
      </c>
      <c r="I113" t="str">
        <f>IF(FT!B113&lt;&gt;"",FT!E113,"")</f>
        <v>2 [45.143026]</v>
      </c>
      <c r="J113">
        <f>IF(FT!B113&lt;&gt;"",FT!C113,"")</f>
        <v>45.143000000000001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2.9609100000000002</v>
      </c>
      <c r="G114" s="61">
        <f>IF(FT!B114&lt;&gt;"",FT!B114*100,"")</f>
        <v>40.3508</v>
      </c>
      <c r="H114" s="61">
        <f t="shared" si="9"/>
        <v>1</v>
      </c>
      <c r="I114" t="str">
        <f>IF(FT!B114&lt;&gt;"",FT!E114,"")</f>
        <v>2 [45.549409]</v>
      </c>
      <c r="J114">
        <f>IF(FT!B114&lt;&gt;"",FT!C114,"")</f>
        <v>45.549399999999999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2.9894400000000001</v>
      </c>
      <c r="G115" s="61">
        <f>IF(FT!B115&lt;&gt;"",FT!B115*100,"")</f>
        <v>40.454700000000003</v>
      </c>
      <c r="H115" s="61">
        <f t="shared" si="9"/>
        <v>1</v>
      </c>
      <c r="I115" t="str">
        <f>IF(FT!B115&lt;&gt;"",FT!E115,"")</f>
        <v>2 [45.949904]</v>
      </c>
      <c r="J115">
        <f>IF(FT!B115&lt;&gt;"",FT!C115,"")</f>
        <v>45.9499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69145</v>
      </c>
      <c r="D116" s="61">
        <f>FH!B116*1</f>
        <v>69145</v>
      </c>
      <c r="E116">
        <f t="shared" si="11"/>
        <v>114</v>
      </c>
      <c r="F116" s="61">
        <f>IF(FT!A116&lt;&gt;"",FT!A116*10,"")</f>
        <v>3.0195300000000005</v>
      </c>
      <c r="G116" s="61">
        <f>IF(FT!B116&lt;&gt;"",FT!B116*100,"")</f>
        <v>40.573100000000004</v>
      </c>
      <c r="H116" s="61">
        <f t="shared" si="9"/>
        <v>1</v>
      </c>
      <c r="I116" t="str">
        <f>IF(FT!B116&lt;&gt;"",FT!E116,"")</f>
        <v>2 [46.356883]</v>
      </c>
      <c r="J116">
        <f>IF(FT!B116&lt;&gt;"",FT!C116,"")</f>
        <v>46.356900000000003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3.05091</v>
      </c>
      <c r="G117" s="61">
        <f>IF(FT!B117&lt;&gt;"",FT!B117*100,"")</f>
        <v>40.686299999999996</v>
      </c>
      <c r="H117" s="61">
        <f t="shared" si="9"/>
        <v>1</v>
      </c>
      <c r="I117" t="str">
        <f>IF(FT!B117&lt;&gt;"",FT!E117,"")</f>
        <v>2 [46.763784]</v>
      </c>
      <c r="J117">
        <f>IF(FT!B117&lt;&gt;"",FT!C117,"")</f>
        <v>46.763800000000003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71938</v>
      </c>
      <c r="D118" s="61">
        <f>FH!B118*1</f>
        <v>71938</v>
      </c>
      <c r="E118">
        <f t="shared" si="11"/>
        <v>116</v>
      </c>
      <c r="F118" s="61">
        <f>IF(FT!A118&lt;&gt;"",FT!A118*10,"")</f>
        <v>3.0812600000000003</v>
      </c>
      <c r="G118" s="61">
        <f>IF(FT!B118&lt;&gt;"",FT!B118*100,"")</f>
        <v>40.869299999999996</v>
      </c>
      <c r="H118" s="61">
        <f t="shared" si="9"/>
        <v>1</v>
      </c>
      <c r="I118" t="str">
        <f>IF(FT!B118&lt;&gt;"",FT!E118,"")</f>
        <v>2 [47.175613]</v>
      </c>
      <c r="J118">
        <f>IF(FT!B118&lt;&gt;"",FT!C118,"")</f>
        <v>47.175600000000003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3.10765</v>
      </c>
      <c r="G119" s="61">
        <f>IF(FT!B119&lt;&gt;"",FT!B119*100,"")</f>
        <v>41.125</v>
      </c>
      <c r="H119" s="61">
        <f t="shared" si="9"/>
        <v>1</v>
      </c>
      <c r="I119" t="str">
        <f>IF(FT!B119&lt;&gt;"",FT!E119,"")</f>
        <v>2 [47.579631]</v>
      </c>
      <c r="J119">
        <f>IF(FT!B119&lt;&gt;"",FT!C119,"")</f>
        <v>47.579599999999999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3.1267699999999996</v>
      </c>
      <c r="G120" s="61">
        <f>IF(FT!B120&lt;&gt;"",FT!B120*100,"")</f>
        <v>41.428799999999995</v>
      </c>
      <c r="H120" s="61">
        <f t="shared" si="9"/>
        <v>1</v>
      </c>
      <c r="I120" t="str">
        <f>IF(FT!B120&lt;&gt;"",FT!E120,"")</f>
        <v>2 [47.988822]</v>
      </c>
      <c r="J120">
        <f>IF(FT!B120&lt;&gt;"",FT!C120,"")</f>
        <v>47.988799999999998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68414</v>
      </c>
      <c r="D121" s="61">
        <f>FH!B121*1</f>
        <v>68414</v>
      </c>
      <c r="E121">
        <f t="shared" si="11"/>
        <v>119</v>
      </c>
      <c r="F121" s="61">
        <f>IF(FT!A121&lt;&gt;"",FT!A121*10,"")</f>
        <v>3.1410900000000002</v>
      </c>
      <c r="G121" s="61">
        <f>IF(FT!B121&lt;&gt;"",FT!B121*100,"")</f>
        <v>41.7836</v>
      </c>
      <c r="H121" s="61">
        <f t="shared" si="9"/>
        <v>1</v>
      </c>
      <c r="I121" t="str">
        <f>IF(FT!B121&lt;&gt;"",FT!E121,"")</f>
        <v>2 [48.398587]</v>
      </c>
      <c r="J121">
        <f>IF(FT!B121&lt;&gt;"",FT!C121,"")</f>
        <v>48.398600000000002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3.1525099999999999</v>
      </c>
      <c r="G122" s="61">
        <f>IF(FT!B122&lt;&gt;"",FT!B122*100,"")</f>
        <v>42.116399999999999</v>
      </c>
      <c r="H122" s="61">
        <f t="shared" si="9"/>
        <v>1</v>
      </c>
      <c r="I122" t="str">
        <f>IF(FT!B122&lt;&gt;"",FT!E122,"")</f>
        <v>2 [48.802247]</v>
      </c>
      <c r="J122">
        <f>IF(FT!B122&lt;&gt;"",FT!C122,"")</f>
        <v>48.802199999999999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3.1593300000000002</v>
      </c>
      <c r="G123" s="61">
        <f>IF(FT!B123&lt;&gt;"",FT!B123*100,"")</f>
        <v>42.410399999999996</v>
      </c>
      <c r="H123" s="61">
        <f t="shared" si="9"/>
        <v>1</v>
      </c>
      <c r="I123" t="str">
        <f>IF(FT!B123&lt;&gt;"",FT!E123,"")</f>
        <v>2 [49.207181]</v>
      </c>
      <c r="J123">
        <f>IF(FT!B123&lt;&gt;"",FT!C123,"")</f>
        <v>49.2072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66704</v>
      </c>
      <c r="D124" s="61">
        <f>FH!B124*1</f>
        <v>66704</v>
      </c>
      <c r="E124">
        <f t="shared" si="11"/>
        <v>122</v>
      </c>
      <c r="F124" s="61">
        <f>IF(FT!A124&lt;&gt;"",FT!A124*10,"")</f>
        <v>3.1638300000000004</v>
      </c>
      <c r="G124" s="61">
        <f>IF(FT!B124&lt;&gt;"",FT!B124*100,"")</f>
        <v>42.674399999999999</v>
      </c>
      <c r="H124" s="61">
        <f t="shared" si="9"/>
        <v>1</v>
      </c>
      <c r="I124" t="str">
        <f>IF(FT!B124&lt;&gt;"",FT!E124,"")</f>
        <v>2 [49.618093]</v>
      </c>
      <c r="J124">
        <f>IF(FT!B124&lt;&gt;"",FT!C124,"")</f>
        <v>49.618099999999998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3.1666499999999997</v>
      </c>
      <c r="G125" s="61">
        <f>IF(FT!B125&lt;&gt;"",FT!B125*100,"")</f>
        <v>42.905700000000003</v>
      </c>
      <c r="H125" s="61">
        <f t="shared" si="9"/>
        <v>1</v>
      </c>
      <c r="I125" t="str">
        <f>IF(FT!B125&lt;&gt;"",FT!E125,"")</f>
        <v>2 [50.014041]</v>
      </c>
      <c r="J125">
        <f>IF(FT!B125&lt;&gt;"",FT!C125,"")</f>
        <v>50.014000000000003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69517</v>
      </c>
      <c r="D126" s="61">
        <f>FH!B126*1</f>
        <v>69517</v>
      </c>
      <c r="E126">
        <f t="shared" si="11"/>
        <v>124</v>
      </c>
      <c r="F126" s="61">
        <f>IF(FT!A126&lt;&gt;"",FT!A126*10,"")</f>
        <v>3.17699</v>
      </c>
      <c r="G126" s="61">
        <f>IF(FT!B126&lt;&gt;"",FT!B126*100,"")</f>
        <v>42.9587</v>
      </c>
      <c r="H126" s="61">
        <f t="shared" si="9"/>
        <v>1</v>
      </c>
      <c r="I126" t="str">
        <f>IF(FT!B126&lt;&gt;"",FT!E126,"")</f>
        <v>2 [50.418998]</v>
      </c>
      <c r="J126">
        <f>IF(FT!B126&lt;&gt;"",FT!C126,"")</f>
        <v>50.418999999999997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3.1872299999999996</v>
      </c>
      <c r="G127" s="61">
        <f>IF(FT!B127&lt;&gt;"",FT!B127*100,"")</f>
        <v>42.9833</v>
      </c>
      <c r="H127" s="61">
        <f t="shared" si="9"/>
        <v>1</v>
      </c>
      <c r="I127" t="str">
        <f>IF(FT!B127&lt;&gt;"",FT!E127,"")</f>
        <v>2 [50.833870]</v>
      </c>
      <c r="J127">
        <f>IF(FT!B127&lt;&gt;"",FT!C127,"")</f>
        <v>50.8339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3.1958500000000001</v>
      </c>
      <c r="G128" s="61">
        <f>IF(FT!B128&lt;&gt;"",FT!B128*100,"")</f>
        <v>42.972799999999999</v>
      </c>
      <c r="H128" s="61">
        <f t="shared" si="9"/>
        <v>1</v>
      </c>
      <c r="I128" t="str">
        <f>IF(FT!B128&lt;&gt;"",FT!E128,"")</f>
        <v>2 [51.238007]</v>
      </c>
      <c r="J128">
        <f>IF(FT!B128&lt;&gt;"",FT!C128,"")</f>
        <v>51.238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62502</v>
      </c>
      <c r="D129" s="61">
        <f>FH!B129*1</f>
        <v>62502</v>
      </c>
      <c r="E129">
        <f t="shared" si="11"/>
        <v>127</v>
      </c>
      <c r="F129" s="61">
        <f>IF(FT!A129&lt;&gt;"",FT!A129*10,"")</f>
        <v>3.2031000000000001</v>
      </c>
      <c r="G129" s="61">
        <f>IF(FT!B129&lt;&gt;"",FT!B129*100,"")</f>
        <v>42.964599999999997</v>
      </c>
      <c r="H129" s="61">
        <f t="shared" si="9"/>
        <v>1</v>
      </c>
      <c r="I129" t="str">
        <f>IF(FT!B129&lt;&gt;"",FT!E129,"")</f>
        <v>2 [51.636748]</v>
      </c>
      <c r="J129">
        <f>IF(FT!B129&lt;&gt;"",FT!C129,"")</f>
        <v>51.636699999999998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3.2093300000000005</v>
      </c>
      <c r="G130" s="61">
        <f>IF(FT!B130&lt;&gt;"",FT!B130*100,"")</f>
        <v>42.969900000000003</v>
      </c>
      <c r="H130" s="61">
        <f t="shared" si="9"/>
        <v>1</v>
      </c>
      <c r="I130" t="str">
        <f>IF(FT!B130&lt;&gt;"",FT!E130,"")</f>
        <v>2 [52.050571]</v>
      </c>
      <c r="J130">
        <f>IF(FT!B130&lt;&gt;"",FT!C130,"")</f>
        <v>52.050600000000003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56295</v>
      </c>
      <c r="D131" s="61">
        <f>FH!B131*1</f>
        <v>56295</v>
      </c>
      <c r="E131">
        <f t="shared" si="11"/>
        <v>129</v>
      </c>
      <c r="F131" s="61">
        <f>IF(FT!A131&lt;&gt;"",FT!A131*10,"")</f>
        <v>3.2153999999999998</v>
      </c>
      <c r="G131" s="61">
        <f>IF(FT!B131&lt;&gt;"",FT!B131*100,"")</f>
        <v>42.9831</v>
      </c>
      <c r="H131" s="61">
        <f t="shared" ref="H131:H194" si="13">(IF(F131&lt;&gt;"",1,""))</f>
        <v>1</v>
      </c>
      <c r="I131" t="str">
        <f>IF(FT!B131&lt;&gt;"",FT!E131,"")</f>
        <v>2 [52.456472]</v>
      </c>
      <c r="J131">
        <f>IF(FT!B131&lt;&gt;"",FT!C131,"")</f>
        <v>52.456499999999998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3.2194600000000002</v>
      </c>
      <c r="G132" s="61">
        <f>IF(FT!B132&lt;&gt;"",FT!B132*100,"")</f>
        <v>42.978100000000005</v>
      </c>
      <c r="H132" s="61">
        <f t="shared" si="13"/>
        <v>1</v>
      </c>
      <c r="I132" t="str">
        <f>IF(FT!B132&lt;&gt;"",FT!E132,"")</f>
        <v>2 [52.863359]</v>
      </c>
      <c r="J132">
        <f>IF(FT!B132&lt;&gt;"",FT!C132,"")</f>
        <v>52.863399999999999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3.2211800000000004</v>
      </c>
      <c r="G133" s="61">
        <f>IF(FT!B133&lt;&gt;"",FT!B133*100,"")</f>
        <v>43.0017</v>
      </c>
      <c r="H133" s="61">
        <f t="shared" si="13"/>
        <v>1</v>
      </c>
      <c r="I133" t="str">
        <f>IF(FT!B133&lt;&gt;"",FT!E133,"")</f>
        <v>2 [53.270492]</v>
      </c>
      <c r="J133">
        <f>IF(FT!B133&lt;&gt;"",FT!C133,"")</f>
        <v>53.270499999999998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48203</v>
      </c>
      <c r="D134" s="61">
        <f>FH!B134*1</f>
        <v>48203</v>
      </c>
      <c r="E134">
        <f t="shared" si="15"/>
        <v>132</v>
      </c>
      <c r="F134" s="61">
        <f>IF(FT!A134&lt;&gt;"",FT!A134*10,"")</f>
        <v>3.2223099999999998</v>
      </c>
      <c r="G134" s="61">
        <f>IF(FT!B134&lt;&gt;"",FT!B134*100,"")</f>
        <v>43.039400000000001</v>
      </c>
      <c r="H134" s="61">
        <f t="shared" si="13"/>
        <v>1</v>
      </c>
      <c r="I134" t="str">
        <f>IF(FT!B134&lt;&gt;"",FT!E134,"")</f>
        <v>2 [53.673253]</v>
      </c>
      <c r="J134">
        <f>IF(FT!B134&lt;&gt;"",FT!C134,"")</f>
        <v>53.673299999999998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3.2216399999999998</v>
      </c>
      <c r="G135" s="61">
        <f>IF(FT!B135&lt;&gt;"",FT!B135*100,"")</f>
        <v>43.119199999999999</v>
      </c>
      <c r="H135" s="61">
        <f t="shared" si="13"/>
        <v>1</v>
      </c>
      <c r="I135" t="str">
        <f>IF(FT!B135&lt;&gt;"",FT!E135,"")</f>
        <v>2 [54.084314]</v>
      </c>
      <c r="J135">
        <f>IF(FT!B135&lt;&gt;"",FT!C135,"")</f>
        <v>54.084299999999999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42299</v>
      </c>
      <c r="D136" s="61">
        <f>FH!B136*1</f>
        <v>42299</v>
      </c>
      <c r="E136">
        <f t="shared" si="15"/>
        <v>134</v>
      </c>
      <c r="F136" s="61">
        <f>IF(FT!A136&lt;&gt;"",FT!A136*10,"")</f>
        <v>3.2173400000000001</v>
      </c>
      <c r="G136" s="61">
        <f>IF(FT!B136&lt;&gt;"",FT!B136*100,"")</f>
        <v>43.240099999999998</v>
      </c>
      <c r="H136" s="61">
        <f t="shared" si="13"/>
        <v>1</v>
      </c>
      <c r="I136" t="str">
        <f>IF(FT!B136&lt;&gt;"",FT!E136,"")</f>
        <v>2 [54.487070]</v>
      </c>
      <c r="J136">
        <f>IF(FT!B136&lt;&gt;"",FT!C136,"")</f>
        <v>54.487099999999998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3.2117899999999997</v>
      </c>
      <c r="G137" s="61">
        <f>IF(FT!B137&lt;&gt;"",FT!B137*100,"")</f>
        <v>43.374600000000001</v>
      </c>
      <c r="H137" s="61">
        <f t="shared" si="13"/>
        <v>1</v>
      </c>
      <c r="I137" t="str">
        <f>IF(FT!B137&lt;&gt;"",FT!E137,"")</f>
        <v>2 [54.892079]</v>
      </c>
      <c r="J137">
        <f>IF(FT!B137&lt;&gt;"",FT!C137,"")</f>
        <v>54.892099999999999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3.2040500000000001</v>
      </c>
      <c r="G138" s="61">
        <f>IF(FT!B138&lt;&gt;"",FT!B138*100,"")</f>
        <v>43.5501</v>
      </c>
      <c r="H138" s="61">
        <f t="shared" si="13"/>
        <v>1</v>
      </c>
      <c r="I138" t="str">
        <f>IF(FT!B138&lt;&gt;"",FT!E138,"")</f>
        <v>2 [55.301459]</v>
      </c>
      <c r="J138">
        <f>IF(FT!B138&lt;&gt;"",FT!C138,"")</f>
        <v>55.301499999999997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39139</v>
      </c>
      <c r="D139" s="61">
        <f>FH!B139*1</f>
        <v>39139</v>
      </c>
      <c r="E139">
        <f t="shared" si="15"/>
        <v>137</v>
      </c>
      <c r="F139" s="61">
        <f>IF(FT!A139&lt;&gt;"",FT!A139*10,"")</f>
        <v>3.19306</v>
      </c>
      <c r="G139" s="61">
        <f>IF(FT!B139&lt;&gt;"",FT!B139*100,"")</f>
        <v>43.819399999999995</v>
      </c>
      <c r="H139" s="61">
        <f t="shared" si="13"/>
        <v>1</v>
      </c>
      <c r="I139" t="str">
        <f>IF(FT!B139&lt;&gt;"",FT!E139,"")</f>
        <v>2 [55.713892]</v>
      </c>
      <c r="J139">
        <f>IF(FT!B139&lt;&gt;"",FT!C139,"")</f>
        <v>55.713900000000002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3.1771700000000003</v>
      </c>
      <c r="G140" s="61">
        <f>IF(FT!B140&lt;&gt;"",FT!B140*100,"")</f>
        <v>44.168900000000001</v>
      </c>
      <c r="H140" s="61">
        <f t="shared" si="13"/>
        <v>1</v>
      </c>
      <c r="I140" t="str">
        <f>IF(FT!B140&lt;&gt;"",FT!E140,"")</f>
        <v>2 [56.112697]</v>
      </c>
      <c r="J140">
        <f>IF(FT!B140&lt;&gt;"",FT!C140,"")</f>
        <v>56.112699999999997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3.15665</v>
      </c>
      <c r="G141" s="61">
        <f>IF(FT!B141&lt;&gt;"",FT!B141*100,"")</f>
        <v>44.632399999999997</v>
      </c>
      <c r="H141" s="61">
        <f t="shared" si="13"/>
        <v>1</v>
      </c>
      <c r="I141" t="str">
        <f>IF(FT!B141&lt;&gt;"",FT!E141,"")</f>
        <v>2 [56.518854]</v>
      </c>
      <c r="J141">
        <f>IF(FT!B141&lt;&gt;"",FT!C141,"")</f>
        <v>56.518900000000002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42178</v>
      </c>
      <c r="D142" s="61">
        <f>FH!B142*1</f>
        <v>42178</v>
      </c>
      <c r="E142">
        <f t="shared" si="15"/>
        <v>140</v>
      </c>
      <c r="F142" s="61">
        <f>IF(FT!A142&lt;&gt;"",FT!A142*10,"")</f>
        <v>3.1286900000000002</v>
      </c>
      <c r="G142" s="61">
        <f>IF(FT!B142&lt;&gt;"",FT!B142*100,"")</f>
        <v>45.248600000000003</v>
      </c>
      <c r="H142" s="61">
        <f t="shared" si="13"/>
        <v>1</v>
      </c>
      <c r="I142" t="str">
        <f>IF(FT!B142&lt;&gt;"",FT!E142,"")</f>
        <v>2 [56.926663]</v>
      </c>
      <c r="J142">
        <f>IF(FT!B142&lt;&gt;"",FT!C142,"")</f>
        <v>56.926699999999997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3.0956099999999998</v>
      </c>
      <c r="G143" s="61">
        <f>IF(FT!B143&lt;&gt;"",FT!B143*100,"")</f>
        <v>45.915499999999994</v>
      </c>
      <c r="H143" s="61">
        <f t="shared" si="13"/>
        <v>1</v>
      </c>
      <c r="I143" t="str">
        <f>IF(FT!B143&lt;&gt;"",FT!E143,"")</f>
        <v>2 [57.333445]</v>
      </c>
      <c r="J143">
        <f>IF(FT!B143&lt;&gt;"",FT!C143,"")</f>
        <v>57.333399999999997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41798</v>
      </c>
      <c r="D144" s="61">
        <f>FH!B144*1</f>
        <v>41798</v>
      </c>
      <c r="E144">
        <f t="shared" si="15"/>
        <v>142</v>
      </c>
      <c r="F144" s="61">
        <f>IF(FT!A144&lt;&gt;"",FT!A144*10,"")</f>
        <v>3.0585100000000001</v>
      </c>
      <c r="G144" s="61">
        <f>IF(FT!B144&lt;&gt;"",FT!B144*100,"")</f>
        <v>46.601799999999997</v>
      </c>
      <c r="H144" s="61">
        <f t="shared" si="13"/>
        <v>1</v>
      </c>
      <c r="I144" t="str">
        <f>IF(FT!B144&lt;&gt;"",FT!E144,"")</f>
        <v>2 [57.735450]</v>
      </c>
      <c r="J144">
        <f>IF(FT!B144&lt;&gt;"",FT!C144,"")</f>
        <v>57.735399999999998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3.0301400000000003</v>
      </c>
      <c r="G145" s="61">
        <f>IF(FT!B145&lt;&gt;"",FT!B145*100,"")</f>
        <v>47.223500000000001</v>
      </c>
      <c r="H145" s="61">
        <f t="shared" si="13"/>
        <v>1</v>
      </c>
      <c r="I145" t="str">
        <f>IF(FT!B145&lt;&gt;"",FT!E145,"")</f>
        <v>2 [58.144297]</v>
      </c>
      <c r="J145">
        <f>IF(FT!B145&lt;&gt;"",FT!C145,"")</f>
        <v>58.144300000000001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3.0037099999999999</v>
      </c>
      <c r="G146" s="61">
        <f>IF(FT!B146&lt;&gt;"",FT!B146*100,"")</f>
        <v>47.643700000000003</v>
      </c>
      <c r="H146" s="61">
        <f t="shared" si="13"/>
        <v>1</v>
      </c>
      <c r="I146" t="str">
        <f>IF(FT!B146&lt;&gt;"",FT!E146,"")</f>
        <v>2 [58.550481]</v>
      </c>
      <c r="J146">
        <f>IF(FT!B146&lt;&gt;"",FT!C146,"")</f>
        <v>58.5505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35834</v>
      </c>
      <c r="D147" s="61">
        <f>FH!B147*1</f>
        <v>35834</v>
      </c>
      <c r="E147">
        <f t="shared" si="15"/>
        <v>145</v>
      </c>
      <c r="F147" s="61">
        <f>IF(FT!A147&lt;&gt;"",FT!A147*10,"")</f>
        <v>2.9694700000000003</v>
      </c>
      <c r="G147" s="61">
        <f>IF(FT!B147&lt;&gt;"",FT!B147*100,"")</f>
        <v>48.112000000000002</v>
      </c>
      <c r="H147" s="61">
        <f t="shared" si="13"/>
        <v>1</v>
      </c>
      <c r="I147" t="str">
        <f>IF(FT!B147&lt;&gt;"",FT!E147,"")</f>
        <v>2 [58.957147]</v>
      </c>
      <c r="J147">
        <f>IF(FT!B147&lt;&gt;"",FT!C147,"")</f>
        <v>58.957099999999997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2.9542600000000001</v>
      </c>
      <c r="G148" s="61">
        <f>IF(FT!B148&lt;&gt;"",FT!B148*100,"")</f>
        <v>48.394100000000002</v>
      </c>
      <c r="H148" s="61">
        <f t="shared" si="13"/>
        <v>1</v>
      </c>
      <c r="I148" t="str">
        <f>IF(FT!B148&lt;&gt;"",FT!E148,"")</f>
        <v>2 [59.367027]</v>
      </c>
      <c r="J148">
        <f>IF(FT!B148&lt;&gt;"",FT!C148,"")</f>
        <v>59.366999999999997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28438</v>
      </c>
      <c r="D149" s="61">
        <f>FH!B149*1</f>
        <v>28438</v>
      </c>
      <c r="E149">
        <f t="shared" si="15"/>
        <v>147</v>
      </c>
      <c r="F149" s="61">
        <f>IF(FT!A149&lt;&gt;"",FT!A149*10,"")</f>
        <v>2.9389500000000002</v>
      </c>
      <c r="G149" s="61">
        <f>IF(FT!B149&lt;&gt;"",FT!B149*100,"")</f>
        <v>48.855900000000005</v>
      </c>
      <c r="H149" s="61">
        <f t="shared" si="13"/>
        <v>1</v>
      </c>
      <c r="I149" t="str">
        <f>IF(FT!B149&lt;&gt;"",FT!E149,"")</f>
        <v>2 [59.773912]</v>
      </c>
      <c r="J149">
        <f>IF(FT!B149&lt;&gt;"",FT!C149,"")</f>
        <v>59.773899999999998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25753</v>
      </c>
      <c r="D152" s="61">
        <f>FH!B152*1</f>
        <v>25753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25937</v>
      </c>
      <c r="D154" s="61">
        <f>FH!B154*1</f>
        <v>25937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24470</v>
      </c>
      <c r="D157" s="61">
        <f>FH!B157*1</f>
        <v>24470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20315</v>
      </c>
      <c r="D160" s="61">
        <f>FH!B160*1</f>
        <v>20315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19497</v>
      </c>
      <c r="D162" s="61">
        <f>FH!B162*1</f>
        <v>19497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15983</v>
      </c>
      <c r="D165" s="61">
        <f>FH!B165*1</f>
        <v>15983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13013</v>
      </c>
      <c r="D167" s="61">
        <f>FH!B167*1</f>
        <v>13013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12332</v>
      </c>
      <c r="D170" s="61">
        <f>FH!B170*1</f>
        <v>12332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10507</v>
      </c>
      <c r="D173" s="61">
        <f>FH!B173*1</f>
        <v>10507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8406</v>
      </c>
      <c r="D175" s="61">
        <f>FH!B175*1</f>
        <v>8406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7655</v>
      </c>
      <c r="D178" s="61">
        <f>FH!B178*1</f>
        <v>7655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6859</v>
      </c>
      <c r="D180" s="61">
        <f>FH!B180*1</f>
        <v>6859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5301</v>
      </c>
      <c r="D183" s="61">
        <f>FH!B183*1</f>
        <v>5301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4806</v>
      </c>
      <c r="D185" s="61">
        <f>FH!B185*1</f>
        <v>4806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3561</v>
      </c>
      <c r="D188" s="61">
        <f>FH!B188*1</f>
        <v>3561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2840</v>
      </c>
      <c r="D191" s="61">
        <f>FH!B191*1</f>
        <v>2840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2445</v>
      </c>
      <c r="D193" s="61">
        <f>FH!B193*1</f>
        <v>2445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1843</v>
      </c>
      <c r="D196" s="61">
        <f>FH!B196*1</f>
        <v>1843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1168</v>
      </c>
      <c r="D198" s="61">
        <f>FH!B198*1</f>
        <v>1168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202</v>
      </c>
      <c r="D201" s="61">
        <f>FH!B201*1</f>
        <v>202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39.340899999999998</v>
      </c>
      <c r="C5" s="66">
        <v>8.4142600000000005</v>
      </c>
      <c r="D5" s="66">
        <v>21.388100000000001</v>
      </c>
      <c r="E5" s="66">
        <v>20</v>
      </c>
      <c r="F5" s="66">
        <v>7.9105100000000004</v>
      </c>
      <c r="G5" s="66">
        <v>50</v>
      </c>
      <c r="H5" s="66">
        <v>49.6417</v>
      </c>
    </row>
    <row r="6" spans="1:8">
      <c r="A6" s="58" t="s">
        <v>303</v>
      </c>
      <c r="B6" s="66">
        <v>35.847200000000001</v>
      </c>
      <c r="C6" s="66">
        <v>4.2087199999999996</v>
      </c>
      <c r="D6" s="66">
        <v>11.7407</v>
      </c>
      <c r="E6" s="66">
        <v>20</v>
      </c>
      <c r="F6" s="66">
        <v>25.609500000000001</v>
      </c>
      <c r="G6" s="66">
        <v>40</v>
      </c>
      <c r="H6" s="66">
        <v>43.107399999999998</v>
      </c>
    </row>
    <row r="7" spans="1:8">
      <c r="A7" s="58" t="s">
        <v>304</v>
      </c>
      <c r="B7" s="66">
        <v>24.517499999999998</v>
      </c>
      <c r="C7" s="66">
        <v>6.8702899999999998</v>
      </c>
      <c r="D7" s="66">
        <v>28.021999999999998</v>
      </c>
      <c r="E7" s="66">
        <v>15</v>
      </c>
      <c r="F7" s="66">
        <v>9.5702099999999994</v>
      </c>
      <c r="G7" s="66">
        <v>40</v>
      </c>
      <c r="H7" s="66">
        <v>37.357300000000002</v>
      </c>
    </row>
    <row r="8" spans="1:8">
      <c r="A8" s="58" t="s">
        <v>305</v>
      </c>
      <c r="B8" s="66">
        <v>32.482799999999997</v>
      </c>
      <c r="C8" s="66">
        <v>4.3013700000000004</v>
      </c>
      <c r="D8" s="66">
        <v>13.242000000000001</v>
      </c>
      <c r="E8" s="66">
        <v>20</v>
      </c>
      <c r="F8" s="66">
        <v>14.767899999999999</v>
      </c>
      <c r="G8" s="66">
        <v>50</v>
      </c>
      <c r="H8" s="66">
        <v>37.087400000000002</v>
      </c>
    </row>
    <row r="9" spans="1:8">
      <c r="A9" s="58" t="s">
        <v>306</v>
      </c>
      <c r="B9" s="66">
        <v>64.565700000000007</v>
      </c>
      <c r="C9" s="66">
        <v>6.6768799999999997</v>
      </c>
      <c r="D9" s="66">
        <v>10.341200000000001</v>
      </c>
      <c r="E9" s="66">
        <v>50</v>
      </c>
      <c r="F9" s="66">
        <v>47.104100000000003</v>
      </c>
      <c r="G9" s="66">
        <v>100</v>
      </c>
      <c r="H9" s="66">
        <v>77.610100000000003</v>
      </c>
    </row>
    <row r="10" spans="1:8">
      <c r="A10" s="58" t="s">
        <v>307</v>
      </c>
      <c r="B10" s="66">
        <v>77.932599999999994</v>
      </c>
      <c r="C10" s="66">
        <v>2.43235</v>
      </c>
      <c r="D10" s="66">
        <v>3.1210900000000001</v>
      </c>
      <c r="E10" s="66">
        <v>40</v>
      </c>
      <c r="F10" s="66">
        <v>68.267499999999998</v>
      </c>
      <c r="G10" s="66">
        <v>100</v>
      </c>
      <c r="H10" s="66">
        <v>83.232500000000002</v>
      </c>
    </row>
    <row r="11" spans="1:8">
      <c r="A11" s="58" t="s">
        <v>308</v>
      </c>
      <c r="B11" s="66">
        <v>17.669699999999999</v>
      </c>
      <c r="C11" s="66">
        <v>4.2481600000000004</v>
      </c>
      <c r="D11" s="66">
        <v>24.042100000000001</v>
      </c>
      <c r="E11" s="66">
        <v>10</v>
      </c>
      <c r="F11" s="66">
        <v>5.3714199999999996</v>
      </c>
      <c r="G11" s="66">
        <v>50</v>
      </c>
      <c r="H11" s="66">
        <v>22.933399999999999</v>
      </c>
    </row>
    <row r="12" spans="1:8">
      <c r="A12" s="58" t="s">
        <v>309</v>
      </c>
      <c r="B12" s="66">
        <v>71.108800000000002</v>
      </c>
      <c r="C12" s="66">
        <v>4.1993600000000004</v>
      </c>
      <c r="D12" s="66">
        <v>5.9055499999999999</v>
      </c>
      <c r="E12" s="66">
        <v>50</v>
      </c>
      <c r="F12" s="66">
        <v>61.047800000000002</v>
      </c>
      <c r="G12" s="66">
        <v>100</v>
      </c>
      <c r="H12" s="66">
        <v>79.267399999999995</v>
      </c>
    </row>
    <row r="13" spans="1:8">
      <c r="A13" s="58" t="s">
        <v>310</v>
      </c>
      <c r="B13" s="66">
        <v>20.4969</v>
      </c>
      <c r="C13" s="66">
        <v>3.18438</v>
      </c>
      <c r="D13" s="66">
        <v>15.5359</v>
      </c>
      <c r="E13" s="66">
        <v>10</v>
      </c>
      <c r="F13" s="66">
        <v>14.158899999999999</v>
      </c>
      <c r="G13" s="66">
        <v>25</v>
      </c>
      <c r="H13" s="66">
        <v>32.497399999999999</v>
      </c>
    </row>
    <row r="14" spans="1:8">
      <c r="A14" s="58" t="s">
        <v>311</v>
      </c>
      <c r="B14" s="66">
        <v>31.843800000000002</v>
      </c>
      <c r="C14" s="66">
        <v>9.3195099999999993</v>
      </c>
      <c r="D14" s="66">
        <v>29.266400000000001</v>
      </c>
      <c r="E14" s="66">
        <v>10</v>
      </c>
      <c r="F14" s="66">
        <v>1.5427900000000001</v>
      </c>
      <c r="G14" s="66">
        <v>50</v>
      </c>
      <c r="H14" s="66">
        <v>32.1965</v>
      </c>
    </row>
    <row r="15" spans="1:8">
      <c r="A15" s="58" t="s">
        <v>312</v>
      </c>
      <c r="B15" s="66">
        <v>4.9400100000000002E-2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5.1234500000000002E-2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16.2605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0.39774100000000001</v>
      </c>
      <c r="C18" s="66">
        <v>5.98355E-2</v>
      </c>
      <c r="D18" s="66">
        <v>0.15043799999999999</v>
      </c>
      <c r="E18" s="66">
        <v>0</v>
      </c>
      <c r="F18" s="66">
        <v>0.33790500000000001</v>
      </c>
      <c r="G18" s="66">
        <v>0</v>
      </c>
      <c r="H18" s="66">
        <v>0.45757599999999998</v>
      </c>
    </row>
    <row r="19" spans="1:8">
      <c r="A19" s="58" t="s">
        <v>316</v>
      </c>
      <c r="B19" s="66">
        <v>0.64324199999999998</v>
      </c>
      <c r="C19" s="66">
        <v>2.8327100000000001E-2</v>
      </c>
      <c r="D19" s="66">
        <v>4.4038099999999997E-2</v>
      </c>
      <c r="E19" s="66">
        <v>0</v>
      </c>
      <c r="F19" s="66">
        <v>0.61491399999999996</v>
      </c>
      <c r="G19" s="66">
        <v>0</v>
      </c>
      <c r="H19" s="66">
        <v>0.67156899999999997</v>
      </c>
    </row>
    <row r="20" spans="1:8">
      <c r="A20" s="58" t="s">
        <v>317</v>
      </c>
      <c r="B20" s="66">
        <v>3.3452600000000001E-3</v>
      </c>
      <c r="C20" s="66">
        <v>5.17723E-2</v>
      </c>
      <c r="D20" s="66">
        <v>15.4763</v>
      </c>
      <c r="E20" s="66">
        <v>0</v>
      </c>
      <c r="F20" s="66">
        <v>0</v>
      </c>
      <c r="G20" s="66">
        <v>0</v>
      </c>
      <c r="H20" s="66">
        <v>0.39785100000000001</v>
      </c>
    </row>
    <row r="21" spans="1:8">
      <c r="A21" s="58" t="s">
        <v>318</v>
      </c>
      <c r="B21" s="66">
        <v>0.16318199999999999</v>
      </c>
      <c r="C21" s="66">
        <v>0.51830100000000001</v>
      </c>
      <c r="D21" s="66">
        <v>3.1762100000000002</v>
      </c>
      <c r="E21" s="66">
        <v>0</v>
      </c>
      <c r="F21" s="196">
        <v>9.0469299999999998E-5</v>
      </c>
      <c r="G21" s="66">
        <v>0</v>
      </c>
      <c r="H21" s="66">
        <v>3.4792399999999999</v>
      </c>
    </row>
    <row r="22" spans="1:8">
      <c r="A22" s="58" t="s">
        <v>319</v>
      </c>
      <c r="B22" s="66">
        <v>55.761600000000001</v>
      </c>
      <c r="C22" s="66">
        <v>19.487100000000002</v>
      </c>
      <c r="D22" s="66">
        <v>0.34947099999999998</v>
      </c>
      <c r="E22" s="66">
        <v>0</v>
      </c>
      <c r="F22" s="66">
        <v>27.587399999999999</v>
      </c>
      <c r="G22" s="66">
        <v>0</v>
      </c>
      <c r="H22" s="66">
        <v>137.42599999999999</v>
      </c>
    </row>
    <row r="23" spans="1:8">
      <c r="A23" s="58" t="s">
        <v>320</v>
      </c>
      <c r="B23" s="66">
        <v>23.8827</v>
      </c>
      <c r="C23" s="66">
        <v>6.8601200000000002</v>
      </c>
      <c r="D23" s="66">
        <v>0.287242</v>
      </c>
      <c r="E23" s="66">
        <v>0</v>
      </c>
      <c r="F23" s="66">
        <v>8.5381300000000007</v>
      </c>
      <c r="G23" s="66">
        <v>0</v>
      </c>
      <c r="H23" s="66">
        <v>35.488</v>
      </c>
    </row>
    <row r="24" spans="1:8">
      <c r="A24" s="58" t="s">
        <v>321</v>
      </c>
      <c r="B24" s="66">
        <v>1.2525E-2</v>
      </c>
      <c r="C24" s="66">
        <v>4.4018700000000001E-2</v>
      </c>
      <c r="D24" s="66">
        <v>3.5144700000000002</v>
      </c>
      <c r="E24" s="66">
        <v>0</v>
      </c>
      <c r="F24" s="196">
        <v>3.4324499999999997E-7</v>
      </c>
      <c r="G24" s="66">
        <v>0</v>
      </c>
      <c r="H24" s="66">
        <v>0.37005199999999999</v>
      </c>
    </row>
    <row r="25" spans="1:8">
      <c r="A25" s="58" t="s">
        <v>322</v>
      </c>
      <c r="B25" s="66">
        <v>0.19924500000000001</v>
      </c>
      <c r="C25" s="66">
        <v>0.38035000000000002</v>
      </c>
      <c r="D25" s="66">
        <v>1.90896</v>
      </c>
      <c r="E25" s="66">
        <v>0</v>
      </c>
      <c r="F25" s="66">
        <v>9.2875200000000005E-3</v>
      </c>
      <c r="G25" s="66">
        <v>0</v>
      </c>
      <c r="H25" s="66">
        <v>1.95075</v>
      </c>
    </row>
    <row r="26" spans="1:8">
      <c r="A26" s="58" t="s">
        <v>323</v>
      </c>
      <c r="B26" s="66">
        <v>7.46783E-4</v>
      </c>
      <c r="C26" s="66">
        <v>4.8659999999999997E-3</v>
      </c>
      <c r="D26" s="66">
        <v>6.5159500000000001</v>
      </c>
      <c r="E26" s="66">
        <v>0</v>
      </c>
      <c r="F26" s="66">
        <v>0</v>
      </c>
      <c r="G26" s="66">
        <v>0</v>
      </c>
      <c r="H26" s="66">
        <v>3.6249299999999998E-2</v>
      </c>
    </row>
    <row r="27" spans="1:8">
      <c r="A27" s="58" t="s">
        <v>324</v>
      </c>
      <c r="B27" s="196">
        <v>-1.31303E-5</v>
      </c>
      <c r="C27" s="66">
        <v>1.4582600000000001E-3</v>
      </c>
      <c r="D27" s="66">
        <v>-111.06100000000001</v>
      </c>
      <c r="E27" s="66">
        <v>0</v>
      </c>
      <c r="F27" s="66">
        <v>-9.1485000000000004E-3</v>
      </c>
      <c r="G27" s="66">
        <v>0</v>
      </c>
      <c r="H27" s="66">
        <v>1.0179199999999999E-2</v>
      </c>
    </row>
    <row r="28" spans="1:8">
      <c r="A28" s="58" t="s">
        <v>325</v>
      </c>
      <c r="B28" s="66">
        <v>1.6048199999999999E-2</v>
      </c>
      <c r="C28" s="66">
        <v>2.61973E-2</v>
      </c>
      <c r="D28" s="66">
        <v>1.63242</v>
      </c>
      <c r="E28" s="66">
        <v>0</v>
      </c>
      <c r="F28" s="196">
        <v>4.5572899999999999E-5</v>
      </c>
      <c r="G28" s="66">
        <v>0</v>
      </c>
      <c r="H28" s="66">
        <v>0.14487</v>
      </c>
    </row>
    <row r="29" spans="1:8">
      <c r="A29" s="58" t="s">
        <v>326</v>
      </c>
      <c r="B29" s="66">
        <v>75.225099999999998</v>
      </c>
      <c r="C29" s="66">
        <v>9.6680100000000007</v>
      </c>
      <c r="D29" s="66">
        <v>0.128521</v>
      </c>
      <c r="E29" s="66">
        <v>0</v>
      </c>
      <c r="F29" s="66">
        <v>41.377699999999997</v>
      </c>
      <c r="G29" s="66">
        <v>0</v>
      </c>
      <c r="H29" s="66">
        <v>104.873</v>
      </c>
    </row>
    <row r="30" spans="1:8">
      <c r="A30" s="58" t="s">
        <v>327</v>
      </c>
      <c r="B30" s="66">
        <v>25.534099999999999</v>
      </c>
      <c r="C30" s="66">
        <v>6.1607200000000004</v>
      </c>
      <c r="D30" s="66">
        <v>0.24127499999999999</v>
      </c>
      <c r="E30" s="66">
        <v>0</v>
      </c>
      <c r="F30" s="66">
        <v>8.6398299999999999</v>
      </c>
      <c r="G30" s="66">
        <v>0</v>
      </c>
      <c r="H30" s="66">
        <v>32.753900000000002</v>
      </c>
    </row>
    <row r="31" spans="1:8">
      <c r="A31" s="58" t="s">
        <v>328</v>
      </c>
      <c r="B31" s="66">
        <v>241.53</v>
      </c>
      <c r="C31" s="66">
        <v>65.807000000000002</v>
      </c>
      <c r="D31" s="66">
        <v>0.27245900000000001</v>
      </c>
      <c r="E31" s="66">
        <v>0</v>
      </c>
      <c r="F31" s="66">
        <v>43.303600000000003</v>
      </c>
      <c r="G31" s="66">
        <v>0</v>
      </c>
      <c r="H31" s="66">
        <v>326.46800000000002</v>
      </c>
    </row>
    <row r="32" spans="1:8">
      <c r="A32" s="58" t="s">
        <v>329</v>
      </c>
      <c r="B32" s="66">
        <v>0.245175</v>
      </c>
      <c r="C32" s="66">
        <v>6.8702899999999997E-2</v>
      </c>
      <c r="D32" s="66">
        <v>0.28022000000000002</v>
      </c>
      <c r="E32" s="66">
        <v>0.15</v>
      </c>
      <c r="F32" s="66">
        <v>9.5702099999999998E-2</v>
      </c>
      <c r="G32" s="66">
        <v>0.4</v>
      </c>
      <c r="H32" s="66">
        <v>0.37357299999999999</v>
      </c>
    </row>
    <row r="33" spans="1:8">
      <c r="A33" s="58" t="s">
        <v>330</v>
      </c>
      <c r="B33" s="66">
        <v>0.246277</v>
      </c>
      <c r="C33" s="66">
        <v>8.2347500000000004E-2</v>
      </c>
      <c r="D33" s="66">
        <v>0.33436900000000003</v>
      </c>
      <c r="E33" s="66">
        <v>0</v>
      </c>
      <c r="F33" s="66">
        <v>0.13995199999999999</v>
      </c>
      <c r="G33" s="66">
        <v>0</v>
      </c>
      <c r="H33" s="66">
        <v>0.42646800000000001</v>
      </c>
    </row>
    <row r="34" spans="1:8">
      <c r="A34" s="58" t="s">
        <v>331</v>
      </c>
      <c r="B34" s="66">
        <v>0.20496900000000001</v>
      </c>
      <c r="C34" s="66">
        <v>3.1843799999999998E-2</v>
      </c>
      <c r="D34" s="66">
        <v>0.155359</v>
      </c>
      <c r="E34" s="66">
        <v>0.1</v>
      </c>
      <c r="F34" s="66">
        <v>0.14158899999999999</v>
      </c>
      <c r="G34" s="66">
        <v>0.25</v>
      </c>
      <c r="H34" s="66">
        <v>0.32497399999999999</v>
      </c>
    </row>
    <row r="35" spans="1:8">
      <c r="A35" s="58" t="s">
        <v>332</v>
      </c>
      <c r="B35" s="66">
        <v>8.5375699999999999E-2</v>
      </c>
      <c r="C35" s="66">
        <v>2.3988900000000001E-2</v>
      </c>
      <c r="D35" s="66">
        <v>0.28098099999999998</v>
      </c>
      <c r="E35" s="66">
        <v>0</v>
      </c>
      <c r="F35" s="66">
        <v>2.9505300000000002E-2</v>
      </c>
      <c r="G35" s="66">
        <v>0</v>
      </c>
      <c r="H35" s="66">
        <v>0.144097</v>
      </c>
    </row>
    <row r="36" spans="1:8">
      <c r="A36" s="58" t="s">
        <v>333</v>
      </c>
      <c r="B36" s="66">
        <v>0.1845</v>
      </c>
      <c r="C36" s="66">
        <v>9.7320000000000004E-2</v>
      </c>
      <c r="D36" s="66">
        <v>0.52747900000000003</v>
      </c>
      <c r="E36" s="66">
        <v>0</v>
      </c>
      <c r="F36" s="66">
        <v>4.1430399999999999E-2</v>
      </c>
      <c r="G36" s="66">
        <v>0</v>
      </c>
      <c r="H36" s="66">
        <v>0.48870200000000003</v>
      </c>
    </row>
    <row r="37" spans="1:8">
      <c r="A37" s="58" t="s">
        <v>334</v>
      </c>
      <c r="B37" s="66">
        <v>0.318438</v>
      </c>
      <c r="C37" s="66">
        <v>9.3195100000000003E-2</v>
      </c>
      <c r="D37" s="66">
        <v>0.29266399999999998</v>
      </c>
      <c r="E37" s="66">
        <v>0.1</v>
      </c>
      <c r="F37" s="66">
        <v>1.54279E-2</v>
      </c>
      <c r="G37" s="66">
        <v>0.5</v>
      </c>
      <c r="H37" s="66">
        <v>0.321965</v>
      </c>
    </row>
    <row r="38" spans="1:8">
      <c r="A38" s="58" t="s">
        <v>335</v>
      </c>
      <c r="B38" s="66">
        <v>-1.06856</v>
      </c>
      <c r="C38" s="66">
        <v>60.4908</v>
      </c>
      <c r="D38" s="66">
        <v>-56.6098</v>
      </c>
      <c r="E38" s="66">
        <v>0</v>
      </c>
      <c r="F38" s="66">
        <v>-213.87100000000001</v>
      </c>
      <c r="G38" s="66">
        <v>0</v>
      </c>
      <c r="H38" s="66">
        <v>225.822</v>
      </c>
    </row>
    <row r="39" spans="1:8">
      <c r="A39" s="58" t="s">
        <v>336</v>
      </c>
      <c r="B39" s="66">
        <v>-7.1864400000000002</v>
      </c>
      <c r="C39" s="66">
        <v>17.228899999999999</v>
      </c>
      <c r="D39" s="66">
        <v>-2.3974199999999999</v>
      </c>
      <c r="E39" s="66">
        <v>0</v>
      </c>
      <c r="F39" s="66">
        <v>-57.496899999999997</v>
      </c>
      <c r="G39" s="66">
        <v>0</v>
      </c>
      <c r="H39" s="66">
        <v>30.997699999999998</v>
      </c>
    </row>
    <row r="40" spans="1:8">
      <c r="A40" s="58" t="s">
        <v>337</v>
      </c>
      <c r="B40" s="66">
        <v>-4.9904799999999998</v>
      </c>
      <c r="C40" s="66">
        <v>4.7170199999999998</v>
      </c>
      <c r="D40" s="66">
        <v>-0.94520300000000002</v>
      </c>
      <c r="E40" s="66">
        <v>0</v>
      </c>
      <c r="F40" s="66">
        <v>-16.321300000000001</v>
      </c>
      <c r="G40" s="66">
        <v>0</v>
      </c>
      <c r="H40" s="66">
        <v>-2.0874299999999999</v>
      </c>
    </row>
    <row r="41" spans="1:8">
      <c r="A41" s="58" t="s">
        <v>338</v>
      </c>
      <c r="B41" s="66">
        <v>-7.1971400000000005E-2</v>
      </c>
      <c r="C41" s="66">
        <v>0.27505099999999999</v>
      </c>
      <c r="D41" s="66">
        <v>-3.8216700000000001</v>
      </c>
      <c r="E41" s="66">
        <v>0</v>
      </c>
      <c r="F41" s="66">
        <v>-0.625</v>
      </c>
      <c r="G41" s="66">
        <v>0</v>
      </c>
      <c r="H41" s="66">
        <v>1</v>
      </c>
    </row>
    <row r="42" spans="1:8">
      <c r="A42" s="58" t="s">
        <v>339</v>
      </c>
      <c r="B42" s="66">
        <v>-0.142123</v>
      </c>
      <c r="C42" s="66">
        <v>0.18423200000000001</v>
      </c>
      <c r="D42" s="66">
        <v>-1.2962899999999999</v>
      </c>
      <c r="E42" s="66">
        <v>0</v>
      </c>
      <c r="F42" s="66">
        <v>-0.46466099999999999</v>
      </c>
      <c r="G42" s="66">
        <v>0</v>
      </c>
      <c r="H42" s="66">
        <v>0.50631999999999999</v>
      </c>
    </row>
    <row r="43" spans="1:8">
      <c r="A43" s="58" t="s">
        <v>340</v>
      </c>
      <c r="B43" s="66">
        <v>-0.17993000000000001</v>
      </c>
      <c r="C43" s="66">
        <v>7.8899899999999995E-2</v>
      </c>
      <c r="D43" s="66">
        <v>-0.438502</v>
      </c>
      <c r="E43" s="66">
        <v>0</v>
      </c>
      <c r="F43" s="66">
        <v>-0.41064099999999998</v>
      </c>
      <c r="G43" s="66">
        <v>0</v>
      </c>
      <c r="H43" s="66">
        <v>-5.7258099999999999E-2</v>
      </c>
    </row>
    <row r="44" spans="1:8">
      <c r="A44" s="58" t="s">
        <v>341</v>
      </c>
      <c r="B44" s="66">
        <v>29.354199999999999</v>
      </c>
      <c r="C44" s="66">
        <v>24.101500000000001</v>
      </c>
      <c r="D44" s="66">
        <v>0.82105600000000001</v>
      </c>
      <c r="E44" s="66">
        <v>0</v>
      </c>
      <c r="F44" s="66">
        <v>-26.186299999999999</v>
      </c>
      <c r="G44" s="66">
        <v>0</v>
      </c>
      <c r="H44" s="66">
        <v>82.531999999999996</v>
      </c>
    </row>
    <row r="45" spans="1:8">
      <c r="A45" s="58" t="s">
        <v>342</v>
      </c>
      <c r="B45" s="66">
        <v>53.472299999999997</v>
      </c>
      <c r="C45" s="66">
        <v>7.3381100000000004</v>
      </c>
      <c r="D45" s="66">
        <v>0.13723199999999999</v>
      </c>
      <c r="E45" s="66">
        <v>0</v>
      </c>
      <c r="F45" s="66">
        <v>35.911700000000003</v>
      </c>
      <c r="G45" s="66">
        <v>0</v>
      </c>
      <c r="H45" s="66">
        <v>73.666700000000006</v>
      </c>
    </row>
    <row r="46" spans="1:8">
      <c r="A46" s="58" t="s">
        <v>343</v>
      </c>
      <c r="B46" s="66">
        <v>30.143899999999999</v>
      </c>
      <c r="C46" s="66">
        <v>6.5625400000000003</v>
      </c>
      <c r="D46" s="66">
        <v>0.21770700000000001</v>
      </c>
      <c r="E46" s="66">
        <v>0</v>
      </c>
      <c r="F46" s="66">
        <v>5.4773699999999996</v>
      </c>
      <c r="G46" s="66">
        <v>0</v>
      </c>
      <c r="H46" s="66">
        <v>36.188400000000001</v>
      </c>
    </row>
    <row r="47" spans="1:8">
      <c r="A47" s="58" t="s">
        <v>344</v>
      </c>
      <c r="B47" s="66">
        <v>0.93101699999999998</v>
      </c>
      <c r="C47" s="66">
        <v>0.61309999999999998</v>
      </c>
      <c r="D47" s="66">
        <v>0.65852699999999997</v>
      </c>
      <c r="E47" s="66">
        <v>0</v>
      </c>
      <c r="F47" s="66">
        <v>0.199155</v>
      </c>
      <c r="G47" s="66">
        <v>0</v>
      </c>
      <c r="H47" s="66">
        <v>2.8522599999999998</v>
      </c>
    </row>
    <row r="48" spans="1:8">
      <c r="A48" s="58" t="s">
        <v>345</v>
      </c>
      <c r="B48" s="66">
        <v>0.68147800000000003</v>
      </c>
      <c r="C48" s="66">
        <v>0.17267099999999999</v>
      </c>
      <c r="D48" s="66">
        <v>0.25337799999999999</v>
      </c>
      <c r="E48" s="66">
        <v>0</v>
      </c>
      <c r="F48" s="66">
        <v>0.37695499999999998</v>
      </c>
      <c r="G48" s="66">
        <v>0</v>
      </c>
      <c r="H48" s="66">
        <v>1.4556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2.5031000000000034</v>
      </c>
      <c r="C5" s="66">
        <f>'M2'!C5-'M1'!C5</f>
        <v>-7.00746</v>
      </c>
      <c r="D5" s="66">
        <f>'M2'!D5-'M1'!D5</f>
        <v>-19.474379999999996</v>
      </c>
      <c r="E5" s="66">
        <f>'M2'!E5-'M1'!E5</f>
        <v>0</v>
      </c>
      <c r="F5" s="66">
        <f>'M2'!F5-'M1'!F5</f>
        <v>23.226590000000002</v>
      </c>
      <c r="G5" s="66">
        <f>'M2'!G5-'M1'!G5</f>
        <v>0</v>
      </c>
      <c r="H5" s="66">
        <f>'M2'!H5-'M1'!H5</f>
        <v>-3.988900000000001</v>
      </c>
    </row>
    <row r="6" spans="1:8">
      <c r="A6" s="66" t="s">
        <v>244</v>
      </c>
      <c r="B6" s="66">
        <f>'M2'!B6-'M1'!B6</f>
        <v>6.9651999999999958</v>
      </c>
      <c r="C6" s="66">
        <f>'M2'!C6-'M1'!C6</f>
        <v>-0.12917000000000023</v>
      </c>
      <c r="D6" s="66">
        <f>'M2'!D6-'M1'!D6</f>
        <v>-1.740590000000001</v>
      </c>
      <c r="E6" s="66">
        <f>'M2'!E6-'M1'!E6</f>
        <v>0</v>
      </c>
      <c r="F6" s="66">
        <f>'M2'!F6-'M1'!F6</f>
        <v>8.683600000000002</v>
      </c>
      <c r="G6" s="66">
        <f>'M2'!G6-'M1'!G6</f>
        <v>0</v>
      </c>
      <c r="H6" s="66">
        <f>'M2'!H6-'M1'!H6</f>
        <v>5.0238000000000014</v>
      </c>
    </row>
    <row r="7" spans="1:8">
      <c r="A7" s="66" t="s">
        <v>245</v>
      </c>
      <c r="B7" s="66">
        <f>'M2'!B7-'M1'!B7</f>
        <v>-4.6485000000000021</v>
      </c>
      <c r="C7" s="66">
        <f>'M2'!C7-'M1'!C7</f>
        <v>2.8919299999999994</v>
      </c>
      <c r="D7" s="66">
        <f>'M2'!D7-'M1'!D7</f>
        <v>17.748100000000001</v>
      </c>
      <c r="E7" s="66">
        <f>'M2'!E7-'M1'!E7</f>
        <v>0</v>
      </c>
      <c r="F7" s="66">
        <f>'M2'!F7-'M1'!F7</f>
        <v>-7.1087899999999991</v>
      </c>
      <c r="G7" s="66">
        <f>'M2'!G7-'M1'!G7</f>
        <v>0</v>
      </c>
      <c r="H7" s="66">
        <f>'M2'!H7-'M1'!H7</f>
        <v>0.33279999999999887</v>
      </c>
    </row>
    <row r="8" spans="1:8">
      <c r="A8" s="66" t="s">
        <v>246</v>
      </c>
      <c r="B8" s="66">
        <f>'M2'!B8-'M1'!B8</f>
        <v>0.75570000000000448</v>
      </c>
      <c r="C8" s="66">
        <f>'M2'!C8-'M1'!C8</f>
        <v>-2.9797399999999996</v>
      </c>
      <c r="D8" s="66">
        <f>'M2'!D8-'M1'!D8</f>
        <v>-9.4634</v>
      </c>
      <c r="E8" s="66">
        <f>'M2'!E8-'M1'!E8</f>
        <v>0</v>
      </c>
      <c r="F8" s="66">
        <f>'M2'!F8-'M1'!F8</f>
        <v>14.684100000000003</v>
      </c>
      <c r="G8" s="66">
        <f>'M2'!G8-'M1'!G8</f>
        <v>0</v>
      </c>
      <c r="H8" s="66">
        <f>'M2'!H8-'M1'!H8</f>
        <v>-0.18189999999999884</v>
      </c>
    </row>
    <row r="9" spans="1:8">
      <c r="A9" s="66" t="s">
        <v>247</v>
      </c>
      <c r="B9" s="66">
        <f>'M2'!B9-'M1'!B9</f>
        <v>-4.4146999999999963</v>
      </c>
      <c r="C9" s="66">
        <f>'M2'!C9-'M1'!C9</f>
        <v>2.0573999999999995</v>
      </c>
      <c r="D9" s="66">
        <f>'M2'!D9-'M1'!D9</f>
        <v>3.8827299999999996</v>
      </c>
      <c r="E9" s="66">
        <f>'M2'!E9-'M1'!E9</f>
        <v>0</v>
      </c>
      <c r="F9" s="66">
        <f>'M2'!F9-'M1'!F9</f>
        <v>-9.923099999999998</v>
      </c>
      <c r="G9" s="66">
        <f>'M2'!G9-'M1'!G9</f>
        <v>0</v>
      </c>
      <c r="H9" s="66">
        <f>'M2'!H9-'M1'!H9</f>
        <v>-1.7244000000000028</v>
      </c>
    </row>
    <row r="10" spans="1:8">
      <c r="A10" s="66" t="s">
        <v>248</v>
      </c>
      <c r="B10" s="66">
        <f>'M2'!B10-'M1'!B10</f>
        <v>-3.4649000000000001</v>
      </c>
      <c r="C10" s="66">
        <f>'M2'!C10-'M1'!C10</f>
        <v>0.29818000000000011</v>
      </c>
      <c r="D10" s="66">
        <f>'M2'!D10-'M1'!D10</f>
        <v>0.48670000000000035</v>
      </c>
      <c r="E10" s="66">
        <f>'M2'!E10-'M1'!E10</f>
        <v>0</v>
      </c>
      <c r="F10" s="66">
        <f>'M2'!F10-'M1'!F10</f>
        <v>-6.8701000000000079</v>
      </c>
      <c r="G10" s="66">
        <f>'M2'!G10-'M1'!G10</f>
        <v>0</v>
      </c>
      <c r="H10" s="66">
        <f>'M2'!H10-'M1'!H10</f>
        <v>-3.8183000000000078</v>
      </c>
    </row>
    <row r="11" spans="1:8">
      <c r="A11" s="66" t="s">
        <v>249</v>
      </c>
      <c r="B11" s="66">
        <f>'M2'!B11-'M1'!B11</f>
        <v>1.2178000000000004</v>
      </c>
      <c r="C11" s="66">
        <f>'M2'!C11-'M1'!C11</f>
        <v>-2.1547200000000002</v>
      </c>
      <c r="D11" s="66">
        <f>'M2'!D11-'M1'!D11</f>
        <v>-13.864899999999999</v>
      </c>
      <c r="E11" s="66">
        <f>'M2'!E11-'M1'!E11</f>
        <v>0</v>
      </c>
      <c r="F11" s="66">
        <f>'M2'!F11-'M1'!F11</f>
        <v>7.7390800000000004</v>
      </c>
      <c r="G11" s="66">
        <f>'M2'!G11-'M1'!G11</f>
        <v>0</v>
      </c>
      <c r="H11" s="66">
        <f>'M2'!H11-'M1'!H11</f>
        <v>-1.1564999999999976</v>
      </c>
    </row>
    <row r="12" spans="1:8">
      <c r="A12" s="66" t="s">
        <v>250</v>
      </c>
      <c r="B12" s="66">
        <f>'M2'!B12-'M1'!B12</f>
        <v>-4.3341000000000065</v>
      </c>
      <c r="C12" s="66">
        <f>'M2'!C12-'M1'!C12</f>
        <v>1.1294299999999997</v>
      </c>
      <c r="D12" s="66">
        <f>'M2'!D12-'M1'!D12</f>
        <v>1.9245299999999999</v>
      </c>
      <c r="E12" s="66">
        <f>'M2'!E12-'M1'!E12</f>
        <v>0</v>
      </c>
      <c r="F12" s="66">
        <f>'M2'!F12-'M1'!F12</f>
        <v>-6.0153999999999925</v>
      </c>
      <c r="G12" s="66">
        <f>'M2'!G12-'M1'!G12</f>
        <v>0</v>
      </c>
      <c r="H12" s="66">
        <f>'M2'!H12-'M1'!H12</f>
        <v>-2.0392999999999972</v>
      </c>
    </row>
    <row r="13" spans="1:8">
      <c r="A13" s="66" t="s">
        <v>251</v>
      </c>
      <c r="B13" s="66">
        <f>'M2'!B13-'M1'!B13</f>
        <v>-2.2986000000000004</v>
      </c>
      <c r="C13" s="66">
        <f>'M2'!C13-'M1'!C13</f>
        <v>1.5047199999999998</v>
      </c>
      <c r="D13" s="66">
        <f>'M2'!D13-'M1'!D13</f>
        <v>8.7831700000000019</v>
      </c>
      <c r="E13" s="66">
        <f>'M2'!E13-'M1'!E13</f>
        <v>0</v>
      </c>
      <c r="F13" s="66">
        <f>'M2'!F13-'M1'!F13</f>
        <v>-3.7322000000000024</v>
      </c>
      <c r="G13" s="66">
        <f>'M2'!G13-'M1'!G13</f>
        <v>0</v>
      </c>
      <c r="H13" s="66">
        <f>'M2'!H13-'M1'!H13</f>
        <v>5.5543999999999976</v>
      </c>
    </row>
    <row r="14" spans="1:8">
      <c r="A14" s="66" t="s">
        <v>252</v>
      </c>
      <c r="B14" s="66">
        <f>'M2'!B14-'M1'!B14</f>
        <v>15.0472</v>
      </c>
      <c r="C14" s="66">
        <f>'M2'!C14-'M1'!C14</f>
        <v>2.4448099999999995</v>
      </c>
      <c r="D14" s="66">
        <f>'M2'!D14-'M1'!D14</f>
        <v>-7.2825999999999986</v>
      </c>
      <c r="E14" s="66">
        <f>'M2'!E14-'M1'!E14</f>
        <v>0</v>
      </c>
      <c r="F14" s="66">
        <f>'M2'!F14-'M1'!F14</f>
        <v>1.2400599999999997</v>
      </c>
      <c r="G14" s="66">
        <f>'M2'!G14-'M1'!G14</f>
        <v>0</v>
      </c>
      <c r="H14" s="66">
        <f>'M2'!H14-'M1'!H14</f>
        <v>2.2408000000000001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-8.2816000000000001E-2</v>
      </c>
      <c r="C18" s="66">
        <f>'M2'!C18-'M1'!C18</f>
        <v>5.98355E-2</v>
      </c>
      <c r="D18" s="66">
        <f>'M2'!D18-'M1'!D18</f>
        <v>0.15043799999999999</v>
      </c>
      <c r="E18" s="66">
        <f>'M2'!E18-'M1'!E18</f>
        <v>0</v>
      </c>
      <c r="F18" s="66">
        <f>'M2'!F18-'M1'!F18</f>
        <v>0.33790500000000001</v>
      </c>
      <c r="G18" s="66">
        <f>'M2'!G18-'M1'!G18</f>
        <v>0</v>
      </c>
      <c r="H18" s="66">
        <f>'M2'!H18-'M1'!H18</f>
        <v>0.45757599999999998</v>
      </c>
    </row>
    <row r="19" spans="1:8">
      <c r="A19" s="66" t="s">
        <v>256</v>
      </c>
      <c r="B19" s="66">
        <f>'M2'!B19-'M1'!B19</f>
        <v>2.175399999999994E-2</v>
      </c>
      <c r="C19" s="66">
        <f>'M2'!C19-'M1'!C19</f>
        <v>2.8327100000000001E-2</v>
      </c>
      <c r="D19" s="66">
        <f>'M2'!D19-'M1'!D19</f>
        <v>4.4038099999999997E-2</v>
      </c>
      <c r="E19" s="66">
        <f>'M2'!E19-'M1'!E19</f>
        <v>0</v>
      </c>
      <c r="F19" s="66">
        <f>'M2'!F19-'M1'!F19</f>
        <v>0.61491399999999996</v>
      </c>
      <c r="G19" s="66">
        <f>'M2'!G19-'M1'!G19</f>
        <v>0</v>
      </c>
      <c r="H19" s="66">
        <f>'M2'!H19-'M1'!H19</f>
        <v>0.67156899999999997</v>
      </c>
    </row>
    <row r="20" spans="1:8">
      <c r="A20" s="66" t="s">
        <v>63</v>
      </c>
      <c r="B20" s="66">
        <f>'M2'!B20-'M1'!B20</f>
        <v>2.8312999999999993E-4</v>
      </c>
      <c r="C20" s="66">
        <f>'M2'!C20-'M1'!C20</f>
        <v>3.4257999999999997E-2</v>
      </c>
      <c r="D20" s="66">
        <f>'M2'!D20-'M1'!D20</f>
        <v>9.0199700000000007</v>
      </c>
      <c r="E20" s="66">
        <f>'M2'!E20-'M1'!E20</f>
        <v>0</v>
      </c>
      <c r="F20" s="66">
        <f>'M2'!F20-'M1'!F20</f>
        <v>0</v>
      </c>
      <c r="G20" s="66">
        <f>'M2'!G20-'M1'!G20</f>
        <v>0</v>
      </c>
      <c r="H20" s="66">
        <f>'M2'!H20-'M1'!H20</f>
        <v>0.14227100000000004</v>
      </c>
    </row>
    <row r="21" spans="1:8">
      <c r="A21" s="66" t="s">
        <v>64</v>
      </c>
      <c r="B21" s="66">
        <f>'M2'!B21-'M1'!B21</f>
        <v>-3.3793999999999991E-2</v>
      </c>
      <c r="C21" s="66">
        <f>'M2'!C21-'M1'!C21</f>
        <v>0.50171199999999994</v>
      </c>
      <c r="D21" s="66">
        <f>'M2'!D21-'M1'!D21</f>
        <v>3.78809</v>
      </c>
      <c r="E21" s="66">
        <f>'M2'!E21-'M1'!E21</f>
        <v>0</v>
      </c>
      <c r="F21" s="66">
        <f>'M2'!F21-'M1'!F21</f>
        <v>3.4096700000000002E-5</v>
      </c>
      <c r="G21" s="66">
        <f>'M2'!G21-'M1'!G21</f>
        <v>0</v>
      </c>
      <c r="H21" s="66">
        <f>'M2'!H21-'M1'!H21</f>
        <v>2.4635199999999999</v>
      </c>
    </row>
    <row r="22" spans="1:8">
      <c r="A22" s="66" t="s">
        <v>65</v>
      </c>
      <c r="B22" s="66">
        <f>'M2'!B22-'M1'!B22</f>
        <v>-4.2311999999999941</v>
      </c>
      <c r="C22" s="66">
        <f>'M2'!C22-'M1'!C22</f>
        <v>12.143899999999999</v>
      </c>
      <c r="D22" s="66">
        <f>'M2'!D22-'M1'!D22</f>
        <v>0.24938499999999997</v>
      </c>
      <c r="E22" s="66">
        <f>'M2'!E22-'M1'!E22</f>
        <v>0</v>
      </c>
      <c r="F22" s="66">
        <f>'M2'!F22-'M1'!F22</f>
        <v>-1.1268000000000029</v>
      </c>
      <c r="G22" s="66">
        <f>'M2'!G22-'M1'!G22</f>
        <v>0</v>
      </c>
      <c r="H22" s="66">
        <f>'M2'!H22-'M1'!H22</f>
        <v>20.265999999999991</v>
      </c>
    </row>
    <row r="23" spans="1:8">
      <c r="A23" s="66" t="s">
        <v>66</v>
      </c>
      <c r="B23" s="66">
        <f>'M2'!B23-'M1'!B23</f>
        <v>7.2425999999999995</v>
      </c>
      <c r="C23" s="66">
        <f>'M2'!C23-'M1'!C23</f>
        <v>-9.4100000000000072E-2</v>
      </c>
      <c r="D23" s="66">
        <f>'M2'!D23-'M1'!D23</f>
        <v>-7.4970000000000037E-2</v>
      </c>
      <c r="E23" s="66">
        <f>'M2'!E23-'M1'!E23</f>
        <v>0</v>
      </c>
      <c r="F23" s="66">
        <f>'M2'!F23-'M1'!F23</f>
        <v>10.32277</v>
      </c>
      <c r="G23" s="66">
        <f>'M2'!G23-'M1'!G23</f>
        <v>0</v>
      </c>
      <c r="H23" s="66">
        <f>'M2'!H23-'M1'!H23</f>
        <v>8.9244999999999983</v>
      </c>
    </row>
    <row r="24" spans="1:8">
      <c r="A24" s="66" t="s">
        <v>67</v>
      </c>
      <c r="B24" s="66">
        <f>'M2'!B24-'M1'!B24</f>
        <v>2.2589999999999937E-4</v>
      </c>
      <c r="C24" s="66">
        <f>'M2'!C24-'M1'!C24</f>
        <v>4.3907300000000003E-2</v>
      </c>
      <c r="D24" s="66">
        <f>'M2'!D24-'M1'!D24</f>
        <v>3.46299</v>
      </c>
      <c r="E24" s="66">
        <f>'M2'!E24-'M1'!E24</f>
        <v>0</v>
      </c>
      <c r="F24" s="66">
        <f>'M2'!F24-'M1'!F24</f>
        <v>1.5381554999999999E-5</v>
      </c>
      <c r="G24" s="66">
        <f>'M2'!G24-'M1'!G24</f>
        <v>0</v>
      </c>
      <c r="H24" s="66">
        <f>'M2'!H24-'M1'!H24</f>
        <v>0.30473869999999997</v>
      </c>
    </row>
    <row r="25" spans="1:8">
      <c r="A25" s="66" t="s">
        <v>68</v>
      </c>
      <c r="B25" s="66">
        <f>'M2'!B25-'M1'!B25</f>
        <v>-7.124999999999998E-2</v>
      </c>
      <c r="C25" s="66">
        <f>'M2'!C25-'M1'!C25</f>
        <v>0.40309299999999998</v>
      </c>
      <c r="D25" s="66">
        <f>'M2'!D25-'M1'!D25</f>
        <v>3.1325139999999996</v>
      </c>
      <c r="E25" s="66">
        <f>'M2'!E25-'M1'!E25</f>
        <v>0</v>
      </c>
      <c r="F25" s="66">
        <f>'M2'!F25-'M1'!F25</f>
        <v>-2.6423679999999998E-2</v>
      </c>
      <c r="G25" s="66">
        <f>'M2'!G25-'M1'!G25</f>
        <v>0</v>
      </c>
      <c r="H25" s="66">
        <f>'M2'!H25-'M1'!H25</f>
        <v>1.5059469999999999</v>
      </c>
    </row>
    <row r="26" spans="1:8">
      <c r="A26" s="66" t="s">
        <v>69</v>
      </c>
      <c r="B26" s="66">
        <f>'M2'!B26-'M1'!B26</f>
        <v>4.9237999999999951E-5</v>
      </c>
      <c r="C26" s="66">
        <f>'M2'!C26-'M1'!C26</f>
        <v>4.5053000000000003E-3</v>
      </c>
      <c r="D26" s="66">
        <f>'M2'!D26-'M1'!D26</f>
        <v>5.6228700000000007</v>
      </c>
      <c r="E26" s="66">
        <f>'M2'!E26-'M1'!E26</f>
        <v>0</v>
      </c>
      <c r="F26" s="66">
        <f>'M2'!F26-'M1'!F26</f>
        <v>0</v>
      </c>
      <c r="G26" s="66">
        <f>'M2'!G26-'M1'!G26</f>
        <v>0</v>
      </c>
      <c r="H26" s="66">
        <f>'M2'!H26-'M1'!H26</f>
        <v>2.42811E-2</v>
      </c>
    </row>
    <row r="27" spans="1:8">
      <c r="A27" s="66" t="s">
        <v>70</v>
      </c>
      <c r="B27" s="66">
        <f>'M2'!B27-'M1'!B27</f>
        <v>1.9695369999999999E-5</v>
      </c>
      <c r="C27" s="66">
        <f>'M2'!C27-'M1'!C27</f>
        <v>1.4020999999999999E-4</v>
      </c>
      <c r="D27" s="66">
        <f>'M2'!D27-'M1'!D27</f>
        <v>-179.79580000000001</v>
      </c>
      <c r="E27" s="66">
        <f>'M2'!E27-'M1'!E27</f>
        <v>0</v>
      </c>
      <c r="F27" s="66">
        <f>'M2'!F27-'M1'!F27</f>
        <v>1.7134900000000007E-3</v>
      </c>
      <c r="G27" s="66">
        <f>'M2'!G27-'M1'!G27</f>
        <v>0</v>
      </c>
      <c r="H27" s="66">
        <f>'M2'!H27-'M1'!H27</f>
        <v>-3.3383399999999995E-3</v>
      </c>
    </row>
    <row r="28" spans="1:8">
      <c r="A28" s="66" t="s">
        <v>71</v>
      </c>
      <c r="B28" s="66">
        <f>'M2'!B28-'M1'!B28</f>
        <v>-1.687799999999998E-3</v>
      </c>
      <c r="C28" s="66">
        <f>'M2'!C28-'M1'!C28</f>
        <v>1.9781400000000005E-2</v>
      </c>
      <c r="D28" s="66">
        <f>'M2'!D28-'M1'!D28</f>
        <v>1.4196689999999998</v>
      </c>
      <c r="E28" s="66">
        <f>'M2'!E28-'M1'!E28</f>
        <v>0</v>
      </c>
      <c r="F28" s="66">
        <f>'M2'!F28-'M1'!F28</f>
        <v>-1.6276099999999998E-5</v>
      </c>
      <c r="G28" s="66">
        <f>'M2'!G28-'M1'!G28</f>
        <v>0</v>
      </c>
      <c r="H28" s="66">
        <f>'M2'!H28-'M1'!H28</f>
        <v>7.33954E-2</v>
      </c>
    </row>
    <row r="29" spans="1:8">
      <c r="A29" s="66" t="s">
        <v>72</v>
      </c>
      <c r="B29" s="66">
        <f>'M2'!B29-'M1'!B29</f>
        <v>-2.2413999999999987</v>
      </c>
      <c r="C29" s="66">
        <f>'M2'!C29-'M1'!C29</f>
        <v>1.5622500000000006</v>
      </c>
      <c r="D29" s="66">
        <f>'M2'!D29-'M1'!D29</f>
        <v>2.4684000000000011E-2</v>
      </c>
      <c r="E29" s="66">
        <f>'M2'!E29-'M1'!E29</f>
        <v>0</v>
      </c>
      <c r="F29" s="66">
        <f>'M2'!F29-'M1'!F29</f>
        <v>11.102000000000004</v>
      </c>
      <c r="G29" s="66">
        <f>'M2'!G29-'M1'!G29</f>
        <v>0</v>
      </c>
      <c r="H29" s="66">
        <f>'M2'!H29-'M1'!H29</f>
        <v>11.160899999999998</v>
      </c>
    </row>
    <row r="30" spans="1:8">
      <c r="A30" s="66" t="s">
        <v>73</v>
      </c>
      <c r="B30" s="66">
        <f>'M2'!B30-'M1'!B30</f>
        <v>2.7033999999999985</v>
      </c>
      <c r="C30" s="66">
        <f>'M2'!C30-'M1'!C30</f>
        <v>-3.7009099999999999</v>
      </c>
      <c r="D30" s="66">
        <f>'M2'!D30-'M1'!D30</f>
        <v>-0.172154</v>
      </c>
      <c r="E30" s="66">
        <f>'M2'!E30-'M1'!E30</f>
        <v>0</v>
      </c>
      <c r="F30" s="66">
        <f>'M2'!F30-'M1'!F30</f>
        <v>11.914269999999998</v>
      </c>
      <c r="G30" s="66">
        <f>'M2'!G30-'M1'!G30</f>
        <v>0</v>
      </c>
      <c r="H30" s="66">
        <f>'M2'!H30-'M1'!H30</f>
        <v>1.1233000000000004</v>
      </c>
    </row>
    <row r="31" spans="1:8">
      <c r="A31" s="66" t="s">
        <v>74</v>
      </c>
      <c r="B31" s="66">
        <f>'M2'!B31-'M1'!B31</f>
        <v>32.165999999999997</v>
      </c>
      <c r="C31" s="66">
        <f>'M2'!C31-'M1'!C31</f>
        <v>-25.949100000000001</v>
      </c>
      <c r="D31" s="66">
        <f>'M2'!D31-'M1'!D31</f>
        <v>-0.142876</v>
      </c>
      <c r="E31" s="66">
        <f>'M2'!E31-'M1'!E31</f>
        <v>0</v>
      </c>
      <c r="F31" s="66">
        <f>'M2'!F31-'M1'!F31</f>
        <v>96.761399999999995</v>
      </c>
      <c r="G31" s="66">
        <f>'M2'!G31-'M1'!G31</f>
        <v>0</v>
      </c>
      <c r="H31" s="66">
        <f>'M2'!H31-'M1'!H31</f>
        <v>11.355000000000018</v>
      </c>
    </row>
    <row r="32" spans="1:8">
      <c r="A32" s="66" t="s">
        <v>75</v>
      </c>
      <c r="B32" s="66">
        <f>'M2'!B32-'M1'!B32</f>
        <v>-4.6484999999999971E-2</v>
      </c>
      <c r="C32" s="66">
        <f>'M2'!C32-'M1'!C32</f>
        <v>2.8919300000000002E-2</v>
      </c>
      <c r="D32" s="66">
        <f>'M2'!D32-'M1'!D32</f>
        <v>0.177481</v>
      </c>
      <c r="E32" s="66">
        <f>'M2'!E32-'M1'!E32</f>
        <v>0</v>
      </c>
      <c r="F32" s="66">
        <f>'M2'!F32-'M1'!F32</f>
        <v>-7.1087899999999996E-2</v>
      </c>
      <c r="G32" s="66">
        <f>'M2'!G32-'M1'!G32</f>
        <v>0</v>
      </c>
      <c r="H32" s="66">
        <f>'M2'!H32-'M1'!H32</f>
        <v>3.3279999999999976E-3</v>
      </c>
    </row>
    <row r="33" spans="1:8">
      <c r="A33" s="66" t="s">
        <v>76</v>
      </c>
      <c r="B33" s="66">
        <f>'M2'!B33-'M1'!B33</f>
        <v>-7.2606999999999977E-2</v>
      </c>
      <c r="C33" s="66">
        <f>'M2'!C33-'M1'!C33</f>
        <v>2.0198500000000008E-2</v>
      </c>
      <c r="D33" s="66">
        <f>'M2'!D33-'M1'!D33</f>
        <v>0.19473500000000002</v>
      </c>
      <c r="E33" s="66">
        <f>'M2'!E33-'M1'!E33</f>
        <v>0</v>
      </c>
      <c r="F33" s="66">
        <f>'M2'!F33-'M1'!F33</f>
        <v>-4.3546000000000001E-2</v>
      </c>
      <c r="G33" s="66">
        <f>'M2'!G33-'M1'!G33</f>
        <v>0</v>
      </c>
      <c r="H33" s="66">
        <f>'M2'!H33-'M1'!H33</f>
        <v>-3.9876000000000023E-2</v>
      </c>
    </row>
    <row r="34" spans="1:8">
      <c r="A34" s="66" t="s">
        <v>77</v>
      </c>
      <c r="B34" s="66">
        <f>'M2'!B34-'M1'!B34</f>
        <v>-2.2985999999999979E-2</v>
      </c>
      <c r="C34" s="66">
        <f>'M2'!C34-'M1'!C34</f>
        <v>1.50472E-2</v>
      </c>
      <c r="D34" s="66">
        <f>'M2'!D34-'M1'!D34</f>
        <v>8.7831699999999999E-2</v>
      </c>
      <c r="E34" s="66">
        <f>'M2'!E34-'M1'!E34</f>
        <v>0</v>
      </c>
      <c r="F34" s="66">
        <f>'M2'!F34-'M1'!F34</f>
        <v>-3.7321999999999994E-2</v>
      </c>
      <c r="G34" s="66">
        <f>'M2'!G34-'M1'!G34</f>
        <v>0</v>
      </c>
      <c r="H34" s="66">
        <f>'M2'!H34-'M1'!H34</f>
        <v>5.5543999999999982E-2</v>
      </c>
    </row>
    <row r="35" spans="1:8">
      <c r="A35" s="66" t="s">
        <v>78</v>
      </c>
      <c r="B35" s="66">
        <f>'M2'!B35-'M1'!B35</f>
        <v>3.3162999999999943E-3</v>
      </c>
      <c r="C35" s="66">
        <f>'M2'!C35-'M1'!C35</f>
        <v>1.4535999999999993E-3</v>
      </c>
      <c r="D35" s="66">
        <f>'M2'!D35-'M1'!D35</f>
        <v>6.1309999999999976E-3</v>
      </c>
      <c r="E35" s="66">
        <f>'M2'!E35-'M1'!E35</f>
        <v>0</v>
      </c>
      <c r="F35" s="66">
        <f>'M2'!F35-'M1'!F35</f>
        <v>-1.78485E-2</v>
      </c>
      <c r="G35" s="66">
        <f>'M2'!G35-'M1'!G35</f>
        <v>0</v>
      </c>
      <c r="H35" s="66">
        <f>'M2'!H35-'M1'!H35</f>
        <v>-1.3594999999999996E-2</v>
      </c>
    </row>
    <row r="36" spans="1:8">
      <c r="A36" s="66" t="s">
        <v>79</v>
      </c>
      <c r="B36" s="66">
        <f>'M2'!B36-'M1'!B36</f>
        <v>-4.1267999999999999E-2</v>
      </c>
      <c r="C36" s="66">
        <f>'M2'!C36-'M1'!C36</f>
        <v>2.2707000000000005E-3</v>
      </c>
      <c r="D36" s="66">
        <f>'M2'!D36-'M1'!D36</f>
        <v>0.12481599999999998</v>
      </c>
      <c r="E36" s="66">
        <f>'M2'!E36-'M1'!E36</f>
        <v>0</v>
      </c>
      <c r="F36" s="66">
        <f>'M2'!F36-'M1'!F36</f>
        <v>-4.9061999999999995E-3</v>
      </c>
      <c r="G36" s="66">
        <f>'M2'!G36-'M1'!G36</f>
        <v>0</v>
      </c>
      <c r="H36" s="66">
        <f>'M2'!H36-'M1'!H36</f>
        <v>1.4468000000000036E-2</v>
      </c>
    </row>
    <row r="37" spans="1:8">
      <c r="A37" s="66" t="s">
        <v>80</v>
      </c>
      <c r="B37" s="66">
        <f>'M2'!B37-'M1'!B37</f>
        <v>0.15047199999999997</v>
      </c>
      <c r="C37" s="66">
        <f>'M2'!C37-'M1'!C37</f>
        <v>2.44481E-2</v>
      </c>
      <c r="D37" s="66">
        <f>'M2'!D37-'M1'!D37</f>
        <v>-7.2826000000000002E-2</v>
      </c>
      <c r="E37" s="66">
        <f>'M2'!E37-'M1'!E37</f>
        <v>0</v>
      </c>
      <c r="F37" s="66">
        <f>'M2'!F37-'M1'!F37</f>
        <v>1.2400599999999999E-2</v>
      </c>
      <c r="G37" s="66">
        <f>'M2'!G37-'M1'!G37</f>
        <v>0</v>
      </c>
      <c r="H37" s="66">
        <f>'M2'!H37-'M1'!H37</f>
        <v>2.2407999999999983E-2</v>
      </c>
    </row>
    <row r="38" spans="1:8">
      <c r="A38" s="66" t="s">
        <v>81</v>
      </c>
      <c r="B38" s="66">
        <f>'M2'!B38-'M1'!B38</f>
        <v>-8.5329200000000007</v>
      </c>
      <c r="C38" s="66">
        <f>'M2'!C38-'M1'!C38</f>
        <v>34.798900000000003</v>
      </c>
      <c r="D38" s="66">
        <f>'M2'!D38-'M1'!D38</f>
        <v>-8.8185000000000002</v>
      </c>
      <c r="E38" s="66">
        <f>'M2'!E38-'M1'!E38</f>
        <v>0</v>
      </c>
      <c r="F38" s="66">
        <f>'M2'!F38-'M1'!F38</f>
        <v>-118.54910000000001</v>
      </c>
      <c r="G38" s="66">
        <f>'M2'!G38-'M1'!G38</f>
        <v>0</v>
      </c>
      <c r="H38" s="66">
        <f>'M2'!H38-'M1'!H38</f>
        <v>124.87400000000001</v>
      </c>
    </row>
    <row r="39" spans="1:8">
      <c r="A39" s="66" t="s">
        <v>82</v>
      </c>
      <c r="B39" s="66">
        <f>'M2'!B39-'M1'!B39</f>
        <v>-0.98056000000000054</v>
      </c>
      <c r="C39" s="66">
        <f>'M2'!C39-'M1'!C39</f>
        <v>14.990239999999998</v>
      </c>
      <c r="D39" s="66">
        <f>'M2'!D39-'M1'!D39</f>
        <v>-1.79308</v>
      </c>
      <c r="E39" s="66">
        <f>'M2'!E39-'M1'!E39</f>
        <v>0</v>
      </c>
      <c r="F39" s="66">
        <f>'M2'!F39-'M1'!F39</f>
        <v>-34.801599999999993</v>
      </c>
      <c r="G39" s="66">
        <f>'M2'!G39-'M1'!G39</f>
        <v>0</v>
      </c>
      <c r="H39" s="66">
        <f>'M2'!H39-'M1'!H39</f>
        <v>19.274999999999999</v>
      </c>
    </row>
    <row r="40" spans="1:8">
      <c r="A40" s="66" t="s">
        <v>83</v>
      </c>
      <c r="B40" s="66">
        <f>'M2'!B40-'M1'!B40</f>
        <v>-7.6073599999999999</v>
      </c>
      <c r="C40" s="66">
        <f>'M2'!C40-'M1'!C40</f>
        <v>3.3599800000000002</v>
      </c>
      <c r="D40" s="66">
        <f>'M2'!D40-'M1'!D40</f>
        <v>-8.6739000000000011E-2</v>
      </c>
      <c r="E40" s="66">
        <f>'M2'!E40-'M1'!E40</f>
        <v>0</v>
      </c>
      <c r="F40" s="66">
        <f>'M2'!F40-'M1'!F40</f>
        <v>-10.234930000000002</v>
      </c>
      <c r="G40" s="66">
        <f>'M2'!G40-'M1'!G40</f>
        <v>0</v>
      </c>
      <c r="H40" s="66">
        <f>'M2'!H40-'M1'!H40</f>
        <v>-0.17445000000000022</v>
      </c>
    </row>
    <row r="41" spans="1:8">
      <c r="A41" s="66" t="s">
        <v>84</v>
      </c>
      <c r="B41" s="66">
        <f>'M2'!B41-'M1'!B41</f>
        <v>-4.0166000000000007E-2</v>
      </c>
      <c r="C41" s="66">
        <f>'M2'!C41-'M1'!C41</f>
        <v>9.0879999999999989E-2</v>
      </c>
      <c r="D41" s="66">
        <f>'M2'!D41-'M1'!D41</f>
        <v>0.65572000000000008</v>
      </c>
      <c r="E41" s="66">
        <f>'M2'!E41-'M1'!E41</f>
        <v>0</v>
      </c>
      <c r="F41" s="66">
        <f>'M2'!F41-'M1'!F41</f>
        <v>-7.1860000000000035E-2</v>
      </c>
      <c r="G41" s="66">
        <f>'M2'!G41-'M1'!G41</f>
        <v>0</v>
      </c>
      <c r="H41" s="66">
        <f>'M2'!H41-'M1'!H41</f>
        <v>0</v>
      </c>
    </row>
    <row r="42" spans="1:8">
      <c r="A42" s="66" t="s">
        <v>85</v>
      </c>
      <c r="B42" s="66">
        <f>'M2'!B42-'M1'!B42</f>
        <v>-1.4528000000000013E-2</v>
      </c>
      <c r="C42" s="66">
        <f>'M2'!C42-'M1'!C42</f>
        <v>0.11507999999999999</v>
      </c>
      <c r="D42" s="66">
        <f>'M2'!D42-'M1'!D42</f>
        <v>-0.67817899999999987</v>
      </c>
      <c r="E42" s="66">
        <f>'M2'!E42-'M1'!E42</f>
        <v>0</v>
      </c>
      <c r="F42" s="66">
        <f>'M2'!F42-'M1'!F42</f>
        <v>-0.105883</v>
      </c>
      <c r="G42" s="66">
        <f>'M2'!G42-'M1'!G42</f>
        <v>0</v>
      </c>
      <c r="H42" s="66">
        <f>'M2'!H42-'M1'!H42</f>
        <v>0.30688700000000002</v>
      </c>
    </row>
    <row r="43" spans="1:8">
      <c r="A43" s="66" t="s">
        <v>86</v>
      </c>
      <c r="B43" s="66">
        <f>'M2'!B43-'M1'!B43</f>
        <v>-9.6901999999999988E-2</v>
      </c>
      <c r="C43" s="66">
        <f>'M2'!C43-'M1'!C43</f>
        <v>3.6053199999999994E-2</v>
      </c>
      <c r="D43" s="66">
        <f>'M2'!D43-'M1'!D43</f>
        <v>-2.8559000000000001E-2</v>
      </c>
      <c r="E43" s="66">
        <f>'M2'!E43-'M1'!E43</f>
        <v>0</v>
      </c>
      <c r="F43" s="66">
        <f>'M2'!F43-'M1'!F43</f>
        <v>-0.18625899999999998</v>
      </c>
      <c r="G43" s="66">
        <f>'M2'!G43-'M1'!G43</f>
        <v>0</v>
      </c>
      <c r="H43" s="66">
        <f>'M2'!H43-'M1'!H43</f>
        <v>-8.9832000000000037E-3</v>
      </c>
    </row>
    <row r="44" spans="1:8">
      <c r="A44" s="66" t="s">
        <v>87</v>
      </c>
      <c r="B44" s="66">
        <f>'M2'!B44-'M1'!B44</f>
        <v>23.382100000000001</v>
      </c>
      <c r="C44" s="66">
        <f>'M2'!C44-'M1'!C44</f>
        <v>12.621500000000001</v>
      </c>
      <c r="D44" s="66">
        <f>'M2'!D44-'M1'!D44</f>
        <v>-8.9546000000000014E-2</v>
      </c>
      <c r="E44" s="66">
        <f>'M2'!E44-'M1'!E44</f>
        <v>0</v>
      </c>
      <c r="F44" s="66">
        <f>'M2'!F44-'M1'!F44</f>
        <v>-14.726799999999999</v>
      </c>
      <c r="G44" s="66">
        <f>'M2'!G44-'M1'!G44</f>
        <v>0</v>
      </c>
      <c r="H44" s="66">
        <f>'M2'!H44-'M1'!H44</f>
        <v>40.423099999999998</v>
      </c>
    </row>
    <row r="45" spans="1:8">
      <c r="A45" s="66" t="s">
        <v>88</v>
      </c>
      <c r="B45" s="66">
        <f>'M2'!B45-'M1'!B45</f>
        <v>-1.838000000000001</v>
      </c>
      <c r="C45" s="66">
        <f>'M2'!C45-'M1'!C45</f>
        <v>1.3194799999999995</v>
      </c>
      <c r="D45" s="66">
        <f>'M2'!D45-'M1'!D45</f>
        <v>2.9619000000000006E-2</v>
      </c>
      <c r="E45" s="66">
        <f>'M2'!E45-'M1'!E45</f>
        <v>0</v>
      </c>
      <c r="F45" s="66">
        <f>'M2'!F45-'M1'!F45</f>
        <v>2.9320999999999984</v>
      </c>
      <c r="G45" s="66">
        <f>'M2'!G45-'M1'!G45</f>
        <v>0</v>
      </c>
      <c r="H45" s="66">
        <f>'M2'!H45-'M1'!H45</f>
        <v>4.3290000000000077</v>
      </c>
    </row>
    <row r="46" spans="1:8">
      <c r="A46" s="66" t="s">
        <v>89</v>
      </c>
      <c r="B46" s="66">
        <f>'M2'!B46-'M1'!B46</f>
        <v>1.172699999999999</v>
      </c>
      <c r="C46" s="66">
        <f>'M2'!C46-'M1'!C46</f>
        <v>-6.8808200000000008</v>
      </c>
      <c r="D46" s="66">
        <f>'M2'!D46-'M1'!D46</f>
        <v>-0.23834140000000004</v>
      </c>
      <c r="E46" s="66">
        <f>'M2'!E46-'M1'!E46</f>
        <v>0</v>
      </c>
      <c r="F46" s="66">
        <f>'M2'!F46-'M1'!F46</f>
        <v>20.766030000000001</v>
      </c>
      <c r="G46" s="66">
        <f>'M2'!G46-'M1'!G46</f>
        <v>0</v>
      </c>
      <c r="H46" s="66">
        <f>'M2'!H46-'M1'!H46</f>
        <v>-2.1450999999999993</v>
      </c>
    </row>
    <row r="47" spans="1:8">
      <c r="A47" s="66" t="s">
        <v>90</v>
      </c>
      <c r="B47" s="66">
        <f>'M2'!B47-'M1'!B47</f>
        <v>-0.14564399999999988</v>
      </c>
      <c r="C47" s="66">
        <f>'M2'!C47-'M1'!C47</f>
        <v>0.15503400000000001</v>
      </c>
      <c r="D47" s="66">
        <f>'M2'!D47-'M1'!D47</f>
        <v>0.26926399999999995</v>
      </c>
      <c r="E47" s="66">
        <f>'M2'!E47-'M1'!E47</f>
        <v>0</v>
      </c>
      <c r="F47" s="66">
        <f>'M2'!F47-'M1'!F47</f>
        <v>-9.4388E-2</v>
      </c>
      <c r="G47" s="66">
        <f>'M2'!G47-'M1'!G47</f>
        <v>0</v>
      </c>
      <c r="H47" s="66">
        <f>'M2'!H47-'M1'!H47</f>
        <v>0.25550999999999968</v>
      </c>
    </row>
    <row r="48" spans="1:8">
      <c r="A48" s="66" t="s">
        <v>91</v>
      </c>
      <c r="B48" s="66">
        <f>'M2'!B48-'M1'!B48</f>
        <v>-3.0929999999999902E-2</v>
      </c>
      <c r="C48" s="66">
        <f>'M2'!C48-'M1'!C48</f>
        <v>-2.5343000000000004E-2</v>
      </c>
      <c r="D48" s="66">
        <f>'M2'!D48-'M1'!D48</f>
        <v>-2.5959999999999983E-2</v>
      </c>
      <c r="E48" s="66">
        <f>'M2'!E48-'M1'!E48</f>
        <v>0</v>
      </c>
      <c r="F48" s="66">
        <f>'M2'!F48-'M1'!F48</f>
        <v>-0.14160699999999998</v>
      </c>
      <c r="G48" s="66">
        <f>'M2'!G48-'M1'!G48</f>
        <v>0</v>
      </c>
      <c r="H48" s="66">
        <f>'M2'!H48-'M1'!H48</f>
        <v>-0.53651800000000005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37.217799999999997</v>
      </c>
      <c r="C5" s="66">
        <v>10.8246</v>
      </c>
      <c r="D5" s="66">
        <v>29.084299999999999</v>
      </c>
      <c r="E5" s="66">
        <v>20</v>
      </c>
      <c r="F5" s="66">
        <v>7.9105100000000004</v>
      </c>
      <c r="G5" s="66">
        <v>50</v>
      </c>
      <c r="H5" s="66">
        <v>49.6417</v>
      </c>
    </row>
    <row r="6" spans="1:8">
      <c r="A6" s="66" t="s">
        <v>358</v>
      </c>
      <c r="B6" s="66">
        <v>33.571300000000001</v>
      </c>
      <c r="C6" s="66">
        <v>2.7782300000000002</v>
      </c>
      <c r="D6" s="66">
        <v>8.2756000000000007</v>
      </c>
      <c r="E6" s="66">
        <v>20</v>
      </c>
      <c r="F6" s="66">
        <v>25.609500000000001</v>
      </c>
      <c r="G6" s="66">
        <v>40</v>
      </c>
      <c r="H6" s="66">
        <v>38.083599999999997</v>
      </c>
    </row>
    <row r="7" spans="1:8">
      <c r="A7" s="66" t="s">
        <v>359</v>
      </c>
      <c r="B7" s="66">
        <v>25.782900000000001</v>
      </c>
      <c r="C7" s="66">
        <v>4.7644900000000003</v>
      </c>
      <c r="D7" s="66">
        <v>18.479199999999999</v>
      </c>
      <c r="E7" s="66">
        <v>15</v>
      </c>
      <c r="F7" s="66">
        <v>16.678999999999998</v>
      </c>
      <c r="G7" s="66">
        <v>40</v>
      </c>
      <c r="H7" s="66">
        <v>37.024500000000003</v>
      </c>
    </row>
    <row r="8" spans="1:8">
      <c r="A8" s="66" t="s">
        <v>360</v>
      </c>
      <c r="B8" s="66">
        <v>32.058399999999999</v>
      </c>
      <c r="C8" s="66">
        <v>5.3277799999999997</v>
      </c>
      <c r="D8" s="66">
        <v>16.619</v>
      </c>
      <c r="E8" s="66">
        <v>20</v>
      </c>
      <c r="F8" s="66">
        <v>14.767899999999999</v>
      </c>
      <c r="G8" s="66">
        <v>50</v>
      </c>
      <c r="H8" s="66">
        <v>37.087400000000002</v>
      </c>
    </row>
    <row r="9" spans="1:8">
      <c r="A9" s="66" t="s">
        <v>361</v>
      </c>
      <c r="B9" s="66">
        <v>66.422799999999995</v>
      </c>
      <c r="C9" s="66">
        <v>5.2693000000000003</v>
      </c>
      <c r="D9" s="66">
        <v>7.9329700000000001</v>
      </c>
      <c r="E9" s="66">
        <v>50</v>
      </c>
      <c r="F9" s="66">
        <v>57.027200000000001</v>
      </c>
      <c r="G9" s="66">
        <v>100</v>
      </c>
      <c r="H9" s="66">
        <v>77.610100000000003</v>
      </c>
    </row>
    <row r="10" spans="1:8">
      <c r="A10" s="66" t="s">
        <v>362</v>
      </c>
      <c r="B10" s="66">
        <v>79.483500000000006</v>
      </c>
      <c r="C10" s="66">
        <v>1.6472899999999999</v>
      </c>
      <c r="D10" s="66">
        <v>2.0724999999999998</v>
      </c>
      <c r="E10" s="66">
        <v>40</v>
      </c>
      <c r="F10" s="66">
        <v>75.137600000000006</v>
      </c>
      <c r="G10" s="66">
        <v>100</v>
      </c>
      <c r="H10" s="66">
        <v>83.232500000000002</v>
      </c>
    </row>
    <row r="11" spans="1:8">
      <c r="A11" s="66" t="s">
        <v>363</v>
      </c>
      <c r="B11" s="66">
        <v>16.9617</v>
      </c>
      <c r="C11" s="66">
        <v>5.0954600000000001</v>
      </c>
      <c r="D11" s="66">
        <v>30.041</v>
      </c>
      <c r="E11" s="66">
        <v>10</v>
      </c>
      <c r="F11" s="66">
        <v>5.3714199999999996</v>
      </c>
      <c r="G11" s="66">
        <v>50</v>
      </c>
      <c r="H11" s="66">
        <v>22.933399999999999</v>
      </c>
    </row>
    <row r="12" spans="1:8">
      <c r="A12" s="66" t="s">
        <v>364</v>
      </c>
      <c r="B12" s="66">
        <v>72.863900000000001</v>
      </c>
      <c r="C12" s="66">
        <v>3.1848800000000002</v>
      </c>
      <c r="D12" s="66">
        <v>4.3710000000000004</v>
      </c>
      <c r="E12" s="66">
        <v>50</v>
      </c>
      <c r="F12" s="66">
        <v>67.063199999999995</v>
      </c>
      <c r="G12" s="66">
        <v>100</v>
      </c>
      <c r="H12" s="66">
        <v>79.267399999999995</v>
      </c>
    </row>
    <row r="13" spans="1:8">
      <c r="A13" s="66" t="s">
        <v>365</v>
      </c>
      <c r="B13" s="66">
        <v>22.026299999999999</v>
      </c>
      <c r="C13" s="66">
        <v>2.1848100000000001</v>
      </c>
      <c r="D13" s="66">
        <v>9.9191299999999991</v>
      </c>
      <c r="E13" s="66">
        <v>10</v>
      </c>
      <c r="F13" s="66">
        <v>17.891100000000002</v>
      </c>
      <c r="G13" s="66">
        <v>25</v>
      </c>
      <c r="H13" s="66">
        <v>26.943000000000001</v>
      </c>
    </row>
    <row r="14" spans="1:8">
      <c r="A14" s="66" t="s">
        <v>366</v>
      </c>
      <c r="B14" s="66">
        <v>21.848099999999999</v>
      </c>
      <c r="C14" s="66">
        <v>7.4511799999999999</v>
      </c>
      <c r="D14" s="66">
        <v>34.104399999999998</v>
      </c>
      <c r="E14" s="66">
        <v>10</v>
      </c>
      <c r="F14" s="66">
        <v>1.5427900000000001</v>
      </c>
      <c r="G14" s="66">
        <v>50</v>
      </c>
      <c r="H14" s="66">
        <v>29.9557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0.48055700000000001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371</v>
      </c>
      <c r="B19" s="66">
        <v>0.62148800000000004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372</v>
      </c>
      <c r="B20" s="66">
        <v>3.2109500000000002E-3</v>
      </c>
      <c r="C20" s="66">
        <v>3.1093599999999999E-2</v>
      </c>
      <c r="D20" s="66">
        <v>9.6836300000000008</v>
      </c>
      <c r="E20" s="66">
        <v>0</v>
      </c>
      <c r="F20" s="66">
        <v>0</v>
      </c>
      <c r="G20" s="66">
        <v>0</v>
      </c>
      <c r="H20" s="66">
        <v>0.25557999999999997</v>
      </c>
    </row>
    <row r="21" spans="1:8">
      <c r="A21" s="66" t="s">
        <v>373</v>
      </c>
      <c r="B21" s="66">
        <v>0.175959</v>
      </c>
      <c r="C21" s="66">
        <v>0.191718</v>
      </c>
      <c r="D21" s="66">
        <v>1.0895600000000001</v>
      </c>
      <c r="E21" s="66">
        <v>0</v>
      </c>
      <c r="F21" s="196">
        <v>9.0469299999999998E-5</v>
      </c>
      <c r="G21" s="66">
        <v>0</v>
      </c>
      <c r="H21" s="66">
        <v>1.01572</v>
      </c>
    </row>
    <row r="22" spans="1:8">
      <c r="A22" s="66" t="s">
        <v>374</v>
      </c>
      <c r="B22" s="66">
        <v>56.647599999999997</v>
      </c>
      <c r="C22" s="66">
        <v>12.4237</v>
      </c>
      <c r="D22" s="66">
        <v>0.21931600000000001</v>
      </c>
      <c r="E22" s="66">
        <v>0</v>
      </c>
      <c r="F22" s="66">
        <v>28.714200000000002</v>
      </c>
      <c r="G22" s="66">
        <v>0</v>
      </c>
      <c r="H22" s="66">
        <v>117.16</v>
      </c>
    </row>
    <row r="23" spans="1:8">
      <c r="A23" s="66" t="s">
        <v>375</v>
      </c>
      <c r="B23" s="66">
        <v>20.6037</v>
      </c>
      <c r="C23" s="66">
        <v>5.6712300000000004</v>
      </c>
      <c r="D23" s="66">
        <v>0.27525300000000003</v>
      </c>
      <c r="E23" s="66">
        <v>0</v>
      </c>
      <c r="F23" s="66">
        <v>8.5381300000000007</v>
      </c>
      <c r="G23" s="66">
        <v>0</v>
      </c>
      <c r="H23" s="66">
        <v>26.563500000000001</v>
      </c>
    </row>
    <row r="24" spans="1:8">
      <c r="A24" s="66" t="s">
        <v>376</v>
      </c>
      <c r="B24" s="66">
        <v>1.23721E-2</v>
      </c>
      <c r="C24" s="66">
        <v>1.5360199999999999E-2</v>
      </c>
      <c r="D24" s="66">
        <v>1.24152</v>
      </c>
      <c r="E24" s="66">
        <v>0</v>
      </c>
      <c r="F24" s="196">
        <v>3.4324499999999997E-7</v>
      </c>
      <c r="G24" s="66">
        <v>0</v>
      </c>
      <c r="H24" s="66">
        <v>6.5313300000000005E-2</v>
      </c>
    </row>
    <row r="25" spans="1:8">
      <c r="A25" s="66" t="s">
        <v>377</v>
      </c>
      <c r="B25" s="66">
        <v>0.21124999999999999</v>
      </c>
      <c r="C25" s="66">
        <v>0.10513400000000001</v>
      </c>
      <c r="D25" s="66">
        <v>0.49767600000000001</v>
      </c>
      <c r="E25" s="66">
        <v>0</v>
      </c>
      <c r="F25" s="66">
        <v>3.5711199999999999E-2</v>
      </c>
      <c r="G25" s="66">
        <v>0</v>
      </c>
      <c r="H25" s="66">
        <v>0.444803</v>
      </c>
    </row>
    <row r="26" spans="1:8">
      <c r="A26" s="66" t="s">
        <v>378</v>
      </c>
      <c r="B26" s="66">
        <v>7.2872900000000001E-4</v>
      </c>
      <c r="C26" s="66">
        <v>1.9373400000000001E-3</v>
      </c>
      <c r="D26" s="66">
        <v>2.6585100000000002</v>
      </c>
      <c r="E26" s="66">
        <v>0</v>
      </c>
      <c r="F26" s="66">
        <v>0</v>
      </c>
      <c r="G26" s="66">
        <v>0</v>
      </c>
      <c r="H26" s="66">
        <v>1.19682E-2</v>
      </c>
    </row>
    <row r="27" spans="1:8">
      <c r="A27" s="66" t="s">
        <v>379</v>
      </c>
      <c r="B27" s="196">
        <v>-2.62605E-5</v>
      </c>
      <c r="C27" s="66">
        <v>1.3868999999999999E-3</v>
      </c>
      <c r="D27" s="66">
        <v>-52.813200000000002</v>
      </c>
      <c r="E27" s="66">
        <v>0</v>
      </c>
      <c r="F27" s="66">
        <v>-9.1485000000000004E-3</v>
      </c>
      <c r="G27" s="66">
        <v>0</v>
      </c>
      <c r="H27" s="66">
        <v>1.0179199999999999E-2</v>
      </c>
    </row>
    <row r="28" spans="1:8">
      <c r="A28" s="66" t="s">
        <v>380</v>
      </c>
      <c r="B28" s="66">
        <v>1.6625999999999998E-2</v>
      </c>
      <c r="C28" s="66">
        <v>1.4046100000000001E-2</v>
      </c>
      <c r="D28" s="66">
        <v>0.844831</v>
      </c>
      <c r="E28" s="66">
        <v>0</v>
      </c>
      <c r="F28" s="196">
        <v>6.1848999999999997E-5</v>
      </c>
      <c r="G28" s="66">
        <v>0</v>
      </c>
      <c r="H28" s="66">
        <v>7.1474599999999999E-2</v>
      </c>
    </row>
    <row r="29" spans="1:8">
      <c r="A29" s="66" t="s">
        <v>381</v>
      </c>
      <c r="B29" s="66">
        <v>76.107100000000003</v>
      </c>
      <c r="C29" s="66">
        <v>8.8628499999999999</v>
      </c>
      <c r="D29" s="66">
        <v>0.116452</v>
      </c>
      <c r="E29" s="66">
        <v>0</v>
      </c>
      <c r="F29" s="66">
        <v>41.377699999999997</v>
      </c>
      <c r="G29" s="66">
        <v>0</v>
      </c>
      <c r="H29" s="66">
        <v>93.712100000000007</v>
      </c>
    </row>
    <row r="30" spans="1:8">
      <c r="A30" s="66" t="s">
        <v>382</v>
      </c>
      <c r="B30" s="66">
        <v>23.71</v>
      </c>
      <c r="C30" s="66">
        <v>7.4221599999999999</v>
      </c>
      <c r="D30" s="66">
        <v>0.31303900000000001</v>
      </c>
      <c r="E30" s="66">
        <v>0</v>
      </c>
      <c r="F30" s="66">
        <v>8.6398299999999999</v>
      </c>
      <c r="G30" s="66">
        <v>0</v>
      </c>
      <c r="H30" s="66">
        <v>31.630600000000001</v>
      </c>
    </row>
    <row r="31" spans="1:8">
      <c r="A31" s="66" t="s">
        <v>383</v>
      </c>
      <c r="B31" s="66">
        <v>225.28100000000001</v>
      </c>
      <c r="C31" s="66">
        <v>75.876300000000001</v>
      </c>
      <c r="D31" s="66">
        <v>0.336808</v>
      </c>
      <c r="E31" s="66">
        <v>0</v>
      </c>
      <c r="F31" s="66">
        <v>43.303600000000003</v>
      </c>
      <c r="G31" s="66">
        <v>0</v>
      </c>
      <c r="H31" s="66">
        <v>315.113</v>
      </c>
    </row>
    <row r="32" spans="1:8">
      <c r="A32" s="66" t="s">
        <v>384</v>
      </c>
      <c r="B32" s="66">
        <v>0.25782899999999997</v>
      </c>
      <c r="C32" s="66">
        <v>4.7644899999999997E-2</v>
      </c>
      <c r="D32" s="66">
        <v>0.18479200000000001</v>
      </c>
      <c r="E32" s="66">
        <v>0.15</v>
      </c>
      <c r="F32" s="66">
        <v>0.16678999999999999</v>
      </c>
      <c r="G32" s="66">
        <v>0.4</v>
      </c>
      <c r="H32" s="66">
        <v>0.37024499999999999</v>
      </c>
    </row>
    <row r="33" spans="1:8">
      <c r="A33" s="66" t="s">
        <v>385</v>
      </c>
      <c r="B33" s="66">
        <v>0.26929999999999998</v>
      </c>
      <c r="C33" s="66">
        <v>6.7149899999999998E-2</v>
      </c>
      <c r="D33" s="66">
        <v>0.24934999999999999</v>
      </c>
      <c r="E33" s="66">
        <v>0</v>
      </c>
      <c r="F33" s="66">
        <v>0.18349799999999999</v>
      </c>
      <c r="G33" s="66">
        <v>0</v>
      </c>
      <c r="H33" s="66">
        <v>0.42646800000000001</v>
      </c>
    </row>
    <row r="34" spans="1:8">
      <c r="A34" s="66" t="s">
        <v>386</v>
      </c>
      <c r="B34" s="66">
        <v>0.22026299999999999</v>
      </c>
      <c r="C34" s="66">
        <v>2.1848099999999999E-2</v>
      </c>
      <c r="D34" s="66">
        <v>9.9191299999999996E-2</v>
      </c>
      <c r="E34" s="66">
        <v>0.1</v>
      </c>
      <c r="F34" s="66">
        <v>0.17891099999999999</v>
      </c>
      <c r="G34" s="66">
        <v>0.25</v>
      </c>
      <c r="H34" s="66">
        <v>0.26943</v>
      </c>
    </row>
    <row r="35" spans="1:8">
      <c r="A35" s="66" t="s">
        <v>387</v>
      </c>
      <c r="B35" s="66">
        <v>8.3687700000000004E-2</v>
      </c>
      <c r="C35" s="66">
        <v>2.3221700000000001E-2</v>
      </c>
      <c r="D35" s="66">
        <v>0.27748</v>
      </c>
      <c r="E35" s="66">
        <v>0</v>
      </c>
      <c r="F35" s="66">
        <v>4.7353800000000001E-2</v>
      </c>
      <c r="G35" s="66">
        <v>0</v>
      </c>
      <c r="H35" s="66">
        <v>0.144097</v>
      </c>
    </row>
    <row r="36" spans="1:8">
      <c r="A36" s="66" t="s">
        <v>388</v>
      </c>
      <c r="B36" s="66">
        <v>0.20907500000000001</v>
      </c>
      <c r="C36" s="66">
        <v>9.4609100000000002E-2</v>
      </c>
      <c r="D36" s="66">
        <v>0.45251400000000003</v>
      </c>
      <c r="E36" s="66">
        <v>0</v>
      </c>
      <c r="F36" s="66">
        <v>4.6336599999999999E-2</v>
      </c>
      <c r="G36" s="66">
        <v>0</v>
      </c>
      <c r="H36" s="66">
        <v>0.47423399999999999</v>
      </c>
    </row>
    <row r="37" spans="1:8">
      <c r="A37" s="66" t="s">
        <v>389</v>
      </c>
      <c r="B37" s="66">
        <v>0.21848100000000001</v>
      </c>
      <c r="C37" s="66">
        <v>7.4511800000000003E-2</v>
      </c>
      <c r="D37" s="66">
        <v>0.34104400000000001</v>
      </c>
      <c r="E37" s="66">
        <v>0.1</v>
      </c>
      <c r="F37" s="66">
        <v>1.54279E-2</v>
      </c>
      <c r="G37" s="66">
        <v>0.5</v>
      </c>
      <c r="H37" s="66">
        <v>0.29955700000000002</v>
      </c>
    </row>
    <row r="38" spans="1:8">
      <c r="A38" s="66" t="s">
        <v>390</v>
      </c>
      <c r="B38" s="66">
        <v>0</v>
      </c>
      <c r="C38" s="66">
        <v>40.448700000000002</v>
      </c>
      <c r="D38" s="66">
        <v>0</v>
      </c>
      <c r="E38" s="66">
        <v>0</v>
      </c>
      <c r="F38" s="66">
        <v>-95.321899999999999</v>
      </c>
      <c r="G38" s="66">
        <v>0</v>
      </c>
      <c r="H38" s="66">
        <v>100.94799999999999</v>
      </c>
    </row>
    <row r="39" spans="1:8">
      <c r="A39" s="66" t="s">
        <v>391</v>
      </c>
      <c r="B39" s="66">
        <v>-6.7500299999999998</v>
      </c>
      <c r="C39" s="66">
        <v>7.76966</v>
      </c>
      <c r="D39" s="66">
        <v>-1.1510499999999999</v>
      </c>
      <c r="E39" s="66">
        <v>0</v>
      </c>
      <c r="F39" s="66">
        <v>-22.6953</v>
      </c>
      <c r="G39" s="66">
        <v>0</v>
      </c>
      <c r="H39" s="66">
        <v>11.7227</v>
      </c>
    </row>
    <row r="40" spans="1:8">
      <c r="A40" s="66" t="s">
        <v>392</v>
      </c>
      <c r="B40" s="66">
        <v>-3.8666399999999999</v>
      </c>
      <c r="C40" s="66">
        <v>1.2019299999999999</v>
      </c>
      <c r="D40" s="66">
        <v>-0.31084699999999998</v>
      </c>
      <c r="E40" s="66">
        <v>0</v>
      </c>
      <c r="F40" s="66">
        <v>-6.0863699999999996</v>
      </c>
      <c r="G40" s="66">
        <v>0</v>
      </c>
      <c r="H40" s="66">
        <v>-2.0874299999999999</v>
      </c>
    </row>
    <row r="41" spans="1:8">
      <c r="A41" s="66" t="s">
        <v>393</v>
      </c>
      <c r="B41" s="66">
        <v>-5.8420399999999997E-2</v>
      </c>
      <c r="C41" s="66">
        <v>0.22620799999999999</v>
      </c>
      <c r="D41" s="66">
        <v>-3.8720699999999999</v>
      </c>
      <c r="E41" s="66">
        <v>0</v>
      </c>
      <c r="F41" s="66">
        <v>-0.55313999999999997</v>
      </c>
      <c r="G41" s="66">
        <v>0</v>
      </c>
      <c r="H41" s="66">
        <v>1</v>
      </c>
    </row>
    <row r="42" spans="1:8">
      <c r="A42" s="66" t="s">
        <v>394</v>
      </c>
      <c r="B42" s="66">
        <v>-0.13678499999999999</v>
      </c>
      <c r="C42" s="66">
        <v>0.117344</v>
      </c>
      <c r="D42" s="66">
        <v>-0.85787100000000005</v>
      </c>
      <c r="E42" s="66">
        <v>0</v>
      </c>
      <c r="F42" s="66">
        <v>-0.35877799999999999</v>
      </c>
      <c r="G42" s="66">
        <v>0</v>
      </c>
      <c r="H42" s="66">
        <v>0.199433</v>
      </c>
    </row>
    <row r="43" spans="1:8">
      <c r="A43" s="66" t="s">
        <v>395</v>
      </c>
      <c r="B43" s="66">
        <v>-0.15096200000000001</v>
      </c>
      <c r="C43" s="66">
        <v>4.5139100000000001E-2</v>
      </c>
      <c r="D43" s="66">
        <v>-0.29900900000000002</v>
      </c>
      <c r="E43" s="66">
        <v>0</v>
      </c>
      <c r="F43" s="66">
        <v>-0.224382</v>
      </c>
      <c r="G43" s="66">
        <v>0</v>
      </c>
      <c r="H43" s="66">
        <v>-5.7258099999999999E-2</v>
      </c>
    </row>
    <row r="44" spans="1:8">
      <c r="A44" s="66" t="s">
        <v>396</v>
      </c>
      <c r="B44" s="66">
        <v>20.7956</v>
      </c>
      <c r="C44" s="66">
        <v>14.743600000000001</v>
      </c>
      <c r="D44" s="66">
        <v>0.70897900000000003</v>
      </c>
      <c r="E44" s="66">
        <v>0</v>
      </c>
      <c r="F44" s="66">
        <v>-11.4595</v>
      </c>
      <c r="G44" s="66">
        <v>0</v>
      </c>
      <c r="H44" s="66">
        <v>42.108899999999998</v>
      </c>
    </row>
    <row r="45" spans="1:8">
      <c r="A45" s="66" t="s">
        <v>397</v>
      </c>
      <c r="B45" s="66">
        <v>54.009799999999998</v>
      </c>
      <c r="C45" s="66">
        <v>6.6358100000000002</v>
      </c>
      <c r="D45" s="66">
        <v>0.122863</v>
      </c>
      <c r="E45" s="66">
        <v>0</v>
      </c>
      <c r="F45" s="66">
        <v>35.911700000000003</v>
      </c>
      <c r="G45" s="66">
        <v>0</v>
      </c>
      <c r="H45" s="66">
        <v>69.337699999999998</v>
      </c>
    </row>
    <row r="46" spans="1:8">
      <c r="A46" s="66" t="s">
        <v>398</v>
      </c>
      <c r="B46" s="66">
        <v>29.159400000000002</v>
      </c>
      <c r="C46" s="66">
        <v>8.6678200000000007</v>
      </c>
      <c r="D46" s="66">
        <v>0.29725600000000002</v>
      </c>
      <c r="E46" s="66">
        <v>0</v>
      </c>
      <c r="F46" s="66">
        <v>5.4773699999999996</v>
      </c>
      <c r="G46" s="66">
        <v>0</v>
      </c>
      <c r="H46" s="66">
        <v>36.188400000000001</v>
      </c>
    </row>
    <row r="47" spans="1:8">
      <c r="A47" s="66" t="s">
        <v>399</v>
      </c>
      <c r="B47" s="66">
        <v>1.0065999999999999</v>
      </c>
      <c r="C47" s="66">
        <v>0.53073300000000001</v>
      </c>
      <c r="D47" s="66">
        <v>0.527254</v>
      </c>
      <c r="E47" s="66">
        <v>0</v>
      </c>
      <c r="F47" s="66">
        <v>0.293543</v>
      </c>
      <c r="G47" s="66">
        <v>0</v>
      </c>
      <c r="H47" s="66">
        <v>2.5967500000000001</v>
      </c>
    </row>
    <row r="48" spans="1:8">
      <c r="A48" s="66" t="s">
        <v>400</v>
      </c>
      <c r="B48" s="66">
        <v>0.69564099999999995</v>
      </c>
      <c r="C48" s="66">
        <v>0.181892</v>
      </c>
      <c r="D48" s="66">
        <v>0.26147399999999998</v>
      </c>
      <c r="E48" s="66">
        <v>0</v>
      </c>
      <c r="F48" s="66">
        <v>0.51856199999999997</v>
      </c>
      <c r="G48" s="66">
        <v>0</v>
      </c>
      <c r="H48" s="66">
        <v>1.4556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39.7209</v>
      </c>
      <c r="C5" s="66">
        <v>3.8171400000000002</v>
      </c>
      <c r="D5" s="66">
        <v>9.6099200000000007</v>
      </c>
      <c r="E5" s="66">
        <v>20</v>
      </c>
      <c r="F5" s="66">
        <v>31.1371</v>
      </c>
      <c r="G5" s="66">
        <v>50</v>
      </c>
      <c r="H5" s="66">
        <v>45.652799999999999</v>
      </c>
    </row>
    <row r="6" spans="1:8">
      <c r="A6" s="66" t="s">
        <v>358</v>
      </c>
      <c r="B6" s="66">
        <v>40.536499999999997</v>
      </c>
      <c r="C6" s="66">
        <v>2.64906</v>
      </c>
      <c r="D6" s="66">
        <v>6.5350099999999998</v>
      </c>
      <c r="E6" s="66">
        <v>20</v>
      </c>
      <c r="F6" s="66">
        <v>34.293100000000003</v>
      </c>
      <c r="G6" s="66">
        <v>40</v>
      </c>
      <c r="H6" s="66">
        <v>43.107399999999998</v>
      </c>
    </row>
    <row r="7" spans="1:8">
      <c r="A7" s="66" t="s">
        <v>359</v>
      </c>
      <c r="B7" s="66">
        <v>21.134399999999999</v>
      </c>
      <c r="C7" s="66">
        <v>7.6564199999999998</v>
      </c>
      <c r="D7" s="66">
        <v>36.2273</v>
      </c>
      <c r="E7" s="66">
        <v>15</v>
      </c>
      <c r="F7" s="66">
        <v>9.5702099999999994</v>
      </c>
      <c r="G7" s="66">
        <v>40</v>
      </c>
      <c r="H7" s="66">
        <v>37.357300000000002</v>
      </c>
    </row>
    <row r="8" spans="1:8">
      <c r="A8" s="66" t="s">
        <v>360</v>
      </c>
      <c r="B8" s="66">
        <v>32.814100000000003</v>
      </c>
      <c r="C8" s="66">
        <v>2.3480400000000001</v>
      </c>
      <c r="D8" s="66">
        <v>7.1555999999999997</v>
      </c>
      <c r="E8" s="66">
        <v>20</v>
      </c>
      <c r="F8" s="66">
        <v>29.452000000000002</v>
      </c>
      <c r="G8" s="66">
        <v>50</v>
      </c>
      <c r="H8" s="66">
        <v>36.905500000000004</v>
      </c>
    </row>
    <row r="9" spans="1:8">
      <c r="A9" s="66" t="s">
        <v>361</v>
      </c>
      <c r="B9" s="66">
        <v>62.008099999999999</v>
      </c>
      <c r="C9" s="66">
        <v>7.3266999999999998</v>
      </c>
      <c r="D9" s="66">
        <v>11.8157</v>
      </c>
      <c r="E9" s="66">
        <v>50</v>
      </c>
      <c r="F9" s="66">
        <v>47.104100000000003</v>
      </c>
      <c r="G9" s="66">
        <v>100</v>
      </c>
      <c r="H9" s="66">
        <v>75.8857</v>
      </c>
    </row>
    <row r="10" spans="1:8">
      <c r="A10" s="66" t="s">
        <v>362</v>
      </c>
      <c r="B10" s="66">
        <v>76.018600000000006</v>
      </c>
      <c r="C10" s="66">
        <v>1.94547</v>
      </c>
      <c r="D10" s="66">
        <v>2.5592000000000001</v>
      </c>
      <c r="E10" s="66">
        <v>40</v>
      </c>
      <c r="F10" s="66">
        <v>68.267499999999998</v>
      </c>
      <c r="G10" s="66">
        <v>100</v>
      </c>
      <c r="H10" s="66">
        <v>79.414199999999994</v>
      </c>
    </row>
    <row r="11" spans="1:8">
      <c r="A11" s="66" t="s">
        <v>363</v>
      </c>
      <c r="B11" s="66">
        <v>18.179500000000001</v>
      </c>
      <c r="C11" s="66">
        <v>2.9407399999999999</v>
      </c>
      <c r="D11" s="66">
        <v>16.176100000000002</v>
      </c>
      <c r="E11" s="66">
        <v>10</v>
      </c>
      <c r="F11" s="66">
        <v>13.1105</v>
      </c>
      <c r="G11" s="66">
        <v>50</v>
      </c>
      <c r="H11" s="66">
        <v>21.776900000000001</v>
      </c>
    </row>
    <row r="12" spans="1:8">
      <c r="A12" s="66" t="s">
        <v>364</v>
      </c>
      <c r="B12" s="66">
        <v>68.529799999999994</v>
      </c>
      <c r="C12" s="66">
        <v>4.3143099999999999</v>
      </c>
      <c r="D12" s="66">
        <v>6.2955300000000003</v>
      </c>
      <c r="E12" s="66">
        <v>50</v>
      </c>
      <c r="F12" s="66">
        <v>61.047800000000002</v>
      </c>
      <c r="G12" s="66">
        <v>100</v>
      </c>
      <c r="H12" s="66">
        <v>77.228099999999998</v>
      </c>
    </row>
    <row r="13" spans="1:8">
      <c r="A13" s="66" t="s">
        <v>365</v>
      </c>
      <c r="B13" s="66">
        <v>19.727699999999999</v>
      </c>
      <c r="C13" s="66">
        <v>3.68953</v>
      </c>
      <c r="D13" s="66">
        <v>18.702300000000001</v>
      </c>
      <c r="E13" s="66">
        <v>10</v>
      </c>
      <c r="F13" s="66">
        <v>14.158899999999999</v>
      </c>
      <c r="G13" s="66">
        <v>25</v>
      </c>
      <c r="H13" s="66">
        <v>32.497399999999999</v>
      </c>
    </row>
    <row r="14" spans="1:8">
      <c r="A14" s="66" t="s">
        <v>366</v>
      </c>
      <c r="B14" s="66">
        <v>36.895299999999999</v>
      </c>
      <c r="C14" s="66">
        <v>9.8959899999999994</v>
      </c>
      <c r="D14" s="66">
        <v>26.8218</v>
      </c>
      <c r="E14" s="66">
        <v>10</v>
      </c>
      <c r="F14" s="66">
        <v>2.7828499999999998</v>
      </c>
      <c r="G14" s="66">
        <v>50</v>
      </c>
      <c r="H14" s="66">
        <v>32.1965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0.39774100000000001</v>
      </c>
      <c r="C18" s="66">
        <v>5.98355E-2</v>
      </c>
      <c r="D18" s="66">
        <v>0.15043799999999999</v>
      </c>
      <c r="E18" s="66">
        <v>0</v>
      </c>
      <c r="F18" s="66">
        <v>0.33790500000000001</v>
      </c>
      <c r="G18" s="66">
        <v>0</v>
      </c>
      <c r="H18" s="66">
        <v>0.45757599999999998</v>
      </c>
    </row>
    <row r="19" spans="1:8">
      <c r="A19" s="66" t="s">
        <v>371</v>
      </c>
      <c r="B19" s="66">
        <v>0.64324199999999998</v>
      </c>
      <c r="C19" s="66">
        <v>2.8327100000000001E-2</v>
      </c>
      <c r="D19" s="66">
        <v>4.4038099999999997E-2</v>
      </c>
      <c r="E19" s="66">
        <v>0</v>
      </c>
      <c r="F19" s="66">
        <v>0.61491399999999996</v>
      </c>
      <c r="G19" s="66">
        <v>0</v>
      </c>
      <c r="H19" s="66">
        <v>0.67156899999999997</v>
      </c>
    </row>
    <row r="20" spans="1:8">
      <c r="A20" s="66" t="s">
        <v>372</v>
      </c>
      <c r="B20" s="66">
        <v>3.4940800000000001E-3</v>
      </c>
      <c r="C20" s="66">
        <v>6.5351599999999996E-2</v>
      </c>
      <c r="D20" s="66">
        <v>18.703600000000002</v>
      </c>
      <c r="E20" s="66">
        <v>0</v>
      </c>
      <c r="F20" s="66">
        <v>0</v>
      </c>
      <c r="G20" s="66">
        <v>0</v>
      </c>
      <c r="H20" s="66">
        <v>0.39785100000000001</v>
      </c>
    </row>
    <row r="21" spans="1:8">
      <c r="A21" s="66" t="s">
        <v>373</v>
      </c>
      <c r="B21" s="66">
        <v>0.14216500000000001</v>
      </c>
      <c r="C21" s="66">
        <v>0.69342999999999999</v>
      </c>
      <c r="D21" s="66">
        <v>4.87765</v>
      </c>
      <c r="E21" s="66">
        <v>0</v>
      </c>
      <c r="F21" s="66">
        <v>1.24566E-4</v>
      </c>
      <c r="G21" s="66">
        <v>0</v>
      </c>
      <c r="H21" s="66">
        <v>3.4792399999999999</v>
      </c>
    </row>
    <row r="22" spans="1:8">
      <c r="A22" s="66" t="s">
        <v>374</v>
      </c>
      <c r="B22" s="66">
        <v>52.416400000000003</v>
      </c>
      <c r="C22" s="66">
        <v>24.567599999999999</v>
      </c>
      <c r="D22" s="66">
        <v>0.46870099999999998</v>
      </c>
      <c r="E22" s="66">
        <v>0</v>
      </c>
      <c r="F22" s="66">
        <v>27.587399999999999</v>
      </c>
      <c r="G22" s="66">
        <v>0</v>
      </c>
      <c r="H22" s="66">
        <v>137.42599999999999</v>
      </c>
    </row>
    <row r="23" spans="1:8">
      <c r="A23" s="66" t="s">
        <v>375</v>
      </c>
      <c r="B23" s="66">
        <v>27.846299999999999</v>
      </c>
      <c r="C23" s="66">
        <v>5.5771300000000004</v>
      </c>
      <c r="D23" s="66">
        <v>0.20028299999999999</v>
      </c>
      <c r="E23" s="66">
        <v>0</v>
      </c>
      <c r="F23" s="66">
        <v>18.860900000000001</v>
      </c>
      <c r="G23" s="66">
        <v>0</v>
      </c>
      <c r="H23" s="66">
        <v>35.488</v>
      </c>
    </row>
    <row r="24" spans="1:8">
      <c r="A24" s="66" t="s">
        <v>376</v>
      </c>
      <c r="B24" s="66">
        <v>1.2598E-2</v>
      </c>
      <c r="C24" s="66">
        <v>5.9267500000000001E-2</v>
      </c>
      <c r="D24" s="66">
        <v>4.70451</v>
      </c>
      <c r="E24" s="66">
        <v>0</v>
      </c>
      <c r="F24" s="196">
        <v>1.5724799999999999E-5</v>
      </c>
      <c r="G24" s="66">
        <v>0</v>
      </c>
      <c r="H24" s="66">
        <v>0.37005199999999999</v>
      </c>
    </row>
    <row r="25" spans="1:8">
      <c r="A25" s="66" t="s">
        <v>377</v>
      </c>
      <c r="B25" s="66">
        <v>0.14000000000000001</v>
      </c>
      <c r="C25" s="66">
        <v>0.50822699999999998</v>
      </c>
      <c r="D25" s="66">
        <v>3.6301899999999998</v>
      </c>
      <c r="E25" s="66">
        <v>0</v>
      </c>
      <c r="F25" s="66">
        <v>9.2875200000000005E-3</v>
      </c>
      <c r="G25" s="66">
        <v>0</v>
      </c>
      <c r="H25" s="66">
        <v>1.95075</v>
      </c>
    </row>
    <row r="26" spans="1:8">
      <c r="A26" s="66" t="s">
        <v>378</v>
      </c>
      <c r="B26" s="66">
        <v>7.7796699999999996E-4</v>
      </c>
      <c r="C26" s="66">
        <v>6.4426400000000003E-3</v>
      </c>
      <c r="D26" s="66">
        <v>8.2813800000000004</v>
      </c>
      <c r="E26" s="66">
        <v>0</v>
      </c>
      <c r="F26" s="66">
        <v>0</v>
      </c>
      <c r="G26" s="66">
        <v>0</v>
      </c>
      <c r="H26" s="66">
        <v>3.6249299999999998E-2</v>
      </c>
    </row>
    <row r="27" spans="1:8">
      <c r="A27" s="66" t="s">
        <v>379</v>
      </c>
      <c r="B27" s="196">
        <v>-6.5651299999999996E-6</v>
      </c>
      <c r="C27" s="66">
        <v>1.5271099999999999E-3</v>
      </c>
      <c r="D27" s="66">
        <v>-232.60900000000001</v>
      </c>
      <c r="E27" s="66">
        <v>0</v>
      </c>
      <c r="F27" s="66">
        <v>-7.4350099999999997E-3</v>
      </c>
      <c r="G27" s="66">
        <v>0</v>
      </c>
      <c r="H27" s="66">
        <v>6.8408599999999998E-3</v>
      </c>
    </row>
    <row r="28" spans="1:8">
      <c r="A28" s="66" t="s">
        <v>380</v>
      </c>
      <c r="B28" s="66">
        <v>1.49382E-2</v>
      </c>
      <c r="C28" s="66">
        <v>3.3827500000000003E-2</v>
      </c>
      <c r="D28" s="66">
        <v>2.2645</v>
      </c>
      <c r="E28" s="66">
        <v>0</v>
      </c>
      <c r="F28" s="196">
        <v>4.5572899999999999E-5</v>
      </c>
      <c r="G28" s="66">
        <v>0</v>
      </c>
      <c r="H28" s="66">
        <v>0.14487</v>
      </c>
    </row>
    <row r="29" spans="1:8">
      <c r="A29" s="66" t="s">
        <v>381</v>
      </c>
      <c r="B29" s="66">
        <v>73.865700000000004</v>
      </c>
      <c r="C29" s="66">
        <v>10.4251</v>
      </c>
      <c r="D29" s="66">
        <v>0.14113600000000001</v>
      </c>
      <c r="E29" s="66">
        <v>0</v>
      </c>
      <c r="F29" s="66">
        <v>52.479700000000001</v>
      </c>
      <c r="G29" s="66">
        <v>0</v>
      </c>
      <c r="H29" s="66">
        <v>104.873</v>
      </c>
    </row>
    <row r="30" spans="1:8">
      <c r="A30" s="66" t="s">
        <v>382</v>
      </c>
      <c r="B30" s="66">
        <v>26.413399999999999</v>
      </c>
      <c r="C30" s="66">
        <v>3.7212499999999999</v>
      </c>
      <c r="D30" s="66">
        <v>0.14088500000000001</v>
      </c>
      <c r="E30" s="66">
        <v>0</v>
      </c>
      <c r="F30" s="66">
        <v>20.554099999999998</v>
      </c>
      <c r="G30" s="66">
        <v>0</v>
      </c>
      <c r="H30" s="66">
        <v>32.753900000000002</v>
      </c>
    </row>
    <row r="31" spans="1:8">
      <c r="A31" s="66" t="s">
        <v>383</v>
      </c>
      <c r="B31" s="66">
        <v>257.447</v>
      </c>
      <c r="C31" s="66">
        <v>49.927199999999999</v>
      </c>
      <c r="D31" s="66">
        <v>0.19393199999999999</v>
      </c>
      <c r="E31" s="66">
        <v>0</v>
      </c>
      <c r="F31" s="66">
        <v>140.065</v>
      </c>
      <c r="G31" s="66">
        <v>0</v>
      </c>
      <c r="H31" s="66">
        <v>326.46800000000002</v>
      </c>
    </row>
    <row r="32" spans="1:8">
      <c r="A32" s="66" t="s">
        <v>384</v>
      </c>
      <c r="B32" s="66">
        <v>0.211344</v>
      </c>
      <c r="C32" s="66">
        <v>7.6564199999999999E-2</v>
      </c>
      <c r="D32" s="66">
        <v>0.36227300000000001</v>
      </c>
      <c r="E32" s="66">
        <v>0.15</v>
      </c>
      <c r="F32" s="66">
        <v>9.5702099999999998E-2</v>
      </c>
      <c r="G32" s="66">
        <v>0.4</v>
      </c>
      <c r="H32" s="66">
        <v>0.37357299999999999</v>
      </c>
    </row>
    <row r="33" spans="1:8">
      <c r="A33" s="66" t="s">
        <v>385</v>
      </c>
      <c r="B33" s="66">
        <v>0.19669300000000001</v>
      </c>
      <c r="C33" s="66">
        <v>8.7348400000000007E-2</v>
      </c>
      <c r="D33" s="66">
        <v>0.44408500000000001</v>
      </c>
      <c r="E33" s="66">
        <v>0</v>
      </c>
      <c r="F33" s="66">
        <v>0.13995199999999999</v>
      </c>
      <c r="G33" s="66">
        <v>0</v>
      </c>
      <c r="H33" s="66">
        <v>0.38659199999999999</v>
      </c>
    </row>
    <row r="34" spans="1:8">
      <c r="A34" s="66" t="s">
        <v>386</v>
      </c>
      <c r="B34" s="66">
        <v>0.19727700000000001</v>
      </c>
      <c r="C34" s="66">
        <v>3.6895299999999999E-2</v>
      </c>
      <c r="D34" s="66">
        <v>0.18702299999999999</v>
      </c>
      <c r="E34" s="66">
        <v>0.1</v>
      </c>
      <c r="F34" s="66">
        <v>0.14158899999999999</v>
      </c>
      <c r="G34" s="66">
        <v>0.25</v>
      </c>
      <c r="H34" s="66">
        <v>0.32497399999999999</v>
      </c>
    </row>
    <row r="35" spans="1:8">
      <c r="A35" s="66" t="s">
        <v>387</v>
      </c>
      <c r="B35" s="66">
        <v>8.7003999999999998E-2</v>
      </c>
      <c r="C35" s="66">
        <v>2.4675300000000001E-2</v>
      </c>
      <c r="D35" s="66">
        <v>0.283611</v>
      </c>
      <c r="E35" s="66">
        <v>0</v>
      </c>
      <c r="F35" s="66">
        <v>2.9505300000000002E-2</v>
      </c>
      <c r="G35" s="66">
        <v>0</v>
      </c>
      <c r="H35" s="66">
        <v>0.13050200000000001</v>
      </c>
    </row>
    <row r="36" spans="1:8">
      <c r="A36" s="66" t="s">
        <v>388</v>
      </c>
      <c r="B36" s="66">
        <v>0.16780700000000001</v>
      </c>
      <c r="C36" s="66">
        <v>9.6879800000000002E-2</v>
      </c>
      <c r="D36" s="66">
        <v>0.57733000000000001</v>
      </c>
      <c r="E36" s="66">
        <v>0</v>
      </c>
      <c r="F36" s="66">
        <v>4.1430399999999999E-2</v>
      </c>
      <c r="G36" s="66">
        <v>0</v>
      </c>
      <c r="H36" s="66">
        <v>0.48870200000000003</v>
      </c>
    </row>
    <row r="37" spans="1:8">
      <c r="A37" s="66" t="s">
        <v>389</v>
      </c>
      <c r="B37" s="66">
        <v>0.36895299999999998</v>
      </c>
      <c r="C37" s="66">
        <v>9.8959900000000003E-2</v>
      </c>
      <c r="D37" s="66">
        <v>0.26821800000000001</v>
      </c>
      <c r="E37" s="66">
        <v>0.1</v>
      </c>
      <c r="F37" s="66">
        <v>2.7828499999999999E-2</v>
      </c>
      <c r="G37" s="66">
        <v>0.5</v>
      </c>
      <c r="H37" s="66">
        <v>0.321965</v>
      </c>
    </row>
    <row r="38" spans="1:8">
      <c r="A38" s="66" t="s">
        <v>390</v>
      </c>
      <c r="B38" s="66">
        <v>-8.5329200000000007</v>
      </c>
      <c r="C38" s="66">
        <v>75.247600000000006</v>
      </c>
      <c r="D38" s="66">
        <v>-8.8185000000000002</v>
      </c>
      <c r="E38" s="66">
        <v>0</v>
      </c>
      <c r="F38" s="66">
        <v>-213.87100000000001</v>
      </c>
      <c r="G38" s="66">
        <v>0</v>
      </c>
      <c r="H38" s="66">
        <v>225.822</v>
      </c>
    </row>
    <row r="39" spans="1:8">
      <c r="A39" s="66" t="s">
        <v>391</v>
      </c>
      <c r="B39" s="66">
        <v>-7.7305900000000003</v>
      </c>
      <c r="C39" s="66">
        <v>22.759899999999998</v>
      </c>
      <c r="D39" s="66">
        <v>-2.9441299999999999</v>
      </c>
      <c r="E39" s="66">
        <v>0</v>
      </c>
      <c r="F39" s="66">
        <v>-57.496899999999997</v>
      </c>
      <c r="G39" s="66">
        <v>0</v>
      </c>
      <c r="H39" s="66">
        <v>30.997699999999998</v>
      </c>
    </row>
    <row r="40" spans="1:8">
      <c r="A40" s="66" t="s">
        <v>392</v>
      </c>
      <c r="B40" s="66">
        <v>-11.474</v>
      </c>
      <c r="C40" s="66">
        <v>4.5619100000000001</v>
      </c>
      <c r="D40" s="66">
        <v>-0.39758599999999999</v>
      </c>
      <c r="E40" s="66">
        <v>0</v>
      </c>
      <c r="F40" s="66">
        <v>-16.321300000000001</v>
      </c>
      <c r="G40" s="66">
        <v>0</v>
      </c>
      <c r="H40" s="66">
        <v>-2.2618800000000001</v>
      </c>
    </row>
    <row r="41" spans="1:8">
      <c r="A41" s="66" t="s">
        <v>393</v>
      </c>
      <c r="B41" s="66">
        <v>-9.8586400000000005E-2</v>
      </c>
      <c r="C41" s="66">
        <v>0.31708799999999998</v>
      </c>
      <c r="D41" s="66">
        <v>-3.2163499999999998</v>
      </c>
      <c r="E41" s="66">
        <v>0</v>
      </c>
      <c r="F41" s="66">
        <v>-0.625</v>
      </c>
      <c r="G41" s="66">
        <v>0</v>
      </c>
      <c r="H41" s="66">
        <v>1</v>
      </c>
    </row>
    <row r="42" spans="1:8">
      <c r="A42" s="66" t="s">
        <v>394</v>
      </c>
      <c r="B42" s="66">
        <v>-0.151313</v>
      </c>
      <c r="C42" s="66">
        <v>0.23242399999999999</v>
      </c>
      <c r="D42" s="66">
        <v>-1.5360499999999999</v>
      </c>
      <c r="E42" s="66">
        <v>0</v>
      </c>
      <c r="F42" s="66">
        <v>-0.46466099999999999</v>
      </c>
      <c r="G42" s="66">
        <v>0</v>
      </c>
      <c r="H42" s="66">
        <v>0.50631999999999999</v>
      </c>
    </row>
    <row r="43" spans="1:8">
      <c r="A43" s="66" t="s">
        <v>395</v>
      </c>
      <c r="B43" s="66">
        <v>-0.247864</v>
      </c>
      <c r="C43" s="66">
        <v>8.1192299999999995E-2</v>
      </c>
      <c r="D43" s="66">
        <v>-0.32756800000000003</v>
      </c>
      <c r="E43" s="66">
        <v>0</v>
      </c>
      <c r="F43" s="66">
        <v>-0.41064099999999998</v>
      </c>
      <c r="G43" s="66">
        <v>0</v>
      </c>
      <c r="H43" s="66">
        <v>-6.6241300000000003E-2</v>
      </c>
    </row>
    <row r="44" spans="1:8">
      <c r="A44" s="66" t="s">
        <v>396</v>
      </c>
      <c r="B44" s="66">
        <v>44.177700000000002</v>
      </c>
      <c r="C44" s="66">
        <v>27.365100000000002</v>
      </c>
      <c r="D44" s="66">
        <v>0.61943300000000001</v>
      </c>
      <c r="E44" s="66">
        <v>0</v>
      </c>
      <c r="F44" s="66">
        <v>-26.186299999999999</v>
      </c>
      <c r="G44" s="66">
        <v>0</v>
      </c>
      <c r="H44" s="66">
        <v>82.531999999999996</v>
      </c>
    </row>
    <row r="45" spans="1:8">
      <c r="A45" s="66" t="s">
        <v>397</v>
      </c>
      <c r="B45" s="66">
        <v>52.171799999999998</v>
      </c>
      <c r="C45" s="66">
        <v>7.9552899999999998</v>
      </c>
      <c r="D45" s="66">
        <v>0.15248200000000001</v>
      </c>
      <c r="E45" s="66">
        <v>0</v>
      </c>
      <c r="F45" s="66">
        <v>38.843800000000002</v>
      </c>
      <c r="G45" s="66">
        <v>0</v>
      </c>
      <c r="H45" s="66">
        <v>73.666700000000006</v>
      </c>
    </row>
    <row r="46" spans="1:8">
      <c r="A46" s="66" t="s">
        <v>398</v>
      </c>
      <c r="B46" s="66">
        <v>30.332100000000001</v>
      </c>
      <c r="C46" s="66">
        <v>1.7869999999999999</v>
      </c>
      <c r="D46" s="66">
        <v>5.8914599999999998E-2</v>
      </c>
      <c r="E46" s="66">
        <v>0</v>
      </c>
      <c r="F46" s="66">
        <v>26.243400000000001</v>
      </c>
      <c r="G46" s="66">
        <v>0</v>
      </c>
      <c r="H46" s="66">
        <v>34.043300000000002</v>
      </c>
    </row>
    <row r="47" spans="1:8">
      <c r="A47" s="66" t="s">
        <v>399</v>
      </c>
      <c r="B47" s="66">
        <v>0.86095600000000005</v>
      </c>
      <c r="C47" s="66">
        <v>0.68576700000000002</v>
      </c>
      <c r="D47" s="66">
        <v>0.79651799999999995</v>
      </c>
      <c r="E47" s="66">
        <v>0</v>
      </c>
      <c r="F47" s="66">
        <v>0.199155</v>
      </c>
      <c r="G47" s="66">
        <v>0</v>
      </c>
      <c r="H47" s="66">
        <v>2.8522599999999998</v>
      </c>
    </row>
    <row r="48" spans="1:8">
      <c r="A48" s="66" t="s">
        <v>400</v>
      </c>
      <c r="B48" s="66">
        <v>0.66471100000000005</v>
      </c>
      <c r="C48" s="66">
        <v>0.15654899999999999</v>
      </c>
      <c r="D48" s="66">
        <v>0.235514</v>
      </c>
      <c r="E48" s="66">
        <v>0</v>
      </c>
      <c r="F48" s="66">
        <v>0.37695499999999998</v>
      </c>
      <c r="G48" s="66">
        <v>0</v>
      </c>
      <c r="H48" s="66">
        <v>0.91908199999999995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401</v>
      </c>
      <c r="B1" s="60" t="s">
        <v>402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77.380909445319134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1.4940311504791319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0.66917394152574705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2381</v>
      </c>
      <c r="B8" s="66">
        <v>2381</v>
      </c>
      <c r="D8">
        <f t="shared" si="0"/>
        <v>1.1711986463088304E-2</v>
      </c>
      <c r="E8">
        <f t="shared" si="0"/>
        <v>1.1711986463088304E-2</v>
      </c>
      <c r="G8">
        <f t="shared" ca="1" si="1"/>
        <v>6</v>
      </c>
      <c r="H8">
        <f t="shared" ca="1" si="2"/>
        <v>7.0271918778529827E-2</v>
      </c>
      <c r="I8">
        <f t="shared" ca="1" si="3"/>
        <v>59.67531436598096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4165</v>
      </c>
      <c r="B10" s="66">
        <v>4165</v>
      </c>
      <c r="D10">
        <f t="shared" si="0"/>
        <v>2.048736817251692E-2</v>
      </c>
      <c r="E10">
        <f t="shared" si="0"/>
        <v>2.048736817251692E-2</v>
      </c>
      <c r="G10">
        <f t="shared" ca="1" si="1"/>
        <v>8</v>
      </c>
      <c r="H10">
        <f t="shared" ca="1" si="2"/>
        <v>0.16389894538013536</v>
      </c>
      <c r="I10">
        <f t="shared" ca="1" si="3"/>
        <v>98.620261245125931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15057</v>
      </c>
      <c r="B13" s="66">
        <v>15057</v>
      </c>
      <c r="D13">
        <f t="shared" si="0"/>
        <v>7.4064418385014957E-2</v>
      </c>
      <c r="E13">
        <f t="shared" si="0"/>
        <v>7.4064418385014957E-2</v>
      </c>
      <c r="G13">
        <f t="shared" ca="1" si="1"/>
        <v>11</v>
      </c>
      <c r="H13">
        <f t="shared" ca="1" si="2"/>
        <v>0.8147086022351645</v>
      </c>
      <c r="I13">
        <f t="shared" ca="1" si="3"/>
        <v>326.35931506141679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23042</v>
      </c>
      <c r="B15" s="66">
        <v>23042</v>
      </c>
      <c r="D15">
        <f t="shared" si="0"/>
        <v>0.11334212183220525</v>
      </c>
      <c r="E15">
        <f t="shared" si="0"/>
        <v>0.11334212183220525</v>
      </c>
      <c r="G15">
        <f t="shared" ca="1" si="1"/>
        <v>13</v>
      </c>
      <c r="H15">
        <f t="shared" ca="1" si="2"/>
        <v>1.4734475838186682</v>
      </c>
      <c r="I15">
        <f t="shared" ca="1" si="3"/>
        <v>469.79193090955579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24133</v>
      </c>
      <c r="B18" s="66">
        <v>24133</v>
      </c>
      <c r="D18">
        <f t="shared" si="0"/>
        <v>0.11870868093813947</v>
      </c>
      <c r="E18">
        <f t="shared" si="0"/>
        <v>0.11870868093813947</v>
      </c>
      <c r="G18">
        <f t="shared" ca="1" si="1"/>
        <v>16</v>
      </c>
      <c r="H18">
        <f t="shared" ca="1" si="2"/>
        <v>1.8993388950102315</v>
      </c>
      <c r="I18">
        <f t="shared" ca="1" si="3"/>
        <v>447.24873090431544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30307</v>
      </c>
      <c r="B21" s="66">
        <v>30307</v>
      </c>
      <c r="D21">
        <f t="shared" si="0"/>
        <v>0.14907819140563514</v>
      </c>
      <c r="E21">
        <f t="shared" si="0"/>
        <v>0.14907819140563514</v>
      </c>
      <c r="G21">
        <f t="shared" ca="1" si="1"/>
        <v>19</v>
      </c>
      <c r="H21">
        <f t="shared" ca="1" si="2"/>
        <v>2.8324856367070677</v>
      </c>
      <c r="I21">
        <f t="shared" ca="1" si="3"/>
        <v>508.10775972123889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43407</v>
      </c>
      <c r="B23" s="66">
        <v>43407</v>
      </c>
      <c r="D23">
        <f t="shared" si="0"/>
        <v>0.21351625216433182</v>
      </c>
      <c r="E23">
        <f t="shared" si="0"/>
        <v>0.21351625216433182</v>
      </c>
      <c r="G23">
        <f t="shared" ca="1" si="1"/>
        <v>21</v>
      </c>
      <c r="H23">
        <f t="shared" ca="1" si="2"/>
        <v>4.4838412954509685</v>
      </c>
      <c r="I23">
        <f t="shared" ca="1" si="3"/>
        <v>678.72694629258103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64272</v>
      </c>
      <c r="B26" s="66">
        <v>64272</v>
      </c>
      <c r="D26">
        <f t="shared" si="0"/>
        <v>0.31614985046434757</v>
      </c>
      <c r="E26">
        <f t="shared" si="0"/>
        <v>0.31614985046434757</v>
      </c>
      <c r="G26">
        <f t="shared" ca="1" si="1"/>
        <v>24</v>
      </c>
      <c r="H26">
        <f t="shared" ca="1" si="2"/>
        <v>7.5875964111443412</v>
      </c>
      <c r="I26">
        <f t="shared" ca="1" si="3"/>
        <v>900.875793973084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72457</v>
      </c>
      <c r="B28" s="66">
        <v>72457</v>
      </c>
      <c r="D28">
        <f t="shared" si="0"/>
        <v>0.35641134109869355</v>
      </c>
      <c r="E28">
        <f t="shared" si="0"/>
        <v>0.35641134109869355</v>
      </c>
      <c r="G28">
        <f t="shared" ca="1" si="1"/>
        <v>26</v>
      </c>
      <c r="H28">
        <f t="shared" ca="1" si="2"/>
        <v>9.2666948685660326</v>
      </c>
      <c r="I28">
        <f t="shared" ca="1" si="3"/>
        <v>940.92517615079873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83238</v>
      </c>
      <c r="B31" s="66">
        <v>83238</v>
      </c>
      <c r="D31">
        <f t="shared" si="0"/>
        <v>0.40944238942232014</v>
      </c>
      <c r="E31">
        <f t="shared" si="0"/>
        <v>0.40944238942232014</v>
      </c>
      <c r="G31">
        <f t="shared" ca="1" si="1"/>
        <v>29</v>
      </c>
      <c r="H31">
        <f t="shared" ca="1" si="2"/>
        <v>11.873829293247285</v>
      </c>
      <c r="I31">
        <f t="shared" ca="1" si="3"/>
        <v>958.38687749717678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111470</v>
      </c>
      <c r="B33" s="66">
        <v>111470</v>
      </c>
      <c r="D33">
        <f t="shared" si="0"/>
        <v>0.54831378876121517</v>
      </c>
      <c r="E33">
        <f t="shared" si="0"/>
        <v>0.54831378876121517</v>
      </c>
      <c r="G33">
        <f t="shared" ca="1" si="1"/>
        <v>31</v>
      </c>
      <c r="H33">
        <f t="shared" ca="1" si="2"/>
        <v>16.997727451597669</v>
      </c>
      <c r="I33">
        <f t="shared" ca="1" si="3"/>
        <v>1179.5264598706881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137799</v>
      </c>
      <c r="B36" s="66">
        <v>137799</v>
      </c>
      <c r="D36">
        <f t="shared" si="0"/>
        <v>0.67782445301432392</v>
      </c>
      <c r="E36">
        <f t="shared" si="0"/>
        <v>0.67782445301432392</v>
      </c>
      <c r="G36">
        <f t="shared" ca="1" si="1"/>
        <v>34</v>
      </c>
      <c r="H36">
        <f t="shared" ca="1" si="2"/>
        <v>23.046031402487014</v>
      </c>
      <c r="I36">
        <f t="shared" ca="1" si="3"/>
        <v>1275.6000778650155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133090</v>
      </c>
      <c r="B39" s="66">
        <v>133090</v>
      </c>
      <c r="D39">
        <f t="shared" si="0"/>
        <v>0.65466118369274362</v>
      </c>
      <c r="E39">
        <f t="shared" si="0"/>
        <v>0.65466118369274362</v>
      </c>
      <c r="G39">
        <f t="shared" ca="1" si="1"/>
        <v>37</v>
      </c>
      <c r="H39">
        <f t="shared" ca="1" si="2"/>
        <v>24.222463796631516</v>
      </c>
      <c r="I39">
        <f t="shared" ca="1" si="3"/>
        <v>1067.5022102806663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111182</v>
      </c>
      <c r="B41" s="66">
        <v>111182</v>
      </c>
      <c r="D41">
        <f t="shared" si="0"/>
        <v>0.54689713521171102</v>
      </c>
      <c r="E41">
        <f t="shared" si="0"/>
        <v>0.54689713521171102</v>
      </c>
      <c r="G41">
        <f t="shared" ca="1" si="1"/>
        <v>39</v>
      </c>
      <c r="H41">
        <f t="shared" ca="1" si="2"/>
        <v>21.32898827325673</v>
      </c>
      <c r="I41">
        <f t="shared" ca="1" si="3"/>
        <v>805.63100326380777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116922</v>
      </c>
      <c r="B44" s="66">
        <v>116922</v>
      </c>
      <c r="D44">
        <f t="shared" si="0"/>
        <v>0.57513182748307889</v>
      </c>
      <c r="E44">
        <f t="shared" si="0"/>
        <v>0.57513182748307889</v>
      </c>
      <c r="G44">
        <f t="shared" ca="1" si="1"/>
        <v>42</v>
      </c>
      <c r="H44">
        <f t="shared" ca="1" si="2"/>
        <v>24.155536754289315</v>
      </c>
      <c r="I44">
        <f t="shared" ca="1" si="3"/>
        <v>719.9550558745043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118519</v>
      </c>
      <c r="B46" s="66">
        <v>118519</v>
      </c>
      <c r="D46">
        <f t="shared" si="0"/>
        <v>0.58298736817251695</v>
      </c>
      <c r="E46">
        <f t="shared" si="0"/>
        <v>0.58298736817251695</v>
      </c>
      <c r="G46">
        <f t="shared" ca="1" si="1"/>
        <v>44</v>
      </c>
      <c r="H46">
        <f t="shared" ca="1" si="2"/>
        <v>25.651444199590745</v>
      </c>
      <c r="I46">
        <f t="shared" ca="1" si="3"/>
        <v>649.61414681887095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126548</v>
      </c>
      <c r="B49" s="66">
        <v>126548</v>
      </c>
      <c r="D49">
        <f t="shared" si="0"/>
        <v>0.62248150480088149</v>
      </c>
      <c r="E49">
        <f t="shared" si="0"/>
        <v>0.62248150480088149</v>
      </c>
      <c r="G49">
        <f t="shared" ca="1" si="1"/>
        <v>47</v>
      </c>
      <c r="H49">
        <f t="shared" ca="1" si="2"/>
        <v>29.256630725641429</v>
      </c>
      <c r="I49">
        <f t="shared" ca="1" si="3"/>
        <v>574.55021649363971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141209</v>
      </c>
      <c r="B51" s="66">
        <v>141209</v>
      </c>
      <c r="D51">
        <f t="shared" si="0"/>
        <v>0.69459802455532815</v>
      </c>
      <c r="E51">
        <f t="shared" si="0"/>
        <v>0.69459802455532815</v>
      </c>
      <c r="G51">
        <f t="shared" ca="1" si="1"/>
        <v>49</v>
      </c>
      <c r="H51">
        <f t="shared" ca="1" si="2"/>
        <v>34.035303203211079</v>
      </c>
      <c r="I51">
        <f t="shared" ca="1" si="3"/>
        <v>559.4820529739751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164198</v>
      </c>
      <c r="B54" s="66">
        <v>164198</v>
      </c>
      <c r="D54">
        <f t="shared" si="0"/>
        <v>0.80767944278293724</v>
      </c>
      <c r="E54">
        <f t="shared" si="0"/>
        <v>0.80767944278293724</v>
      </c>
      <c r="G54">
        <f t="shared" ca="1" si="1"/>
        <v>52</v>
      </c>
      <c r="H54">
        <f t="shared" ca="1" si="2"/>
        <v>41.999331024712738</v>
      </c>
      <c r="I54">
        <f t="shared" ca="1" si="3"/>
        <v>520.29947599682293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166053</v>
      </c>
      <c r="B57" s="66">
        <v>166053</v>
      </c>
      <c r="D57">
        <f t="shared" si="0"/>
        <v>0.81680406894380608</v>
      </c>
      <c r="E57">
        <f t="shared" si="0"/>
        <v>0.81680406894380608</v>
      </c>
      <c r="G57">
        <f t="shared" ca="1" si="1"/>
        <v>55</v>
      </c>
      <c r="H57">
        <f t="shared" ca="1" si="2"/>
        <v>44.924223791909334</v>
      </c>
      <c r="I57">
        <f t="shared" ca="1" si="3"/>
        <v>409.14133004206803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173062</v>
      </c>
      <c r="B59" s="66">
        <v>173062</v>
      </c>
      <c r="D59">
        <f t="shared" si="0"/>
        <v>0.85128089091767667</v>
      </c>
      <c r="E59">
        <f t="shared" si="0"/>
        <v>0.85128089091767667</v>
      </c>
      <c r="G59">
        <f t="shared" ca="1" si="1"/>
        <v>57</v>
      </c>
      <c r="H59">
        <f t="shared" ca="1" si="2"/>
        <v>48.523010782307573</v>
      </c>
      <c r="I59">
        <f t="shared" ca="1" si="3"/>
        <v>353.60630769761531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203296</v>
      </c>
      <c r="B62" s="66">
        <v>203296</v>
      </c>
      <c r="D62">
        <f t="shared" si="0"/>
        <v>1</v>
      </c>
      <c r="E62">
        <f t="shared" si="0"/>
        <v>1</v>
      </c>
      <c r="G62">
        <f t="shared" ca="1" si="1"/>
        <v>60</v>
      </c>
      <c r="H62">
        <f t="shared" ca="1" si="2"/>
        <v>60</v>
      </c>
      <c r="I62">
        <f t="shared" ca="1" si="3"/>
        <v>302.09601314638388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175230</v>
      </c>
      <c r="B64" s="66">
        <v>175230</v>
      </c>
      <c r="D64">
        <f t="shared" si="0"/>
        <v>0.86194514402644418</v>
      </c>
      <c r="E64">
        <f t="shared" si="0"/>
        <v>0.86194514402644418</v>
      </c>
      <c r="G64">
        <f t="shared" ca="1" si="1"/>
        <v>62</v>
      </c>
      <c r="H64">
        <f t="shared" ca="1" si="2"/>
        <v>53.440598929639542</v>
      </c>
      <c r="I64">
        <f t="shared" ca="1" si="3"/>
        <v>203.91241015675547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173316</v>
      </c>
      <c r="B67" s="66">
        <v>173316</v>
      </c>
      <c r="D67">
        <f t="shared" ref="D67:E130" si="4">IFERROR( A67/MAX(A$2:A$257), 0 )</f>
        <v>0.85253030064536439</v>
      </c>
      <c r="E67">
        <f t="shared" si="4"/>
        <v>0.85253030064536439</v>
      </c>
      <c r="G67">
        <f t="shared" ref="G67:G130" ca="1" si="5">CELL("row",D67)-2</f>
        <v>65</v>
      </c>
      <c r="H67">
        <f t="shared" ref="H67:H130" ca="1" si="6">D67*G67</f>
        <v>55.414469541948684</v>
      </c>
      <c r="I67">
        <f t="shared" ref="I67:I130" ca="1" si="7">D67*((G67-$L$1)^2)</f>
        <v>130.68174287850897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194697</v>
      </c>
      <c r="B69" s="66">
        <v>194697</v>
      </c>
      <c r="D69">
        <f t="shared" si="4"/>
        <v>0.9577020698882418</v>
      </c>
      <c r="E69">
        <f t="shared" si="4"/>
        <v>0.9577020698882418</v>
      </c>
      <c r="G69">
        <f t="shared" ca="1" si="5"/>
        <v>67</v>
      </c>
      <c r="H69">
        <f t="shared" ca="1" si="6"/>
        <v>64.166038682512195</v>
      </c>
      <c r="I69">
        <f t="shared" ca="1" si="7"/>
        <v>103.20511718729001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177494</v>
      </c>
      <c r="B72" s="66">
        <v>177494</v>
      </c>
      <c r="D72">
        <f t="shared" si="4"/>
        <v>0.87308161498504644</v>
      </c>
      <c r="E72">
        <f t="shared" si="4"/>
        <v>0.87308161498504644</v>
      </c>
      <c r="G72">
        <f t="shared" ca="1" si="5"/>
        <v>70</v>
      </c>
      <c r="H72">
        <f t="shared" ca="1" si="6"/>
        <v>61.115713048953253</v>
      </c>
      <c r="I72">
        <f t="shared" ca="1" si="7"/>
        <v>47.563586768331753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182150</v>
      </c>
      <c r="B75" s="66">
        <v>182150</v>
      </c>
      <c r="D75">
        <f t="shared" si="4"/>
        <v>0.89598418070203056</v>
      </c>
      <c r="E75">
        <f t="shared" si="4"/>
        <v>0.89598418070203056</v>
      </c>
      <c r="G75">
        <f t="shared" ca="1" si="5"/>
        <v>73</v>
      </c>
      <c r="H75">
        <f t="shared" ca="1" si="6"/>
        <v>65.406845191248237</v>
      </c>
      <c r="I75">
        <f t="shared" ca="1" si="7"/>
        <v>17.196057731224112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178513</v>
      </c>
      <c r="B77" s="66">
        <v>178513</v>
      </c>
      <c r="D77">
        <f t="shared" si="4"/>
        <v>0.8780940107036046</v>
      </c>
      <c r="E77">
        <f t="shared" si="4"/>
        <v>0.8780940107036046</v>
      </c>
      <c r="G77">
        <f t="shared" ca="1" si="5"/>
        <v>75</v>
      </c>
      <c r="H77">
        <f t="shared" ca="1" si="6"/>
        <v>65.857050802770345</v>
      </c>
      <c r="I77">
        <f t="shared" ca="1" si="7"/>
        <v>4.9776776740948634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162929</v>
      </c>
      <c r="B80" s="66">
        <v>162929</v>
      </c>
      <c r="D80">
        <f t="shared" si="4"/>
        <v>0.80143731308043442</v>
      </c>
      <c r="E80">
        <f t="shared" si="4"/>
        <v>0.80143731308043442</v>
      </c>
      <c r="G80">
        <f t="shared" ca="1" si="5"/>
        <v>78</v>
      </c>
      <c r="H80">
        <f t="shared" ca="1" si="6"/>
        <v>62.512110420273885</v>
      </c>
      <c r="I80">
        <f t="shared" ca="1" si="7"/>
        <v>0.30716937537746786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168599</v>
      </c>
      <c r="B82" s="66">
        <v>168599</v>
      </c>
      <c r="D82">
        <f t="shared" si="4"/>
        <v>0.82932767983629785</v>
      </c>
      <c r="E82">
        <f t="shared" si="4"/>
        <v>0.82932767983629785</v>
      </c>
      <c r="G82">
        <f t="shared" ca="1" si="5"/>
        <v>80</v>
      </c>
      <c r="H82">
        <f t="shared" ca="1" si="6"/>
        <v>66.346214386903824</v>
      </c>
      <c r="I82">
        <f t="shared" ca="1" si="7"/>
        <v>5.6888854557529438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160401</v>
      </c>
      <c r="B85" s="66">
        <v>160401</v>
      </c>
      <c r="D85">
        <f t="shared" si="4"/>
        <v>0.78900224303478672</v>
      </c>
      <c r="E85">
        <f t="shared" si="4"/>
        <v>0.78900224303478672</v>
      </c>
      <c r="G85">
        <f t="shared" ca="1" si="5"/>
        <v>83</v>
      </c>
      <c r="H85">
        <f t="shared" ca="1" si="6"/>
        <v>65.487186171887302</v>
      </c>
      <c r="I85">
        <f t="shared" ca="1" si="7"/>
        <v>24.912097786065342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154466</v>
      </c>
      <c r="B88" s="66">
        <v>154466</v>
      </c>
      <c r="D88">
        <f t="shared" si="4"/>
        <v>0.75980835825594206</v>
      </c>
      <c r="E88">
        <f t="shared" si="4"/>
        <v>0.75980835825594206</v>
      </c>
      <c r="G88">
        <f t="shared" ca="1" si="5"/>
        <v>86</v>
      </c>
      <c r="H88">
        <f t="shared" ca="1" si="6"/>
        <v>65.34351881001102</v>
      </c>
      <c r="I88">
        <f t="shared" ca="1" si="7"/>
        <v>56.445191891993623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147255</v>
      </c>
      <c r="B90" s="66">
        <v>147255</v>
      </c>
      <c r="D90">
        <f t="shared" si="4"/>
        <v>0.72433791122304425</v>
      </c>
      <c r="E90">
        <f t="shared" si="4"/>
        <v>0.72433791122304425</v>
      </c>
      <c r="G90">
        <f t="shared" ca="1" si="5"/>
        <v>88</v>
      </c>
      <c r="H90">
        <f t="shared" ca="1" si="6"/>
        <v>63.741736187627893</v>
      </c>
      <c r="I90">
        <f t="shared" ca="1" si="7"/>
        <v>81.680025554484558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142574</v>
      </c>
      <c r="B93" s="66">
        <v>142574</v>
      </c>
      <c r="D93">
        <f t="shared" si="4"/>
        <v>0.70131237210766562</v>
      </c>
      <c r="E93">
        <f t="shared" si="4"/>
        <v>0.70131237210766562</v>
      </c>
      <c r="G93">
        <f t="shared" ca="1" si="5"/>
        <v>91</v>
      </c>
      <c r="H93">
        <f t="shared" ca="1" si="6"/>
        <v>63.819425861797569</v>
      </c>
      <c r="I93">
        <f t="shared" ca="1" si="7"/>
        <v>130.07915756533757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125468</v>
      </c>
      <c r="B95" s="66">
        <v>125468</v>
      </c>
      <c r="D95">
        <f t="shared" si="4"/>
        <v>0.6171690539902408</v>
      </c>
      <c r="E95">
        <f t="shared" si="4"/>
        <v>0.6171690539902408</v>
      </c>
      <c r="G95">
        <f t="shared" ca="1" si="5"/>
        <v>93</v>
      </c>
      <c r="H95">
        <f t="shared" ca="1" si="6"/>
        <v>57.396722021092394</v>
      </c>
      <c r="I95">
        <f t="shared" ca="1" si="7"/>
        <v>150.56208741254437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115924</v>
      </c>
      <c r="B98" s="66">
        <v>115924</v>
      </c>
      <c r="D98">
        <f t="shared" si="4"/>
        <v>0.57022272941917207</v>
      </c>
      <c r="E98">
        <f t="shared" si="4"/>
        <v>0.57022272941917207</v>
      </c>
      <c r="G98">
        <f t="shared" ca="1" si="5"/>
        <v>96</v>
      </c>
      <c r="H98">
        <f t="shared" ca="1" si="6"/>
        <v>54.741382024240522</v>
      </c>
      <c r="I98">
        <f t="shared" ca="1" si="7"/>
        <v>197.67941758401932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112891</v>
      </c>
      <c r="B100" s="66">
        <v>112891</v>
      </c>
      <c r="D100">
        <f t="shared" si="4"/>
        <v>0.55530359672595619</v>
      </c>
      <c r="E100">
        <f t="shared" si="4"/>
        <v>0.55530359672595619</v>
      </c>
      <c r="G100">
        <f t="shared" ca="1" si="5"/>
        <v>98</v>
      </c>
      <c r="H100">
        <f t="shared" ca="1" si="6"/>
        <v>54.41975247914371</v>
      </c>
      <c r="I100">
        <f t="shared" ca="1" si="7"/>
        <v>236.08560009814616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98352</v>
      </c>
      <c r="B103" s="66">
        <v>98352</v>
      </c>
      <c r="D103">
        <f t="shared" si="4"/>
        <v>0.48378718715567448</v>
      </c>
      <c r="E103">
        <f t="shared" si="4"/>
        <v>0.48378718715567448</v>
      </c>
      <c r="G103">
        <f t="shared" ca="1" si="5"/>
        <v>101</v>
      </c>
      <c r="H103">
        <f t="shared" ca="1" si="6"/>
        <v>48.862505902723122</v>
      </c>
      <c r="I103">
        <f t="shared" ca="1" si="7"/>
        <v>269.88621621752958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97923</v>
      </c>
      <c r="B106" s="66">
        <v>97923</v>
      </c>
      <c r="D106">
        <f t="shared" si="4"/>
        <v>0.48167696363922557</v>
      </c>
      <c r="E106">
        <f t="shared" si="4"/>
        <v>0.48167696363922557</v>
      </c>
      <c r="G106">
        <f t="shared" ca="1" si="5"/>
        <v>104</v>
      </c>
      <c r="H106">
        <f t="shared" ca="1" si="6"/>
        <v>50.094404218479461</v>
      </c>
      <c r="I106">
        <f t="shared" ca="1" si="7"/>
        <v>341.30472749735668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84222</v>
      </c>
      <c r="B108" s="66">
        <v>84222</v>
      </c>
      <c r="D108">
        <f t="shared" si="4"/>
        <v>0.41428262238312608</v>
      </c>
      <c r="E108">
        <f t="shared" si="4"/>
        <v>0.41428262238312608</v>
      </c>
      <c r="G108">
        <f t="shared" ca="1" si="5"/>
        <v>106</v>
      </c>
      <c r="H108">
        <f t="shared" ca="1" si="6"/>
        <v>43.913957972611364</v>
      </c>
      <c r="I108">
        <f t="shared" ca="1" si="7"/>
        <v>339.31915301470406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81614</v>
      </c>
      <c r="B111" s="66">
        <v>81614</v>
      </c>
      <c r="D111">
        <f t="shared" si="4"/>
        <v>0.4014540374626161</v>
      </c>
      <c r="E111">
        <f t="shared" si="4"/>
        <v>0.4014540374626161</v>
      </c>
      <c r="G111">
        <f t="shared" ca="1" si="5"/>
        <v>109</v>
      </c>
      <c r="H111">
        <f t="shared" ca="1" si="6"/>
        <v>43.758490083425151</v>
      </c>
      <c r="I111">
        <f t="shared" ca="1" si="7"/>
        <v>401.36045351035904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75311</v>
      </c>
      <c r="B113" s="66">
        <v>75311</v>
      </c>
      <c r="D113">
        <f t="shared" si="4"/>
        <v>0.37044998425940501</v>
      </c>
      <c r="E113">
        <f t="shared" si="4"/>
        <v>0.37044998425940501</v>
      </c>
      <c r="G113">
        <f t="shared" ca="1" si="5"/>
        <v>111</v>
      </c>
      <c r="H113">
        <f t="shared" ca="1" si="6"/>
        <v>41.119948252793954</v>
      </c>
      <c r="I113">
        <f t="shared" ca="1" si="7"/>
        <v>418.6985940694924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69145</v>
      </c>
      <c r="B116" s="66">
        <v>69145</v>
      </c>
      <c r="D116">
        <f t="shared" si="4"/>
        <v>0.34011982527939555</v>
      </c>
      <c r="E116">
        <f t="shared" si="4"/>
        <v>0.34011982527939555</v>
      </c>
      <c r="G116">
        <f t="shared" ca="1" si="5"/>
        <v>114</v>
      </c>
      <c r="H116">
        <f t="shared" ca="1" si="6"/>
        <v>38.773660081851091</v>
      </c>
      <c r="I116">
        <f t="shared" ca="1" si="7"/>
        <v>456.08633027986201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71938</v>
      </c>
      <c r="B118" s="66">
        <v>71938</v>
      </c>
      <c r="D118">
        <f t="shared" si="4"/>
        <v>0.35385841334802454</v>
      </c>
      <c r="E118">
        <f t="shared" si="4"/>
        <v>0.35385841334802454</v>
      </c>
      <c r="G118">
        <f t="shared" ca="1" si="5"/>
        <v>116</v>
      </c>
      <c r="H118">
        <f t="shared" ca="1" si="6"/>
        <v>41.047575948370849</v>
      </c>
      <c r="I118">
        <f t="shared" ca="1" si="7"/>
        <v>527.75652379712028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68414</v>
      </c>
      <c r="B121" s="66">
        <v>68414</v>
      </c>
      <c r="D121">
        <f t="shared" si="4"/>
        <v>0.3365240831103416</v>
      </c>
      <c r="E121">
        <f t="shared" si="4"/>
        <v>0.3365240831103416</v>
      </c>
      <c r="G121">
        <f t="shared" ca="1" si="5"/>
        <v>119</v>
      </c>
      <c r="H121">
        <f t="shared" ca="1" si="6"/>
        <v>40.046365890130652</v>
      </c>
      <c r="I121">
        <f t="shared" ca="1" si="7"/>
        <v>582.90975260670768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66704</v>
      </c>
      <c r="B124" s="66">
        <v>66704</v>
      </c>
      <c r="D124">
        <f t="shared" si="4"/>
        <v>0.32811270266016057</v>
      </c>
      <c r="E124">
        <f t="shared" si="4"/>
        <v>0.32811270266016057</v>
      </c>
      <c r="G124">
        <f t="shared" ca="1" si="5"/>
        <v>122</v>
      </c>
      <c r="H124">
        <f t="shared" ca="1" si="6"/>
        <v>40.029749724539592</v>
      </c>
      <c r="I124">
        <f t="shared" ca="1" si="7"/>
        <v>653.2275189353752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69517</v>
      </c>
      <c r="B126" s="66">
        <v>69517</v>
      </c>
      <c r="D126">
        <f t="shared" si="4"/>
        <v>0.3419496694475051</v>
      </c>
      <c r="E126">
        <f t="shared" si="4"/>
        <v>0.3419496694475051</v>
      </c>
      <c r="G126">
        <f t="shared" ca="1" si="5"/>
        <v>124</v>
      </c>
      <c r="H126">
        <f t="shared" ca="1" si="6"/>
        <v>42.401759011490633</v>
      </c>
      <c r="I126">
        <f t="shared" ca="1" si="7"/>
        <v>743.17275923473721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62502</v>
      </c>
      <c r="B129" s="66">
        <v>62502</v>
      </c>
      <c r="D129">
        <f t="shared" si="4"/>
        <v>0.30744333385801981</v>
      </c>
      <c r="E129">
        <f t="shared" si="4"/>
        <v>0.30744333385801981</v>
      </c>
      <c r="G129">
        <f t="shared" ca="1" si="5"/>
        <v>127</v>
      </c>
      <c r="H129">
        <f t="shared" ca="1" si="6"/>
        <v>39.045303399968518</v>
      </c>
      <c r="I129">
        <f t="shared" ca="1" si="7"/>
        <v>756.94213523825454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56295</v>
      </c>
      <c r="B131" s="66">
        <v>56295</v>
      </c>
      <c r="D131">
        <f t="shared" ref="D131:E194" si="8">IFERROR( A131/MAX(A$2:A$257), 0 )</f>
        <v>0.27691149850464347</v>
      </c>
      <c r="E131">
        <f t="shared" si="8"/>
        <v>0.27691149850464347</v>
      </c>
      <c r="G131">
        <f t="shared" ref="G131:G194" ca="1" si="9">CELL("row",D131)-2</f>
        <v>129</v>
      </c>
      <c r="H131">
        <f t="shared" ref="H131:H194" ca="1" si="10">D131*G131</f>
        <v>35.72158330709901</v>
      </c>
      <c r="I131">
        <f t="shared" ref="I131:I194" ca="1" si="11">D131*((G131-$L$1)^2)</f>
        <v>737.83913625024832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48203</v>
      </c>
      <c r="B134" s="66">
        <v>48203</v>
      </c>
      <c r="D134">
        <f t="shared" si="8"/>
        <v>0.2371074689123249</v>
      </c>
      <c r="E134">
        <f t="shared" si="8"/>
        <v>0.2371074689123249</v>
      </c>
      <c r="G134">
        <f t="shared" ca="1" si="9"/>
        <v>132</v>
      </c>
      <c r="H134">
        <f t="shared" ca="1" si="10"/>
        <v>31.298185896426887</v>
      </c>
      <c r="I134">
        <f t="shared" ca="1" si="11"/>
        <v>707.34968366688838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42299</v>
      </c>
      <c r="B136" s="66">
        <v>42299</v>
      </c>
      <c r="D136">
        <f t="shared" si="8"/>
        <v>0.20806607114748937</v>
      </c>
      <c r="E136">
        <f t="shared" si="8"/>
        <v>0.20806607114748937</v>
      </c>
      <c r="G136">
        <f t="shared" ca="1" si="9"/>
        <v>134</v>
      </c>
      <c r="H136">
        <f t="shared" ca="1" si="10"/>
        <v>27.880853533763577</v>
      </c>
      <c r="I136">
        <f t="shared" ca="1" si="11"/>
        <v>667.00186006217973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39139</v>
      </c>
      <c r="B139" s="66">
        <v>39139</v>
      </c>
      <c r="D139">
        <f t="shared" si="8"/>
        <v>0.19252223359042972</v>
      </c>
      <c r="E139">
        <f t="shared" si="8"/>
        <v>0.19252223359042972</v>
      </c>
      <c r="G139">
        <f t="shared" ca="1" si="9"/>
        <v>137</v>
      </c>
      <c r="H139">
        <f t="shared" ca="1" si="10"/>
        <v>26.375546001888871</v>
      </c>
      <c r="I139">
        <f t="shared" ca="1" si="11"/>
        <v>684.30794989750461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42178</v>
      </c>
      <c r="B142" s="66">
        <v>42178</v>
      </c>
      <c r="D142">
        <f t="shared" si="8"/>
        <v>0.20747087989926019</v>
      </c>
      <c r="E142">
        <f t="shared" si="8"/>
        <v>0.20747087989926019</v>
      </c>
      <c r="G142">
        <f t="shared" ca="1" si="9"/>
        <v>140</v>
      </c>
      <c r="H142">
        <f t="shared" ca="1" si="10"/>
        <v>29.045923185896427</v>
      </c>
      <c r="I142">
        <f t="shared" ca="1" si="11"/>
        <v>813.52454484564828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41798</v>
      </c>
      <c r="B144" s="66">
        <v>41798</v>
      </c>
      <c r="D144">
        <f t="shared" si="8"/>
        <v>0.2056016842436644</v>
      </c>
      <c r="E144">
        <f t="shared" si="8"/>
        <v>0.2056016842436644</v>
      </c>
      <c r="G144">
        <f t="shared" ca="1" si="9"/>
        <v>142</v>
      </c>
      <c r="H144">
        <f t="shared" ca="1" si="10"/>
        <v>29.195439162600344</v>
      </c>
      <c r="I144">
        <f t="shared" ca="1" si="11"/>
        <v>858.51591603493864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35834</v>
      </c>
      <c r="B147" s="66">
        <v>35834</v>
      </c>
      <c r="D147">
        <f t="shared" si="8"/>
        <v>0.1762651503226822</v>
      </c>
      <c r="E147">
        <f t="shared" si="8"/>
        <v>0.1762651503226822</v>
      </c>
      <c r="G147">
        <f t="shared" ca="1" si="9"/>
        <v>145</v>
      </c>
      <c r="H147">
        <f t="shared" ca="1" si="10"/>
        <v>25.558446796788918</v>
      </c>
      <c r="I147">
        <f t="shared" ca="1" si="11"/>
        <v>805.94444550941148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28438</v>
      </c>
      <c r="B149" s="66">
        <v>28438</v>
      </c>
      <c r="D149">
        <f t="shared" si="8"/>
        <v>0.13988470014166535</v>
      </c>
      <c r="E149">
        <f t="shared" si="8"/>
        <v>0.13988470014166535</v>
      </c>
      <c r="G149">
        <f t="shared" ca="1" si="9"/>
        <v>147</v>
      </c>
      <c r="H149">
        <f t="shared" ca="1" si="10"/>
        <v>20.563050920824807</v>
      </c>
      <c r="I149">
        <f t="shared" ca="1" si="11"/>
        <v>677.99565035030389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25753</v>
      </c>
      <c r="B152" s="66">
        <v>25753</v>
      </c>
      <c r="D152">
        <f t="shared" si="8"/>
        <v>0.12667735715410042</v>
      </c>
      <c r="E152">
        <f t="shared" si="8"/>
        <v>0.12667735715410042</v>
      </c>
      <c r="G152">
        <f t="shared" ca="1" si="9"/>
        <v>150</v>
      </c>
      <c r="H152">
        <f t="shared" ca="1" si="10"/>
        <v>19.001603573115062</v>
      </c>
      <c r="I152">
        <f t="shared" ca="1" si="11"/>
        <v>668.03713627618924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25937</v>
      </c>
      <c r="B154" s="66">
        <v>25937</v>
      </c>
      <c r="D154">
        <f t="shared" si="8"/>
        <v>0.12758244136628363</v>
      </c>
      <c r="E154">
        <f t="shared" si="8"/>
        <v>0.12758244136628363</v>
      </c>
      <c r="G154">
        <f t="shared" ca="1" si="9"/>
        <v>152</v>
      </c>
      <c r="H154">
        <f t="shared" ca="1" si="10"/>
        <v>19.392531087675113</v>
      </c>
      <c r="I154">
        <f t="shared" ca="1" si="11"/>
        <v>710.38014033164029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24470</v>
      </c>
      <c r="B157" s="66">
        <v>24470</v>
      </c>
      <c r="D157">
        <f t="shared" si="8"/>
        <v>0.12036636234849678</v>
      </c>
      <c r="E157">
        <f t="shared" si="8"/>
        <v>0.12036636234849678</v>
      </c>
      <c r="G157">
        <f t="shared" ca="1" si="9"/>
        <v>155</v>
      </c>
      <c r="H157">
        <f t="shared" ca="1" si="10"/>
        <v>18.656786164016999</v>
      </c>
      <c r="I157">
        <f t="shared" ca="1" si="11"/>
        <v>725.17401797167565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20315</v>
      </c>
      <c r="B160" s="66">
        <v>20315</v>
      </c>
      <c r="D160">
        <f t="shared" si="8"/>
        <v>9.9928183535337639E-2</v>
      </c>
      <c r="E160">
        <f t="shared" si="8"/>
        <v>9.9928183535337639E-2</v>
      </c>
      <c r="G160">
        <f t="shared" ca="1" si="9"/>
        <v>158</v>
      </c>
      <c r="H160">
        <f t="shared" ca="1" si="10"/>
        <v>15.788652998583347</v>
      </c>
      <c r="I160">
        <f t="shared" ca="1" si="11"/>
        <v>649.47700954403331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19497</v>
      </c>
      <c r="B162" s="66">
        <v>19497</v>
      </c>
      <c r="D162">
        <f t="shared" si="8"/>
        <v>9.5904493939870925E-2</v>
      </c>
      <c r="E162">
        <f t="shared" si="8"/>
        <v>9.5904493939870925E-2</v>
      </c>
      <c r="G162">
        <f t="shared" ca="1" si="9"/>
        <v>160</v>
      </c>
      <c r="H162">
        <f t="shared" ca="1" si="10"/>
        <v>15.344719030379348</v>
      </c>
      <c r="I162">
        <f t="shared" ca="1" si="11"/>
        <v>654.63583974715493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15983</v>
      </c>
      <c r="B165" s="66">
        <v>15983</v>
      </c>
      <c r="D165">
        <f t="shared" si="8"/>
        <v>7.861935306154573E-2</v>
      </c>
      <c r="E165">
        <f t="shared" si="8"/>
        <v>7.861935306154573E-2</v>
      </c>
      <c r="G165">
        <f t="shared" ca="1" si="9"/>
        <v>163</v>
      </c>
      <c r="H165">
        <f t="shared" ca="1" si="10"/>
        <v>12.814954549031954</v>
      </c>
      <c r="I165">
        <f t="shared" ca="1" si="11"/>
        <v>576.32928336624582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13013</v>
      </c>
      <c r="B167" s="66">
        <v>13013</v>
      </c>
      <c r="D167">
        <f t="shared" si="8"/>
        <v>6.4010113332283958E-2</v>
      </c>
      <c r="E167">
        <f t="shared" si="8"/>
        <v>6.4010113332283958E-2</v>
      </c>
      <c r="G167">
        <f t="shared" ca="1" si="9"/>
        <v>165</v>
      </c>
      <c r="H167">
        <f t="shared" ca="1" si="10"/>
        <v>10.561668699826853</v>
      </c>
      <c r="I167">
        <f t="shared" ca="1" si="11"/>
        <v>491.41236301042289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12332</v>
      </c>
      <c r="B170" s="66">
        <v>12332</v>
      </c>
      <c r="D170">
        <f t="shared" si="8"/>
        <v>6.0660317960018889E-2</v>
      </c>
      <c r="E170">
        <f t="shared" si="8"/>
        <v>6.0660317960018889E-2</v>
      </c>
      <c r="G170">
        <f t="shared" ca="1" si="9"/>
        <v>168</v>
      </c>
      <c r="H170">
        <f t="shared" ca="1" si="10"/>
        <v>10.190933417283173</v>
      </c>
      <c r="I170">
        <f t="shared" ca="1" si="11"/>
        <v>498.13158632590552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10507</v>
      </c>
      <c r="B173" s="66">
        <v>10507</v>
      </c>
      <c r="D173">
        <f t="shared" si="8"/>
        <v>5.1683259877223359E-2</v>
      </c>
      <c r="E173">
        <f t="shared" si="8"/>
        <v>5.1683259877223359E-2</v>
      </c>
      <c r="G173">
        <f t="shared" ca="1" si="9"/>
        <v>171</v>
      </c>
      <c r="H173">
        <f t="shared" ca="1" si="10"/>
        <v>8.8378374390051935</v>
      </c>
      <c r="I173">
        <f t="shared" ca="1" si="11"/>
        <v>452.97969443477558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8406</v>
      </c>
      <c r="B175" s="66">
        <v>8406</v>
      </c>
      <c r="D175">
        <f t="shared" si="8"/>
        <v>4.1348575476152997E-2</v>
      </c>
      <c r="E175">
        <f t="shared" si="8"/>
        <v>4.1348575476152997E-2</v>
      </c>
      <c r="G175">
        <f t="shared" ca="1" si="9"/>
        <v>173</v>
      </c>
      <c r="H175">
        <f t="shared" ca="1" si="10"/>
        <v>7.1533035573744685</v>
      </c>
      <c r="I175">
        <f t="shared" ca="1" si="11"/>
        <v>378.05045884969115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7655</v>
      </c>
      <c r="B178" s="66">
        <v>7655</v>
      </c>
      <c r="D178">
        <f t="shared" si="8"/>
        <v>3.7654454588383443E-2</v>
      </c>
      <c r="E178">
        <f t="shared" si="8"/>
        <v>3.7654454588383443E-2</v>
      </c>
      <c r="G178">
        <f t="shared" ca="1" si="9"/>
        <v>176</v>
      </c>
      <c r="H178">
        <f t="shared" ca="1" si="10"/>
        <v>6.6271840075554858</v>
      </c>
      <c r="I178">
        <f t="shared" ca="1" si="11"/>
        <v>366.21687117369061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6859</v>
      </c>
      <c r="B180" s="66">
        <v>6859</v>
      </c>
      <c r="D180">
        <f t="shared" si="8"/>
        <v>3.3738981583503858E-2</v>
      </c>
      <c r="E180">
        <f t="shared" si="8"/>
        <v>3.3738981583503858E-2</v>
      </c>
      <c r="G180">
        <f t="shared" ca="1" si="9"/>
        <v>178</v>
      </c>
      <c r="H180">
        <f t="shared" ca="1" si="10"/>
        <v>6.0055387218636866</v>
      </c>
      <c r="I180">
        <f t="shared" ca="1" si="11"/>
        <v>341.58024404418325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5301</v>
      </c>
      <c r="B183" s="66">
        <v>5301</v>
      </c>
      <c r="D183">
        <f t="shared" si="8"/>
        <v>2.6075279395561153E-2</v>
      </c>
      <c r="E183">
        <f t="shared" si="8"/>
        <v>2.6075279395561153E-2</v>
      </c>
      <c r="G183">
        <f t="shared" ca="1" si="9"/>
        <v>181</v>
      </c>
      <c r="H183">
        <f t="shared" ca="1" si="10"/>
        <v>4.7196255705965688</v>
      </c>
      <c r="I183">
        <f t="shared" ca="1" si="11"/>
        <v>279.96808265306203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4806</v>
      </c>
      <c r="B185" s="66">
        <v>4806</v>
      </c>
      <c r="D185">
        <f t="shared" si="8"/>
        <v>2.3640406107350857E-2</v>
      </c>
      <c r="E185">
        <f t="shared" si="8"/>
        <v>2.3640406107350857E-2</v>
      </c>
      <c r="G185">
        <f t="shared" ca="1" si="9"/>
        <v>183</v>
      </c>
      <c r="H185">
        <f t="shared" ca="1" si="10"/>
        <v>4.3261943176452071</v>
      </c>
      <c r="I185">
        <f t="shared" ca="1" si="11"/>
        <v>263.71800401290432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3561</v>
      </c>
      <c r="B188" s="66">
        <v>3561</v>
      </c>
      <c r="D188">
        <f t="shared" si="8"/>
        <v>1.7516330867306786E-2</v>
      </c>
      <c r="E188">
        <f t="shared" si="8"/>
        <v>1.7516330867306786E-2</v>
      </c>
      <c r="G188">
        <f t="shared" ca="1" si="9"/>
        <v>186</v>
      </c>
      <c r="H188">
        <f t="shared" ca="1" si="10"/>
        <v>3.2580375413190623</v>
      </c>
      <c r="I188">
        <f t="shared" ca="1" si="11"/>
        <v>206.65954289336412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2840</v>
      </c>
      <c r="B191" s="66">
        <v>2840</v>
      </c>
      <c r="D191">
        <f t="shared" si="8"/>
        <v>1.3969778057610578E-2</v>
      </c>
      <c r="E191">
        <f t="shared" si="8"/>
        <v>1.3969778057610578E-2</v>
      </c>
      <c r="G191">
        <f t="shared" ca="1" si="9"/>
        <v>189</v>
      </c>
      <c r="H191">
        <f t="shared" ca="1" si="10"/>
        <v>2.6402880528883994</v>
      </c>
      <c r="I191">
        <f t="shared" ca="1" si="11"/>
        <v>174.04696948568341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2445</v>
      </c>
      <c r="B193" s="66">
        <v>2445</v>
      </c>
      <c r="D193">
        <f t="shared" si="8"/>
        <v>1.202679836297812E-2</v>
      </c>
      <c r="E193">
        <f t="shared" si="8"/>
        <v>1.202679836297812E-2</v>
      </c>
      <c r="G193">
        <f t="shared" ca="1" si="9"/>
        <v>191</v>
      </c>
      <c r="H193">
        <f t="shared" ca="1" si="10"/>
        <v>2.2971184873288211</v>
      </c>
      <c r="I193">
        <f t="shared" ca="1" si="11"/>
        <v>155.25752090826145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1843</v>
      </c>
      <c r="B196" s="66">
        <v>1843</v>
      </c>
      <c r="D196">
        <f t="shared" si="12"/>
        <v>9.0655989296395401E-3</v>
      </c>
      <c r="E196">
        <f t="shared" si="12"/>
        <v>9.0655989296395401E-3</v>
      </c>
      <c r="G196">
        <f t="shared" ca="1" si="13"/>
        <v>194</v>
      </c>
      <c r="H196">
        <f t="shared" ca="1" si="14"/>
        <v>1.7587261923500708</v>
      </c>
      <c r="I196">
        <f t="shared" ca="1" si="15"/>
        <v>123.29225678497845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1168</v>
      </c>
      <c r="B198" s="66">
        <v>1168</v>
      </c>
      <c r="D198">
        <f t="shared" si="12"/>
        <v>5.7453171729891393E-3</v>
      </c>
      <c r="E198">
        <f t="shared" si="12"/>
        <v>5.7453171729891393E-3</v>
      </c>
      <c r="G198">
        <f t="shared" ca="1" si="13"/>
        <v>196</v>
      </c>
      <c r="H198">
        <f t="shared" ca="1" si="14"/>
        <v>1.1260821659058713</v>
      </c>
      <c r="I198">
        <f t="shared" ca="1" si="15"/>
        <v>80.839420038834348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202</v>
      </c>
      <c r="B201" s="66">
        <v>202</v>
      </c>
      <c r="D201">
        <f t="shared" si="12"/>
        <v>9.9362505902723117E-4</v>
      </c>
      <c r="E201">
        <f t="shared" si="12"/>
        <v>9.9362505902723117E-4</v>
      </c>
      <c r="G201">
        <f t="shared" ca="1" si="13"/>
        <v>199</v>
      </c>
      <c r="H201">
        <f t="shared" ca="1" si="14"/>
        <v>0.19773138674641899</v>
      </c>
      <c r="I201">
        <f t="shared" ca="1" si="15"/>
        <v>14.696910140112093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403</v>
      </c>
      <c r="B1" s="66" t="s">
        <v>404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76.648789919879135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1.4798957599193414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0.71812345078491879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2229</v>
      </c>
      <c r="B8" s="66">
        <v>2229</v>
      </c>
      <c r="D8">
        <f t="shared" si="0"/>
        <v>2.506944991171145</v>
      </c>
      <c r="E8">
        <f t="shared" si="1"/>
        <v>2.506944991171145</v>
      </c>
      <c r="G8">
        <f t="shared" ca="1" si="2"/>
        <v>6</v>
      </c>
      <c r="H8">
        <f t="shared" ca="1" si="3"/>
        <v>15.04166994702687</v>
      </c>
      <c r="I8">
        <f t="shared" ca="1" si="4"/>
        <v>12512.792990577564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3769</v>
      </c>
      <c r="B10" s="66">
        <v>3769</v>
      </c>
      <c r="D10">
        <f t="shared" si="0"/>
        <v>4.2389751779829723</v>
      </c>
      <c r="E10">
        <f t="shared" si="1"/>
        <v>4.2389751779829723</v>
      </c>
      <c r="G10">
        <f t="shared" ca="1" si="2"/>
        <v>8</v>
      </c>
      <c r="H10">
        <f t="shared" ca="1" si="3"/>
        <v>33.911801423863778</v>
      </c>
      <c r="I10">
        <f t="shared" ca="1" si="4"/>
        <v>19976.83332165227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12330</v>
      </c>
      <c r="B13" s="66">
        <v>12330</v>
      </c>
      <c r="D13">
        <f t="shared" si="0"/>
        <v>13.86748844375963</v>
      </c>
      <c r="E13">
        <f t="shared" si="1"/>
        <v>13.86748844375963</v>
      </c>
      <c r="G13">
        <f t="shared" ca="1" si="2"/>
        <v>11</v>
      </c>
      <c r="H13">
        <f t="shared" ca="1" si="3"/>
        <v>152.54237288135593</v>
      </c>
      <c r="I13">
        <f t="shared" ca="1" si="4"/>
        <v>59765.59716718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15328</v>
      </c>
      <c r="B15" s="66">
        <v>15328</v>
      </c>
      <c r="D15">
        <f t="shared" si="0"/>
        <v>17.239323833410186</v>
      </c>
      <c r="E15">
        <f t="shared" si="1"/>
        <v>17.239323833410186</v>
      </c>
      <c r="G15">
        <f t="shared" ca="1" si="2"/>
        <v>13</v>
      </c>
      <c r="H15">
        <f t="shared" ca="1" si="3"/>
        <v>224.11120983433241</v>
      </c>
      <c r="I15">
        <f t="shared" ca="1" si="4"/>
        <v>69839.404955725826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17278</v>
      </c>
      <c r="B18" s="66">
        <v>17278</v>
      </c>
      <c r="D18">
        <f t="shared" si="0"/>
        <v>19.432478940087503</v>
      </c>
      <c r="E18">
        <f t="shared" si="1"/>
        <v>19.432478940087503</v>
      </c>
      <c r="G18">
        <f t="shared" ca="1" si="2"/>
        <v>16</v>
      </c>
      <c r="H18">
        <f t="shared" ca="1" si="3"/>
        <v>310.91966304140004</v>
      </c>
      <c r="I18">
        <f t="shared" ca="1" si="4"/>
        <v>71478.015440359741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21925</v>
      </c>
      <c r="B21" s="66">
        <v>21925</v>
      </c>
      <c r="D21">
        <f t="shared" si="0"/>
        <v>24.658936263538514</v>
      </c>
      <c r="E21">
        <f t="shared" si="1"/>
        <v>24.658936263538514</v>
      </c>
      <c r="G21">
        <f t="shared" ca="1" si="2"/>
        <v>19</v>
      </c>
      <c r="H21">
        <f t="shared" ca="1" si="3"/>
        <v>468.51978900723179</v>
      </c>
      <c r="I21">
        <f t="shared" ca="1" si="4"/>
        <v>81951.089064071508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27651</v>
      </c>
      <c r="B23" s="66">
        <v>27651</v>
      </c>
      <c r="D23">
        <f t="shared" si="0"/>
        <v>31.09893941268431</v>
      </c>
      <c r="E23">
        <f t="shared" si="1"/>
        <v>31.09893941268431</v>
      </c>
      <c r="G23">
        <f t="shared" ca="1" si="2"/>
        <v>21</v>
      </c>
      <c r="H23">
        <f t="shared" ca="1" si="3"/>
        <v>653.07772766637049</v>
      </c>
      <c r="I23">
        <f t="shared" ca="1" si="4"/>
        <v>96306.816774025981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34511</v>
      </c>
      <c r="B26" s="66">
        <v>34511</v>
      </c>
      <c r="D26">
        <f t="shared" si="0"/>
        <v>38.814346608482452</v>
      </c>
      <c r="E26">
        <f t="shared" si="1"/>
        <v>38.814346608482452</v>
      </c>
      <c r="G26">
        <f t="shared" ca="1" si="2"/>
        <v>24</v>
      </c>
      <c r="H26">
        <f t="shared" ca="1" si="3"/>
        <v>931.54431860357886</v>
      </c>
      <c r="I26">
        <f t="shared" ca="1" si="4"/>
        <v>107589.29639853719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42659</v>
      </c>
      <c r="B28" s="66">
        <v>42659</v>
      </c>
      <c r="D28">
        <f t="shared" si="0"/>
        <v>47.978360869614114</v>
      </c>
      <c r="E28">
        <f t="shared" si="1"/>
        <v>47.978360869614114</v>
      </c>
      <c r="G28">
        <f t="shared" ca="1" si="2"/>
        <v>26</v>
      </c>
      <c r="H28">
        <f t="shared" ca="1" si="3"/>
        <v>1247.437382609967</v>
      </c>
      <c r="I28">
        <f t="shared" ca="1" si="4"/>
        <v>123078.8853172511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47254</v>
      </c>
      <c r="B31" s="66">
        <v>47254</v>
      </c>
      <c r="D31">
        <f t="shared" si="0"/>
        <v>53.146334056887071</v>
      </c>
      <c r="E31">
        <f t="shared" si="1"/>
        <v>53.146334056887071</v>
      </c>
      <c r="G31">
        <f t="shared" ca="1" si="2"/>
        <v>29</v>
      </c>
      <c r="H31">
        <f t="shared" ca="1" si="3"/>
        <v>1541.243687649725</v>
      </c>
      <c r="I31">
        <f t="shared" ca="1" si="4"/>
        <v>120663.81847748131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54497</v>
      </c>
      <c r="B33" s="66">
        <v>54497</v>
      </c>
      <c r="D33">
        <f t="shared" si="0"/>
        <v>61.292499409535161</v>
      </c>
      <c r="E33">
        <f t="shared" si="1"/>
        <v>61.292499409535161</v>
      </c>
      <c r="G33">
        <f t="shared" ca="1" si="2"/>
        <v>31</v>
      </c>
      <c r="H33">
        <f t="shared" ca="1" si="3"/>
        <v>1900.06748169559</v>
      </c>
      <c r="I33">
        <f t="shared" ca="1" si="4"/>
        <v>127722.04707587324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60361</v>
      </c>
      <c r="B36" s="66">
        <v>60361</v>
      </c>
      <c r="D36">
        <f t="shared" si="0"/>
        <v>67.887710458538123</v>
      </c>
      <c r="E36">
        <f t="shared" si="1"/>
        <v>67.887710458538123</v>
      </c>
      <c r="G36">
        <f t="shared" ca="1" si="2"/>
        <v>34</v>
      </c>
      <c r="H36">
        <f t="shared" ca="1" si="3"/>
        <v>2308.1821555902961</v>
      </c>
      <c r="I36">
        <f t="shared" ca="1" si="4"/>
        <v>123482.26553874853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65636</v>
      </c>
      <c r="B39" s="66">
        <v>65636</v>
      </c>
      <c r="D39">
        <f t="shared" si="0"/>
        <v>73.820476195831887</v>
      </c>
      <c r="E39">
        <f t="shared" si="1"/>
        <v>73.820476195831887</v>
      </c>
      <c r="G39">
        <f t="shared" ca="1" si="2"/>
        <v>37</v>
      </c>
      <c r="H39">
        <f t="shared" ca="1" si="3"/>
        <v>2731.3576192457799</v>
      </c>
      <c r="I39">
        <f t="shared" ca="1" si="4"/>
        <v>116047.74793109954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56242</v>
      </c>
      <c r="B41" s="66">
        <v>56242</v>
      </c>
      <c r="D41">
        <f t="shared" si="0"/>
        <v>63.255092056279736</v>
      </c>
      <c r="E41">
        <f t="shared" si="1"/>
        <v>63.255092056279736</v>
      </c>
      <c r="G41">
        <f t="shared" ca="1" si="2"/>
        <v>39</v>
      </c>
      <c r="H41">
        <f t="shared" ca="1" si="3"/>
        <v>2466.9485901949097</v>
      </c>
      <c r="I41">
        <f t="shared" ca="1" si="4"/>
        <v>89659.752579144944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65800</v>
      </c>
      <c r="B44" s="66">
        <v>65800</v>
      </c>
      <c r="D44">
        <f t="shared" si="0"/>
        <v>74.00492616377808</v>
      </c>
      <c r="E44">
        <f t="shared" si="1"/>
        <v>74.00492616377808</v>
      </c>
      <c r="G44">
        <f t="shared" ca="1" si="2"/>
        <v>42</v>
      </c>
      <c r="H44">
        <f t="shared" ca="1" si="3"/>
        <v>3108.2068988786796</v>
      </c>
      <c r="I44">
        <f t="shared" ca="1" si="4"/>
        <v>88845.773625458838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66514</v>
      </c>
      <c r="B46" s="66">
        <v>66514</v>
      </c>
      <c r="D46">
        <f t="shared" si="0"/>
        <v>74.807958341299923</v>
      </c>
      <c r="E46">
        <f t="shared" si="1"/>
        <v>74.807958341299923</v>
      </c>
      <c r="G46">
        <f t="shared" ca="1" si="2"/>
        <v>44</v>
      </c>
      <c r="H46">
        <f t="shared" ca="1" si="3"/>
        <v>3291.5501670171966</v>
      </c>
      <c r="I46">
        <f t="shared" ca="1" si="4"/>
        <v>79741.055687829619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70460</v>
      </c>
      <c r="B49" s="66">
        <v>70460</v>
      </c>
      <c r="D49">
        <f t="shared" si="0"/>
        <v>79.246004521273605</v>
      </c>
      <c r="E49">
        <f t="shared" si="1"/>
        <v>79.246004521273605</v>
      </c>
      <c r="G49">
        <f t="shared" ca="1" si="2"/>
        <v>47</v>
      </c>
      <c r="H49">
        <f t="shared" ca="1" si="3"/>
        <v>3724.5622124998595</v>
      </c>
      <c r="I49">
        <f t="shared" ca="1" si="4"/>
        <v>69661.259210719363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71485</v>
      </c>
      <c r="B51" s="66">
        <v>71485</v>
      </c>
      <c r="D51">
        <f t="shared" si="0"/>
        <v>80.398816820937327</v>
      </c>
      <c r="E51">
        <f t="shared" si="1"/>
        <v>80.398816820937327</v>
      </c>
      <c r="G51">
        <f t="shared" ca="1" si="2"/>
        <v>49</v>
      </c>
      <c r="H51">
        <f t="shared" ca="1" si="3"/>
        <v>3939.5420242259288</v>
      </c>
      <c r="I51">
        <f t="shared" ca="1" si="4"/>
        <v>61461.32446846088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88349</v>
      </c>
      <c r="B54" s="66">
        <v>88349</v>
      </c>
      <c r="D54">
        <f t="shared" si="0"/>
        <v>99.365672061453324</v>
      </c>
      <c r="E54">
        <f t="shared" si="1"/>
        <v>99.365672061453324</v>
      </c>
      <c r="G54">
        <f t="shared" ca="1" si="2"/>
        <v>52</v>
      </c>
      <c r="H54">
        <f t="shared" ca="1" si="3"/>
        <v>5167.0149471955729</v>
      </c>
      <c r="I54">
        <f t="shared" ca="1" si="4"/>
        <v>60370.890364735198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80762</v>
      </c>
      <c r="B57" s="66">
        <v>80762</v>
      </c>
      <c r="D57">
        <f t="shared" si="0"/>
        <v>90.832611654088822</v>
      </c>
      <c r="E57">
        <f t="shared" si="1"/>
        <v>90.832611654088822</v>
      </c>
      <c r="G57">
        <f t="shared" ca="1" si="2"/>
        <v>55</v>
      </c>
      <c r="H57">
        <f t="shared" ca="1" si="3"/>
        <v>4995.7936409748854</v>
      </c>
      <c r="I57">
        <f t="shared" ca="1" si="4"/>
        <v>42570.529640897359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80310</v>
      </c>
      <c r="B59" s="66">
        <v>80310</v>
      </c>
      <c r="D59">
        <f t="shared" si="0"/>
        <v>90.324249547310288</v>
      </c>
      <c r="E59">
        <f t="shared" si="1"/>
        <v>90.324249547310288</v>
      </c>
      <c r="G59">
        <f t="shared" ca="1" si="2"/>
        <v>57</v>
      </c>
      <c r="H59">
        <f t="shared" ca="1" si="3"/>
        <v>5148.4822241966867</v>
      </c>
      <c r="I59">
        <f t="shared" ca="1" si="4"/>
        <v>34871.929704645365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77127</v>
      </c>
      <c r="B62" s="66">
        <v>77127</v>
      </c>
      <c r="D62">
        <f t="shared" si="0"/>
        <v>86.74434559625702</v>
      </c>
      <c r="E62">
        <f t="shared" si="1"/>
        <v>86.74434559625702</v>
      </c>
      <c r="G62">
        <f t="shared" ca="1" si="2"/>
        <v>60</v>
      </c>
      <c r="H62">
        <f t="shared" ca="1" si="3"/>
        <v>5204.660735775421</v>
      </c>
      <c r="I62">
        <f t="shared" ca="1" si="4"/>
        <v>24043.989052724402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74748</v>
      </c>
      <c r="B64" s="66">
        <v>74748</v>
      </c>
      <c r="D64">
        <f t="shared" si="0"/>
        <v>84.068696366110686</v>
      </c>
      <c r="E64">
        <f t="shared" si="1"/>
        <v>84.068696366110686</v>
      </c>
      <c r="G64">
        <f t="shared" ca="1" si="2"/>
        <v>62</v>
      </c>
      <c r="H64">
        <f t="shared" ca="1" si="3"/>
        <v>5212.2591746988628</v>
      </c>
      <c r="I64">
        <f t="shared" ca="1" si="4"/>
        <v>18040.053224089861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76282</v>
      </c>
      <c r="B67" s="66">
        <v>76282</v>
      </c>
      <c r="D67">
        <f t="shared" ref="D67:D130" si="5">IFERROR( 100*A67/MAX(A$2:A$257), 0 )</f>
        <v>85.793978383363509</v>
      </c>
      <c r="E67">
        <f t="shared" ref="E67:E130" si="6">IFERROR( 100*B67/MAX(B$2:B$257), 0 )</f>
        <v>85.793978383363509</v>
      </c>
      <c r="G67">
        <f t="shared" ref="G67:G130" ca="1" si="7">CELL("row",D67)-2</f>
        <v>65</v>
      </c>
      <c r="H67">
        <f t="shared" ref="H67:H130" ca="1" si="8">D67*G67</f>
        <v>5576.6085949186281</v>
      </c>
      <c r="I67">
        <f t="shared" ref="I67:I130" ca="1" si="9">D67*((G67-$L$1)^2)</f>
        <v>11641.754406969507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88913</v>
      </c>
      <c r="B69" s="66">
        <v>88913</v>
      </c>
      <c r="D69">
        <f t="shared" si="5"/>
        <v>100</v>
      </c>
      <c r="E69">
        <f t="shared" si="6"/>
        <v>100</v>
      </c>
      <c r="G69">
        <f t="shared" ca="1" si="7"/>
        <v>67</v>
      </c>
      <c r="H69">
        <f t="shared" ca="1" si="8"/>
        <v>6700</v>
      </c>
      <c r="I69">
        <f t="shared" ca="1" si="9"/>
        <v>9309.9146917961207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81302</v>
      </c>
      <c r="B72" s="66">
        <v>81302</v>
      </c>
      <c r="D72">
        <f t="shared" si="5"/>
        <v>91.439946914399471</v>
      </c>
      <c r="E72">
        <f t="shared" si="6"/>
        <v>91.439946914399471</v>
      </c>
      <c r="G72">
        <f t="shared" ca="1" si="7"/>
        <v>70</v>
      </c>
      <c r="H72">
        <f t="shared" ca="1" si="8"/>
        <v>6400.7962840079626</v>
      </c>
      <c r="I72">
        <f t="shared" ca="1" si="9"/>
        <v>4042.2315458122007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85240</v>
      </c>
      <c r="B75" s="66">
        <v>85240</v>
      </c>
      <c r="D75">
        <f t="shared" si="5"/>
        <v>95.868995534961144</v>
      </c>
      <c r="E75">
        <f t="shared" si="6"/>
        <v>95.868995534961144</v>
      </c>
      <c r="G75">
        <f t="shared" ca="1" si="7"/>
        <v>73</v>
      </c>
      <c r="H75">
        <f t="shared" ca="1" si="8"/>
        <v>6998.4366740521637</v>
      </c>
      <c r="I75">
        <f t="shared" ca="1" si="9"/>
        <v>1276.367966485265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83433</v>
      </c>
      <c r="B77" s="66">
        <v>83433</v>
      </c>
      <c r="D77">
        <f t="shared" si="5"/>
        <v>93.836671802773495</v>
      </c>
      <c r="E77">
        <f t="shared" si="6"/>
        <v>93.836671802773495</v>
      </c>
      <c r="G77">
        <f t="shared" ca="1" si="7"/>
        <v>75</v>
      </c>
      <c r="H77">
        <f t="shared" ca="1" si="8"/>
        <v>7037.7503852080117</v>
      </c>
      <c r="I77">
        <f t="shared" ca="1" si="9"/>
        <v>255.09576174669996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71222</v>
      </c>
      <c r="B80" s="66">
        <v>71222</v>
      </c>
      <c r="D80">
        <f t="shared" si="5"/>
        <v>80.103022055267502</v>
      </c>
      <c r="E80">
        <f t="shared" si="6"/>
        <v>80.103022055267502</v>
      </c>
      <c r="G80">
        <f t="shared" ca="1" si="7"/>
        <v>78</v>
      </c>
      <c r="H80">
        <f t="shared" ca="1" si="8"/>
        <v>6248.0357203108651</v>
      </c>
      <c r="I80">
        <f t="shared" ca="1" si="9"/>
        <v>146.24958889153919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70413</v>
      </c>
      <c r="B82" s="66">
        <v>70413</v>
      </c>
      <c r="D82">
        <f t="shared" si="5"/>
        <v>79.193143859728053</v>
      </c>
      <c r="E82">
        <f t="shared" si="6"/>
        <v>79.193143859728053</v>
      </c>
      <c r="G82">
        <f t="shared" ca="1" si="7"/>
        <v>80</v>
      </c>
      <c r="H82">
        <f t="shared" ca="1" si="8"/>
        <v>6335.4515087782438</v>
      </c>
      <c r="I82">
        <f t="shared" ca="1" si="9"/>
        <v>889.38723425676153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69172</v>
      </c>
      <c r="B85" s="66">
        <v>69172</v>
      </c>
      <c r="D85">
        <f t="shared" si="5"/>
        <v>77.797397455940072</v>
      </c>
      <c r="E85">
        <f t="shared" si="6"/>
        <v>77.797397455940072</v>
      </c>
      <c r="G85">
        <f t="shared" ca="1" si="7"/>
        <v>83</v>
      </c>
      <c r="H85">
        <f t="shared" ca="1" si="8"/>
        <v>6457.1839888430259</v>
      </c>
      <c r="I85">
        <f t="shared" ca="1" si="9"/>
        <v>3138.1812646036769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63502</v>
      </c>
      <c r="B88" s="66">
        <v>63502</v>
      </c>
      <c r="D88">
        <f t="shared" si="5"/>
        <v>71.420377222678354</v>
      </c>
      <c r="E88">
        <f t="shared" si="6"/>
        <v>71.420377222678354</v>
      </c>
      <c r="G88">
        <f t="shared" ca="1" si="7"/>
        <v>86</v>
      </c>
      <c r="H88">
        <f t="shared" ca="1" si="8"/>
        <v>6142.1524411503387</v>
      </c>
      <c r="I88">
        <f t="shared" ca="1" si="9"/>
        <v>6245.364168211745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56102</v>
      </c>
      <c r="B90" s="66">
        <v>56102</v>
      </c>
      <c r="D90">
        <f t="shared" si="5"/>
        <v>63.09763476656957</v>
      </c>
      <c r="E90">
        <f t="shared" si="6"/>
        <v>63.09763476656957</v>
      </c>
      <c r="G90">
        <f t="shared" ca="1" si="7"/>
        <v>88</v>
      </c>
      <c r="H90">
        <f t="shared" ca="1" si="8"/>
        <v>5552.5918594581217</v>
      </c>
      <c r="I90">
        <f t="shared" ca="1" si="9"/>
        <v>8130.128364602444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58727</v>
      </c>
      <c r="B93" s="66">
        <v>58727</v>
      </c>
      <c r="D93">
        <f t="shared" si="5"/>
        <v>66.049958948635179</v>
      </c>
      <c r="E93">
        <f t="shared" si="6"/>
        <v>66.049958948635179</v>
      </c>
      <c r="G93">
        <f t="shared" ca="1" si="7"/>
        <v>91</v>
      </c>
      <c r="H93">
        <f t="shared" ca="1" si="8"/>
        <v>6010.5462643258015</v>
      </c>
      <c r="I93">
        <f t="shared" ca="1" si="9"/>
        <v>13603.46663712111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47991</v>
      </c>
      <c r="B95" s="66">
        <v>47991</v>
      </c>
      <c r="D95">
        <f t="shared" si="5"/>
        <v>53.975234217718445</v>
      </c>
      <c r="E95">
        <f t="shared" si="6"/>
        <v>53.975234217718445</v>
      </c>
      <c r="G95">
        <f t="shared" ca="1" si="7"/>
        <v>93</v>
      </c>
      <c r="H95">
        <f t="shared" ca="1" si="8"/>
        <v>5019.6967822478155</v>
      </c>
      <c r="I95">
        <f t="shared" ca="1" si="9"/>
        <v>14430.930407706475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41342</v>
      </c>
      <c r="B98" s="66">
        <v>41342</v>
      </c>
      <c r="D98">
        <f t="shared" si="5"/>
        <v>46.497137651412054</v>
      </c>
      <c r="E98">
        <f t="shared" si="6"/>
        <v>46.497137651412054</v>
      </c>
      <c r="G98">
        <f t="shared" ca="1" si="7"/>
        <v>96</v>
      </c>
      <c r="H98">
        <f t="shared" ca="1" si="8"/>
        <v>4463.7252145355569</v>
      </c>
      <c r="I98">
        <f t="shared" ca="1" si="9"/>
        <v>17411.752056008732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42665</v>
      </c>
      <c r="B100" s="66">
        <v>42665</v>
      </c>
      <c r="D100">
        <f t="shared" si="5"/>
        <v>47.985109039173125</v>
      </c>
      <c r="E100">
        <f t="shared" si="6"/>
        <v>47.985109039173125</v>
      </c>
      <c r="G100">
        <f t="shared" ca="1" si="7"/>
        <v>98</v>
      </c>
      <c r="H100">
        <f t="shared" ca="1" si="8"/>
        <v>4702.5406858389661</v>
      </c>
      <c r="I100">
        <f t="shared" ca="1" si="9"/>
        <v>21875.1718460663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40335</v>
      </c>
      <c r="B103" s="66">
        <v>40335</v>
      </c>
      <c r="D103">
        <f t="shared" si="5"/>
        <v>45.364569860425362</v>
      </c>
      <c r="E103">
        <f t="shared" si="6"/>
        <v>45.364569860425362</v>
      </c>
      <c r="G103">
        <f t="shared" ca="1" si="7"/>
        <v>101</v>
      </c>
      <c r="H103">
        <f t="shared" ca="1" si="8"/>
        <v>4581.8215559029613</v>
      </c>
      <c r="I103">
        <f t="shared" ca="1" si="9"/>
        <v>26900.347614510669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43142</v>
      </c>
      <c r="B106" s="66">
        <v>43142</v>
      </c>
      <c r="D106">
        <f t="shared" si="5"/>
        <v>48.521588519114189</v>
      </c>
      <c r="E106">
        <f t="shared" si="6"/>
        <v>48.521588519114189</v>
      </c>
      <c r="G106">
        <f t="shared" ca="1" si="7"/>
        <v>104</v>
      </c>
      <c r="H106">
        <f t="shared" ca="1" si="8"/>
        <v>5046.245205987876</v>
      </c>
      <c r="I106">
        <f t="shared" ca="1" si="9"/>
        <v>36298.451730119537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39400</v>
      </c>
      <c r="B108" s="66">
        <v>39400</v>
      </c>
      <c r="D108">
        <f t="shared" si="5"/>
        <v>44.312980104146753</v>
      </c>
      <c r="E108">
        <f t="shared" si="6"/>
        <v>44.312980104146753</v>
      </c>
      <c r="G108">
        <f t="shared" ca="1" si="7"/>
        <v>106</v>
      </c>
      <c r="H108">
        <f t="shared" ca="1" si="8"/>
        <v>4697.1758910395556</v>
      </c>
      <c r="I108">
        <f t="shared" ca="1" si="9"/>
        <v>38175.345795097586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36377</v>
      </c>
      <c r="B111" s="66">
        <v>36377</v>
      </c>
      <c r="D111">
        <f t="shared" si="5"/>
        <v>40.913027341333667</v>
      </c>
      <c r="E111">
        <f t="shared" si="6"/>
        <v>40.913027341333667</v>
      </c>
      <c r="G111">
        <f t="shared" ca="1" si="7"/>
        <v>109</v>
      </c>
      <c r="H111">
        <f t="shared" ca="1" si="8"/>
        <v>4459.5199802053694</v>
      </c>
      <c r="I111">
        <f t="shared" ca="1" si="9"/>
        <v>42819.606885986803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34761</v>
      </c>
      <c r="B113" s="66">
        <v>34761</v>
      </c>
      <c r="D113">
        <f t="shared" si="5"/>
        <v>39.095520340107747</v>
      </c>
      <c r="E113">
        <f t="shared" si="6"/>
        <v>39.095520340107747</v>
      </c>
      <c r="G113">
        <f t="shared" ca="1" si="7"/>
        <v>111</v>
      </c>
      <c r="H113">
        <f t="shared" ca="1" si="8"/>
        <v>4339.6027577519599</v>
      </c>
      <c r="I113">
        <f t="shared" ca="1" si="9"/>
        <v>46132.934264261035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29994</v>
      </c>
      <c r="B116" s="66">
        <v>29994</v>
      </c>
      <c r="D116">
        <f t="shared" si="5"/>
        <v>33.734099625476588</v>
      </c>
      <c r="E116">
        <f t="shared" si="6"/>
        <v>33.734099625476588</v>
      </c>
      <c r="G116">
        <f t="shared" ca="1" si="7"/>
        <v>114</v>
      </c>
      <c r="H116">
        <f t="shared" ca="1" si="8"/>
        <v>3845.6873573043313</v>
      </c>
      <c r="I116">
        <f t="shared" ca="1" si="9"/>
        <v>47062.87737014045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34043</v>
      </c>
      <c r="B118" s="66">
        <v>34043</v>
      </c>
      <c r="D118">
        <f t="shared" si="5"/>
        <v>38.287989382879893</v>
      </c>
      <c r="E118">
        <f t="shared" si="6"/>
        <v>38.287989382879893</v>
      </c>
      <c r="G118">
        <f t="shared" ca="1" si="7"/>
        <v>116</v>
      </c>
      <c r="H118">
        <f t="shared" ca="1" si="8"/>
        <v>4441.4067684140673</v>
      </c>
      <c r="I118">
        <f t="shared" ca="1" si="9"/>
        <v>59289.63058806755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31646</v>
      </c>
      <c r="B121" s="66">
        <v>31646</v>
      </c>
      <c r="D121">
        <f t="shared" si="5"/>
        <v>35.592095644056549</v>
      </c>
      <c r="E121">
        <f t="shared" si="6"/>
        <v>35.592095644056549</v>
      </c>
      <c r="G121">
        <f t="shared" ca="1" si="7"/>
        <v>119</v>
      </c>
      <c r="H121">
        <f t="shared" ca="1" si="8"/>
        <v>4235.4593816427296</v>
      </c>
      <c r="I121">
        <f t="shared" ca="1" si="9"/>
        <v>63838.872380527377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26503</v>
      </c>
      <c r="B124" s="66">
        <v>26503</v>
      </c>
      <c r="D124">
        <f t="shared" si="5"/>
        <v>29.807789637060946</v>
      </c>
      <c r="E124">
        <f t="shared" si="6"/>
        <v>29.807789637060946</v>
      </c>
      <c r="G124">
        <f t="shared" ca="1" si="7"/>
        <v>122</v>
      </c>
      <c r="H124">
        <f t="shared" ca="1" si="8"/>
        <v>3636.5503357214352</v>
      </c>
      <c r="I124">
        <f t="shared" ca="1" si="9"/>
        <v>61306.642418595125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26647</v>
      </c>
      <c r="B126" s="66">
        <v>26647</v>
      </c>
      <c r="D126">
        <f t="shared" si="5"/>
        <v>29.969745706477116</v>
      </c>
      <c r="E126">
        <f t="shared" si="6"/>
        <v>29.969745706477116</v>
      </c>
      <c r="G126">
        <f t="shared" ca="1" si="7"/>
        <v>124</v>
      </c>
      <c r="H126">
        <f t="shared" ca="1" si="8"/>
        <v>3716.2484676031622</v>
      </c>
      <c r="I126">
        <f t="shared" ca="1" si="9"/>
        <v>67196.278607729691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26517</v>
      </c>
      <c r="B129" s="66">
        <v>26517</v>
      </c>
      <c r="D129">
        <f t="shared" si="5"/>
        <v>29.823535366031965</v>
      </c>
      <c r="E129">
        <f t="shared" si="6"/>
        <v>29.823535366031965</v>
      </c>
      <c r="G129">
        <f t="shared" ca="1" si="7"/>
        <v>127</v>
      </c>
      <c r="H129">
        <f t="shared" ca="1" si="8"/>
        <v>3787.5889914860595</v>
      </c>
      <c r="I129">
        <f t="shared" ca="1" si="9"/>
        <v>75609.949728578926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30690</v>
      </c>
      <c r="B131" s="66">
        <v>30690</v>
      </c>
      <c r="D131">
        <f t="shared" ref="D131:D194" si="10">IFERROR( 100*A131/MAX(A$2:A$257), 0 )</f>
        <v>34.516887294321414</v>
      </c>
      <c r="E131">
        <f t="shared" ref="E131:E194" si="11">IFERROR( 100*B131/MAX(B$2:B$257), 0 )</f>
        <v>34.516887294321414</v>
      </c>
      <c r="G131">
        <f t="shared" ref="G131:G194" ca="1" si="12">CELL("row",D131)-2</f>
        <v>129</v>
      </c>
      <c r="H131">
        <f t="shared" ref="H131:H194" ca="1" si="13">D131*G131</f>
        <v>4452.6784609674623</v>
      </c>
      <c r="I131">
        <f t="shared" ref="I131:I194" ca="1" si="14">D131*((G131-$L$1)^2)</f>
        <v>94598.679441045722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26041</v>
      </c>
      <c r="B134" s="66">
        <v>26041</v>
      </c>
      <c r="D134">
        <f t="shared" si="10"/>
        <v>29.2881805810174</v>
      </c>
      <c r="E134">
        <f t="shared" si="11"/>
        <v>29.2881805810174</v>
      </c>
      <c r="G134">
        <f t="shared" ca="1" si="12"/>
        <v>132</v>
      </c>
      <c r="H134">
        <f t="shared" ca="1" si="13"/>
        <v>3866.0398366942968</v>
      </c>
      <c r="I134">
        <f t="shared" ca="1" si="14"/>
        <v>89731.852378646756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25367</v>
      </c>
      <c r="B136" s="66">
        <v>25367</v>
      </c>
      <c r="D136">
        <f t="shared" si="10"/>
        <v>28.530136200555599</v>
      </c>
      <c r="E136">
        <f t="shared" si="11"/>
        <v>28.530136200555599</v>
      </c>
      <c r="G136">
        <f t="shared" ca="1" si="12"/>
        <v>134</v>
      </c>
      <c r="H136">
        <f t="shared" ca="1" si="13"/>
        <v>3823.0382508744501</v>
      </c>
      <c r="I136">
        <f t="shared" ca="1" si="14"/>
        <v>93840.219807669288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22935</v>
      </c>
      <c r="B139" s="66">
        <v>22935</v>
      </c>
      <c r="D139">
        <f t="shared" si="10"/>
        <v>25.794878139304714</v>
      </c>
      <c r="E139">
        <f t="shared" si="11"/>
        <v>25.794878139304714</v>
      </c>
      <c r="G139">
        <f t="shared" ca="1" si="12"/>
        <v>137</v>
      </c>
      <c r="H139">
        <f t="shared" ca="1" si="13"/>
        <v>3533.898305084746</v>
      </c>
      <c r="I139">
        <f t="shared" ca="1" si="14"/>
        <v>93951.873607710382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23181</v>
      </c>
      <c r="B142" s="66">
        <v>23181</v>
      </c>
      <c r="D142">
        <f t="shared" si="10"/>
        <v>26.071553091224004</v>
      </c>
      <c r="E142">
        <f t="shared" si="11"/>
        <v>26.071553091224004</v>
      </c>
      <c r="G142">
        <f t="shared" ca="1" si="12"/>
        <v>140</v>
      </c>
      <c r="H142">
        <f t="shared" ca="1" si="13"/>
        <v>3650.0174327713607</v>
      </c>
      <c r="I142">
        <f t="shared" ca="1" si="14"/>
        <v>104634.94073007141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21268</v>
      </c>
      <c r="B144" s="66">
        <v>21268</v>
      </c>
      <c r="D144">
        <f t="shared" si="10"/>
        <v>23.920011696827235</v>
      </c>
      <c r="E144">
        <f t="shared" si="11"/>
        <v>23.920011696827235</v>
      </c>
      <c r="G144">
        <f t="shared" ca="1" si="12"/>
        <v>142</v>
      </c>
      <c r="H144">
        <f t="shared" ca="1" si="13"/>
        <v>3396.6416609494672</v>
      </c>
      <c r="I144">
        <f t="shared" ca="1" si="14"/>
        <v>102157.12331633482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18590</v>
      </c>
      <c r="B147" s="66">
        <v>18590</v>
      </c>
      <c r="D147">
        <f t="shared" si="10"/>
        <v>20.90807868365706</v>
      </c>
      <c r="E147">
        <f t="shared" si="11"/>
        <v>20.90807868365706</v>
      </c>
      <c r="G147">
        <f t="shared" ca="1" si="12"/>
        <v>145</v>
      </c>
      <c r="H147">
        <f t="shared" ca="1" si="13"/>
        <v>3031.6714091302738</v>
      </c>
      <c r="I147">
        <f t="shared" ca="1" si="14"/>
        <v>97680.200220393657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16539</v>
      </c>
      <c r="B149" s="66">
        <v>16539</v>
      </c>
      <c r="D149">
        <f t="shared" si="10"/>
        <v>18.601329389403123</v>
      </c>
      <c r="E149">
        <f t="shared" si="11"/>
        <v>18.601329389403123</v>
      </c>
      <c r="G149">
        <f t="shared" ca="1" si="12"/>
        <v>147</v>
      </c>
      <c r="H149">
        <f t="shared" ca="1" si="13"/>
        <v>2734.3954202422592</v>
      </c>
      <c r="I149">
        <f t="shared" ca="1" si="14"/>
        <v>92063.42486846153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16672</v>
      </c>
      <c r="B152" s="66">
        <v>16672</v>
      </c>
      <c r="D152">
        <f t="shared" si="10"/>
        <v>18.750913814627783</v>
      </c>
      <c r="E152">
        <f t="shared" si="11"/>
        <v>18.750913814627783</v>
      </c>
      <c r="G152">
        <f t="shared" ca="1" si="12"/>
        <v>150</v>
      </c>
      <c r="H152">
        <f t="shared" ca="1" si="13"/>
        <v>2812.6370721941676</v>
      </c>
      <c r="I152">
        <f t="shared" ca="1" si="14"/>
        <v>100887.41706732976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16821</v>
      </c>
      <c r="B154" s="66">
        <v>16821</v>
      </c>
      <c r="D154">
        <f t="shared" si="10"/>
        <v>18.918493358676461</v>
      </c>
      <c r="E154">
        <f t="shared" si="11"/>
        <v>18.918493358676461</v>
      </c>
      <c r="G154">
        <f t="shared" ca="1" si="12"/>
        <v>152</v>
      </c>
      <c r="H154">
        <f t="shared" ca="1" si="13"/>
        <v>2875.6109905188218</v>
      </c>
      <c r="I154">
        <f t="shared" ca="1" si="14"/>
        <v>107415.5135459587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14738</v>
      </c>
      <c r="B157" s="66">
        <v>14738</v>
      </c>
      <c r="D157">
        <f t="shared" si="10"/>
        <v>16.575753826774488</v>
      </c>
      <c r="E157">
        <f t="shared" si="11"/>
        <v>16.575753826774488</v>
      </c>
      <c r="G157">
        <f t="shared" ca="1" si="12"/>
        <v>155</v>
      </c>
      <c r="H157">
        <f t="shared" ca="1" si="13"/>
        <v>2569.2418431500455</v>
      </c>
      <c r="I157">
        <f t="shared" ca="1" si="14"/>
        <v>101757.09608221684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10350</v>
      </c>
      <c r="B160" s="66">
        <v>10350</v>
      </c>
      <c r="D160">
        <f t="shared" si="10"/>
        <v>11.640592489287281</v>
      </c>
      <c r="E160">
        <f t="shared" si="11"/>
        <v>11.640592489287281</v>
      </c>
      <c r="G160">
        <f t="shared" ca="1" si="12"/>
        <v>158</v>
      </c>
      <c r="H160">
        <f t="shared" ca="1" si="13"/>
        <v>1839.2136133073905</v>
      </c>
      <c r="I160">
        <f t="shared" ca="1" si="14"/>
        <v>77037.666706246077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9910</v>
      </c>
      <c r="B162" s="66">
        <v>9910</v>
      </c>
      <c r="D162">
        <f t="shared" si="10"/>
        <v>11.145726721626758</v>
      </c>
      <c r="E162">
        <f t="shared" si="11"/>
        <v>11.145726721626758</v>
      </c>
      <c r="G162">
        <f t="shared" ca="1" si="12"/>
        <v>160</v>
      </c>
      <c r="H162">
        <f t="shared" ca="1" si="13"/>
        <v>1783.3162754602813</v>
      </c>
      <c r="I162">
        <f t="shared" ca="1" si="14"/>
        <v>77434.091795621091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8982</v>
      </c>
      <c r="B165" s="66">
        <v>8982</v>
      </c>
      <c r="D165">
        <f t="shared" si="10"/>
        <v>10.102009829833658</v>
      </c>
      <c r="E165">
        <f t="shared" si="11"/>
        <v>10.102009829833658</v>
      </c>
      <c r="G165">
        <f t="shared" ca="1" si="12"/>
        <v>163</v>
      </c>
      <c r="H165">
        <f t="shared" ca="1" si="13"/>
        <v>1646.6276022628863</v>
      </c>
      <c r="I165">
        <f t="shared" ca="1" si="14"/>
        <v>75325.954330670531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5998</v>
      </c>
      <c r="B167" s="66">
        <v>5998</v>
      </c>
      <c r="D167">
        <f t="shared" si="10"/>
        <v>6.7459201691541173</v>
      </c>
      <c r="E167">
        <f t="shared" si="11"/>
        <v>6.7459201691541173</v>
      </c>
      <c r="G167">
        <f t="shared" ca="1" si="12"/>
        <v>165</v>
      </c>
      <c r="H167">
        <f t="shared" ca="1" si="13"/>
        <v>1113.0768279104293</v>
      </c>
      <c r="I167">
        <f t="shared" ca="1" si="14"/>
        <v>52658.223277906116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5565</v>
      </c>
      <c r="B170" s="66">
        <v>5565</v>
      </c>
      <c r="D170">
        <f t="shared" si="10"/>
        <v>6.2589272659791035</v>
      </c>
      <c r="E170">
        <f t="shared" si="11"/>
        <v>6.2589272659791035</v>
      </c>
      <c r="G170">
        <f t="shared" ca="1" si="12"/>
        <v>168</v>
      </c>
      <c r="H170">
        <f t="shared" ca="1" si="13"/>
        <v>1051.4997806844895</v>
      </c>
      <c r="I170">
        <f t="shared" ca="1" si="14"/>
        <v>52231.020818063407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5441</v>
      </c>
      <c r="B173" s="66">
        <v>5441</v>
      </c>
      <c r="D173">
        <f t="shared" si="10"/>
        <v>6.1194650950929557</v>
      </c>
      <c r="E173">
        <f t="shared" si="11"/>
        <v>6.1194650950929557</v>
      </c>
      <c r="G173">
        <f t="shared" ca="1" si="12"/>
        <v>171</v>
      </c>
      <c r="H173">
        <f t="shared" ca="1" si="13"/>
        <v>1046.4285312608954</v>
      </c>
      <c r="I173">
        <f t="shared" ca="1" si="14"/>
        <v>54476.401358559102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5244</v>
      </c>
      <c r="B175" s="66">
        <v>5244</v>
      </c>
      <c r="D175">
        <f t="shared" si="10"/>
        <v>5.8979001945722223</v>
      </c>
      <c r="E175">
        <f t="shared" si="11"/>
        <v>5.8979001945722223</v>
      </c>
      <c r="G175">
        <f t="shared" ca="1" si="12"/>
        <v>173</v>
      </c>
      <c r="H175">
        <f t="shared" ca="1" si="13"/>
        <v>1020.3367336609945</v>
      </c>
      <c r="I175">
        <f t="shared" ca="1" si="14"/>
        <v>54753.484874417016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5168</v>
      </c>
      <c r="B178" s="66">
        <v>5168</v>
      </c>
      <c r="D178">
        <f t="shared" si="10"/>
        <v>5.8124233801581324</v>
      </c>
      <c r="E178">
        <f t="shared" si="11"/>
        <v>5.8124233801581324</v>
      </c>
      <c r="G178">
        <f t="shared" ca="1" si="12"/>
        <v>176</v>
      </c>
      <c r="H178">
        <f t="shared" ca="1" si="13"/>
        <v>1022.9865149078313</v>
      </c>
      <c r="I178">
        <f t="shared" ca="1" si="14"/>
        <v>57372.472075599879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4984</v>
      </c>
      <c r="B180" s="66">
        <v>4984</v>
      </c>
      <c r="D180">
        <f t="shared" si="10"/>
        <v>5.6054795136819138</v>
      </c>
      <c r="E180">
        <f t="shared" si="11"/>
        <v>5.6054795136819138</v>
      </c>
      <c r="G180">
        <f t="shared" ca="1" si="12"/>
        <v>178</v>
      </c>
      <c r="H180">
        <f t="shared" ca="1" si="13"/>
        <v>997.77535343538068</v>
      </c>
      <c r="I180">
        <f t="shared" ca="1" si="14"/>
        <v>57579.865530314681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3965</v>
      </c>
      <c r="B183" s="66">
        <v>3965</v>
      </c>
      <c r="D183">
        <f t="shared" si="10"/>
        <v>4.4594153835772046</v>
      </c>
      <c r="E183">
        <f t="shared" si="11"/>
        <v>4.4594153835772046</v>
      </c>
      <c r="G183">
        <f t="shared" ca="1" si="12"/>
        <v>181</v>
      </c>
      <c r="H183">
        <f t="shared" ca="1" si="13"/>
        <v>807.15418442747398</v>
      </c>
      <c r="I183">
        <f t="shared" ca="1" si="14"/>
        <v>48559.354710965301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4505</v>
      </c>
      <c r="B185" s="66">
        <v>4505</v>
      </c>
      <c r="D185">
        <f t="shared" si="10"/>
        <v>5.0667506438878451</v>
      </c>
      <c r="E185">
        <f t="shared" si="11"/>
        <v>5.0667506438878451</v>
      </c>
      <c r="G185">
        <f t="shared" ca="1" si="12"/>
        <v>183</v>
      </c>
      <c r="H185">
        <f t="shared" ca="1" si="13"/>
        <v>927.21536783147565</v>
      </c>
      <c r="I185">
        <f t="shared" ca="1" si="14"/>
        <v>57307.887917632448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3400</v>
      </c>
      <c r="B188" s="66">
        <v>3400</v>
      </c>
      <c r="D188">
        <f t="shared" si="10"/>
        <v>3.8239627501040343</v>
      </c>
      <c r="E188">
        <f t="shared" si="11"/>
        <v>3.8239627501040343</v>
      </c>
      <c r="G188">
        <f t="shared" ca="1" si="12"/>
        <v>186</v>
      </c>
      <c r="H188">
        <f t="shared" ca="1" si="13"/>
        <v>711.25707151935035</v>
      </c>
      <c r="I188">
        <f t="shared" ca="1" si="14"/>
        <v>45725.750223651063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2678</v>
      </c>
      <c r="B191" s="66">
        <v>2678</v>
      </c>
      <c r="D191">
        <f t="shared" si="10"/>
        <v>3.0119330131701778</v>
      </c>
      <c r="E191">
        <f t="shared" si="11"/>
        <v>3.0119330131701778</v>
      </c>
      <c r="G191">
        <f t="shared" ca="1" si="12"/>
        <v>189</v>
      </c>
      <c r="H191">
        <f t="shared" ca="1" si="13"/>
        <v>569.25533948916359</v>
      </c>
      <c r="I191">
        <f t="shared" ca="1" si="14"/>
        <v>38019.011191299178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2445</v>
      </c>
      <c r="B193" s="66">
        <v>2445</v>
      </c>
      <c r="D193">
        <f t="shared" si="10"/>
        <v>2.7498790952954013</v>
      </c>
      <c r="E193">
        <f t="shared" si="11"/>
        <v>2.7498790952954013</v>
      </c>
      <c r="G193">
        <f t="shared" ca="1" si="12"/>
        <v>191</v>
      </c>
      <c r="H193">
        <f t="shared" ca="1" si="13"/>
        <v>525.22690720142168</v>
      </c>
      <c r="I193">
        <f t="shared" ca="1" si="14"/>
        <v>35957.966954659612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1843</v>
      </c>
      <c r="B196" s="66">
        <v>1843</v>
      </c>
      <c r="D196">
        <f t="shared" si="15"/>
        <v>2.0728127495416868</v>
      </c>
      <c r="E196">
        <f t="shared" si="16"/>
        <v>2.0728127495416868</v>
      </c>
      <c r="G196">
        <f t="shared" ca="1" si="17"/>
        <v>194</v>
      </c>
      <c r="H196">
        <f t="shared" ca="1" si="18"/>
        <v>402.12567341108723</v>
      </c>
      <c r="I196">
        <f t="shared" ca="1" si="19"/>
        <v>28545.339706112874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1168</v>
      </c>
      <c r="B198" s="66">
        <v>1168</v>
      </c>
      <c r="D198">
        <f t="shared" si="15"/>
        <v>1.3136436741533859</v>
      </c>
      <c r="E198">
        <f t="shared" si="16"/>
        <v>1.3136436741533859</v>
      </c>
      <c r="G198">
        <f t="shared" ca="1" si="17"/>
        <v>196</v>
      </c>
      <c r="H198">
        <f t="shared" ca="1" si="18"/>
        <v>257.47416013406365</v>
      </c>
      <c r="I198">
        <f t="shared" ca="1" si="19"/>
        <v>18712.474951901433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202</v>
      </c>
      <c r="B201" s="66">
        <v>202</v>
      </c>
      <c r="D201">
        <f t="shared" si="15"/>
        <v>0.2271883751532397</v>
      </c>
      <c r="E201">
        <f t="shared" si="16"/>
        <v>0.2271883751532397</v>
      </c>
      <c r="G201">
        <f t="shared" ca="1" si="17"/>
        <v>199</v>
      </c>
      <c r="H201">
        <f t="shared" ca="1" si="18"/>
        <v>45.210486655494698</v>
      </c>
      <c r="I201">
        <f t="shared" ca="1" si="19"/>
        <v>3400.968765906126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401</v>
      </c>
      <c r="B1" s="66" t="s">
        <v>402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78.297875843795907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1.5117354702278556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0.62104506691053762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158</v>
      </c>
      <c r="B8" s="66">
        <v>158</v>
      </c>
      <c r="D8">
        <f t="shared" si="0"/>
        <v>0.12330552455574892</v>
      </c>
      <c r="E8">
        <f t="shared" si="1"/>
        <v>0.12330552455574892</v>
      </c>
      <c r="G8">
        <f t="shared" ca="1" si="2"/>
        <v>6</v>
      </c>
      <c r="H8">
        <f t="shared" ca="1" si="3"/>
        <v>0.73983314733449346</v>
      </c>
      <c r="I8">
        <f t="shared" ca="1" si="4"/>
        <v>644.51586235118543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415</v>
      </c>
      <c r="B10" s="66">
        <v>415</v>
      </c>
      <c r="D10">
        <f t="shared" si="0"/>
        <v>0.32387210563693547</v>
      </c>
      <c r="E10">
        <f t="shared" si="1"/>
        <v>0.32387210563693547</v>
      </c>
      <c r="G10">
        <f t="shared" ca="1" si="2"/>
        <v>8</v>
      </c>
      <c r="H10">
        <f t="shared" ca="1" si="3"/>
        <v>2.5909768450954838</v>
      </c>
      <c r="I10">
        <f t="shared" ca="1" si="4"/>
        <v>1600.5083695436479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2744</v>
      </c>
      <c r="B13" s="66">
        <v>2744</v>
      </c>
      <c r="D13">
        <f t="shared" si="0"/>
        <v>2.1414579707656647</v>
      </c>
      <c r="E13">
        <f t="shared" si="1"/>
        <v>2.1414579707656647</v>
      </c>
      <c r="G13">
        <f t="shared" ca="1" si="2"/>
        <v>11</v>
      </c>
      <c r="H13">
        <f t="shared" ca="1" si="3"/>
        <v>23.55603767842231</v>
      </c>
      <c r="I13">
        <f t="shared" ca="1" si="4"/>
        <v>9698.6719147714102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7744</v>
      </c>
      <c r="B15" s="66">
        <v>7744</v>
      </c>
      <c r="D15">
        <f t="shared" si="0"/>
        <v>6.0435315326564538</v>
      </c>
      <c r="E15">
        <f t="shared" si="1"/>
        <v>6.0435315326564538</v>
      </c>
      <c r="G15">
        <f t="shared" ca="1" si="2"/>
        <v>13</v>
      </c>
      <c r="H15">
        <f t="shared" ca="1" si="3"/>
        <v>78.565909924533898</v>
      </c>
      <c r="I15">
        <f t="shared" ca="1" si="4"/>
        <v>25768.485835260748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6978</v>
      </c>
      <c r="B18" s="66">
        <v>6978</v>
      </c>
      <c r="D18">
        <f t="shared" si="0"/>
        <v>5.4457338629747847</v>
      </c>
      <c r="E18">
        <f t="shared" si="1"/>
        <v>5.4457338629747847</v>
      </c>
      <c r="G18">
        <f t="shared" ca="1" si="2"/>
        <v>16</v>
      </c>
      <c r="H18">
        <f t="shared" ca="1" si="3"/>
        <v>87.131741807596555</v>
      </c>
      <c r="I18">
        <f t="shared" ca="1" si="4"/>
        <v>21135.031087961157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8458</v>
      </c>
      <c r="B21" s="66">
        <v>8458</v>
      </c>
      <c r="D21">
        <f t="shared" si="0"/>
        <v>6.6007476372944582</v>
      </c>
      <c r="E21">
        <f t="shared" si="1"/>
        <v>6.6007476372944582</v>
      </c>
      <c r="G21">
        <f t="shared" ca="1" si="2"/>
        <v>19</v>
      </c>
      <c r="H21">
        <f t="shared" ca="1" si="3"/>
        <v>125.4142051085947</v>
      </c>
      <c r="I21">
        <f t="shared" ca="1" si="4"/>
        <v>23209.800195993637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15858</v>
      </c>
      <c r="B23" s="66">
        <v>15858</v>
      </c>
      <c r="D23">
        <f t="shared" si="0"/>
        <v>12.375816508892825</v>
      </c>
      <c r="E23">
        <f t="shared" si="1"/>
        <v>12.375816508892825</v>
      </c>
      <c r="G23">
        <f t="shared" ca="1" si="2"/>
        <v>21</v>
      </c>
      <c r="H23">
        <f t="shared" ca="1" si="3"/>
        <v>259.89214668674936</v>
      </c>
      <c r="I23">
        <f t="shared" ca="1" si="4"/>
        <v>40630.382017336786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29976</v>
      </c>
      <c r="B26" s="66">
        <v>29976</v>
      </c>
      <c r="D26">
        <f t="shared" si="0"/>
        <v>23.393711418247658</v>
      </c>
      <c r="E26">
        <f t="shared" si="1"/>
        <v>23.393711418247658</v>
      </c>
      <c r="G26">
        <f t="shared" ca="1" si="2"/>
        <v>24</v>
      </c>
      <c r="H26">
        <f t="shared" ca="1" si="3"/>
        <v>561.44907403794377</v>
      </c>
      <c r="I26">
        <f t="shared" ca="1" si="4"/>
        <v>68970.727745101496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30410</v>
      </c>
      <c r="B28" s="66">
        <v>30410</v>
      </c>
      <c r="D28">
        <f t="shared" si="0"/>
        <v>23.732411403419778</v>
      </c>
      <c r="E28">
        <f t="shared" si="1"/>
        <v>23.732411403419778</v>
      </c>
      <c r="G28">
        <f t="shared" ca="1" si="2"/>
        <v>26</v>
      </c>
      <c r="H28">
        <f t="shared" ca="1" si="3"/>
        <v>617.0426964889142</v>
      </c>
      <c r="I28">
        <f t="shared" ca="1" si="4"/>
        <v>64909.754667644564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36458</v>
      </c>
      <c r="B31" s="66">
        <v>36458</v>
      </c>
      <c r="D31">
        <f t="shared" si="0"/>
        <v>28.452359583882874</v>
      </c>
      <c r="E31">
        <f t="shared" si="1"/>
        <v>28.452359583882874</v>
      </c>
      <c r="G31">
        <f t="shared" ca="1" si="2"/>
        <v>29</v>
      </c>
      <c r="H31">
        <f t="shared" ca="1" si="3"/>
        <v>825.11842793260337</v>
      </c>
      <c r="I31">
        <f t="shared" ca="1" si="4"/>
        <v>69147.216459955132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57963</v>
      </c>
      <c r="B33" s="66">
        <v>57963</v>
      </c>
      <c r="D33">
        <f t="shared" si="0"/>
        <v>45.235177973575155</v>
      </c>
      <c r="E33">
        <f t="shared" si="1"/>
        <v>45.235177973575155</v>
      </c>
      <c r="G33">
        <f t="shared" ca="1" si="2"/>
        <v>31</v>
      </c>
      <c r="H33">
        <f t="shared" ca="1" si="3"/>
        <v>1402.2905171808297</v>
      </c>
      <c r="I33">
        <f t="shared" ca="1" si="4"/>
        <v>101195.12174176254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80084</v>
      </c>
      <c r="B36" s="66">
        <v>80084</v>
      </c>
      <c r="D36">
        <f t="shared" si="0"/>
        <v>62.498731826092389</v>
      </c>
      <c r="E36">
        <f t="shared" si="1"/>
        <v>62.498731826092389</v>
      </c>
      <c r="G36">
        <f t="shared" ca="1" si="2"/>
        <v>34</v>
      </c>
      <c r="H36">
        <f t="shared" ca="1" si="3"/>
        <v>2124.9568820871414</v>
      </c>
      <c r="I36">
        <f t="shared" ca="1" si="4"/>
        <v>122641.37422707527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69562</v>
      </c>
      <c r="B39" s="66">
        <v>69562</v>
      </c>
      <c r="D39">
        <f t="shared" si="0"/>
        <v>54.287208222449408</v>
      </c>
      <c r="E39">
        <f t="shared" si="1"/>
        <v>54.287208222449408</v>
      </c>
      <c r="G39">
        <f t="shared" ca="1" si="2"/>
        <v>37</v>
      </c>
      <c r="H39">
        <f t="shared" ca="1" si="3"/>
        <v>2008.6267042306281</v>
      </c>
      <c r="I39">
        <f t="shared" ca="1" si="4"/>
        <v>92587.623459357492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56796</v>
      </c>
      <c r="B41" s="66">
        <v>56796</v>
      </c>
      <c r="D41">
        <f t="shared" si="0"/>
        <v>44.32443400422985</v>
      </c>
      <c r="E41">
        <f t="shared" si="1"/>
        <v>44.32443400422985</v>
      </c>
      <c r="G41">
        <f t="shared" ca="1" si="2"/>
        <v>39</v>
      </c>
      <c r="H41">
        <f t="shared" ca="1" si="3"/>
        <v>1728.6529261649641</v>
      </c>
      <c r="I41">
        <f t="shared" ca="1" si="4"/>
        <v>68451.244926297994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53091</v>
      </c>
      <c r="B44" s="66">
        <v>53091</v>
      </c>
      <c r="D44">
        <f t="shared" si="0"/>
        <v>41.432997494868772</v>
      </c>
      <c r="E44">
        <f t="shared" si="1"/>
        <v>41.432997494868772</v>
      </c>
      <c r="G44">
        <f t="shared" ca="1" si="2"/>
        <v>42</v>
      </c>
      <c r="H44">
        <f t="shared" ca="1" si="3"/>
        <v>1740.1858947844885</v>
      </c>
      <c r="I44">
        <f t="shared" ca="1" si="4"/>
        <v>54589.45711844058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53511</v>
      </c>
      <c r="B46" s="66">
        <v>53511</v>
      </c>
      <c r="D46">
        <f t="shared" si="0"/>
        <v>41.760771674067598</v>
      </c>
      <c r="E46">
        <f t="shared" si="1"/>
        <v>41.760771674067598</v>
      </c>
      <c r="G46">
        <f t="shared" ca="1" si="2"/>
        <v>44</v>
      </c>
      <c r="H46">
        <f t="shared" ca="1" si="3"/>
        <v>1837.4739536589743</v>
      </c>
      <c r="I46">
        <f t="shared" ca="1" si="4"/>
        <v>49125.045196056439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57929</v>
      </c>
      <c r="B49" s="66">
        <v>57929</v>
      </c>
      <c r="D49">
        <f t="shared" si="0"/>
        <v>45.208643873354298</v>
      </c>
      <c r="E49">
        <f t="shared" si="1"/>
        <v>45.208643873354298</v>
      </c>
      <c r="G49">
        <f t="shared" ca="1" si="2"/>
        <v>47</v>
      </c>
      <c r="H49">
        <f t="shared" ca="1" si="3"/>
        <v>2124.8062620476521</v>
      </c>
      <c r="I49">
        <f t="shared" ca="1" si="4"/>
        <v>44284.445028412389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72341</v>
      </c>
      <c r="B51" s="66">
        <v>72341</v>
      </c>
      <c r="D51">
        <f t="shared" si="0"/>
        <v>56.45598070814831</v>
      </c>
      <c r="E51">
        <f t="shared" si="1"/>
        <v>56.45598070814831</v>
      </c>
      <c r="G51">
        <f t="shared" ca="1" si="2"/>
        <v>49</v>
      </c>
      <c r="H51">
        <f t="shared" ca="1" si="3"/>
        <v>2766.3430546992672</v>
      </c>
      <c r="I51">
        <f t="shared" ca="1" si="4"/>
        <v>48459.867743419454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78150</v>
      </c>
      <c r="B54" s="66">
        <v>78150</v>
      </c>
      <c r="D54">
        <f t="shared" si="0"/>
        <v>60.989409772353028</v>
      </c>
      <c r="E54">
        <f t="shared" si="1"/>
        <v>60.989409772353028</v>
      </c>
      <c r="G54">
        <f t="shared" ca="1" si="2"/>
        <v>52</v>
      </c>
      <c r="H54">
        <f t="shared" ca="1" si="3"/>
        <v>3171.4493081623573</v>
      </c>
      <c r="I54">
        <f t="shared" ca="1" si="4"/>
        <v>42178.950736281709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87563</v>
      </c>
      <c r="B57" s="66">
        <v>87563</v>
      </c>
      <c r="D57">
        <f t="shared" si="0"/>
        <v>68.335453459968633</v>
      </c>
      <c r="E57">
        <f t="shared" si="1"/>
        <v>68.335453459968633</v>
      </c>
      <c r="G57">
        <f t="shared" ca="1" si="2"/>
        <v>55</v>
      </c>
      <c r="H57">
        <f t="shared" ca="1" si="3"/>
        <v>3758.4499402982747</v>
      </c>
      <c r="I57">
        <f t="shared" ca="1" si="4"/>
        <v>37091.870405946567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95508</v>
      </c>
      <c r="B59" s="66">
        <v>95508</v>
      </c>
      <c r="D59">
        <f t="shared" si="0"/>
        <v>74.535848349813094</v>
      </c>
      <c r="E59">
        <f t="shared" si="1"/>
        <v>74.535848349813094</v>
      </c>
      <c r="G59">
        <f t="shared" ca="1" si="2"/>
        <v>57</v>
      </c>
      <c r="H59">
        <f t="shared" ca="1" si="3"/>
        <v>4248.5433559393459</v>
      </c>
      <c r="I59">
        <f t="shared" ca="1" si="4"/>
        <v>33809.424695707195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128137</v>
      </c>
      <c r="B62" s="66">
        <v>128137</v>
      </c>
      <c r="D62">
        <f t="shared" si="0"/>
        <v>100</v>
      </c>
      <c r="E62">
        <f t="shared" si="1"/>
        <v>100</v>
      </c>
      <c r="G62">
        <f t="shared" ca="1" si="2"/>
        <v>60</v>
      </c>
      <c r="H62">
        <f t="shared" ca="1" si="3"/>
        <v>6000</v>
      </c>
      <c r="I62">
        <f t="shared" ca="1" si="4"/>
        <v>33481.226039496978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102921</v>
      </c>
      <c r="B64" s="66">
        <v>102921</v>
      </c>
      <c r="D64">
        <f t="shared" si="0"/>
        <v>80.321062612672378</v>
      </c>
      <c r="E64">
        <f t="shared" si="1"/>
        <v>80.321062612672378</v>
      </c>
      <c r="G64">
        <f t="shared" ca="1" si="2"/>
        <v>62</v>
      </c>
      <c r="H64">
        <f t="shared" ca="1" si="3"/>
        <v>4979.9058819856873</v>
      </c>
      <c r="I64">
        <f t="shared" ca="1" si="4"/>
        <v>21334.941455811677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99441</v>
      </c>
      <c r="B67" s="66">
        <v>99441</v>
      </c>
      <c r="D67">
        <f t="shared" ref="D67:D130" si="5">IFERROR(100*A67/MAX(A$2:A$257), 0 )</f>
        <v>77.605219413596387</v>
      </c>
      <c r="E67">
        <f t="shared" ref="E67:E130" si="6">IFERROR(100*B67/MAX(B$2:B$257), 0 )</f>
        <v>77.605219413596387</v>
      </c>
      <c r="G67">
        <f t="shared" ref="G67:G130" ca="1" si="7">CELL("row",D67)-2</f>
        <v>65</v>
      </c>
      <c r="H67">
        <f t="shared" ref="H67:H130" ca="1" si="8">D67*G67</f>
        <v>5044.3392618837652</v>
      </c>
      <c r="I67">
        <f t="shared" ref="I67:I130" ca="1" si="9">D67*((G67-$L$1)^2)</f>
        <v>13723.202719048444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109363</v>
      </c>
      <c r="B69" s="66">
        <v>109363</v>
      </c>
      <c r="D69">
        <f t="shared" si="5"/>
        <v>85.34849418981247</v>
      </c>
      <c r="E69">
        <f t="shared" si="6"/>
        <v>85.34849418981247</v>
      </c>
      <c r="G69">
        <f t="shared" ca="1" si="7"/>
        <v>67</v>
      </c>
      <c r="H69">
        <f t="shared" ca="1" si="8"/>
        <v>5718.3491107174359</v>
      </c>
      <c r="I69">
        <f t="shared" ca="1" si="9"/>
        <v>10894.05237433712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98933</v>
      </c>
      <c r="B72" s="66">
        <v>98933</v>
      </c>
      <c r="D72">
        <f t="shared" si="5"/>
        <v>77.208768739708276</v>
      </c>
      <c r="E72">
        <f t="shared" si="6"/>
        <v>77.208768739708276</v>
      </c>
      <c r="G72">
        <f t="shared" ca="1" si="7"/>
        <v>70</v>
      </c>
      <c r="H72">
        <f t="shared" ca="1" si="8"/>
        <v>5404.613811779579</v>
      </c>
      <c r="I72">
        <f t="shared" ca="1" si="9"/>
        <v>5316.1899689943848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101200</v>
      </c>
      <c r="B75" s="66">
        <v>101200</v>
      </c>
      <c r="D75">
        <f t="shared" si="5"/>
        <v>78.977968892669566</v>
      </c>
      <c r="E75">
        <f t="shared" si="6"/>
        <v>78.977968892669566</v>
      </c>
      <c r="G75">
        <f t="shared" ca="1" si="7"/>
        <v>73</v>
      </c>
      <c r="H75">
        <f t="shared" ca="1" si="8"/>
        <v>5765.3917291648786</v>
      </c>
      <c r="I75">
        <f t="shared" ca="1" si="9"/>
        <v>2216.7132301951433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99683</v>
      </c>
      <c r="B77" s="66">
        <v>99683</v>
      </c>
      <c r="D77">
        <f t="shared" si="5"/>
        <v>77.794079773991896</v>
      </c>
      <c r="E77">
        <f t="shared" si="6"/>
        <v>77.794079773991896</v>
      </c>
      <c r="G77">
        <f t="shared" ca="1" si="7"/>
        <v>75</v>
      </c>
      <c r="H77">
        <f t="shared" ca="1" si="8"/>
        <v>5834.5559830493921</v>
      </c>
      <c r="I77">
        <f t="shared" ca="1" si="9"/>
        <v>846.08725101926086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95568</v>
      </c>
      <c r="B80" s="66">
        <v>95568</v>
      </c>
      <c r="D80">
        <f t="shared" si="5"/>
        <v>74.582673232555777</v>
      </c>
      <c r="E80">
        <f t="shared" si="6"/>
        <v>74.582673232555777</v>
      </c>
      <c r="G80">
        <f t="shared" ca="1" si="7"/>
        <v>78</v>
      </c>
      <c r="H80">
        <f t="shared" ca="1" si="8"/>
        <v>5817.4485121393509</v>
      </c>
      <c r="I80">
        <f t="shared" ca="1" si="9"/>
        <v>6.6177219620647287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101674</v>
      </c>
      <c r="B82" s="66">
        <v>101674</v>
      </c>
      <c r="D82">
        <f t="shared" si="5"/>
        <v>79.347885466336805</v>
      </c>
      <c r="E82">
        <f t="shared" si="6"/>
        <v>79.347885466336805</v>
      </c>
      <c r="G82">
        <f t="shared" ca="1" si="7"/>
        <v>80</v>
      </c>
      <c r="H82">
        <f t="shared" ca="1" si="8"/>
        <v>6347.8308373069449</v>
      </c>
      <c r="I82">
        <f t="shared" ca="1" si="9"/>
        <v>229.88880784937601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96427</v>
      </c>
      <c r="B85" s="66">
        <v>96427</v>
      </c>
      <c r="D85">
        <f t="shared" si="5"/>
        <v>75.253049470488619</v>
      </c>
      <c r="E85">
        <f t="shared" si="6"/>
        <v>75.253049470488619</v>
      </c>
      <c r="G85">
        <f t="shared" ca="1" si="7"/>
        <v>83</v>
      </c>
      <c r="H85">
        <f t="shared" ca="1" si="8"/>
        <v>6246.0031060505553</v>
      </c>
      <c r="I85">
        <f t="shared" ca="1" si="9"/>
        <v>1663.8427851277818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96017</v>
      </c>
      <c r="B88" s="66">
        <v>96017</v>
      </c>
      <c r="D88">
        <f t="shared" si="5"/>
        <v>74.933079438413571</v>
      </c>
      <c r="E88">
        <f t="shared" si="6"/>
        <v>74.933079438413571</v>
      </c>
      <c r="G88">
        <f t="shared" ca="1" si="7"/>
        <v>86</v>
      </c>
      <c r="H88">
        <f t="shared" ca="1" si="8"/>
        <v>6444.2448317035669</v>
      </c>
      <c r="I88">
        <f t="shared" ca="1" si="9"/>
        <v>4445.2338293145067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94832</v>
      </c>
      <c r="B90" s="66">
        <v>94832</v>
      </c>
      <c r="D90">
        <f t="shared" si="5"/>
        <v>74.008288004245458</v>
      </c>
      <c r="E90">
        <f t="shared" si="6"/>
        <v>74.008288004245458</v>
      </c>
      <c r="G90">
        <f t="shared" ca="1" si="7"/>
        <v>88</v>
      </c>
      <c r="H90">
        <f t="shared" ca="1" si="8"/>
        <v>6512.7293443735998</v>
      </c>
      <c r="I90">
        <f t="shared" ca="1" si="9"/>
        <v>6966.4899324316784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87138</v>
      </c>
      <c r="B93" s="66">
        <v>87138</v>
      </c>
      <c r="D93">
        <f t="shared" si="5"/>
        <v>68.003777207207904</v>
      </c>
      <c r="E93">
        <f t="shared" si="6"/>
        <v>68.003777207207904</v>
      </c>
      <c r="G93">
        <f t="shared" ca="1" si="7"/>
        <v>91</v>
      </c>
      <c r="H93">
        <f t="shared" ca="1" si="8"/>
        <v>6188.3437258559188</v>
      </c>
      <c r="I93">
        <f t="shared" ca="1" si="9"/>
        <v>10971.998578975812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81278</v>
      </c>
      <c r="B95" s="66">
        <v>81278</v>
      </c>
      <c r="D95">
        <f t="shared" si="5"/>
        <v>63.430546992671907</v>
      </c>
      <c r="E95">
        <f t="shared" si="6"/>
        <v>63.430546992671907</v>
      </c>
      <c r="G95">
        <f t="shared" ca="1" si="7"/>
        <v>93</v>
      </c>
      <c r="H95">
        <f t="shared" ca="1" si="8"/>
        <v>5899.0408703184876</v>
      </c>
      <c r="I95">
        <f t="shared" ca="1" si="9"/>
        <v>13710.668435711363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77403</v>
      </c>
      <c r="B98" s="66">
        <v>77403</v>
      </c>
      <c r="D98">
        <f t="shared" si="5"/>
        <v>60.406439982206543</v>
      </c>
      <c r="E98">
        <f t="shared" si="6"/>
        <v>60.406439982206543</v>
      </c>
      <c r="G98">
        <f t="shared" ca="1" si="7"/>
        <v>96</v>
      </c>
      <c r="H98">
        <f t="shared" ca="1" si="8"/>
        <v>5799.0182382918283</v>
      </c>
      <c r="I98">
        <f t="shared" ca="1" si="9"/>
        <v>18929.276124666376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73018</v>
      </c>
      <c r="B100" s="66">
        <v>73018</v>
      </c>
      <c r="D100">
        <f t="shared" si="5"/>
        <v>56.98432146842832</v>
      </c>
      <c r="E100">
        <f t="shared" si="6"/>
        <v>56.98432146842832</v>
      </c>
      <c r="G100">
        <f t="shared" ca="1" si="7"/>
        <v>98</v>
      </c>
      <c r="H100">
        <f t="shared" ca="1" si="8"/>
        <v>5584.4635039059749</v>
      </c>
      <c r="I100">
        <f t="shared" ca="1" si="9"/>
        <v>22119.814693637196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60594</v>
      </c>
      <c r="B103" s="66">
        <v>60594</v>
      </c>
      <c r="D103">
        <f t="shared" si="5"/>
        <v>47.288449081842089</v>
      </c>
      <c r="E103">
        <f t="shared" si="6"/>
        <v>47.288449081842089</v>
      </c>
      <c r="G103">
        <f t="shared" ca="1" si="7"/>
        <v>101</v>
      </c>
      <c r="H103">
        <f t="shared" ca="1" si="8"/>
        <v>4776.1333572660506</v>
      </c>
      <c r="I103">
        <f t="shared" ca="1" si="9"/>
        <v>24371.825482333224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56243</v>
      </c>
      <c r="B106" s="66">
        <v>56243</v>
      </c>
      <c r="D106">
        <f t="shared" si="5"/>
        <v>43.892864668284723</v>
      </c>
      <c r="E106">
        <f t="shared" si="6"/>
        <v>43.892864668284723</v>
      </c>
      <c r="G106">
        <f t="shared" ca="1" si="7"/>
        <v>104</v>
      </c>
      <c r="H106">
        <f t="shared" ca="1" si="8"/>
        <v>4564.8579255016111</v>
      </c>
      <c r="I106">
        <f t="shared" ca="1" si="9"/>
        <v>28995.59067726287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46094</v>
      </c>
      <c r="B108" s="66">
        <v>46094</v>
      </c>
      <c r="D108">
        <f t="shared" si="5"/>
        <v>35.972435752358805</v>
      </c>
      <c r="E108">
        <f t="shared" si="6"/>
        <v>35.972435752358805</v>
      </c>
      <c r="G108">
        <f t="shared" ca="1" si="7"/>
        <v>106</v>
      </c>
      <c r="H108">
        <f t="shared" ca="1" si="8"/>
        <v>3813.0781897500333</v>
      </c>
      <c r="I108">
        <f t="shared" ca="1" si="9"/>
        <v>27605.52356415736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46735</v>
      </c>
      <c r="B111" s="66">
        <v>46735</v>
      </c>
      <c r="D111">
        <f t="shared" si="5"/>
        <v>36.472681582993204</v>
      </c>
      <c r="E111">
        <f t="shared" si="6"/>
        <v>36.472681582993204</v>
      </c>
      <c r="G111">
        <f t="shared" ca="1" si="7"/>
        <v>109</v>
      </c>
      <c r="H111">
        <f t="shared" ca="1" si="8"/>
        <v>3975.522292546259</v>
      </c>
      <c r="I111">
        <f t="shared" ca="1" si="9"/>
        <v>34379.894713235321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42704</v>
      </c>
      <c r="B113" s="66">
        <v>42704</v>
      </c>
      <c r="D113">
        <f t="shared" si="5"/>
        <v>33.326829877396847</v>
      </c>
      <c r="E113">
        <f t="shared" si="6"/>
        <v>33.326829877396847</v>
      </c>
      <c r="G113">
        <f t="shared" ca="1" si="7"/>
        <v>111</v>
      </c>
      <c r="H113">
        <f t="shared" ca="1" si="8"/>
        <v>3699.2781163910499</v>
      </c>
      <c r="I113">
        <f t="shared" ca="1" si="9"/>
        <v>35640.675827039668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41546</v>
      </c>
      <c r="B116" s="66">
        <v>41546</v>
      </c>
      <c r="D116">
        <f t="shared" si="5"/>
        <v>32.42310964046294</v>
      </c>
      <c r="E116">
        <f t="shared" si="6"/>
        <v>32.42310964046294</v>
      </c>
      <c r="G116">
        <f t="shared" ca="1" si="7"/>
        <v>114</v>
      </c>
      <c r="H116">
        <f t="shared" ca="1" si="8"/>
        <v>3696.2344990127749</v>
      </c>
      <c r="I116">
        <f t="shared" ca="1" si="9"/>
        <v>41327.846594882176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40539</v>
      </c>
      <c r="B118" s="66">
        <v>40539</v>
      </c>
      <c r="D118">
        <f t="shared" si="5"/>
        <v>31.637232025098136</v>
      </c>
      <c r="E118">
        <f t="shared" si="6"/>
        <v>31.637232025098136</v>
      </c>
      <c r="G118">
        <f t="shared" ca="1" si="7"/>
        <v>116</v>
      </c>
      <c r="H118">
        <f t="shared" ca="1" si="8"/>
        <v>3669.9189149113836</v>
      </c>
      <c r="I118">
        <f t="shared" ca="1" si="9"/>
        <v>44970.748710370732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39218</v>
      </c>
      <c r="B121" s="66">
        <v>39218</v>
      </c>
      <c r="D121">
        <f t="shared" si="5"/>
        <v>30.60630419004659</v>
      </c>
      <c r="E121">
        <f t="shared" si="6"/>
        <v>30.60630419004659</v>
      </c>
      <c r="G121">
        <f t="shared" ca="1" si="7"/>
        <v>119</v>
      </c>
      <c r="H121">
        <f t="shared" ca="1" si="8"/>
        <v>3642.150198615544</v>
      </c>
      <c r="I121">
        <f t="shared" ca="1" si="9"/>
        <v>50704.328989140799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43028</v>
      </c>
      <c r="B124" s="66">
        <v>43028</v>
      </c>
      <c r="D124">
        <f t="shared" si="5"/>
        <v>33.579684244207371</v>
      </c>
      <c r="E124">
        <f t="shared" si="6"/>
        <v>33.579684244207371</v>
      </c>
      <c r="G124">
        <f t="shared" ca="1" si="7"/>
        <v>122</v>
      </c>
      <c r="H124">
        <f t="shared" ca="1" si="8"/>
        <v>4096.7214777932995</v>
      </c>
      <c r="I124">
        <f t="shared" ca="1" si="9"/>
        <v>64133.021466262922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45068</v>
      </c>
      <c r="B126" s="66">
        <v>45068</v>
      </c>
      <c r="D126">
        <f t="shared" si="5"/>
        <v>35.171730257458812</v>
      </c>
      <c r="E126">
        <f t="shared" si="6"/>
        <v>35.171730257458812</v>
      </c>
      <c r="G126">
        <f t="shared" ca="1" si="7"/>
        <v>124</v>
      </c>
      <c r="H126">
        <f t="shared" ca="1" si="8"/>
        <v>4361.2945519248924</v>
      </c>
      <c r="I126">
        <f t="shared" ca="1" si="9"/>
        <v>73462.635600858193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38116</v>
      </c>
      <c r="B129" s="66">
        <v>38116</v>
      </c>
      <c r="D129">
        <f t="shared" si="5"/>
        <v>29.746287177005861</v>
      </c>
      <c r="E129">
        <f t="shared" si="6"/>
        <v>29.746287177005861</v>
      </c>
      <c r="G129">
        <f t="shared" ca="1" si="7"/>
        <v>127</v>
      </c>
      <c r="H129">
        <f t="shared" ca="1" si="8"/>
        <v>3777.7784714797444</v>
      </c>
      <c r="I129">
        <f t="shared" ca="1" si="9"/>
        <v>70555.126262117847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27587</v>
      </c>
      <c r="B131" s="66">
        <v>27587</v>
      </c>
      <c r="D131">
        <f t="shared" ref="D131:D194" si="10">IFERROR(100*A131/MAX(A$2:A$257), 0 )</f>
        <v>21.529300670376237</v>
      </c>
      <c r="E131">
        <f t="shared" ref="E131:E194" si="11">IFERROR(100*B131/MAX(B$2:B$257), 0 )</f>
        <v>21.529300670376237</v>
      </c>
      <c r="G131">
        <f t="shared" ref="G131:G194" ca="1" si="12">CELL("row",D131)-2</f>
        <v>129</v>
      </c>
      <c r="H131">
        <f t="shared" ref="H131:H194" ca="1" si="13">D131*G131</f>
        <v>2777.2797864785348</v>
      </c>
      <c r="I131">
        <f t="shared" ref="I131:I194" ca="1" si="14">D131*((G131-$L$1)^2)</f>
        <v>55345.489361331973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24157</v>
      </c>
      <c r="B134" s="66">
        <v>24157</v>
      </c>
      <c r="D134">
        <f t="shared" si="10"/>
        <v>18.852478206919155</v>
      </c>
      <c r="E134">
        <f t="shared" si="11"/>
        <v>18.852478206919155</v>
      </c>
      <c r="G134">
        <f t="shared" ca="1" si="12"/>
        <v>132</v>
      </c>
      <c r="H134">
        <f t="shared" ca="1" si="13"/>
        <v>2488.5271233133285</v>
      </c>
      <c r="I134">
        <f t="shared" ca="1" si="14"/>
        <v>54369.003863931634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18820</v>
      </c>
      <c r="B136" s="66">
        <v>18820</v>
      </c>
      <c r="D136">
        <f t="shared" si="10"/>
        <v>14.687404886956928</v>
      </c>
      <c r="E136">
        <f t="shared" si="11"/>
        <v>14.687404886956928</v>
      </c>
      <c r="G136">
        <f t="shared" ca="1" si="12"/>
        <v>134</v>
      </c>
      <c r="H136">
        <f t="shared" ca="1" si="13"/>
        <v>1968.1122548522285</v>
      </c>
      <c r="I136">
        <f t="shared" ca="1" si="14"/>
        <v>45571.002349327646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17253</v>
      </c>
      <c r="B139" s="66">
        <v>17253</v>
      </c>
      <c r="D139">
        <f t="shared" si="10"/>
        <v>13.464495032660356</v>
      </c>
      <c r="E139">
        <f t="shared" si="11"/>
        <v>13.464495032660356</v>
      </c>
      <c r="G139">
        <f t="shared" ca="1" si="12"/>
        <v>137</v>
      </c>
      <c r="H139">
        <f t="shared" ca="1" si="13"/>
        <v>1844.6358194744687</v>
      </c>
      <c r="I139">
        <f t="shared" ca="1" si="14"/>
        <v>46397.833670923115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19748</v>
      </c>
      <c r="B142" s="66">
        <v>19748</v>
      </c>
      <c r="D142">
        <f t="shared" si="10"/>
        <v>15.411629740043859</v>
      </c>
      <c r="E142">
        <f t="shared" si="11"/>
        <v>15.411629740043859</v>
      </c>
      <c r="G142">
        <f t="shared" ca="1" si="12"/>
        <v>140</v>
      </c>
      <c r="H142">
        <f t="shared" ca="1" si="13"/>
        <v>2157.6281636061403</v>
      </c>
      <c r="I142">
        <f t="shared" ca="1" si="14"/>
        <v>58674.418920495096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21732</v>
      </c>
      <c r="B144" s="66">
        <v>21732</v>
      </c>
      <c r="D144">
        <f t="shared" si="10"/>
        <v>16.959972529402123</v>
      </c>
      <c r="E144">
        <f t="shared" si="11"/>
        <v>16.959972529402123</v>
      </c>
      <c r="G144">
        <f t="shared" ca="1" si="12"/>
        <v>142</v>
      </c>
      <c r="H144">
        <f t="shared" ca="1" si="13"/>
        <v>2408.3160991751015</v>
      </c>
      <c r="I144">
        <f t="shared" ca="1" si="14"/>
        <v>68822.900674726552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17798</v>
      </c>
      <c r="B147" s="66">
        <v>17798</v>
      </c>
      <c r="D147">
        <f t="shared" si="10"/>
        <v>13.889821050906452</v>
      </c>
      <c r="E147">
        <f t="shared" si="11"/>
        <v>13.889821050906452</v>
      </c>
      <c r="G147">
        <f t="shared" ca="1" si="12"/>
        <v>145</v>
      </c>
      <c r="H147">
        <f t="shared" ca="1" si="13"/>
        <v>2014.0240523814355</v>
      </c>
      <c r="I147">
        <f t="shared" ca="1" si="14"/>
        <v>61798.221891389796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12336</v>
      </c>
      <c r="B149" s="66">
        <v>12336</v>
      </c>
      <c r="D149">
        <f t="shared" si="10"/>
        <v>9.6271958918969549</v>
      </c>
      <c r="E149">
        <f t="shared" si="11"/>
        <v>9.6271958918969549</v>
      </c>
      <c r="G149">
        <f t="shared" ca="1" si="12"/>
        <v>147</v>
      </c>
      <c r="H149">
        <f t="shared" ca="1" si="13"/>
        <v>1415.1977961088523</v>
      </c>
      <c r="I149">
        <f t="shared" ca="1" si="14"/>
        <v>45440.190006832388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9506</v>
      </c>
      <c r="B152" s="66">
        <v>9506</v>
      </c>
      <c r="D152">
        <f t="shared" si="10"/>
        <v>7.4186222558667678</v>
      </c>
      <c r="E152">
        <f t="shared" si="11"/>
        <v>7.4186222558667678</v>
      </c>
      <c r="G152">
        <f t="shared" ca="1" si="12"/>
        <v>150</v>
      </c>
      <c r="H152">
        <f t="shared" ca="1" si="13"/>
        <v>1112.7933383800153</v>
      </c>
      <c r="I152">
        <f t="shared" ca="1" si="14"/>
        <v>38140.580744447179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9600</v>
      </c>
      <c r="B154" s="66">
        <v>9600</v>
      </c>
      <c r="D154">
        <f t="shared" si="10"/>
        <v>7.4919812388303146</v>
      </c>
      <c r="E154">
        <f t="shared" si="11"/>
        <v>7.4919812388303146</v>
      </c>
      <c r="G154">
        <f t="shared" ca="1" si="12"/>
        <v>152</v>
      </c>
      <c r="H154">
        <f t="shared" ca="1" si="13"/>
        <v>1138.7811483022078</v>
      </c>
      <c r="I154">
        <f t="shared" ca="1" si="14"/>
        <v>40696.465352950843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9809</v>
      </c>
      <c r="B157" s="66">
        <v>9809</v>
      </c>
      <c r="D157">
        <f t="shared" si="10"/>
        <v>7.6550879137173498</v>
      </c>
      <c r="E157">
        <f t="shared" si="11"/>
        <v>7.6550879137173498</v>
      </c>
      <c r="G157">
        <f t="shared" ca="1" si="12"/>
        <v>155</v>
      </c>
      <c r="H157">
        <f t="shared" ca="1" si="13"/>
        <v>1186.5386266261892</v>
      </c>
      <c r="I157">
        <f t="shared" ca="1" si="14"/>
        <v>45036.534547689887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10129</v>
      </c>
      <c r="B160" s="66">
        <v>10129</v>
      </c>
      <c r="D160">
        <f t="shared" si="10"/>
        <v>7.9048206216783603</v>
      </c>
      <c r="E160">
        <f t="shared" si="11"/>
        <v>7.9048206216783603</v>
      </c>
      <c r="G160">
        <f t="shared" ca="1" si="12"/>
        <v>158</v>
      </c>
      <c r="H160">
        <f t="shared" ca="1" si="13"/>
        <v>1248.9616582251808</v>
      </c>
      <c r="I160">
        <f t="shared" ca="1" si="14"/>
        <v>50214.808555582022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9700</v>
      </c>
      <c r="B162" s="66">
        <v>9700</v>
      </c>
      <c r="D162">
        <f t="shared" si="10"/>
        <v>7.5700227100681303</v>
      </c>
      <c r="E162">
        <f t="shared" si="11"/>
        <v>7.5700227100681303</v>
      </c>
      <c r="G162">
        <f t="shared" ca="1" si="12"/>
        <v>160</v>
      </c>
      <c r="H162">
        <f t="shared" ca="1" si="13"/>
        <v>1211.2036336109009</v>
      </c>
      <c r="I162">
        <f t="shared" ca="1" si="14"/>
        <v>50531.69637877206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7001</v>
      </c>
      <c r="B165" s="66">
        <v>7001</v>
      </c>
      <c r="D165">
        <f t="shared" si="10"/>
        <v>5.4636834013594822</v>
      </c>
      <c r="E165">
        <f t="shared" si="11"/>
        <v>5.4636834013594822</v>
      </c>
      <c r="G165">
        <f t="shared" ca="1" si="12"/>
        <v>163</v>
      </c>
      <c r="H165">
        <f t="shared" ca="1" si="13"/>
        <v>890.58039442159554</v>
      </c>
      <c r="I165">
        <f t="shared" ca="1" si="14"/>
        <v>39198.922485970223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7311</v>
      </c>
      <c r="B167" s="66">
        <v>7311</v>
      </c>
      <c r="D167">
        <f t="shared" si="10"/>
        <v>5.705611962196711</v>
      </c>
      <c r="E167">
        <f t="shared" si="11"/>
        <v>5.705611962196711</v>
      </c>
      <c r="G167">
        <f t="shared" ca="1" si="12"/>
        <v>165</v>
      </c>
      <c r="H167">
        <f t="shared" ca="1" si="13"/>
        <v>941.42597376245726</v>
      </c>
      <c r="I167">
        <f t="shared" ca="1" si="14"/>
        <v>42890.559068816445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6767</v>
      </c>
      <c r="B170" s="66">
        <v>6767</v>
      </c>
      <c r="D170">
        <f t="shared" si="10"/>
        <v>5.2810663586629936</v>
      </c>
      <c r="E170">
        <f t="shared" si="11"/>
        <v>5.2810663586629936</v>
      </c>
      <c r="G170">
        <f t="shared" ca="1" si="12"/>
        <v>168</v>
      </c>
      <c r="H170">
        <f t="shared" ca="1" si="13"/>
        <v>887.21914825538295</v>
      </c>
      <c r="I170">
        <f t="shared" ca="1" si="14"/>
        <v>42493.94771669378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5066</v>
      </c>
      <c r="B173" s="66">
        <v>5066</v>
      </c>
      <c r="D173">
        <f t="shared" si="10"/>
        <v>3.9535809329077471</v>
      </c>
      <c r="E173">
        <f t="shared" si="11"/>
        <v>3.9535809329077471</v>
      </c>
      <c r="G173">
        <f t="shared" ca="1" si="12"/>
        <v>171</v>
      </c>
      <c r="H173">
        <f t="shared" ca="1" si="13"/>
        <v>676.06233952722471</v>
      </c>
      <c r="I173">
        <f t="shared" ca="1" si="14"/>
        <v>33975.824506336314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3162</v>
      </c>
      <c r="B175" s="66">
        <v>3162</v>
      </c>
      <c r="D175">
        <f t="shared" si="10"/>
        <v>2.4676713205397349</v>
      </c>
      <c r="E175">
        <f t="shared" si="11"/>
        <v>2.4676713205397349</v>
      </c>
      <c r="G175">
        <f t="shared" ca="1" si="12"/>
        <v>173</v>
      </c>
      <c r="H175">
        <f t="shared" ca="1" si="13"/>
        <v>426.90713845337416</v>
      </c>
      <c r="I175">
        <f t="shared" ca="1" si="14"/>
        <v>22131.291285797397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2487</v>
      </c>
      <c r="B178" s="66">
        <v>2487</v>
      </c>
      <c r="D178">
        <f t="shared" si="10"/>
        <v>1.9408913896844784</v>
      </c>
      <c r="E178">
        <f t="shared" si="11"/>
        <v>1.9408913896844784</v>
      </c>
      <c r="G178">
        <f t="shared" ca="1" si="12"/>
        <v>176</v>
      </c>
      <c r="H178">
        <f t="shared" ca="1" si="13"/>
        <v>341.59688458446817</v>
      </c>
      <c r="I178">
        <f t="shared" ca="1" si="14"/>
        <v>18527.17676841627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1875</v>
      </c>
      <c r="B180" s="66">
        <v>1875</v>
      </c>
      <c r="D180">
        <f t="shared" si="10"/>
        <v>1.4632775857090459</v>
      </c>
      <c r="E180">
        <f t="shared" si="11"/>
        <v>1.4632775857090459</v>
      </c>
      <c r="G180">
        <f t="shared" ca="1" si="12"/>
        <v>178</v>
      </c>
      <c r="H180">
        <f t="shared" ca="1" si="13"/>
        <v>260.46341025621018</v>
      </c>
      <c r="I180">
        <f t="shared" ca="1" si="14"/>
        <v>14545.730684627297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1336</v>
      </c>
      <c r="B183" s="66">
        <v>1336</v>
      </c>
      <c r="D183">
        <f t="shared" si="10"/>
        <v>1.0426340557372187</v>
      </c>
      <c r="E183">
        <f t="shared" si="11"/>
        <v>1.0426340557372187</v>
      </c>
      <c r="G183">
        <f t="shared" ca="1" si="12"/>
        <v>181</v>
      </c>
      <c r="H183">
        <f t="shared" ca="1" si="13"/>
        <v>188.71676408843658</v>
      </c>
      <c r="I183">
        <f t="shared" ca="1" si="14"/>
        <v>10997.418657435664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301</v>
      </c>
      <c r="B185" s="66">
        <v>301</v>
      </c>
      <c r="D185">
        <f t="shared" si="10"/>
        <v>0.2349048284258255</v>
      </c>
      <c r="E185">
        <f t="shared" si="11"/>
        <v>0.2349048284258255</v>
      </c>
      <c r="G185">
        <f t="shared" ca="1" si="12"/>
        <v>183</v>
      </c>
      <c r="H185">
        <f t="shared" ca="1" si="13"/>
        <v>42.987583601926069</v>
      </c>
      <c r="I185">
        <f t="shared" ca="1" si="14"/>
        <v>2575.1523569688493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161</v>
      </c>
      <c r="B188" s="66">
        <v>161</v>
      </c>
      <c r="D188">
        <f t="shared" si="10"/>
        <v>0.12564676869288341</v>
      </c>
      <c r="E188">
        <f t="shared" si="11"/>
        <v>0.12564676869288341</v>
      </c>
      <c r="G188">
        <f t="shared" ca="1" si="12"/>
        <v>186</v>
      </c>
      <c r="H188">
        <f t="shared" ca="1" si="13"/>
        <v>23.370298976876313</v>
      </c>
      <c r="I188">
        <f t="shared" ca="1" si="14"/>
        <v>1457.4707970290415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162</v>
      </c>
      <c r="B191" s="66">
        <v>162</v>
      </c>
      <c r="D191">
        <f t="shared" si="10"/>
        <v>0.12642718340526155</v>
      </c>
      <c r="E191">
        <f t="shared" si="11"/>
        <v>0.12642718340526155</v>
      </c>
      <c r="G191">
        <f t="shared" ca="1" si="12"/>
        <v>189</v>
      </c>
      <c r="H191">
        <f t="shared" ca="1" si="13"/>
        <v>23.894737663594434</v>
      </c>
      <c r="I191">
        <f t="shared" ca="1" si="14"/>
        <v>1549.3601125488274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405</v>
      </c>
      <c r="B1" s="68" t="s">
        <v>406</v>
      </c>
      <c r="C1" s="32" t="s">
        <v>407</v>
      </c>
      <c r="D1" s="32" t="s">
        <v>408</v>
      </c>
      <c r="E1" s="32" t="s">
        <v>409</v>
      </c>
    </row>
    <row r="2" spans="1:5">
      <c r="A2" s="68">
        <v>0.17280200000000001</v>
      </c>
      <c r="B2" s="68">
        <v>0.59575100000000003</v>
      </c>
      <c r="C2" s="68">
        <v>0</v>
      </c>
      <c r="D2" s="68">
        <v>1</v>
      </c>
      <c r="E2" s="68" t="s">
        <v>410</v>
      </c>
    </row>
    <row r="3" spans="1:5">
      <c r="A3" s="68">
        <v>0.17859</v>
      </c>
      <c r="B3" s="68">
        <v>0.58682699999999999</v>
      </c>
      <c r="C3" s="68">
        <v>0.40504800000000002</v>
      </c>
      <c r="D3" s="89">
        <v>1</v>
      </c>
      <c r="E3" s="68" t="s">
        <v>411</v>
      </c>
    </row>
    <row r="4" spans="1:5">
      <c r="A4" s="68">
        <v>0.18421899999999999</v>
      </c>
      <c r="B4" s="68">
        <v>0.57679800000000003</v>
      </c>
      <c r="C4" s="68">
        <v>0.81174199999999996</v>
      </c>
      <c r="D4" s="89">
        <v>1</v>
      </c>
      <c r="E4" s="68" t="s">
        <v>412</v>
      </c>
    </row>
    <row r="5" spans="1:5">
      <c r="A5" s="89">
        <v>0.18961800000000001</v>
      </c>
      <c r="B5" s="89">
        <v>0.56668700000000005</v>
      </c>
      <c r="C5" s="89">
        <v>1.2185299999999999</v>
      </c>
      <c r="D5" s="89">
        <v>1</v>
      </c>
      <c r="E5" s="68" t="s">
        <v>413</v>
      </c>
    </row>
    <row r="6" spans="1:5">
      <c r="A6" s="68">
        <v>0.195075</v>
      </c>
      <c r="B6" s="68">
        <v>0.55575300000000005</v>
      </c>
      <c r="C6" s="68">
        <v>1.62263</v>
      </c>
      <c r="D6" s="68">
        <v>1</v>
      </c>
      <c r="E6" s="68" t="s">
        <v>414</v>
      </c>
    </row>
    <row r="7" spans="1:5">
      <c r="A7" s="68">
        <v>0.20044400000000001</v>
      </c>
      <c r="B7" s="68">
        <v>0.54445900000000003</v>
      </c>
      <c r="C7" s="68">
        <v>2.0345300000000002</v>
      </c>
      <c r="D7" s="68">
        <v>1</v>
      </c>
      <c r="E7" s="68" t="s">
        <v>415</v>
      </c>
    </row>
    <row r="8" spans="1:5">
      <c r="A8" s="68">
        <v>0.20558100000000001</v>
      </c>
      <c r="B8" s="68">
        <v>0.53403</v>
      </c>
      <c r="C8" s="68">
        <v>2.4343699999999999</v>
      </c>
      <c r="D8" s="68">
        <v>1</v>
      </c>
      <c r="E8" s="68" t="s">
        <v>416</v>
      </c>
    </row>
    <row r="9" spans="1:5">
      <c r="A9" s="68">
        <v>0.21054200000000001</v>
      </c>
      <c r="B9" s="68">
        <v>0.524088</v>
      </c>
      <c r="C9" s="68">
        <v>2.84422</v>
      </c>
      <c r="D9" s="68">
        <v>1</v>
      </c>
      <c r="E9" s="68" t="s">
        <v>417</v>
      </c>
    </row>
    <row r="10" spans="1:5">
      <c r="A10" s="68">
        <v>0.21537899999999999</v>
      </c>
      <c r="B10" s="68">
        <v>0.51458000000000004</v>
      </c>
      <c r="C10" s="68">
        <v>3.24953</v>
      </c>
      <c r="D10" s="68">
        <v>1</v>
      </c>
      <c r="E10" s="68" t="s">
        <v>418</v>
      </c>
    </row>
    <row r="11" spans="1:5">
      <c r="A11" s="68">
        <v>0.220249</v>
      </c>
      <c r="B11" s="68">
        <v>0.50431599999999999</v>
      </c>
      <c r="C11" s="68">
        <v>3.6562800000000002</v>
      </c>
      <c r="D11" s="68">
        <v>1</v>
      </c>
      <c r="E11" s="68" t="s">
        <v>419</v>
      </c>
    </row>
    <row r="12" spans="1:5">
      <c r="A12" s="68">
        <v>0.225384</v>
      </c>
      <c r="B12" s="68">
        <v>0.49231000000000003</v>
      </c>
      <c r="C12" s="68">
        <v>4.0640400000000003</v>
      </c>
      <c r="D12" s="68">
        <v>1</v>
      </c>
      <c r="E12" s="68" t="s">
        <v>420</v>
      </c>
    </row>
    <row r="13" spans="1:5">
      <c r="A13" s="68">
        <v>0.23058999999999999</v>
      </c>
      <c r="B13" s="68">
        <v>0.47983900000000002</v>
      </c>
      <c r="C13" s="68">
        <v>4.4690899999999996</v>
      </c>
      <c r="D13" s="68">
        <v>1</v>
      </c>
      <c r="E13" s="68" t="s">
        <v>421</v>
      </c>
    </row>
    <row r="14" spans="1:5">
      <c r="A14" s="68">
        <v>0.235934</v>
      </c>
      <c r="B14" s="68">
        <v>0.46676899999999999</v>
      </c>
      <c r="C14" s="68">
        <v>4.8748699999999996</v>
      </c>
      <c r="D14" s="68">
        <v>1</v>
      </c>
      <c r="E14" s="68" t="s">
        <v>422</v>
      </c>
    </row>
    <row r="15" spans="1:5">
      <c r="A15" s="68">
        <v>0.24113799999999999</v>
      </c>
      <c r="B15" s="68">
        <v>0.45285599999999998</v>
      </c>
      <c r="C15" s="68">
        <v>5.2838599999999998</v>
      </c>
      <c r="D15" s="68">
        <v>1</v>
      </c>
      <c r="E15" s="68" t="s">
        <v>423</v>
      </c>
    </row>
    <row r="16" spans="1:5">
      <c r="A16" s="68">
        <v>0.24655199999999999</v>
      </c>
      <c r="B16" s="68">
        <v>0.43865799999999999</v>
      </c>
      <c r="C16" s="68">
        <v>5.6888800000000002</v>
      </c>
      <c r="D16" s="68">
        <v>1</v>
      </c>
      <c r="E16" s="68" t="s">
        <v>424</v>
      </c>
    </row>
    <row r="17" spans="1:5">
      <c r="A17" s="68">
        <v>0.252191</v>
      </c>
      <c r="B17" s="68">
        <v>0.42491800000000002</v>
      </c>
      <c r="C17" s="68">
        <v>6.0955399999999997</v>
      </c>
      <c r="D17" s="68">
        <v>1</v>
      </c>
      <c r="E17" s="68" t="s">
        <v>425</v>
      </c>
    </row>
    <row r="18" spans="1:5">
      <c r="A18" s="68">
        <v>0.25775700000000001</v>
      </c>
      <c r="B18" s="68">
        <v>0.41156900000000002</v>
      </c>
      <c r="C18" s="68">
        <v>6.5015000000000001</v>
      </c>
      <c r="D18" s="68">
        <v>1</v>
      </c>
      <c r="E18" s="68" t="s">
        <v>426</v>
      </c>
    </row>
    <row r="19" spans="1:5">
      <c r="A19" s="68">
        <v>0.263349</v>
      </c>
      <c r="B19" s="68">
        <v>0.39844099999999999</v>
      </c>
      <c r="C19" s="68">
        <v>6.9093</v>
      </c>
      <c r="D19" s="68">
        <v>1</v>
      </c>
      <c r="E19" s="68" t="s">
        <v>427</v>
      </c>
    </row>
    <row r="20" spans="1:5">
      <c r="A20" s="68">
        <v>0.26897700000000002</v>
      </c>
      <c r="B20" s="68">
        <v>0.38587500000000002</v>
      </c>
      <c r="C20" s="68">
        <v>7.3133600000000003</v>
      </c>
      <c r="D20" s="68">
        <v>1</v>
      </c>
      <c r="E20" s="68" t="s">
        <v>428</v>
      </c>
    </row>
    <row r="21" spans="1:5">
      <c r="A21" s="68">
        <v>0.27442899999999998</v>
      </c>
      <c r="B21" s="68">
        <v>0.37370599999999998</v>
      </c>
      <c r="C21" s="68">
        <v>7.7193500000000004</v>
      </c>
      <c r="D21" s="68">
        <v>1</v>
      </c>
      <c r="E21" s="68" t="s">
        <v>429</v>
      </c>
    </row>
    <row r="22" spans="1:5">
      <c r="A22" s="68">
        <v>0.27968500000000002</v>
      </c>
      <c r="B22" s="68">
        <v>0.361566</v>
      </c>
      <c r="C22" s="68">
        <v>8.1272000000000002</v>
      </c>
      <c r="D22" s="68">
        <v>1</v>
      </c>
      <c r="E22" s="68" t="s">
        <v>430</v>
      </c>
    </row>
    <row r="23" spans="1:5">
      <c r="A23" s="68">
        <v>0.28482299999999999</v>
      </c>
      <c r="B23" s="68">
        <v>0.35015800000000002</v>
      </c>
      <c r="C23" s="68">
        <v>8.5309699999999999</v>
      </c>
      <c r="D23" s="68">
        <v>1</v>
      </c>
      <c r="E23" s="68" t="s">
        <v>431</v>
      </c>
    </row>
    <row r="24" spans="1:5">
      <c r="A24" s="68">
        <v>0.28959800000000002</v>
      </c>
      <c r="B24" s="68">
        <v>0.33964800000000001</v>
      </c>
      <c r="C24" s="68">
        <v>8.9390099999999997</v>
      </c>
      <c r="D24" s="68">
        <v>1</v>
      </c>
      <c r="E24" s="68" t="s">
        <v>432</v>
      </c>
    </row>
    <row r="25" spans="1:5">
      <c r="A25" s="68">
        <v>0.29419200000000001</v>
      </c>
      <c r="B25" s="68">
        <v>0.32937100000000002</v>
      </c>
      <c r="C25" s="68">
        <v>9.3493600000000008</v>
      </c>
      <c r="D25" s="68">
        <v>1</v>
      </c>
      <c r="E25" s="68" t="s">
        <v>433</v>
      </c>
    </row>
    <row r="26" spans="1:5">
      <c r="A26" s="68">
        <v>0.29863200000000001</v>
      </c>
      <c r="B26" s="68">
        <v>0.319575</v>
      </c>
      <c r="C26" s="68">
        <v>9.7546800000000005</v>
      </c>
      <c r="D26" s="68">
        <v>1</v>
      </c>
      <c r="E26" s="68" t="s">
        <v>434</v>
      </c>
    </row>
    <row r="27" spans="1:5">
      <c r="A27" s="68">
        <v>0.30301499999999998</v>
      </c>
      <c r="B27" s="68">
        <v>0.31009100000000001</v>
      </c>
      <c r="C27" s="68">
        <v>10.1556</v>
      </c>
      <c r="D27" s="68">
        <v>1</v>
      </c>
      <c r="E27" s="68" t="s">
        <v>435</v>
      </c>
    </row>
    <row r="28" spans="1:5">
      <c r="A28" s="68">
        <v>0.30750499999999997</v>
      </c>
      <c r="B28" s="68">
        <v>0.300427</v>
      </c>
      <c r="C28" s="68">
        <v>10.5616</v>
      </c>
      <c r="D28" s="68">
        <v>1</v>
      </c>
      <c r="E28" s="68" t="s">
        <v>436</v>
      </c>
    </row>
    <row r="29" spans="1:5">
      <c r="A29" s="68">
        <v>0.31181300000000001</v>
      </c>
      <c r="B29" s="68">
        <v>0.29227300000000001</v>
      </c>
      <c r="C29" s="68">
        <v>10.967599999999999</v>
      </c>
      <c r="D29" s="68">
        <v>1</v>
      </c>
      <c r="E29" s="68" t="s">
        <v>437</v>
      </c>
    </row>
    <row r="30" spans="1:5">
      <c r="A30" s="68">
        <v>0.316106</v>
      </c>
      <c r="B30" s="68">
        <v>0.28543299999999999</v>
      </c>
      <c r="C30" s="68">
        <v>11.3733</v>
      </c>
      <c r="D30" s="68">
        <v>1</v>
      </c>
      <c r="E30" s="68" t="s">
        <v>438</v>
      </c>
    </row>
    <row r="31" spans="1:5">
      <c r="A31" s="68">
        <v>0.32033299999999998</v>
      </c>
      <c r="B31" s="68">
        <v>0.27913300000000002</v>
      </c>
      <c r="C31" s="68">
        <v>11.783300000000001</v>
      </c>
      <c r="D31" s="68">
        <v>1</v>
      </c>
      <c r="E31" s="68" t="s">
        <v>439</v>
      </c>
    </row>
    <row r="32" spans="1:5">
      <c r="A32" s="68">
        <v>0.32430199999999998</v>
      </c>
      <c r="B32" s="68">
        <v>0.27416200000000002</v>
      </c>
      <c r="C32" s="68">
        <v>12.1851</v>
      </c>
      <c r="D32" s="68">
        <v>1</v>
      </c>
      <c r="E32" s="68" t="s">
        <v>440</v>
      </c>
    </row>
    <row r="33" spans="1:5">
      <c r="A33" s="68">
        <v>0.32822400000000002</v>
      </c>
      <c r="B33" s="68">
        <v>0.26980599999999999</v>
      </c>
      <c r="C33" s="68">
        <v>12.594099999999999</v>
      </c>
      <c r="D33" s="68">
        <v>1</v>
      </c>
      <c r="E33" s="68" t="s">
        <v>441</v>
      </c>
    </row>
    <row r="34" spans="1:5">
      <c r="A34" s="68">
        <v>0.331984</v>
      </c>
      <c r="B34" s="68">
        <v>0.26627800000000001</v>
      </c>
      <c r="C34" s="68">
        <v>12.996700000000001</v>
      </c>
      <c r="D34" s="68">
        <v>1</v>
      </c>
      <c r="E34" s="68" t="s">
        <v>442</v>
      </c>
    </row>
    <row r="35" spans="1:5">
      <c r="A35" s="68">
        <v>0.33574399999999999</v>
      </c>
      <c r="B35" s="68">
        <v>0.26361600000000002</v>
      </c>
      <c r="C35" s="68">
        <v>13.4109</v>
      </c>
      <c r="D35" s="68">
        <v>1</v>
      </c>
      <c r="E35" s="68" t="s">
        <v>443</v>
      </c>
    </row>
    <row r="36" spans="1:5">
      <c r="A36" s="68">
        <v>0.33917000000000003</v>
      </c>
      <c r="B36" s="68">
        <v>0.26232699999999998</v>
      </c>
      <c r="C36" s="68">
        <v>13.813700000000001</v>
      </c>
      <c r="D36" s="68">
        <v>1</v>
      </c>
      <c r="E36" s="68" t="s">
        <v>444</v>
      </c>
    </row>
    <row r="37" spans="1:5">
      <c r="A37" s="68">
        <v>0.342173</v>
      </c>
      <c r="B37" s="68">
        <v>0.26152199999999998</v>
      </c>
      <c r="C37" s="68">
        <v>14.2218</v>
      </c>
      <c r="D37" s="68">
        <v>1</v>
      </c>
      <c r="E37" s="68" t="s">
        <v>445</v>
      </c>
    </row>
    <row r="38" spans="1:5">
      <c r="A38" s="68">
        <v>0.344829</v>
      </c>
      <c r="B38" s="68">
        <v>0.26129599999999997</v>
      </c>
      <c r="C38" s="68">
        <v>14.6236</v>
      </c>
      <c r="D38" s="68">
        <v>1</v>
      </c>
      <c r="E38" s="68" t="s">
        <v>446</v>
      </c>
    </row>
    <row r="39" spans="1:5">
      <c r="A39" s="68">
        <v>0.34712500000000002</v>
      </c>
      <c r="B39" s="68">
        <v>0.261351</v>
      </c>
      <c r="C39" s="68">
        <v>15.032999999999999</v>
      </c>
      <c r="D39" s="68">
        <v>1</v>
      </c>
      <c r="E39" s="68" t="s">
        <v>447</v>
      </c>
    </row>
    <row r="40" spans="1:5">
      <c r="A40" s="68">
        <v>0.34903699999999999</v>
      </c>
      <c r="B40" s="68">
        <v>0.26272200000000001</v>
      </c>
      <c r="C40" s="68">
        <v>15.4345</v>
      </c>
      <c r="D40" s="68">
        <v>1</v>
      </c>
      <c r="E40" s="68" t="s">
        <v>448</v>
      </c>
    </row>
    <row r="41" spans="1:5">
      <c r="A41" s="68">
        <v>0.35089199999999998</v>
      </c>
      <c r="B41" s="68">
        <v>0.26374700000000001</v>
      </c>
      <c r="C41" s="68">
        <v>15.844900000000001</v>
      </c>
      <c r="D41" s="68">
        <v>1</v>
      </c>
      <c r="E41" s="68" t="s">
        <v>449</v>
      </c>
    </row>
    <row r="42" spans="1:5">
      <c r="A42" s="68">
        <v>0.35275499999999999</v>
      </c>
      <c r="B42" s="68">
        <v>0.26442199999999999</v>
      </c>
      <c r="C42" s="68">
        <v>16.253299999999999</v>
      </c>
      <c r="D42" s="68">
        <v>1</v>
      </c>
      <c r="E42" s="68" t="s">
        <v>450</v>
      </c>
    </row>
    <row r="43" spans="1:5">
      <c r="A43" s="68">
        <v>0.35432000000000002</v>
      </c>
      <c r="B43" s="68">
        <v>0.26574199999999998</v>
      </c>
      <c r="C43" s="68">
        <v>16.658300000000001</v>
      </c>
      <c r="D43" s="68">
        <v>1</v>
      </c>
      <c r="E43" s="68" t="s">
        <v>451</v>
      </c>
    </row>
    <row r="44" spans="1:5">
      <c r="A44" s="68">
        <v>0.35552600000000001</v>
      </c>
      <c r="B44" s="68">
        <v>0.26776699999999998</v>
      </c>
      <c r="C44" s="68">
        <v>17.066199999999998</v>
      </c>
      <c r="D44" s="68">
        <v>1</v>
      </c>
      <c r="E44" s="68" t="s">
        <v>452</v>
      </c>
    </row>
    <row r="45" spans="1:5">
      <c r="A45" s="68">
        <v>0.356242</v>
      </c>
      <c r="B45" s="68">
        <v>0.27066800000000002</v>
      </c>
      <c r="C45" s="68">
        <v>17.4663</v>
      </c>
      <c r="D45" s="68">
        <v>1</v>
      </c>
      <c r="E45" s="68" t="s">
        <v>453</v>
      </c>
    </row>
    <row r="46" spans="1:5">
      <c r="A46" s="68">
        <v>0.35659600000000002</v>
      </c>
      <c r="B46" s="68">
        <v>0.27443800000000002</v>
      </c>
      <c r="C46" s="68">
        <v>17.872</v>
      </c>
      <c r="D46" s="68">
        <v>1</v>
      </c>
      <c r="E46" s="68" t="s">
        <v>454</v>
      </c>
    </row>
    <row r="47" spans="1:5">
      <c r="A47" s="68">
        <v>0.35664800000000002</v>
      </c>
      <c r="B47" s="68">
        <v>0.279254</v>
      </c>
      <c r="C47" s="68">
        <v>18.282299999999999</v>
      </c>
      <c r="D47" s="68">
        <v>1</v>
      </c>
      <c r="E47" s="68" t="s">
        <v>455</v>
      </c>
    </row>
    <row r="48" spans="1:5">
      <c r="A48" s="68">
        <v>0.35673300000000002</v>
      </c>
      <c r="B48" s="68">
        <v>0.28397</v>
      </c>
      <c r="C48" s="68">
        <v>18.6889</v>
      </c>
      <c r="D48" s="68">
        <v>1</v>
      </c>
      <c r="E48" s="68" t="s">
        <v>456</v>
      </c>
    </row>
    <row r="49" spans="1:5">
      <c r="A49" s="68">
        <v>0.356825</v>
      </c>
      <c r="B49" s="68">
        <v>0.28899399999999997</v>
      </c>
      <c r="C49" s="68">
        <v>19.0977</v>
      </c>
      <c r="D49" s="68">
        <v>1</v>
      </c>
      <c r="E49" s="68" t="s">
        <v>457</v>
      </c>
    </row>
    <row r="50" spans="1:5">
      <c r="A50" s="68">
        <v>0.35676000000000002</v>
      </c>
      <c r="B50" s="68">
        <v>0.29488999999999999</v>
      </c>
      <c r="C50" s="68">
        <v>19.502600000000001</v>
      </c>
      <c r="D50" s="68">
        <v>1</v>
      </c>
      <c r="E50" s="68" t="s">
        <v>458</v>
      </c>
    </row>
    <row r="51" spans="1:5">
      <c r="A51" s="68">
        <v>0.35657</v>
      </c>
      <c r="B51" s="68">
        <v>0.30109599999999997</v>
      </c>
      <c r="C51" s="68">
        <v>19.9055</v>
      </c>
      <c r="D51" s="68">
        <v>1</v>
      </c>
      <c r="E51" s="68" t="s">
        <v>459</v>
      </c>
    </row>
    <row r="52" spans="1:5">
      <c r="A52" s="68">
        <v>0.35618100000000003</v>
      </c>
      <c r="B52" s="68">
        <v>0.307562</v>
      </c>
      <c r="C52" s="68">
        <v>20.319500000000001</v>
      </c>
      <c r="D52" s="68">
        <v>1</v>
      </c>
      <c r="E52" s="68" t="s">
        <v>460</v>
      </c>
    </row>
    <row r="53" spans="1:5">
      <c r="A53" s="68">
        <v>0.35558499999999998</v>
      </c>
      <c r="B53" s="68">
        <v>0.31448399999999999</v>
      </c>
      <c r="C53" s="68">
        <v>20.717500000000001</v>
      </c>
      <c r="D53" s="68">
        <v>1</v>
      </c>
      <c r="E53" s="68" t="s">
        <v>461</v>
      </c>
    </row>
    <row r="54" spans="1:5">
      <c r="A54" s="68">
        <v>0.354933</v>
      </c>
      <c r="B54" s="68">
        <v>0.32105</v>
      </c>
      <c r="C54" s="68">
        <v>21.124600000000001</v>
      </c>
      <c r="D54" s="68">
        <v>1</v>
      </c>
      <c r="E54" s="68" t="s">
        <v>462</v>
      </c>
    </row>
    <row r="55" spans="1:5">
      <c r="A55" s="68">
        <v>0.35417500000000002</v>
      </c>
      <c r="B55" s="68">
        <v>0.327069</v>
      </c>
      <c r="C55" s="68">
        <v>21.531300000000002</v>
      </c>
      <c r="D55" s="68">
        <v>1</v>
      </c>
      <c r="E55" s="68" t="s">
        <v>463</v>
      </c>
    </row>
    <row r="56" spans="1:5">
      <c r="A56" s="68">
        <v>0.35325499999999999</v>
      </c>
      <c r="B56" s="68">
        <v>0.33309</v>
      </c>
      <c r="C56" s="68">
        <v>21.939900000000002</v>
      </c>
      <c r="D56" s="68">
        <v>1</v>
      </c>
      <c r="E56" s="68" t="s">
        <v>464</v>
      </c>
    </row>
    <row r="57" spans="1:5">
      <c r="A57" s="68">
        <v>0.35256500000000002</v>
      </c>
      <c r="B57" s="68">
        <v>0.33815200000000001</v>
      </c>
      <c r="C57" s="68">
        <v>22.342199999999998</v>
      </c>
      <c r="D57" s="68">
        <v>1</v>
      </c>
      <c r="E57" s="68" t="s">
        <v>465</v>
      </c>
    </row>
    <row r="58" spans="1:5">
      <c r="A58" s="68">
        <v>0.351219</v>
      </c>
      <c r="B58" s="68">
        <v>0.34450799999999998</v>
      </c>
      <c r="C58" s="68">
        <v>22.754000000000001</v>
      </c>
      <c r="D58" s="68">
        <v>1</v>
      </c>
      <c r="E58" s="68" t="s">
        <v>466</v>
      </c>
    </row>
    <row r="59" spans="1:5">
      <c r="A59" s="68">
        <v>0.35024899999999998</v>
      </c>
      <c r="B59" s="68">
        <v>0.349414</v>
      </c>
      <c r="C59" s="68">
        <v>23.157</v>
      </c>
      <c r="D59" s="68">
        <v>1</v>
      </c>
      <c r="E59" s="68" t="s">
        <v>467</v>
      </c>
    </row>
    <row r="60" spans="1:5">
      <c r="A60" s="68">
        <v>0.34877799999999998</v>
      </c>
      <c r="B60" s="68">
        <v>0.35463800000000001</v>
      </c>
      <c r="C60" s="68">
        <v>23.561</v>
      </c>
      <c r="D60" s="68">
        <v>1</v>
      </c>
      <c r="E60" s="68" t="s">
        <v>468</v>
      </c>
    </row>
    <row r="61" spans="1:5">
      <c r="A61" s="68">
        <v>0.34681299999999998</v>
      </c>
      <c r="B61" s="68">
        <v>0.359709</v>
      </c>
      <c r="C61" s="68">
        <v>23.971800000000002</v>
      </c>
      <c r="D61" s="68">
        <v>1</v>
      </c>
      <c r="E61" s="68" t="s">
        <v>469</v>
      </c>
    </row>
    <row r="62" spans="1:5">
      <c r="A62" s="68">
        <v>0.34506900000000001</v>
      </c>
      <c r="B62" s="68">
        <v>0.36391200000000001</v>
      </c>
      <c r="C62" s="68">
        <v>24.3766</v>
      </c>
      <c r="D62" s="68">
        <v>1</v>
      </c>
      <c r="E62" s="68" t="s">
        <v>470</v>
      </c>
    </row>
    <row r="63" spans="1:5">
      <c r="A63" s="68">
        <v>0.34326699999999999</v>
      </c>
      <c r="B63" s="68">
        <v>0.36744399999999999</v>
      </c>
      <c r="C63" s="68">
        <v>24.8096</v>
      </c>
      <c r="D63" s="68">
        <v>1</v>
      </c>
      <c r="E63" s="68" t="s">
        <v>471</v>
      </c>
    </row>
    <row r="64" spans="1:5">
      <c r="A64" s="68">
        <v>0.34187800000000002</v>
      </c>
      <c r="B64" s="68">
        <v>0.37055199999999999</v>
      </c>
      <c r="C64" s="68">
        <v>25.185600000000001</v>
      </c>
      <c r="D64" s="68">
        <v>1</v>
      </c>
      <c r="E64" s="68" t="s">
        <v>472</v>
      </c>
    </row>
    <row r="65" spans="1:5">
      <c r="A65" s="68">
        <v>0.339333</v>
      </c>
      <c r="B65" s="68">
        <v>0.372612</v>
      </c>
      <c r="C65" s="68">
        <v>25.595700000000001</v>
      </c>
      <c r="D65" s="68">
        <v>1</v>
      </c>
      <c r="E65" s="68" t="s">
        <v>473</v>
      </c>
    </row>
    <row r="66" spans="1:5">
      <c r="A66" s="68">
        <v>0.33702900000000002</v>
      </c>
      <c r="B66" s="68">
        <v>0.37500499999999998</v>
      </c>
      <c r="C66" s="68">
        <v>26.003299999999999</v>
      </c>
      <c r="D66" s="68">
        <v>1</v>
      </c>
      <c r="E66" s="68" t="s">
        <v>474</v>
      </c>
    </row>
    <row r="67" spans="1:5">
      <c r="A67" s="68">
        <v>0.33436100000000002</v>
      </c>
      <c r="B67" s="68">
        <v>0.37746200000000002</v>
      </c>
      <c r="C67" s="68">
        <v>26.404599999999999</v>
      </c>
      <c r="D67" s="68">
        <v>1</v>
      </c>
      <c r="E67" s="68" t="s">
        <v>475</v>
      </c>
    </row>
    <row r="68" spans="1:5">
      <c r="A68" s="68">
        <v>0.33235100000000001</v>
      </c>
      <c r="B68" s="68">
        <v>0.38023699999999999</v>
      </c>
      <c r="C68" s="68">
        <v>26.8142</v>
      </c>
      <c r="D68" s="68">
        <v>1</v>
      </c>
      <c r="E68" s="68" t="s">
        <v>476</v>
      </c>
    </row>
    <row r="69" spans="1:5">
      <c r="A69" s="68">
        <v>0.329874</v>
      </c>
      <c r="B69" s="68">
        <v>0.380216</v>
      </c>
      <c r="C69" s="68">
        <v>27.225999999999999</v>
      </c>
      <c r="D69" s="68">
        <v>1</v>
      </c>
      <c r="E69" s="68" t="s">
        <v>477</v>
      </c>
    </row>
    <row r="70" spans="1:5">
      <c r="A70" s="68">
        <v>0.328374</v>
      </c>
      <c r="B70" s="68">
        <v>0.37898300000000001</v>
      </c>
      <c r="C70" s="68">
        <v>27.6281</v>
      </c>
      <c r="D70" s="68">
        <v>1</v>
      </c>
      <c r="E70" s="68" t="s">
        <v>478</v>
      </c>
    </row>
    <row r="71" spans="1:5">
      <c r="A71" s="68">
        <v>0.32716200000000001</v>
      </c>
      <c r="B71" s="68">
        <v>0.37610700000000002</v>
      </c>
      <c r="C71" s="68">
        <v>28.033300000000001</v>
      </c>
      <c r="D71" s="68">
        <v>1</v>
      </c>
      <c r="E71" s="68" t="s">
        <v>479</v>
      </c>
    </row>
    <row r="72" spans="1:5">
      <c r="A72" s="68">
        <v>0.32606200000000002</v>
      </c>
      <c r="B72" s="68">
        <v>0.37173499999999998</v>
      </c>
      <c r="C72" s="68">
        <v>28.4391</v>
      </c>
      <c r="D72" s="68">
        <v>1</v>
      </c>
      <c r="E72" s="68" t="s">
        <v>480</v>
      </c>
    </row>
    <row r="73" spans="1:5">
      <c r="A73" s="68">
        <v>0.32486399999999999</v>
      </c>
      <c r="B73" s="68">
        <v>0.36727199999999999</v>
      </c>
      <c r="C73" s="68">
        <v>28.846699999999998</v>
      </c>
      <c r="D73" s="68">
        <v>1</v>
      </c>
      <c r="E73" s="68" t="s">
        <v>481</v>
      </c>
    </row>
    <row r="74" spans="1:5">
      <c r="A74" s="68">
        <v>0.32393699999999997</v>
      </c>
      <c r="B74" s="68">
        <v>0.36459599999999998</v>
      </c>
      <c r="C74" s="68">
        <v>29.248999999999999</v>
      </c>
      <c r="D74" s="68">
        <v>1</v>
      </c>
      <c r="E74" s="68" t="s">
        <v>482</v>
      </c>
    </row>
    <row r="75" spans="1:5">
      <c r="A75" s="68">
        <v>0.32281799999999999</v>
      </c>
      <c r="B75" s="68">
        <v>0.35938399999999998</v>
      </c>
      <c r="C75" s="68">
        <v>29.6556</v>
      </c>
      <c r="D75" s="68">
        <v>1</v>
      </c>
      <c r="E75" s="68" t="s">
        <v>483</v>
      </c>
    </row>
    <row r="76" spans="1:5">
      <c r="A76" s="68">
        <v>0.32144400000000001</v>
      </c>
      <c r="B76" s="68">
        <v>0.352186</v>
      </c>
      <c r="C76" s="68">
        <v>30.064399999999999</v>
      </c>
      <c r="D76" s="68">
        <v>2</v>
      </c>
      <c r="E76" s="68" t="s">
        <v>484</v>
      </c>
    </row>
    <row r="77" spans="1:5">
      <c r="A77" s="68">
        <v>0.32019599999999998</v>
      </c>
      <c r="B77" s="68">
        <v>0.34656100000000001</v>
      </c>
      <c r="C77" s="68">
        <v>30.517199999999999</v>
      </c>
      <c r="D77" s="68">
        <v>2</v>
      </c>
      <c r="E77" s="68" t="s">
        <v>485</v>
      </c>
    </row>
    <row r="78" spans="1:5">
      <c r="A78" s="68">
        <v>0.31892199999999998</v>
      </c>
      <c r="B78" s="68">
        <v>0.34087000000000001</v>
      </c>
      <c r="C78" s="68">
        <v>30.9222</v>
      </c>
      <c r="D78" s="68">
        <v>2</v>
      </c>
      <c r="E78" s="68" t="s">
        <v>486</v>
      </c>
    </row>
    <row r="79" spans="1:5">
      <c r="A79" s="68">
        <v>0.31761899999999998</v>
      </c>
      <c r="B79" s="68">
        <v>0.33488400000000001</v>
      </c>
      <c r="C79" s="68">
        <v>31.327999999999999</v>
      </c>
      <c r="D79" s="68">
        <v>2</v>
      </c>
      <c r="E79" s="68" t="s">
        <v>487</v>
      </c>
    </row>
    <row r="80" spans="1:5">
      <c r="A80" s="68">
        <v>0.316081</v>
      </c>
      <c r="B80" s="68">
        <v>0.32933000000000001</v>
      </c>
      <c r="C80" s="68">
        <v>31.735399999999998</v>
      </c>
      <c r="D80" s="68">
        <v>2</v>
      </c>
      <c r="E80" s="68" t="s">
        <v>488</v>
      </c>
    </row>
    <row r="81" spans="1:5">
      <c r="A81" s="68">
        <v>0.31414199999999998</v>
      </c>
      <c r="B81" s="68">
        <v>0.32408399999999998</v>
      </c>
      <c r="C81" s="68">
        <v>32.139200000000002</v>
      </c>
      <c r="D81" s="68">
        <v>2</v>
      </c>
      <c r="E81" s="68" t="s">
        <v>489</v>
      </c>
    </row>
    <row r="82" spans="1:5">
      <c r="A82" s="68">
        <v>0.31185800000000002</v>
      </c>
      <c r="B82" s="68">
        <v>0.31915300000000002</v>
      </c>
      <c r="C82" s="68">
        <v>32.547800000000002</v>
      </c>
      <c r="D82" s="68">
        <v>2</v>
      </c>
      <c r="E82" s="68" t="s">
        <v>490</v>
      </c>
    </row>
    <row r="83" spans="1:5">
      <c r="A83" s="68">
        <v>0.30924600000000002</v>
      </c>
      <c r="B83" s="68">
        <v>0.31484200000000001</v>
      </c>
      <c r="C83" s="68">
        <v>32.954700000000003</v>
      </c>
      <c r="D83" s="68">
        <v>2</v>
      </c>
      <c r="E83" s="68" t="s">
        <v>491</v>
      </c>
    </row>
    <row r="84" spans="1:5">
      <c r="A84" s="68">
        <v>0.30649700000000002</v>
      </c>
      <c r="B84" s="68">
        <v>0.31093399999999999</v>
      </c>
      <c r="C84" s="68">
        <v>33.3566</v>
      </c>
      <c r="D84" s="68">
        <v>2</v>
      </c>
      <c r="E84" s="68" t="s">
        <v>492</v>
      </c>
    </row>
    <row r="85" spans="1:5">
      <c r="A85" s="68">
        <v>0.30374800000000002</v>
      </c>
      <c r="B85" s="68">
        <v>0.30757200000000001</v>
      </c>
      <c r="C85" s="68">
        <v>33.763399999999997</v>
      </c>
      <c r="D85" s="68">
        <v>2</v>
      </c>
      <c r="E85" s="68" t="s">
        <v>493</v>
      </c>
    </row>
    <row r="86" spans="1:5">
      <c r="A86" s="68">
        <v>0.30132700000000001</v>
      </c>
      <c r="B86" s="68">
        <v>0.30394300000000002</v>
      </c>
      <c r="C86" s="68">
        <v>34.174399999999999</v>
      </c>
      <c r="D86" s="68">
        <v>2</v>
      </c>
      <c r="E86" s="68" t="s">
        <v>494</v>
      </c>
    </row>
    <row r="87" spans="1:5">
      <c r="A87" s="68">
        <v>0.29895100000000002</v>
      </c>
      <c r="B87" s="68">
        <v>0.30095300000000003</v>
      </c>
      <c r="C87" s="68">
        <v>34.580300000000001</v>
      </c>
      <c r="D87" s="68">
        <v>2</v>
      </c>
      <c r="E87" s="68" t="s">
        <v>495</v>
      </c>
    </row>
    <row r="88" spans="1:5">
      <c r="A88" s="68">
        <v>0.296709</v>
      </c>
      <c r="B88" s="68">
        <v>0.299099</v>
      </c>
      <c r="C88" s="68">
        <v>34.9863</v>
      </c>
      <c r="D88" s="68">
        <v>2</v>
      </c>
      <c r="E88" s="68" t="s">
        <v>496</v>
      </c>
    </row>
    <row r="89" spans="1:5">
      <c r="A89" s="68">
        <v>0.29477500000000001</v>
      </c>
      <c r="B89" s="68">
        <v>0.29720299999999999</v>
      </c>
      <c r="C89" s="68">
        <v>35.390099999999997</v>
      </c>
      <c r="D89" s="68">
        <v>2</v>
      </c>
      <c r="E89" s="68" t="s">
        <v>497</v>
      </c>
    </row>
    <row r="90" spans="1:5">
      <c r="A90" s="68">
        <v>0.29295399999999999</v>
      </c>
      <c r="B90" s="68">
        <v>0.29580200000000001</v>
      </c>
      <c r="C90" s="68">
        <v>35.801299999999998</v>
      </c>
      <c r="D90" s="68">
        <v>2</v>
      </c>
      <c r="E90" s="68" t="s">
        <v>498</v>
      </c>
    </row>
    <row r="91" spans="1:5">
      <c r="A91" s="68">
        <v>0.29110900000000001</v>
      </c>
      <c r="B91" s="68">
        <v>0.29507699999999998</v>
      </c>
      <c r="C91" s="68">
        <v>36.204999999999998</v>
      </c>
      <c r="D91" s="68">
        <v>2</v>
      </c>
      <c r="E91" s="68" t="s">
        <v>499</v>
      </c>
    </row>
    <row r="92" spans="1:5">
      <c r="A92" s="68">
        <v>0.28922100000000001</v>
      </c>
      <c r="B92" s="68">
        <v>0.295518</v>
      </c>
      <c r="C92" s="68">
        <v>36.605899999999998</v>
      </c>
      <c r="D92" s="68">
        <v>2</v>
      </c>
      <c r="E92" s="68" t="s">
        <v>500</v>
      </c>
    </row>
    <row r="93" spans="1:5">
      <c r="A93" s="68">
        <v>0.28692699999999999</v>
      </c>
      <c r="B93" s="68">
        <v>0.297238</v>
      </c>
      <c r="C93" s="68">
        <v>37.015700000000002</v>
      </c>
      <c r="D93" s="68">
        <v>2</v>
      </c>
      <c r="E93" s="68" t="s">
        <v>501</v>
      </c>
    </row>
    <row r="94" spans="1:5">
      <c r="A94" s="68">
        <v>0.28452</v>
      </c>
      <c r="B94" s="68">
        <v>0.30003000000000002</v>
      </c>
      <c r="C94" s="68">
        <v>37.424700000000001</v>
      </c>
      <c r="D94" s="68">
        <v>2</v>
      </c>
      <c r="E94" s="68" t="s">
        <v>502</v>
      </c>
    </row>
    <row r="95" spans="1:5">
      <c r="A95" s="68">
        <v>0.28238600000000003</v>
      </c>
      <c r="B95" s="68">
        <v>0.30441699999999999</v>
      </c>
      <c r="C95" s="68">
        <v>37.8307</v>
      </c>
      <c r="D95" s="68">
        <v>2</v>
      </c>
      <c r="E95" s="68" t="s">
        <v>503</v>
      </c>
    </row>
    <row r="96" spans="1:5">
      <c r="A96" s="68">
        <v>0.280607</v>
      </c>
      <c r="B96" s="68">
        <v>0.30943700000000002</v>
      </c>
      <c r="C96" s="68">
        <v>38.235500000000002</v>
      </c>
      <c r="D96" s="68">
        <v>2</v>
      </c>
      <c r="E96" s="68" t="s">
        <v>504</v>
      </c>
    </row>
    <row r="97" spans="1:5">
      <c r="A97" s="68">
        <v>0.27939399999999998</v>
      </c>
      <c r="B97" s="68">
        <v>0.31477300000000003</v>
      </c>
      <c r="C97" s="68">
        <v>38.641399999999997</v>
      </c>
      <c r="D97" s="68">
        <v>2</v>
      </c>
      <c r="E97" s="68" t="s">
        <v>505</v>
      </c>
    </row>
    <row r="98" spans="1:5">
      <c r="A98" s="68">
        <v>0.278362</v>
      </c>
      <c r="B98" s="68">
        <v>0.32102199999999997</v>
      </c>
      <c r="C98" s="68">
        <v>39.047499999999999</v>
      </c>
      <c r="D98" s="68">
        <v>2</v>
      </c>
      <c r="E98" s="68" t="s">
        <v>506</v>
      </c>
    </row>
    <row r="99" spans="1:5">
      <c r="A99" s="68">
        <v>0.27754800000000002</v>
      </c>
      <c r="B99" s="68">
        <v>0.32741300000000001</v>
      </c>
      <c r="C99" s="68">
        <v>39.451300000000003</v>
      </c>
      <c r="D99" s="68">
        <v>2</v>
      </c>
      <c r="E99" s="68" t="s">
        <v>507</v>
      </c>
    </row>
    <row r="100" spans="1:5">
      <c r="A100" s="68">
        <v>0.27688600000000002</v>
      </c>
      <c r="B100" s="68">
        <v>0.33477800000000002</v>
      </c>
      <c r="C100" s="68">
        <v>39.857399999999998</v>
      </c>
      <c r="D100" s="68">
        <v>2</v>
      </c>
      <c r="E100" s="68" t="s">
        <v>508</v>
      </c>
    </row>
    <row r="101" spans="1:5">
      <c r="A101" s="68">
        <v>0.27642899999999998</v>
      </c>
      <c r="B101" s="68">
        <v>0.34212100000000001</v>
      </c>
      <c r="C101" s="68">
        <v>40.269300000000001</v>
      </c>
      <c r="D101" s="68">
        <v>2</v>
      </c>
      <c r="E101" s="68" t="s">
        <v>509</v>
      </c>
    </row>
    <row r="102" spans="1:5">
      <c r="A102" s="68">
        <v>0.27619199999999999</v>
      </c>
      <c r="B102" s="68">
        <v>0.34963100000000003</v>
      </c>
      <c r="C102" s="68">
        <v>40.668100000000003</v>
      </c>
      <c r="D102" s="68">
        <v>2</v>
      </c>
      <c r="E102" s="68" t="s">
        <v>510</v>
      </c>
    </row>
    <row r="103" spans="1:5">
      <c r="A103" s="68">
        <v>0.27621200000000001</v>
      </c>
      <c r="B103" s="68">
        <v>0.357684</v>
      </c>
      <c r="C103" s="68">
        <v>41.08</v>
      </c>
      <c r="D103" s="68">
        <v>2</v>
      </c>
      <c r="E103" s="68" t="s">
        <v>511</v>
      </c>
    </row>
    <row r="104" spans="1:5">
      <c r="A104" s="68">
        <v>0.276476</v>
      </c>
      <c r="B104" s="68">
        <v>0.36577900000000002</v>
      </c>
      <c r="C104" s="68">
        <v>41.482900000000001</v>
      </c>
      <c r="D104" s="68">
        <v>2</v>
      </c>
      <c r="E104" s="68" t="s">
        <v>512</v>
      </c>
    </row>
    <row r="105" spans="1:5">
      <c r="A105" s="68">
        <v>0.27705299999999999</v>
      </c>
      <c r="B105" s="68">
        <v>0.37313600000000002</v>
      </c>
      <c r="C105" s="68">
        <v>41.893700000000003</v>
      </c>
      <c r="D105" s="68">
        <v>2</v>
      </c>
      <c r="E105" s="68" t="s">
        <v>513</v>
      </c>
    </row>
    <row r="106" spans="1:5">
      <c r="A106" s="68">
        <v>0.27799099999999999</v>
      </c>
      <c r="B106" s="68">
        <v>0.37976900000000002</v>
      </c>
      <c r="C106" s="68">
        <v>42.298999999999999</v>
      </c>
      <c r="D106" s="68">
        <v>2</v>
      </c>
      <c r="E106" s="68" t="s">
        <v>514</v>
      </c>
    </row>
    <row r="107" spans="1:5">
      <c r="A107" s="68">
        <v>0.27940399999999999</v>
      </c>
      <c r="B107" s="68">
        <v>0.38555600000000001</v>
      </c>
      <c r="C107" s="68">
        <v>42.706600000000002</v>
      </c>
      <c r="D107" s="68">
        <v>2</v>
      </c>
      <c r="E107" s="68" t="s">
        <v>515</v>
      </c>
    </row>
    <row r="108" spans="1:5">
      <c r="A108" s="68">
        <v>0.28127600000000003</v>
      </c>
      <c r="B108" s="68">
        <v>0.38996399999999998</v>
      </c>
      <c r="C108" s="68">
        <v>43.109499999999997</v>
      </c>
      <c r="D108" s="68">
        <v>2</v>
      </c>
      <c r="E108" s="68" t="s">
        <v>516</v>
      </c>
    </row>
    <row r="109" spans="1:5">
      <c r="A109" s="68">
        <v>0.28335300000000002</v>
      </c>
      <c r="B109" s="68">
        <v>0.39363999999999999</v>
      </c>
      <c r="C109" s="68">
        <v>43.514299999999999</v>
      </c>
      <c r="D109" s="68">
        <v>2</v>
      </c>
      <c r="E109" s="68" t="s">
        <v>517</v>
      </c>
    </row>
    <row r="110" spans="1:5">
      <c r="A110" s="68">
        <v>0.28563100000000002</v>
      </c>
      <c r="B110" s="68">
        <v>0.39645900000000001</v>
      </c>
      <c r="C110" s="68">
        <v>43.921300000000002</v>
      </c>
      <c r="D110" s="68">
        <v>2</v>
      </c>
      <c r="E110" s="68" t="s">
        <v>518</v>
      </c>
    </row>
    <row r="111" spans="1:5">
      <c r="A111" s="68">
        <v>0.28811599999999998</v>
      </c>
      <c r="B111" s="68">
        <v>0.39876899999999998</v>
      </c>
      <c r="C111" s="68">
        <v>44.328299999999999</v>
      </c>
      <c r="D111" s="68">
        <v>2</v>
      </c>
      <c r="E111" s="68" t="s">
        <v>519</v>
      </c>
    </row>
    <row r="112" spans="1:5">
      <c r="A112" s="68">
        <v>0.29069099999999998</v>
      </c>
      <c r="B112" s="68">
        <v>0.400756</v>
      </c>
      <c r="C112" s="68">
        <v>44.731099999999998</v>
      </c>
      <c r="D112" s="68">
        <v>2</v>
      </c>
      <c r="E112" s="68" t="s">
        <v>520</v>
      </c>
    </row>
    <row r="113" spans="1:5">
      <c r="A113" s="68">
        <v>0.293352</v>
      </c>
      <c r="B113" s="68">
        <v>0.40217399999999998</v>
      </c>
      <c r="C113" s="68">
        <v>45.143000000000001</v>
      </c>
      <c r="D113" s="68">
        <v>2</v>
      </c>
      <c r="E113" s="68" t="s">
        <v>521</v>
      </c>
    </row>
    <row r="114" spans="1:5">
      <c r="A114" s="68">
        <v>0.29609099999999999</v>
      </c>
      <c r="B114" s="68">
        <v>0.40350799999999998</v>
      </c>
      <c r="C114" s="68">
        <v>45.549399999999999</v>
      </c>
      <c r="D114" s="68">
        <v>2</v>
      </c>
      <c r="E114" s="68" t="s">
        <v>522</v>
      </c>
    </row>
    <row r="115" spans="1:5">
      <c r="A115" s="68">
        <v>0.29894399999999999</v>
      </c>
      <c r="B115" s="68">
        <v>0.40454699999999999</v>
      </c>
      <c r="C115" s="68">
        <v>45.9499</v>
      </c>
      <c r="D115" s="68">
        <v>2</v>
      </c>
      <c r="E115" s="68" t="s">
        <v>523</v>
      </c>
    </row>
    <row r="116" spans="1:5">
      <c r="A116" s="68">
        <v>0.30195300000000003</v>
      </c>
      <c r="B116" s="68">
        <v>0.40573100000000001</v>
      </c>
      <c r="C116" s="68">
        <v>46.356900000000003</v>
      </c>
      <c r="D116" s="68">
        <v>2</v>
      </c>
      <c r="E116" s="68" t="s">
        <v>524</v>
      </c>
    </row>
    <row r="117" spans="1:5">
      <c r="A117" s="68">
        <v>0.305091</v>
      </c>
      <c r="B117" s="68">
        <v>0.40686299999999997</v>
      </c>
      <c r="C117" s="68">
        <v>46.763800000000003</v>
      </c>
      <c r="D117" s="68">
        <v>2</v>
      </c>
      <c r="E117" s="68" t="s">
        <v>525</v>
      </c>
    </row>
    <row r="118" spans="1:5">
      <c r="A118" s="68">
        <v>0.30812600000000001</v>
      </c>
      <c r="B118" s="68">
        <v>0.40869299999999997</v>
      </c>
      <c r="C118" s="68">
        <v>47.175600000000003</v>
      </c>
      <c r="D118" s="68">
        <v>2</v>
      </c>
      <c r="E118" s="68" t="s">
        <v>526</v>
      </c>
    </row>
    <row r="119" spans="1:5">
      <c r="A119" s="68">
        <v>0.31076500000000001</v>
      </c>
      <c r="B119" s="68">
        <v>0.41125</v>
      </c>
      <c r="C119" s="68">
        <v>47.579599999999999</v>
      </c>
      <c r="D119" s="68">
        <v>2</v>
      </c>
      <c r="E119" s="68" t="s">
        <v>527</v>
      </c>
    </row>
    <row r="120" spans="1:5">
      <c r="A120" s="68">
        <v>0.31267699999999998</v>
      </c>
      <c r="B120" s="68">
        <v>0.41428799999999999</v>
      </c>
      <c r="C120" s="68">
        <v>47.988799999999998</v>
      </c>
      <c r="D120" s="68">
        <v>2</v>
      </c>
      <c r="E120" s="68" t="s">
        <v>528</v>
      </c>
    </row>
    <row r="121" spans="1:5">
      <c r="A121" s="68">
        <v>0.31410900000000003</v>
      </c>
      <c r="B121" s="68">
        <v>0.41783599999999999</v>
      </c>
      <c r="C121" s="68">
        <v>48.398600000000002</v>
      </c>
      <c r="D121" s="68">
        <v>2</v>
      </c>
      <c r="E121" s="68" t="s">
        <v>529</v>
      </c>
    </row>
    <row r="122" spans="1:5">
      <c r="A122" s="68">
        <v>0.315251</v>
      </c>
      <c r="B122" s="68">
        <v>0.42116399999999998</v>
      </c>
      <c r="C122" s="68">
        <v>48.802199999999999</v>
      </c>
      <c r="D122" s="68">
        <v>2</v>
      </c>
      <c r="E122" s="68" t="s">
        <v>530</v>
      </c>
    </row>
    <row r="123" spans="1:5">
      <c r="A123" s="68">
        <v>0.31593300000000002</v>
      </c>
      <c r="B123" s="68">
        <v>0.42410399999999998</v>
      </c>
      <c r="C123" s="68">
        <v>49.2072</v>
      </c>
      <c r="D123" s="68">
        <v>2</v>
      </c>
      <c r="E123" s="68" t="s">
        <v>531</v>
      </c>
    </row>
    <row r="124" spans="1:5">
      <c r="A124" s="68">
        <v>0.31638300000000003</v>
      </c>
      <c r="B124" s="68">
        <v>0.42674400000000001</v>
      </c>
      <c r="C124" s="68">
        <v>49.618099999999998</v>
      </c>
      <c r="D124" s="68">
        <v>2</v>
      </c>
      <c r="E124" s="68" t="s">
        <v>532</v>
      </c>
    </row>
    <row r="125" spans="1:5">
      <c r="A125" s="68">
        <v>0.31666499999999997</v>
      </c>
      <c r="B125" s="68">
        <v>0.42905700000000002</v>
      </c>
      <c r="C125" s="68">
        <v>50.014000000000003</v>
      </c>
      <c r="D125" s="68">
        <v>2</v>
      </c>
      <c r="E125" s="68" t="s">
        <v>533</v>
      </c>
    </row>
    <row r="126" spans="1:5">
      <c r="A126" s="68">
        <v>0.31769900000000001</v>
      </c>
      <c r="B126" s="68">
        <v>0.429587</v>
      </c>
      <c r="C126" s="68">
        <v>50.418999999999997</v>
      </c>
      <c r="D126" s="68">
        <v>2</v>
      </c>
      <c r="E126" s="68" t="s">
        <v>534</v>
      </c>
    </row>
    <row r="127" spans="1:5">
      <c r="A127" s="68">
        <v>0.31872299999999998</v>
      </c>
      <c r="B127" s="68">
        <v>0.42983300000000002</v>
      </c>
      <c r="C127" s="68">
        <v>50.8339</v>
      </c>
      <c r="D127" s="68">
        <v>2</v>
      </c>
      <c r="E127" s="68" t="s">
        <v>535</v>
      </c>
    </row>
    <row r="128" spans="1:5">
      <c r="A128" s="68">
        <v>0.31958500000000001</v>
      </c>
      <c r="B128" s="68">
        <v>0.429728</v>
      </c>
      <c r="C128" s="68">
        <v>51.238</v>
      </c>
      <c r="D128" s="68">
        <v>2</v>
      </c>
      <c r="E128" s="68" t="s">
        <v>536</v>
      </c>
    </row>
    <row r="129" spans="1:5">
      <c r="A129" s="68">
        <v>0.32030999999999998</v>
      </c>
      <c r="B129" s="68">
        <v>0.42964599999999997</v>
      </c>
      <c r="C129" s="68">
        <v>51.636699999999998</v>
      </c>
      <c r="D129" s="68">
        <v>2</v>
      </c>
      <c r="E129" s="68" t="s">
        <v>537</v>
      </c>
    </row>
    <row r="130" spans="1:5">
      <c r="A130" s="68">
        <v>0.32093300000000002</v>
      </c>
      <c r="B130" s="68">
        <v>0.429699</v>
      </c>
      <c r="C130" s="68">
        <v>52.050600000000003</v>
      </c>
      <c r="D130" s="68">
        <v>2</v>
      </c>
      <c r="E130" s="68" t="s">
        <v>538</v>
      </c>
    </row>
    <row r="131" spans="1:5">
      <c r="A131" s="68">
        <v>0.32153999999999999</v>
      </c>
      <c r="B131" s="68">
        <v>0.42983100000000002</v>
      </c>
      <c r="C131" s="68">
        <v>52.456499999999998</v>
      </c>
      <c r="D131" s="68">
        <v>2</v>
      </c>
      <c r="E131" s="68" t="s">
        <v>539</v>
      </c>
    </row>
    <row r="132" spans="1:5">
      <c r="A132" s="68">
        <v>0.32194600000000001</v>
      </c>
      <c r="B132" s="68">
        <v>0.42978100000000002</v>
      </c>
      <c r="C132" s="68">
        <v>52.863399999999999</v>
      </c>
      <c r="D132" s="68">
        <v>2</v>
      </c>
      <c r="E132" s="68" t="s">
        <v>540</v>
      </c>
    </row>
    <row r="133" spans="1:5">
      <c r="A133" s="68">
        <v>0.32211800000000002</v>
      </c>
      <c r="B133" s="68">
        <v>0.43001699999999998</v>
      </c>
      <c r="C133" s="68">
        <v>53.270499999999998</v>
      </c>
      <c r="D133" s="68">
        <v>2</v>
      </c>
      <c r="E133" s="68" t="s">
        <v>541</v>
      </c>
    </row>
    <row r="134" spans="1:5">
      <c r="A134" s="68">
        <v>0.32223099999999999</v>
      </c>
      <c r="B134" s="68">
        <v>0.430394</v>
      </c>
      <c r="C134" s="68">
        <v>53.673299999999998</v>
      </c>
      <c r="D134" s="68">
        <v>2</v>
      </c>
      <c r="E134" s="68" t="s">
        <v>542</v>
      </c>
    </row>
    <row r="135" spans="1:5">
      <c r="A135" s="68">
        <v>0.32216400000000001</v>
      </c>
      <c r="B135" s="68">
        <v>0.43119200000000002</v>
      </c>
      <c r="C135" s="68">
        <v>54.084299999999999</v>
      </c>
      <c r="D135" s="68">
        <v>2</v>
      </c>
      <c r="E135" s="68" t="s">
        <v>543</v>
      </c>
    </row>
    <row r="136" spans="1:5">
      <c r="A136" s="68">
        <v>0.32173400000000002</v>
      </c>
      <c r="B136" s="68">
        <v>0.43240099999999998</v>
      </c>
      <c r="C136" s="68">
        <v>54.487099999999998</v>
      </c>
      <c r="D136" s="68">
        <v>2</v>
      </c>
      <c r="E136" s="68" t="s">
        <v>544</v>
      </c>
    </row>
    <row r="137" spans="1:5">
      <c r="A137" s="68">
        <v>0.32117899999999999</v>
      </c>
      <c r="B137" s="68">
        <v>0.43374600000000002</v>
      </c>
      <c r="C137" s="68">
        <v>54.892099999999999</v>
      </c>
      <c r="D137" s="68">
        <v>2</v>
      </c>
      <c r="E137" s="68" t="s">
        <v>545</v>
      </c>
    </row>
    <row r="138" spans="1:5">
      <c r="A138" s="68">
        <v>0.320405</v>
      </c>
      <c r="B138" s="68">
        <v>0.43550100000000003</v>
      </c>
      <c r="C138" s="68">
        <v>55.301499999999997</v>
      </c>
      <c r="D138" s="68">
        <v>2</v>
      </c>
      <c r="E138" s="68" t="s">
        <v>546</v>
      </c>
    </row>
    <row r="139" spans="1:5">
      <c r="A139" s="68">
        <v>0.31930599999999998</v>
      </c>
      <c r="B139" s="68">
        <v>0.43819399999999997</v>
      </c>
      <c r="C139" s="68">
        <v>55.713900000000002</v>
      </c>
      <c r="D139" s="68">
        <v>2</v>
      </c>
      <c r="E139" s="68" t="s">
        <v>547</v>
      </c>
    </row>
    <row r="140" spans="1:5">
      <c r="A140" s="68">
        <v>0.31771700000000003</v>
      </c>
      <c r="B140" s="68">
        <v>0.441689</v>
      </c>
      <c r="C140" s="68">
        <v>56.112699999999997</v>
      </c>
      <c r="D140" s="68">
        <v>2</v>
      </c>
      <c r="E140" s="68" t="s">
        <v>548</v>
      </c>
    </row>
    <row r="141" spans="1:5">
      <c r="A141" s="68">
        <v>0.31566499999999997</v>
      </c>
      <c r="B141" s="68">
        <v>0.446324</v>
      </c>
      <c r="C141" s="68">
        <v>56.518900000000002</v>
      </c>
      <c r="D141" s="68">
        <v>2</v>
      </c>
      <c r="E141" s="68" t="s">
        <v>549</v>
      </c>
    </row>
    <row r="142" spans="1:5">
      <c r="A142" s="68">
        <v>0.31286900000000001</v>
      </c>
      <c r="B142" s="68">
        <v>0.452486</v>
      </c>
      <c r="C142" s="68">
        <v>56.926699999999997</v>
      </c>
      <c r="D142" s="68">
        <v>2</v>
      </c>
      <c r="E142" s="68" t="s">
        <v>550</v>
      </c>
    </row>
    <row r="143" spans="1:5">
      <c r="A143" s="68">
        <v>0.30956099999999998</v>
      </c>
      <c r="B143" s="68">
        <v>0.45915499999999998</v>
      </c>
      <c r="C143" s="68">
        <v>57.333399999999997</v>
      </c>
      <c r="D143" s="68">
        <v>2</v>
      </c>
      <c r="E143" s="68" t="s">
        <v>551</v>
      </c>
    </row>
    <row r="144" spans="1:5">
      <c r="A144" s="68">
        <v>0.30585099999999998</v>
      </c>
      <c r="B144" s="68">
        <v>0.46601799999999999</v>
      </c>
      <c r="C144" s="68">
        <v>57.735399999999998</v>
      </c>
      <c r="D144" s="68">
        <v>2</v>
      </c>
      <c r="E144" s="68" t="s">
        <v>552</v>
      </c>
    </row>
    <row r="145" spans="1:5">
      <c r="A145" s="68">
        <v>0.30301400000000001</v>
      </c>
      <c r="B145" s="68">
        <v>0.47223500000000002</v>
      </c>
      <c r="C145" s="68">
        <v>58.144300000000001</v>
      </c>
      <c r="D145" s="68">
        <v>2</v>
      </c>
      <c r="E145" s="68" t="s">
        <v>553</v>
      </c>
    </row>
    <row r="146" spans="1:5">
      <c r="A146" s="68">
        <v>0.300371</v>
      </c>
      <c r="B146" s="68">
        <v>0.476437</v>
      </c>
      <c r="C146" s="68">
        <v>58.5505</v>
      </c>
      <c r="D146" s="68">
        <v>2</v>
      </c>
      <c r="E146" s="68" t="s">
        <v>554</v>
      </c>
    </row>
    <row r="147" spans="1:5">
      <c r="A147" s="68">
        <v>0.29694700000000002</v>
      </c>
      <c r="B147" s="68">
        <v>0.48111999999999999</v>
      </c>
      <c r="C147" s="68">
        <v>58.957099999999997</v>
      </c>
      <c r="D147" s="68">
        <v>2</v>
      </c>
      <c r="E147" s="68" t="s">
        <v>555</v>
      </c>
    </row>
    <row r="148" spans="1:5">
      <c r="A148" s="68">
        <v>0.29542600000000002</v>
      </c>
      <c r="B148" s="68">
        <v>0.48394100000000001</v>
      </c>
      <c r="C148" s="68">
        <v>59.366999999999997</v>
      </c>
      <c r="D148" s="68">
        <v>2</v>
      </c>
      <c r="E148" s="68" t="s">
        <v>556</v>
      </c>
    </row>
    <row r="149" spans="1:5">
      <c r="A149" s="68">
        <v>0.29389500000000002</v>
      </c>
      <c r="B149" s="68">
        <v>0.48855900000000002</v>
      </c>
      <c r="C149" s="68">
        <v>59.773899999999998</v>
      </c>
      <c r="D149" s="68">
        <v>2</v>
      </c>
      <c r="E149" s="68" t="s">
        <v>557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407</v>
      </c>
      <c r="B1" s="66" t="s">
        <v>558</v>
      </c>
      <c r="C1" s="66" t="s">
        <v>560</v>
      </c>
      <c r="D1" s="66" t="s">
        <v>561</v>
      </c>
      <c r="E1" s="66" t="s">
        <v>562</v>
      </c>
      <c r="F1" s="66" t="s">
        <v>348</v>
      </c>
      <c r="G1" s="66" t="s">
        <v>349</v>
      </c>
      <c r="H1" s="66" t="s">
        <v>563</v>
      </c>
      <c r="I1" s="66" t="s">
        <v>564</v>
      </c>
      <c r="J1" s="66" t="s">
        <v>565</v>
      </c>
      <c r="K1" s="66" t="s">
        <v>566</v>
      </c>
      <c r="L1" s="66" t="s">
        <v>567</v>
      </c>
      <c r="M1" s="66" t="s">
        <v>568</v>
      </c>
      <c r="N1" s="66"/>
    </row>
    <row r="2" spans="1:14">
      <c r="A2" s="75">
        <v>43607.672881944447</v>
      </c>
      <c r="B2" s="66" t="s">
        <v>559</v>
      </c>
      <c r="C2" s="66"/>
      <c r="D2" s="66"/>
      <c r="E2" s="66">
        <v>4.9234099999999996</v>
      </c>
      <c r="F2" s="66">
        <v>1.5117100000000001</v>
      </c>
      <c r="G2" s="66">
        <v>0.62107199999999996</v>
      </c>
      <c r="H2" s="66">
        <v>0</v>
      </c>
      <c r="I2" s="66">
        <v>128137</v>
      </c>
      <c r="J2" s="66">
        <v>60</v>
      </c>
      <c r="K2" s="66">
        <v>60</v>
      </c>
      <c r="L2" s="66">
        <v>0</v>
      </c>
      <c r="M2" s="66" t="s">
        <v>569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2019-05-22T08:09:41Z</cp:lastPrinted>
  <dcterms:created xsi:type="dcterms:W3CDTF">2010-10-29T12:53:05Z</dcterms:created>
  <dcterms:modified xsi:type="dcterms:W3CDTF">2019-05-22T08:09:57Z</dcterms:modified>
</cp:coreProperties>
</file>