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<sst xmlns="http://schemas.openxmlformats.org/spreadsheetml/2006/main" count="701" uniqueCount="570">
  <si>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</si>
  <si>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</si>
  <si>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</si>
  <si>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</si>
  <si>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</si>
  <si>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</si>
  <si>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</si>
  <si>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</si>
  <si>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</si>
  <si>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</si>
  <si>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</si>
  <si>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</si>
  <si>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</si>
  <si>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</si>
  <si>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</si>
  <si>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</si>
  <si>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</si>
  <si>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</si>
  <si>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</si>
  <si>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</si>
  <si>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</si>
  <si>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</si>
  <si>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</si>
  <si>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</si>
  <si>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</si>
  <si>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</si>
  <si>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</si>
  <si>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</si>
  <si>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</si>
  <si>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</si>
  <si>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</si>
  <si>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</si>
  <si>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</si>
  <si>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</si>
  <si>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</si>
  <si>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</si>
  <si>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</si>
  <si>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</si>
  <si>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</si>
  <si>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</si>
  <si>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</si>
  <si>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</si>
  <si>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</si>
  <si>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</si>
  <si>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</si>
  <si>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</si>
  <si>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</si>
  <si>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</si>
  <si>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</si>
  <si>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</si>
  <si>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</si>
  <si>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</si>
  <si>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</si>
  <si>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</si>
  <si>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</si>
  <si>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</si>
  <si>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</si>
  <si>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</si>
  <si>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</si>
  <si>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</si>
  <si>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</si>
  <si>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</si>
  <si>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</si>
  <si>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</si>
  <si>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</si>
  <si>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</si>
  <si>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</si>
  <si>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</si>
  <si>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</si>
  <si>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</si>
  <si>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</si>
  <si>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</si>
  <si>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</si>
  <si>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</si>
  <si>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</si>
  <si>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</si>
  <si>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</si>
  <si>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</si>
  <si>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</si>
  <si>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</si>
  <si>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</si>
  <si>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</si>
  <si>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</si>
  <si>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</si>
  <si>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</si>
  <si>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</si>
  <si>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</si>
  <si>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</si>
  <si>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</si>
  <si>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</si>
  <si>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</si>
  <si>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</si>
  <si>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</si>
  <si>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</si>
  <si>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</si>
  <si>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</si>
  <si>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</si>
  <si>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</si>
  <si>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</si>
  <si>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</si>
  <si>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</si>
  <si>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</si>
  <si>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</si>
  <si>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</si>
  <si>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</si>
  <si>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</si>
  <si>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</si>
  <si>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</si>
  <si>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</si>
  <si>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</si>
  <si>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</si>
  <si>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</si>
  <si>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</si>
  <si>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</si>
  <si>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</si>
  <si>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</si>
  <si>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</si>
  <si>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</si>
  <si>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</si>
  <si>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</si>
  <si>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</si>
  <si>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</si>
  <si>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</si>
  <si>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</si>
  <si>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</si>
  <si>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</si>
  <si>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</si>
  <si>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</si>
  <si>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</si>
  <si>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</si>
  <si>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</si>
  <si>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</si>
  <si>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</si>
  <si>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</si>
  <si>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</si>
  <si>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</si>
  <si>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</si>
  <si>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</si>
  <si>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</si>
  <si>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</si>
  <si>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</si>
  <si>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</si>
  <si>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</si>
  <si>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</si>
  <si>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</si>
  <si>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</si>
  <si>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</si>
  <si>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</si>
  <si>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</si>
  <si>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</si>
  <si>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</si>
  <si>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</si>
  <si>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</si>
  <si>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</si>
  <si>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</si>
  <si>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</si>
  <si>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</si>
  <si>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</si>
  <si>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</si>
  <si>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</si>
  <si>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</si>
  <si>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</si>
  <si>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</si>
  <si>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</si>
  <si>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</si>
  <si>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</si>
  <si>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</si>
  <si>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</si>
  <si>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</si>
  <si>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</si>
  <si>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</si>
  <si>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</si>
  <si>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</si>
  <si>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</si>
  <si>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</si>
  <si>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</si>
  <si>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</si>
  <si>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</si>
  <si>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</si>
  <si>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</si>
  <si>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</si>
  <si>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</si>
  <si>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</si>
  <si>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</si>
  <si>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</si>
  <si>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</si>
  <si>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</si>
  <si>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</si>
  <si>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</si>
  <si>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</si>
  <si>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</si>
  <si>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</si>
  <si>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</si>
  <si>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</si>
  <si>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</si>
  <si>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</si>
  <si>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</si>
  <si>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</si>
  <si>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</si>
  <si>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</si>
  <si>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</si>
  <si>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</si>
  <si>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</si>
  <si>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</si>
  <si>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</si>
  <si>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</si>
  <si>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</si>
  <si>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</si>
  <si>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</si>
  <si>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</si>
  <si>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</si>
  <si>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</si>
  <si>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</si>
  <si>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</si>
  <si>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</si>
  <si>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</si>
  <si>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</si>
  <si>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</si>
  <si>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</si>
  <si>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</si>
  <si>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</si>
  <si>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</si>
  <si>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</si>
  <si>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</si>
  <si>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</si>
  <si>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</si>
  <si>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</si>
  <si>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</si>
  <si>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</si>
  <si>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</si>
  <si>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</si>
  <si>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</si>
  <si>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</si>
  <si>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</si>
  <si>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</si>
  <si>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</si>
  <si>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</si>
  <si>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</si>
  <si>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</si>
  <si>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</si>
  <si>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</si>
  <si>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</si>
  <si>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</si>
  <si>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</si>
  <si>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</si>
  <si>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</si>
  <si>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</si>
  <si>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</si>
  <si>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</si>
  <si>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</si>
  <si>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</si>
  <si>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</si>
  <si>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</si>
  <si>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</si>
  <si>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</si>
  <si>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</si>
  <si>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</si>
  <si>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</si>
  <si>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</si>
  <si>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</si>
  <si>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</si>
  <si>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</si>
  <si>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</si>
  <si>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</si>
  <si>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</si>
  <si>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</si>
  <si>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</si>
  <si>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</si>
  <si>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</si>
  <si>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</si>
  <si>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</si>
  <si>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</si>
  <si>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</si>
  <si>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</si>
  <si>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</si>
  <si>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</si>
  <si>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</si>
  <si>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</si>
  <si>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</si>
  <si>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</si>
  <si>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</si>
  <si>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</si>
  <si>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</si>
  <si>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</si>
  <si>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</si>
  <si>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</si>
  <si>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</si>
  <si>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</si>
  <si>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</si>
  <si>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</si>
  <si>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</si>
  <si>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</si>
  <si>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</si>
  <si>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</si>
  <si>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</si>
  <si>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</si>
  <si>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</si>
  <si>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</si>
  <si>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</si>
  <si>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</si>
  <si>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</si>
  <si>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</si>
  <si>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</si>
  <si>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</si>
  <si>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</si>
  <si>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</si>
  <si>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</si>
  <si>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</si>
  <si>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</si>
  <si>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</si>
  <si>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</si>
  <si>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</si>
  <si>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</si>
  <si>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</si>
  <si>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</si>
  <si>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</si>
  <si>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</si>
  <si>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</si>
  <si>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</si>
  <si>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</si>
  <si>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</si>
  <si>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</si>
  <si>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</si>
  <si>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</si>
  <si>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</si>
  <si>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</si>
  <si>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</si>
  <si>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</si>
  <si>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</si>
  <si>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</si>
  <si>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</si>
  <si>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</si>
  <si>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</si>
  <si>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</si>
  <si>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</si>
  <si>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</si>
  <si>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</si>
  <si>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</si>
  <si>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</si>
  <si>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</si>
  <si>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</si>
  <si>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</si>
  <si>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</si>
  <si>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</si>
  <si>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</si>
  <si>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</si>
  <si>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</si>
  <si>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</si>
  <si>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</si>
  <si>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</si>
  <si>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</si>
  <si>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</si>
  <si>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</si>
  <si>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</si>
  <si>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</si>
  <si>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</si>
  <si>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</si>
  <si>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</si>
  <si>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</si>
  <si>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</si>
  <si>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</si>
  <si>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</si>
  <si>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</si>
  <si>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</si>
  <si>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</si>
  <si>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</si>
  <si>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</si>
  <si>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</si>
  <si>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</si>
  <si>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</si>
  <si>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</si>
  <si>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</si>
  <si>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</si>
  <si>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</si>
  <si>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</si>
  <si>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</si>
  <si>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</si>
  <si>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</si>
  <si>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</si>
  <si>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</si>
  <si>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</si>
  <si>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</si>
  <si>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</si>
  <si>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</si>
  <si>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</si>
  <si>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</si>
  <si>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</si>
  <si>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</si>
  <si>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</si>
  <si>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</si>
  <si>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</si>
  <si>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</si>
  <si>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</si>
  <si>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</si>
  <si>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</si>
  <si>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</si>
  <si>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</si>
  <si>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</si>
  <si>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</si>
  <si>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</si>
  <si>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</si>
  <si>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</si>
  <si>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</si>
  <si>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</si>
  <si>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</si>
  <si>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</si>
  <si>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</si>
  <si>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</si>
  <si>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</si>
  <si>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[0.404078]</t>
  </si>
  <si>
    <t>1 [0.808022]</t>
  </si>
  <si>
    <t>1 [1.215667]</t>
  </si>
  <si>
    <t>1 [1.625465]</t>
  </si>
  <si>
    <t>1 [2.030851]</t>
  </si>
  <si>
    <t>1 [2.435717]</t>
  </si>
  <si>
    <t>1 [2.840673]</t>
  </si>
  <si>
    <t>1 [3.247281]</t>
  </si>
  <si>
    <t>1 [3.653301]</t>
  </si>
  <si>
    <t>1 [4.064745]</t>
  </si>
  <si>
    <t>1 [4.467133]</t>
  </si>
  <si>
    <t>1 [4.872440]</t>
  </si>
  <si>
    <t>1 [5.276619]</t>
  </si>
  <si>
    <t>1 [5.685847]</t>
  </si>
  <si>
    <t>1 [6.096479]</t>
  </si>
  <si>
    <t>1 [6.499170]</t>
  </si>
  <si>
    <t>1 [6.902470]</t>
  </si>
  <si>
    <t>1 [7.308459]</t>
  </si>
  <si>
    <t>1 [7.718366]</t>
  </si>
  <si>
    <t>1 [8.124138]</t>
  </si>
  <si>
    <t>1 [8.527169]</t>
  </si>
  <si>
    <t>1 [8.934746]</t>
  </si>
  <si>
    <t>1 [9.339732]</t>
  </si>
  <si>
    <t>1 [9.749695]</t>
  </si>
  <si>
    <t>1 [10.157383]</t>
  </si>
  <si>
    <t>1 [10.562007]</t>
  </si>
  <si>
    <t>1 [10.966385]</t>
  </si>
  <si>
    <t>1 [11.372089]</t>
  </si>
  <si>
    <t>1 [11.782548]</t>
  </si>
  <si>
    <t>1 [12.186726]</t>
  </si>
  <si>
    <t>1 [12.593290]</t>
  </si>
  <si>
    <t>1 [12.997251]</t>
  </si>
  <si>
    <t>1 [13.402727]</t>
  </si>
  <si>
    <t>1 [13.809814]</t>
  </si>
  <si>
    <t>1 [14.214100]</t>
  </si>
  <si>
    <t>1 [14.620470]</t>
  </si>
  <si>
    <t>1 [15.031069]</t>
  </si>
  <si>
    <t>1 [15.437318]</t>
  </si>
  <si>
    <t>1 [15.846476]</t>
  </si>
  <si>
    <t>1 [16.245264]</t>
  </si>
  <si>
    <t>1 [16.655225]</t>
  </si>
  <si>
    <t>1 [17.065280]</t>
  </si>
  <si>
    <t>1 [17.468492]</t>
  </si>
  <si>
    <t>1 [17.872534]</t>
  </si>
  <si>
    <t>1 [18.277819]</t>
  </si>
  <si>
    <t>1 [18.683834]</t>
  </si>
  <si>
    <t>1 [19.093808]</t>
  </si>
  <si>
    <t>1 [19.499951]</t>
  </si>
  <si>
    <t>1 [19.906161]</t>
  </si>
  <si>
    <t>1 [20.309326]</t>
  </si>
  <si>
    <t>1 [20.713564]</t>
  </si>
  <si>
    <t>1 [21.125153]</t>
  </si>
  <si>
    <t>1 [21.530207]</t>
  </si>
  <si>
    <t>1 [21.938310]</t>
  </si>
  <si>
    <t>1 [22.342988]</t>
  </si>
  <si>
    <t>1 [22.748100]</t>
  </si>
  <si>
    <t>1 [23.154899]</t>
  </si>
  <si>
    <t>1 [23.559325]</t>
  </si>
  <si>
    <t>1 [23.967558]</t>
  </si>
  <si>
    <t>1 [24.372451]</t>
  </si>
  <si>
    <t>1 [24.782852]</t>
  </si>
  <si>
    <t>1 [25.184088]</t>
  </si>
  <si>
    <t>1 [25.593653]</t>
  </si>
  <si>
    <t>1 [25.998078]</t>
  </si>
  <si>
    <t>1 [26.405882]</t>
  </si>
  <si>
    <t>1 [26.808586]</t>
  </si>
  <si>
    <t>1 [27.218171]</t>
  </si>
  <si>
    <t>1 [27.625284]</t>
  </si>
  <si>
    <t>1 [28.033418]</t>
  </si>
  <si>
    <t>1 [28.438977]</t>
  </si>
  <si>
    <t>1 [28.841229]</t>
  </si>
  <si>
    <t>1 [29.245879]</t>
  </si>
  <si>
    <t>1 [29.653689]</t>
  </si>
  <si>
    <t>2 [30.062913]</t>
  </si>
  <si>
    <t>2 [30.528734]</t>
  </si>
  <si>
    <t>2 [30.933524]</t>
  </si>
  <si>
    <t>2 [31.328799]</t>
  </si>
  <si>
    <t>2 [31.732519]</t>
  </si>
  <si>
    <t>2 [32.139442]</t>
  </si>
  <si>
    <t>2 [32.543030]</t>
  </si>
  <si>
    <t>2 [32.949248]</t>
  </si>
  <si>
    <t>2 [33.354565]</t>
  </si>
  <si>
    <t>2 [33.763350]</t>
  </si>
  <si>
    <t>2 [34.174373]</t>
  </si>
  <si>
    <t>2 [34.578260]</t>
  </si>
  <si>
    <t>2 [34.981430]</t>
  </si>
  <si>
    <t>2 [35.387580]</t>
  </si>
  <si>
    <t>2 [35.792957]</t>
  </si>
  <si>
    <t>2 [36.204318]</t>
  </si>
  <si>
    <t>2 [36.608688]</t>
  </si>
  <si>
    <t>2 [37.013357]</t>
  </si>
  <si>
    <t>2 [37.418646]</t>
  </si>
  <si>
    <t>2 [37.829478]</t>
  </si>
  <si>
    <t>2 [38.234322]</t>
  </si>
  <si>
    <t>2 [38.639872]</t>
  </si>
  <si>
    <t>2 [39.043672]</t>
  </si>
  <si>
    <t>2 [39.449875]</t>
  </si>
  <si>
    <t>2 [39.858619]</t>
  </si>
  <si>
    <t>2 [40.266077]</t>
  </si>
  <si>
    <t>2 [40.672333]</t>
  </si>
  <si>
    <t>2 [41.073625]</t>
  </si>
  <si>
    <t>2 [41.481270]</t>
  </si>
  <si>
    <t>2 [41.891556]</t>
  </si>
  <si>
    <t>2 [42.294341]</t>
  </si>
  <si>
    <t>2 [42.701584]</t>
  </si>
  <si>
    <t>2 [43.108498]</t>
  </si>
  <si>
    <t>2 [43.511716]</t>
  </si>
  <si>
    <t>2 [43.919756]</t>
  </si>
  <si>
    <t>2 [44.327729]</t>
  </si>
  <si>
    <t>2 [44.734493]</t>
  </si>
  <si>
    <t>2 [45.141404]</t>
  </si>
  <si>
    <t>2 [45.546689]</t>
  </si>
  <si>
    <t>2 [45.950802]</t>
  </si>
  <si>
    <t>2 [46.356349]</t>
  </si>
  <si>
    <t>2 [46.764643]</t>
  </si>
  <si>
    <t>2 [47.169841]</t>
  </si>
  <si>
    <t>2 [47.575042]</t>
  </si>
  <si>
    <t>2 [47.980796]</t>
  </si>
  <si>
    <t>2 [48.388020]</t>
  </si>
  <si>
    <t>2 [48.795415]</t>
  </si>
  <si>
    <t>2 [49.203471]</t>
  </si>
  <si>
    <t>2 [49.607907]</t>
  </si>
  <si>
    <t>2 [50.012468]</t>
  </si>
  <si>
    <t>2 [50.421884]</t>
  </si>
  <si>
    <t>2 [50.828590]</t>
  </si>
  <si>
    <t>2 [51.230649]</t>
  </si>
  <si>
    <t>2 [51.647703]</t>
  </si>
  <si>
    <t>2 [52.044400]</t>
  </si>
  <si>
    <t>2 [52.454748]</t>
  </si>
  <si>
    <t>2 [52.857371]</t>
  </si>
  <si>
    <t>2 [53.262727]</t>
  </si>
  <si>
    <t>2 [53.668435]</t>
  </si>
  <si>
    <t>2 [54.077796]</t>
  </si>
  <si>
    <t>2 [54.482817]</t>
  </si>
  <si>
    <t>2 [54.887176]</t>
  </si>
  <si>
    <t>2 [55.292534]</t>
  </si>
  <si>
    <t>2 [55.700251]</t>
  </si>
  <si>
    <t>2 [56.108683]</t>
  </si>
  <si>
    <t>2 [56.513860]</t>
  </si>
  <si>
    <t>2 [56.917528]</t>
  </si>
  <si>
    <t>2 [57.324477]</t>
  </si>
  <si>
    <t>2 [57.734026]</t>
  </si>
  <si>
    <t>2 [58.142927]</t>
  </si>
  <si>
    <t>2 [58.546222]</t>
  </si>
  <si>
    <t>2 [58.950833]</t>
  </si>
  <si>
    <t>2 [59.355534]</t>
  </si>
  <si>
    <t>2 [59.765903]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</si>
  <si>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</si>
  <si>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</si>
  <si>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</si>
  <si>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</si>
  <si>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</si>
  <si>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</si>
  <si>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</si>
  <si>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</si>
  <si>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</si>
  <si>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</si>
  <si>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</si>
  <si>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</si>
  <si>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</si>
  <si>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史润生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</si>
</sst>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33.273099999999999</c:v>
                </c:pt>
                <c:pt idx="1">
                  <c:v>25.334199999999999</c:v>
                </c:pt>
                <c:pt idx="2">
                  <c:v>33.588999999999999</c:v>
                </c:pt>
                <c:pt idx="3">
                  <c:v>29.2499</c:v>
                </c:pt>
                <c:pt idx="4">
                  <c:v>62.261499999999998</c:v>
                </c:pt>
                <c:pt idx="5">
                  <c:v>77.490799999999993</c:v>
                </c:pt>
                <c:pt idx="6">
                  <c:v>15.726000000000001</c:v>
                </c:pt>
                <c:pt idx="7">
                  <c:v>70.907799999999995</c:v>
                </c:pt>
                <c:pt idx="8">
                  <c:v>17.584099999999999</c:v>
                </c:pt>
                <c:pt idx="9">
                  <c:v>31.459900000000001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0.50768287516849986</c:v>
                </c:pt>
                <c:pt idx="1">
                  <c:v>0.27234956560623053</c:v>
                </c:pt>
                <c:pt idx="2">
                  <c:v>0.21996755922526962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9001</c:v>
                </c:pt>
                <c:pt idx="7">
                  <c:v>0</c:v>
                </c:pt>
                <c:pt idx="8">
                  <c:v>14249</c:v>
                </c:pt>
                <c:pt idx="9">
                  <c:v>0</c:v>
                </c:pt>
                <c:pt idx="10">
                  <c:v>0</c:v>
                </c:pt>
                <c:pt idx="11">
                  <c:v>19021</c:v>
                </c:pt>
                <c:pt idx="12">
                  <c:v>0</c:v>
                </c:pt>
                <c:pt idx="13">
                  <c:v>31419</c:v>
                </c:pt>
                <c:pt idx="14">
                  <c:v>0</c:v>
                </c:pt>
                <c:pt idx="15">
                  <c:v>0</c:v>
                </c:pt>
                <c:pt idx="16">
                  <c:v>44715</c:v>
                </c:pt>
                <c:pt idx="17">
                  <c:v>0</c:v>
                </c:pt>
                <c:pt idx="18">
                  <c:v>0</c:v>
                </c:pt>
                <c:pt idx="19">
                  <c:v>49023</c:v>
                </c:pt>
                <c:pt idx="20">
                  <c:v>0</c:v>
                </c:pt>
                <c:pt idx="21">
                  <c:v>69086</c:v>
                </c:pt>
                <c:pt idx="22">
                  <c:v>0</c:v>
                </c:pt>
                <c:pt idx="23">
                  <c:v>0</c:v>
                </c:pt>
                <c:pt idx="24">
                  <c:v>69323</c:v>
                </c:pt>
                <c:pt idx="25">
                  <c:v>0</c:v>
                </c:pt>
                <c:pt idx="26">
                  <c:v>82997</c:v>
                </c:pt>
                <c:pt idx="27">
                  <c:v>0</c:v>
                </c:pt>
                <c:pt idx="28">
                  <c:v>0</c:v>
                </c:pt>
                <c:pt idx="29">
                  <c:v>99399</c:v>
                </c:pt>
                <c:pt idx="30">
                  <c:v>0</c:v>
                </c:pt>
                <c:pt idx="31">
                  <c:v>109028</c:v>
                </c:pt>
                <c:pt idx="32">
                  <c:v>0</c:v>
                </c:pt>
                <c:pt idx="33">
                  <c:v>0</c:v>
                </c:pt>
                <c:pt idx="34">
                  <c:v>112289</c:v>
                </c:pt>
                <c:pt idx="35">
                  <c:v>0</c:v>
                </c:pt>
                <c:pt idx="36">
                  <c:v>0</c:v>
                </c:pt>
                <c:pt idx="37">
                  <c:v>101692</c:v>
                </c:pt>
                <c:pt idx="38">
                  <c:v>0</c:v>
                </c:pt>
                <c:pt idx="39">
                  <c:v>102549</c:v>
                </c:pt>
                <c:pt idx="40">
                  <c:v>0</c:v>
                </c:pt>
                <c:pt idx="41">
                  <c:v>0</c:v>
                </c:pt>
                <c:pt idx="42">
                  <c:v>104269</c:v>
                </c:pt>
                <c:pt idx="43">
                  <c:v>0</c:v>
                </c:pt>
                <c:pt idx="44">
                  <c:v>101871</c:v>
                </c:pt>
                <c:pt idx="45">
                  <c:v>0</c:v>
                </c:pt>
                <c:pt idx="46">
                  <c:v>0</c:v>
                </c:pt>
                <c:pt idx="47">
                  <c:v>100870</c:v>
                </c:pt>
                <c:pt idx="48">
                  <c:v>0</c:v>
                </c:pt>
                <c:pt idx="49">
                  <c:v>116106</c:v>
                </c:pt>
                <c:pt idx="50">
                  <c:v>0</c:v>
                </c:pt>
                <c:pt idx="51">
                  <c:v>0</c:v>
                </c:pt>
                <c:pt idx="52">
                  <c:v>128564</c:v>
                </c:pt>
                <c:pt idx="53">
                  <c:v>0</c:v>
                </c:pt>
                <c:pt idx="54">
                  <c:v>0</c:v>
                </c:pt>
                <c:pt idx="55">
                  <c:v>145283</c:v>
                </c:pt>
                <c:pt idx="56">
                  <c:v>0</c:v>
                </c:pt>
                <c:pt idx="57">
                  <c:v>153674</c:v>
                </c:pt>
                <c:pt idx="58">
                  <c:v>0</c:v>
                </c:pt>
                <c:pt idx="59">
                  <c:v>0</c:v>
                </c:pt>
                <c:pt idx="60">
                  <c:v>164178</c:v>
                </c:pt>
                <c:pt idx="61">
                  <c:v>0</c:v>
                </c:pt>
                <c:pt idx="62">
                  <c:v>160188</c:v>
                </c:pt>
                <c:pt idx="63">
                  <c:v>0</c:v>
                </c:pt>
                <c:pt idx="64">
                  <c:v>0</c:v>
                </c:pt>
                <c:pt idx="65">
                  <c:v>156191</c:v>
                </c:pt>
                <c:pt idx="66">
                  <c:v>0</c:v>
                </c:pt>
                <c:pt idx="67">
                  <c:v>157597</c:v>
                </c:pt>
                <c:pt idx="68">
                  <c:v>0</c:v>
                </c:pt>
                <c:pt idx="69">
                  <c:v>0</c:v>
                </c:pt>
                <c:pt idx="70">
                  <c:v>156506</c:v>
                </c:pt>
                <c:pt idx="71">
                  <c:v>0</c:v>
                </c:pt>
                <c:pt idx="72">
                  <c:v>0</c:v>
                </c:pt>
                <c:pt idx="73">
                  <c:v>152128</c:v>
                </c:pt>
                <c:pt idx="74">
                  <c:v>0</c:v>
                </c:pt>
                <c:pt idx="75">
                  <c:v>151899</c:v>
                </c:pt>
                <c:pt idx="76">
                  <c:v>0</c:v>
                </c:pt>
                <c:pt idx="77">
                  <c:v>0</c:v>
                </c:pt>
                <c:pt idx="78">
                  <c:v>138667</c:v>
                </c:pt>
                <c:pt idx="79">
                  <c:v>0</c:v>
                </c:pt>
                <c:pt idx="80">
                  <c:v>129536</c:v>
                </c:pt>
                <c:pt idx="81">
                  <c:v>0</c:v>
                </c:pt>
                <c:pt idx="82">
                  <c:v>0</c:v>
                </c:pt>
                <c:pt idx="83">
                  <c:v>119761</c:v>
                </c:pt>
                <c:pt idx="84">
                  <c:v>0</c:v>
                </c:pt>
                <c:pt idx="85">
                  <c:v>0</c:v>
                </c:pt>
                <c:pt idx="86">
                  <c:v>106472</c:v>
                </c:pt>
                <c:pt idx="87">
                  <c:v>0</c:v>
                </c:pt>
                <c:pt idx="88">
                  <c:v>100111</c:v>
                </c:pt>
                <c:pt idx="89">
                  <c:v>0</c:v>
                </c:pt>
                <c:pt idx="90">
                  <c:v>0</c:v>
                </c:pt>
                <c:pt idx="91">
                  <c:v>95846</c:v>
                </c:pt>
                <c:pt idx="92">
                  <c:v>0</c:v>
                </c:pt>
                <c:pt idx="93">
                  <c:v>85171</c:v>
                </c:pt>
                <c:pt idx="94">
                  <c:v>0</c:v>
                </c:pt>
                <c:pt idx="95">
                  <c:v>0</c:v>
                </c:pt>
                <c:pt idx="96">
                  <c:v>69281</c:v>
                </c:pt>
                <c:pt idx="97">
                  <c:v>0</c:v>
                </c:pt>
                <c:pt idx="98">
                  <c:v>62009</c:v>
                </c:pt>
                <c:pt idx="99">
                  <c:v>0</c:v>
                </c:pt>
                <c:pt idx="100">
                  <c:v>0</c:v>
                </c:pt>
                <c:pt idx="101">
                  <c:v>56937</c:v>
                </c:pt>
                <c:pt idx="102">
                  <c:v>0</c:v>
                </c:pt>
                <c:pt idx="103">
                  <c:v>0</c:v>
                </c:pt>
                <c:pt idx="104">
                  <c:v>41173</c:v>
                </c:pt>
                <c:pt idx="105">
                  <c:v>0</c:v>
                </c:pt>
                <c:pt idx="106">
                  <c:v>40410</c:v>
                </c:pt>
                <c:pt idx="107">
                  <c:v>0</c:v>
                </c:pt>
                <c:pt idx="108">
                  <c:v>0</c:v>
                </c:pt>
                <c:pt idx="109">
                  <c:v>33337</c:v>
                </c:pt>
                <c:pt idx="110">
                  <c:v>0</c:v>
                </c:pt>
                <c:pt idx="111">
                  <c:v>29045</c:v>
                </c:pt>
                <c:pt idx="112">
                  <c:v>0</c:v>
                </c:pt>
                <c:pt idx="113">
                  <c:v>0</c:v>
                </c:pt>
                <c:pt idx="114">
                  <c:v>30175</c:v>
                </c:pt>
                <c:pt idx="115">
                  <c:v>0</c:v>
                </c:pt>
                <c:pt idx="116">
                  <c:v>25738</c:v>
                </c:pt>
                <c:pt idx="117">
                  <c:v>0</c:v>
                </c:pt>
                <c:pt idx="118">
                  <c:v>0</c:v>
                </c:pt>
                <c:pt idx="119">
                  <c:v>23366</c:v>
                </c:pt>
                <c:pt idx="120">
                  <c:v>0</c:v>
                </c:pt>
                <c:pt idx="121">
                  <c:v>0</c:v>
                </c:pt>
                <c:pt idx="122">
                  <c:v>16657</c:v>
                </c:pt>
                <c:pt idx="123">
                  <c:v>0</c:v>
                </c:pt>
                <c:pt idx="124">
                  <c:v>17523</c:v>
                </c:pt>
                <c:pt idx="125">
                  <c:v>0</c:v>
                </c:pt>
                <c:pt idx="126">
                  <c:v>0</c:v>
                </c:pt>
                <c:pt idx="127">
                  <c:v>17695</c:v>
                </c:pt>
                <c:pt idx="128">
                  <c:v>0</c:v>
                </c:pt>
                <c:pt idx="129">
                  <c:v>15391</c:v>
                </c:pt>
                <c:pt idx="130">
                  <c:v>0</c:v>
                </c:pt>
                <c:pt idx="131">
                  <c:v>0</c:v>
                </c:pt>
                <c:pt idx="132">
                  <c:v>18228</c:v>
                </c:pt>
                <c:pt idx="133">
                  <c:v>0</c:v>
                </c:pt>
                <c:pt idx="134">
                  <c:v>15356</c:v>
                </c:pt>
                <c:pt idx="135">
                  <c:v>0</c:v>
                </c:pt>
                <c:pt idx="136">
                  <c:v>0</c:v>
                </c:pt>
                <c:pt idx="137">
                  <c:v>16595</c:v>
                </c:pt>
                <c:pt idx="138">
                  <c:v>0</c:v>
                </c:pt>
                <c:pt idx="139">
                  <c:v>0</c:v>
                </c:pt>
                <c:pt idx="140">
                  <c:v>15139</c:v>
                </c:pt>
                <c:pt idx="141">
                  <c:v>0</c:v>
                </c:pt>
                <c:pt idx="142">
                  <c:v>15729</c:v>
                </c:pt>
                <c:pt idx="143">
                  <c:v>0</c:v>
                </c:pt>
                <c:pt idx="144">
                  <c:v>0</c:v>
                </c:pt>
                <c:pt idx="145">
                  <c:v>11408</c:v>
                </c:pt>
                <c:pt idx="146">
                  <c:v>0</c:v>
                </c:pt>
                <c:pt idx="147">
                  <c:v>10440</c:v>
                </c:pt>
                <c:pt idx="148">
                  <c:v>0</c:v>
                </c:pt>
                <c:pt idx="149">
                  <c:v>0</c:v>
                </c:pt>
                <c:pt idx="150">
                  <c:v>8232</c:v>
                </c:pt>
                <c:pt idx="151">
                  <c:v>0</c:v>
                </c:pt>
                <c:pt idx="152">
                  <c:v>7984</c:v>
                </c:pt>
                <c:pt idx="153">
                  <c:v>0</c:v>
                </c:pt>
                <c:pt idx="154">
                  <c:v>0</c:v>
                </c:pt>
                <c:pt idx="155">
                  <c:v>5214</c:v>
                </c:pt>
                <c:pt idx="156">
                  <c:v>0</c:v>
                </c:pt>
                <c:pt idx="157">
                  <c:v>0</c:v>
                </c:pt>
                <c:pt idx="158">
                  <c:v>5925</c:v>
                </c:pt>
                <c:pt idx="159">
                  <c:v>0</c:v>
                </c:pt>
                <c:pt idx="160">
                  <c:v>4417</c:v>
                </c:pt>
                <c:pt idx="161">
                  <c:v>0</c:v>
                </c:pt>
                <c:pt idx="162">
                  <c:v>0</c:v>
                </c:pt>
                <c:pt idx="163">
                  <c:v>1722</c:v>
                </c:pt>
                <c:pt idx="164">
                  <c:v>0</c:v>
                </c:pt>
                <c:pt idx="165">
                  <c:v>1176</c:v>
                </c:pt>
                <c:pt idx="166">
                  <c:v>0</c:v>
                </c:pt>
                <c:pt idx="167">
                  <c:v>0</c:v>
                </c:pt>
                <c:pt idx="168">
                  <c:v>409</c:v>
                </c:pt>
                <c:pt idx="169">
                  <c:v>0</c:v>
                </c:pt>
                <c:pt idx="170">
                  <c:v>0</c:v>
                </c:pt>
                <c:pt idx="171">
                  <c:v>92</c:v>
                </c:pt>
                <c:pt idx="172">
                  <c:v>0</c:v>
                </c:pt>
                <c:pt idx="173">
                  <c:v>139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1.3846700000000001</c:v>
                </c:pt>
                <c:pt idx="1">
                  <c:v>1.42703</c:v>
                </c:pt>
                <c:pt idx="2">
                  <c:v>1.4749499999999998</c:v>
                </c:pt>
                <c:pt idx="3">
                  <c:v>1.5291399999999999</c:v>
                </c:pt>
                <c:pt idx="4">
                  <c:v>1.58416</c:v>
                </c:pt>
                <c:pt idx="5">
                  <c:v>1.6417999999999999</c:v>
                </c:pt>
                <c:pt idx="6">
                  <c:v>1.6993100000000001</c:v>
                </c:pt>
                <c:pt idx="7">
                  <c:v>1.75589</c:v>
                </c:pt>
                <c:pt idx="8">
                  <c:v>1.8146100000000001</c:v>
                </c:pt>
                <c:pt idx="9">
                  <c:v>1.87751</c:v>
                </c:pt>
                <c:pt idx="10">
                  <c:v>1.94218</c:v>
                </c:pt>
                <c:pt idx="11">
                  <c:v>2.01152</c:v>
                </c:pt>
                <c:pt idx="12">
                  <c:v>2.0799699999999999</c:v>
                </c:pt>
                <c:pt idx="13">
                  <c:v>2.1527400000000001</c:v>
                </c:pt>
                <c:pt idx="14">
                  <c:v>2.22729</c:v>
                </c:pt>
                <c:pt idx="15">
                  <c:v>2.2971400000000002</c:v>
                </c:pt>
                <c:pt idx="16">
                  <c:v>2.3560400000000001</c:v>
                </c:pt>
                <c:pt idx="17">
                  <c:v>2.41499</c:v>
                </c:pt>
                <c:pt idx="18">
                  <c:v>2.4747699999999999</c:v>
                </c:pt>
                <c:pt idx="19">
                  <c:v>2.5340699999999998</c:v>
                </c:pt>
                <c:pt idx="20">
                  <c:v>2.5898300000000001</c:v>
                </c:pt>
                <c:pt idx="21">
                  <c:v>2.6434299999999999</c:v>
                </c:pt>
                <c:pt idx="22">
                  <c:v>2.6944800000000004</c:v>
                </c:pt>
                <c:pt idx="23">
                  <c:v>2.74499</c:v>
                </c:pt>
                <c:pt idx="24">
                  <c:v>2.7944799999999996</c:v>
                </c:pt>
                <c:pt idx="25">
                  <c:v>2.8428500000000003</c:v>
                </c:pt>
                <c:pt idx="26">
                  <c:v>2.8898299999999999</c:v>
                </c:pt>
                <c:pt idx="27">
                  <c:v>2.9342699999999997</c:v>
                </c:pt>
                <c:pt idx="28">
                  <c:v>2.9751699999999999</c:v>
                </c:pt>
                <c:pt idx="29">
                  <c:v>3.0127600000000001</c:v>
                </c:pt>
                <c:pt idx="30">
                  <c:v>3.0432600000000001</c:v>
                </c:pt>
                <c:pt idx="31">
                  <c:v>3.06697</c:v>
                </c:pt>
                <c:pt idx="32">
                  <c:v>3.0878299999999999</c:v>
                </c:pt>
                <c:pt idx="33">
                  <c:v>3.1017200000000003</c:v>
                </c:pt>
                <c:pt idx="34">
                  <c:v>3.1105800000000001</c:v>
                </c:pt>
                <c:pt idx="35">
                  <c:v>3.1163699999999999</c:v>
                </c:pt>
                <c:pt idx="36">
                  <c:v>3.11666</c:v>
                </c:pt>
                <c:pt idx="37">
                  <c:v>3.1129600000000002</c:v>
                </c:pt>
                <c:pt idx="38">
                  <c:v>3.0999300000000001</c:v>
                </c:pt>
                <c:pt idx="39">
                  <c:v>3.0806</c:v>
                </c:pt>
                <c:pt idx="40">
                  <c:v>3.05952</c:v>
                </c:pt>
                <c:pt idx="41">
                  <c:v>3.0335800000000002</c:v>
                </c:pt>
                <c:pt idx="42">
                  <c:v>3.0048399999999997</c:v>
                </c:pt>
                <c:pt idx="43">
                  <c:v>2.9742200000000003</c:v>
                </c:pt>
                <c:pt idx="44">
                  <c:v>2.9417</c:v>
                </c:pt>
                <c:pt idx="45">
                  <c:v>2.9086800000000004</c:v>
                </c:pt>
                <c:pt idx="46">
                  <c:v>2.8770800000000003</c:v>
                </c:pt>
                <c:pt idx="47">
                  <c:v>2.8471600000000001</c:v>
                </c:pt>
                <c:pt idx="48">
                  <c:v>2.8176000000000001</c:v>
                </c:pt>
                <c:pt idx="49">
                  <c:v>2.7879100000000001</c:v>
                </c:pt>
                <c:pt idx="50">
                  <c:v>2.7648800000000002</c:v>
                </c:pt>
                <c:pt idx="51">
                  <c:v>2.7353699999999996</c:v>
                </c:pt>
                <c:pt idx="52">
                  <c:v>2.7051799999999999</c:v>
                </c:pt>
                <c:pt idx="53">
                  <c:v>2.6720199999999998</c:v>
                </c:pt>
                <c:pt idx="54">
                  <c:v>2.64453</c:v>
                </c:pt>
                <c:pt idx="55">
                  <c:v>2.6213100000000003</c:v>
                </c:pt>
                <c:pt idx="56">
                  <c:v>2.6030100000000003</c:v>
                </c:pt>
                <c:pt idx="57">
                  <c:v>2.5895700000000001</c:v>
                </c:pt>
                <c:pt idx="58">
                  <c:v>2.5789200000000001</c:v>
                </c:pt>
                <c:pt idx="59">
                  <c:v>2.5789299999999997</c:v>
                </c:pt>
                <c:pt idx="60">
                  <c:v>2.5710899999999999</c:v>
                </c:pt>
                <c:pt idx="61">
                  <c:v>2.5769799999999998</c:v>
                </c:pt>
                <c:pt idx="62">
                  <c:v>2.57531</c:v>
                </c:pt>
                <c:pt idx="63">
                  <c:v>2.58839</c:v>
                </c:pt>
                <c:pt idx="64">
                  <c:v>2.6063700000000001</c:v>
                </c:pt>
                <c:pt idx="65">
                  <c:v>2.63733</c:v>
                </c:pt>
                <c:pt idx="66">
                  <c:v>2.6489000000000003</c:v>
                </c:pt>
                <c:pt idx="67">
                  <c:v>2.6688499999999999</c:v>
                </c:pt>
                <c:pt idx="68">
                  <c:v>2.6903600000000001</c:v>
                </c:pt>
                <c:pt idx="69">
                  <c:v>2.7186700000000004</c:v>
                </c:pt>
                <c:pt idx="70">
                  <c:v>2.7405600000000003</c:v>
                </c:pt>
                <c:pt idx="71">
                  <c:v>2.7611300000000001</c:v>
                </c:pt>
                <c:pt idx="72">
                  <c:v>2.7761499999999999</c:v>
                </c:pt>
                <c:pt idx="73">
                  <c:v>2.7909699999999997</c:v>
                </c:pt>
                <c:pt idx="74">
                  <c:v>2.8045900000000001</c:v>
                </c:pt>
                <c:pt idx="75">
                  <c:v>2.8157100000000002</c:v>
                </c:pt>
                <c:pt idx="76">
                  <c:v>2.8211599999999999</c:v>
                </c:pt>
                <c:pt idx="77">
                  <c:v>2.8223599999999998</c:v>
                </c:pt>
                <c:pt idx="78">
                  <c:v>2.8218199999999998</c:v>
                </c:pt>
                <c:pt idx="79">
                  <c:v>2.8207599999999999</c:v>
                </c:pt>
                <c:pt idx="80">
                  <c:v>2.8179400000000001</c:v>
                </c:pt>
                <c:pt idx="81">
                  <c:v>2.8111299999999999</c:v>
                </c:pt>
                <c:pt idx="82">
                  <c:v>2.7987500000000001</c:v>
                </c:pt>
                <c:pt idx="83">
                  <c:v>2.7839199999999997</c:v>
                </c:pt>
                <c:pt idx="84">
                  <c:v>2.7647200000000001</c:v>
                </c:pt>
                <c:pt idx="85">
                  <c:v>2.7446100000000002</c:v>
                </c:pt>
                <c:pt idx="86">
                  <c:v>2.7207699999999999</c:v>
                </c:pt>
                <c:pt idx="87">
                  <c:v>2.69259</c:v>
                </c:pt>
                <c:pt idx="88">
                  <c:v>2.6622600000000003</c:v>
                </c:pt>
                <c:pt idx="89">
                  <c:v>2.6299399999999999</c:v>
                </c:pt>
                <c:pt idx="90">
                  <c:v>2.5973099999999998</c:v>
                </c:pt>
                <c:pt idx="91">
                  <c:v>2.5701700000000001</c:v>
                </c:pt>
                <c:pt idx="92">
                  <c:v>2.5440299999999998</c:v>
                </c:pt>
                <c:pt idx="93">
                  <c:v>2.5171700000000001</c:v>
                </c:pt>
                <c:pt idx="94">
                  <c:v>2.49133</c:v>
                </c:pt>
                <c:pt idx="95">
                  <c:v>2.4672200000000002</c:v>
                </c:pt>
                <c:pt idx="96">
                  <c:v>2.4448500000000002</c:v>
                </c:pt>
                <c:pt idx="97">
                  <c:v>2.4281299999999999</c:v>
                </c:pt>
                <c:pt idx="98">
                  <c:v>2.4146899999999998</c:v>
                </c:pt>
                <c:pt idx="99">
                  <c:v>2.4025799999999999</c:v>
                </c:pt>
                <c:pt idx="100">
                  <c:v>2.39411</c:v>
                </c:pt>
                <c:pt idx="101">
                  <c:v>2.3903400000000001</c:v>
                </c:pt>
                <c:pt idx="102">
                  <c:v>2.3890799999999999</c:v>
                </c:pt>
                <c:pt idx="103">
                  <c:v>2.3925900000000002</c:v>
                </c:pt>
                <c:pt idx="104">
                  <c:v>2.3992900000000001</c:v>
                </c:pt>
                <c:pt idx="105">
                  <c:v>2.40862</c:v>
                </c:pt>
                <c:pt idx="106">
                  <c:v>2.42069</c:v>
                </c:pt>
                <c:pt idx="107">
                  <c:v>2.4344700000000001</c:v>
                </c:pt>
                <c:pt idx="108">
                  <c:v>2.45017</c:v>
                </c:pt>
                <c:pt idx="109">
                  <c:v>2.4704300000000003</c:v>
                </c:pt>
                <c:pt idx="110">
                  <c:v>2.4914200000000002</c:v>
                </c:pt>
                <c:pt idx="111">
                  <c:v>2.5146699999999997</c:v>
                </c:pt>
                <c:pt idx="112">
                  <c:v>2.5366300000000002</c:v>
                </c:pt>
                <c:pt idx="113">
                  <c:v>2.5548100000000002</c:v>
                </c:pt>
                <c:pt idx="114">
                  <c:v>2.5712299999999999</c:v>
                </c:pt>
                <c:pt idx="115">
                  <c:v>2.5884800000000001</c:v>
                </c:pt>
                <c:pt idx="116">
                  <c:v>2.6055099999999998</c:v>
                </c:pt>
                <c:pt idx="117">
                  <c:v>2.6233</c:v>
                </c:pt>
                <c:pt idx="118">
                  <c:v>2.6418699999999999</c:v>
                </c:pt>
                <c:pt idx="119">
                  <c:v>2.6618199999999996</c:v>
                </c:pt>
                <c:pt idx="120">
                  <c:v>2.68147</c:v>
                </c:pt>
                <c:pt idx="121">
                  <c:v>2.7036300000000004</c:v>
                </c:pt>
                <c:pt idx="122">
                  <c:v>2.7245499999999998</c:v>
                </c:pt>
                <c:pt idx="123">
                  <c:v>2.7434599999999998</c:v>
                </c:pt>
                <c:pt idx="124">
                  <c:v>2.7513300000000003</c:v>
                </c:pt>
                <c:pt idx="125">
                  <c:v>2.7584799999999996</c:v>
                </c:pt>
                <c:pt idx="126">
                  <c:v>2.7670699999999999</c:v>
                </c:pt>
                <c:pt idx="127">
                  <c:v>2.7780700000000005</c:v>
                </c:pt>
                <c:pt idx="128">
                  <c:v>2.7866600000000004</c:v>
                </c:pt>
                <c:pt idx="129">
                  <c:v>2.7929500000000003</c:v>
                </c:pt>
                <c:pt idx="130">
                  <c:v>2.7979900000000004</c:v>
                </c:pt>
                <c:pt idx="131">
                  <c:v>2.8046199999999999</c:v>
                </c:pt>
                <c:pt idx="132">
                  <c:v>2.8135700000000003</c:v>
                </c:pt>
                <c:pt idx="133">
                  <c:v>2.8212900000000003</c:v>
                </c:pt>
                <c:pt idx="134">
                  <c:v>2.8237399999999999</c:v>
                </c:pt>
                <c:pt idx="135">
                  <c:v>2.82626</c:v>
                </c:pt>
                <c:pt idx="136">
                  <c:v>2.82646</c:v>
                </c:pt>
                <c:pt idx="137">
                  <c:v>2.8300599999999996</c:v>
                </c:pt>
                <c:pt idx="138">
                  <c:v>2.8414699999999997</c:v>
                </c:pt>
                <c:pt idx="139">
                  <c:v>2.8595600000000001</c:v>
                </c:pt>
                <c:pt idx="140">
                  <c:v>2.8745500000000002</c:v>
                </c:pt>
                <c:pt idx="141">
                  <c:v>2.8887099999999997</c:v>
                </c:pt>
                <c:pt idx="142">
                  <c:v>2.9069699999999998</c:v>
                </c:pt>
                <c:pt idx="143">
                  <c:v>2.9304100000000002</c:v>
                </c:pt>
                <c:pt idx="144">
                  <c:v>2.9539800000000001</c:v>
                </c:pt>
                <c:pt idx="145">
                  <c:v>2.9847600000000001</c:v>
                </c:pt>
                <c:pt idx="146">
                  <c:v>2.99831</c:v>
                </c:pt>
                <c:pt idx="147">
                  <c:v>2.9897600000000004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69.248800000000003</c:v>
                </c:pt>
                <c:pt idx="1">
                  <c:v>68.552500000000009</c:v>
                </c:pt>
                <c:pt idx="2">
                  <c:v>67.555099999999996</c:v>
                </c:pt>
                <c:pt idx="3">
                  <c:v>66.272599999999997</c:v>
                </c:pt>
                <c:pt idx="4">
                  <c:v>64.854100000000003</c:v>
                </c:pt>
                <c:pt idx="5">
                  <c:v>63.165300000000002</c:v>
                </c:pt>
                <c:pt idx="6">
                  <c:v>61.429400000000001</c:v>
                </c:pt>
                <c:pt idx="7">
                  <c:v>59.870199999999997</c:v>
                </c:pt>
                <c:pt idx="8">
                  <c:v>58.291899999999998</c:v>
                </c:pt>
                <c:pt idx="9">
                  <c:v>56.592600000000004</c:v>
                </c:pt>
                <c:pt idx="10">
                  <c:v>55.003700000000002</c:v>
                </c:pt>
                <c:pt idx="11">
                  <c:v>53.323799999999999</c:v>
                </c:pt>
                <c:pt idx="12">
                  <c:v>51.790300000000002</c:v>
                </c:pt>
                <c:pt idx="13">
                  <c:v>50.054299999999998</c:v>
                </c:pt>
                <c:pt idx="14">
                  <c:v>48.352800000000002</c:v>
                </c:pt>
                <c:pt idx="15">
                  <c:v>46.805999999999997</c:v>
                </c:pt>
                <c:pt idx="16">
                  <c:v>45.530500000000004</c:v>
                </c:pt>
                <c:pt idx="17">
                  <c:v>44.2485</c:v>
                </c:pt>
                <c:pt idx="18">
                  <c:v>43.021999999999998</c:v>
                </c:pt>
                <c:pt idx="19">
                  <c:v>41.925800000000002</c:v>
                </c:pt>
                <c:pt idx="20">
                  <c:v>41.000399999999999</c:v>
                </c:pt>
                <c:pt idx="21">
                  <c:v>40.302300000000002</c:v>
                </c:pt>
                <c:pt idx="22">
                  <c:v>39.727800000000002</c:v>
                </c:pt>
                <c:pt idx="23">
                  <c:v>39.182899999999997</c:v>
                </c:pt>
                <c:pt idx="24">
                  <c:v>38.703299999999999</c:v>
                </c:pt>
                <c:pt idx="25">
                  <c:v>38.346499999999999</c:v>
                </c:pt>
                <c:pt idx="26">
                  <c:v>38.096000000000004</c:v>
                </c:pt>
                <c:pt idx="27">
                  <c:v>37.811299999999996</c:v>
                </c:pt>
                <c:pt idx="28">
                  <c:v>37.520600000000002</c:v>
                </c:pt>
                <c:pt idx="29">
                  <c:v>37.302800000000005</c:v>
                </c:pt>
                <c:pt idx="30">
                  <c:v>37.099399999999996</c:v>
                </c:pt>
                <c:pt idx="31">
                  <c:v>36.932299999999998</c:v>
                </c:pt>
                <c:pt idx="32">
                  <c:v>36.813600000000001</c:v>
                </c:pt>
                <c:pt idx="33">
                  <c:v>36.725999999999999</c:v>
                </c:pt>
                <c:pt idx="34">
                  <c:v>36.610799999999998</c:v>
                </c:pt>
                <c:pt idx="35">
                  <c:v>36.485700000000001</c:v>
                </c:pt>
                <c:pt idx="36">
                  <c:v>36.374200000000002</c:v>
                </c:pt>
                <c:pt idx="37">
                  <c:v>36.316199999999995</c:v>
                </c:pt>
                <c:pt idx="38">
                  <c:v>36.313099999999999</c:v>
                </c:pt>
                <c:pt idx="39">
                  <c:v>36.363500000000002</c:v>
                </c:pt>
                <c:pt idx="40">
                  <c:v>36.569400000000002</c:v>
                </c:pt>
                <c:pt idx="41">
                  <c:v>36.928400000000003</c:v>
                </c:pt>
                <c:pt idx="42">
                  <c:v>37.369599999999998</c:v>
                </c:pt>
                <c:pt idx="43">
                  <c:v>37.845600000000005</c:v>
                </c:pt>
                <c:pt idx="44">
                  <c:v>38.351800000000004</c:v>
                </c:pt>
                <c:pt idx="45">
                  <c:v>38.878599999999999</c:v>
                </c:pt>
                <c:pt idx="46">
                  <c:v>39.398800000000001</c:v>
                </c:pt>
                <c:pt idx="47">
                  <c:v>39.916699999999999</c:v>
                </c:pt>
                <c:pt idx="48">
                  <c:v>40.490500000000004</c:v>
                </c:pt>
                <c:pt idx="49">
                  <c:v>41.092099999999995</c:v>
                </c:pt>
                <c:pt idx="50">
                  <c:v>41.623199999999997</c:v>
                </c:pt>
                <c:pt idx="51">
                  <c:v>42.210599999999999</c:v>
                </c:pt>
                <c:pt idx="52">
                  <c:v>42.861900000000006</c:v>
                </c:pt>
                <c:pt idx="53">
                  <c:v>43.622499999999995</c:v>
                </c:pt>
                <c:pt idx="54">
                  <c:v>44.256299999999996</c:v>
                </c:pt>
                <c:pt idx="55">
                  <c:v>44.776700000000005</c:v>
                </c:pt>
                <c:pt idx="56">
                  <c:v>45.208999999999996</c:v>
                </c:pt>
                <c:pt idx="57">
                  <c:v>45.598399999999998</c:v>
                </c:pt>
                <c:pt idx="58">
                  <c:v>45.8932</c:v>
                </c:pt>
                <c:pt idx="59">
                  <c:v>46.111899999999999</c:v>
                </c:pt>
                <c:pt idx="60">
                  <c:v>46.363500000000002</c:v>
                </c:pt>
                <c:pt idx="61">
                  <c:v>46.3401</c:v>
                </c:pt>
                <c:pt idx="62">
                  <c:v>46.380700000000004</c:v>
                </c:pt>
                <c:pt idx="63">
                  <c:v>46.174300000000002</c:v>
                </c:pt>
                <c:pt idx="64">
                  <c:v>45.889299999999999</c:v>
                </c:pt>
                <c:pt idx="65">
                  <c:v>45.408000000000001</c:v>
                </c:pt>
                <c:pt idx="66">
                  <c:v>45.2196</c:v>
                </c:pt>
                <c:pt idx="67">
                  <c:v>44.997399999999999</c:v>
                </c:pt>
                <c:pt idx="68">
                  <c:v>44.814300000000003</c:v>
                </c:pt>
                <c:pt idx="69">
                  <c:v>44.698</c:v>
                </c:pt>
                <c:pt idx="70">
                  <c:v>44.612899999999996</c:v>
                </c:pt>
                <c:pt idx="71">
                  <c:v>44.579800000000006</c:v>
                </c:pt>
                <c:pt idx="72">
                  <c:v>44.556200000000004</c:v>
                </c:pt>
                <c:pt idx="73">
                  <c:v>44.676100000000005</c:v>
                </c:pt>
                <c:pt idx="74">
                  <c:v>44.885999999999996</c:v>
                </c:pt>
                <c:pt idx="75">
                  <c:v>45.285399999999996</c:v>
                </c:pt>
                <c:pt idx="76">
                  <c:v>45.570100000000004</c:v>
                </c:pt>
                <c:pt idx="77">
                  <c:v>45.811300000000003</c:v>
                </c:pt>
                <c:pt idx="78">
                  <c:v>46.040199999999999</c:v>
                </c:pt>
                <c:pt idx="79">
                  <c:v>46.312999999999995</c:v>
                </c:pt>
                <c:pt idx="80">
                  <c:v>46.593000000000004</c:v>
                </c:pt>
                <c:pt idx="81">
                  <c:v>46.840199999999996</c:v>
                </c:pt>
                <c:pt idx="82">
                  <c:v>47.033799999999999</c:v>
                </c:pt>
                <c:pt idx="83">
                  <c:v>47.182299999999998</c:v>
                </c:pt>
                <c:pt idx="84">
                  <c:v>47.3172</c:v>
                </c:pt>
                <c:pt idx="85">
                  <c:v>47.491399999999999</c:v>
                </c:pt>
                <c:pt idx="86">
                  <c:v>47.730899999999998</c:v>
                </c:pt>
                <c:pt idx="87">
                  <c:v>48.020800000000001</c:v>
                </c:pt>
                <c:pt idx="88">
                  <c:v>48.378900000000002</c:v>
                </c:pt>
                <c:pt idx="89">
                  <c:v>48.856200000000001</c:v>
                </c:pt>
                <c:pt idx="90">
                  <c:v>49.391800000000003</c:v>
                </c:pt>
                <c:pt idx="91">
                  <c:v>49.834099999999999</c:v>
                </c:pt>
                <c:pt idx="92">
                  <c:v>50.266900000000007</c:v>
                </c:pt>
                <c:pt idx="93">
                  <c:v>50.714599999999997</c:v>
                </c:pt>
                <c:pt idx="94">
                  <c:v>51.181699999999999</c:v>
                </c:pt>
                <c:pt idx="95">
                  <c:v>51.656800000000004</c:v>
                </c:pt>
                <c:pt idx="96">
                  <c:v>52.107300000000002</c:v>
                </c:pt>
                <c:pt idx="97">
                  <c:v>52.450600000000001</c:v>
                </c:pt>
                <c:pt idx="98">
                  <c:v>52.639100000000006</c:v>
                </c:pt>
                <c:pt idx="99">
                  <c:v>52.748799999999996</c:v>
                </c:pt>
                <c:pt idx="100">
                  <c:v>52.764500000000005</c:v>
                </c:pt>
                <c:pt idx="101">
                  <c:v>52.677799999999998</c:v>
                </c:pt>
                <c:pt idx="102">
                  <c:v>52.5595</c:v>
                </c:pt>
                <c:pt idx="103">
                  <c:v>52.351800000000004</c:v>
                </c:pt>
                <c:pt idx="104">
                  <c:v>52.027699999999996</c:v>
                </c:pt>
                <c:pt idx="105">
                  <c:v>51.637900000000002</c:v>
                </c:pt>
                <c:pt idx="106">
                  <c:v>51.1768</c:v>
                </c:pt>
                <c:pt idx="107">
                  <c:v>50.736899999999999</c:v>
                </c:pt>
                <c:pt idx="108">
                  <c:v>50.269699999999993</c:v>
                </c:pt>
                <c:pt idx="109">
                  <c:v>49.739800000000002</c:v>
                </c:pt>
                <c:pt idx="110">
                  <c:v>49.233399999999996</c:v>
                </c:pt>
                <c:pt idx="111">
                  <c:v>48.749199999999995</c:v>
                </c:pt>
                <c:pt idx="112">
                  <c:v>48.364800000000002</c:v>
                </c:pt>
                <c:pt idx="113">
                  <c:v>48.056100000000001</c:v>
                </c:pt>
                <c:pt idx="114">
                  <c:v>47.714800000000004</c:v>
                </c:pt>
                <c:pt idx="115">
                  <c:v>47.3673</c:v>
                </c:pt>
                <c:pt idx="116">
                  <c:v>47.0625</c:v>
                </c:pt>
                <c:pt idx="117">
                  <c:v>46.787800000000004</c:v>
                </c:pt>
                <c:pt idx="118">
                  <c:v>46.506799999999998</c:v>
                </c:pt>
                <c:pt idx="119">
                  <c:v>46.17</c:v>
                </c:pt>
                <c:pt idx="120">
                  <c:v>45.817600000000006</c:v>
                </c:pt>
                <c:pt idx="121">
                  <c:v>45.393799999999999</c:v>
                </c:pt>
                <c:pt idx="122">
                  <c:v>44.930199999999999</c:v>
                </c:pt>
                <c:pt idx="123">
                  <c:v>44.5809</c:v>
                </c:pt>
                <c:pt idx="124">
                  <c:v>44.425699999999999</c:v>
                </c:pt>
                <c:pt idx="125">
                  <c:v>44.2547</c:v>
                </c:pt>
                <c:pt idx="126">
                  <c:v>44.0762</c:v>
                </c:pt>
                <c:pt idx="127">
                  <c:v>43.872</c:v>
                </c:pt>
                <c:pt idx="128">
                  <c:v>43.623800000000003</c:v>
                </c:pt>
                <c:pt idx="129">
                  <c:v>43.388599999999997</c:v>
                </c:pt>
                <c:pt idx="130">
                  <c:v>43.150300000000001</c:v>
                </c:pt>
                <c:pt idx="131">
                  <c:v>42.964599999999997</c:v>
                </c:pt>
                <c:pt idx="132">
                  <c:v>42.767699999999998</c:v>
                </c:pt>
                <c:pt idx="133">
                  <c:v>42.582099999999997</c:v>
                </c:pt>
                <c:pt idx="134">
                  <c:v>42.446400000000004</c:v>
                </c:pt>
                <c:pt idx="135">
                  <c:v>42.289200000000001</c:v>
                </c:pt>
                <c:pt idx="136">
                  <c:v>42.112000000000002</c:v>
                </c:pt>
                <c:pt idx="137">
                  <c:v>41.856700000000004</c:v>
                </c:pt>
                <c:pt idx="138">
                  <c:v>41.580800000000004</c:v>
                </c:pt>
                <c:pt idx="139">
                  <c:v>41.453899999999997</c:v>
                </c:pt>
                <c:pt idx="140">
                  <c:v>41.402000000000001</c:v>
                </c:pt>
                <c:pt idx="141">
                  <c:v>41.305599999999998</c:v>
                </c:pt>
                <c:pt idx="142">
                  <c:v>41.070499999999996</c:v>
                </c:pt>
                <c:pt idx="143">
                  <c:v>40.784999999999997</c:v>
                </c:pt>
                <c:pt idx="144">
                  <c:v>40.613100000000003</c:v>
                </c:pt>
                <c:pt idx="145">
                  <c:v>40.485100000000003</c:v>
                </c:pt>
                <c:pt idx="146">
                  <c:v>40.7515</c:v>
                </c:pt>
                <c:pt idx="147">
                  <c:v>41.589700000000001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1.3846700000000001</c:v>
                </c:pt>
                <c:pt idx="1">
                  <c:v>1.42703</c:v>
                </c:pt>
                <c:pt idx="2">
                  <c:v>1.4749499999999998</c:v>
                </c:pt>
                <c:pt idx="3">
                  <c:v>1.5291399999999999</c:v>
                </c:pt>
                <c:pt idx="4">
                  <c:v>1.58416</c:v>
                </c:pt>
                <c:pt idx="5">
                  <c:v>1.6417999999999999</c:v>
                </c:pt>
                <c:pt idx="6">
                  <c:v>1.6993100000000001</c:v>
                </c:pt>
                <c:pt idx="7">
                  <c:v>1.75589</c:v>
                </c:pt>
                <c:pt idx="8">
                  <c:v>1.8146100000000001</c:v>
                </c:pt>
                <c:pt idx="9">
                  <c:v>1.87751</c:v>
                </c:pt>
                <c:pt idx="10">
                  <c:v>1.94218</c:v>
                </c:pt>
                <c:pt idx="11">
                  <c:v>2.01152</c:v>
                </c:pt>
                <c:pt idx="12">
                  <c:v>2.0799699999999999</c:v>
                </c:pt>
                <c:pt idx="13">
                  <c:v>2.1527400000000001</c:v>
                </c:pt>
                <c:pt idx="14">
                  <c:v>2.22729</c:v>
                </c:pt>
                <c:pt idx="15">
                  <c:v>2.2971400000000002</c:v>
                </c:pt>
                <c:pt idx="16">
                  <c:v>2.3560400000000001</c:v>
                </c:pt>
                <c:pt idx="17">
                  <c:v>2.41499</c:v>
                </c:pt>
                <c:pt idx="18">
                  <c:v>2.4747699999999999</c:v>
                </c:pt>
                <c:pt idx="19">
                  <c:v>2.5340699999999998</c:v>
                </c:pt>
                <c:pt idx="20">
                  <c:v>2.5898300000000001</c:v>
                </c:pt>
                <c:pt idx="21">
                  <c:v>2.6434299999999999</c:v>
                </c:pt>
                <c:pt idx="22">
                  <c:v>2.6944800000000004</c:v>
                </c:pt>
                <c:pt idx="23">
                  <c:v>2.74499</c:v>
                </c:pt>
                <c:pt idx="24">
                  <c:v>2.7944799999999996</c:v>
                </c:pt>
                <c:pt idx="25">
                  <c:v>2.8428500000000003</c:v>
                </c:pt>
                <c:pt idx="26">
                  <c:v>2.8898299999999999</c:v>
                </c:pt>
                <c:pt idx="27">
                  <c:v>2.9342699999999997</c:v>
                </c:pt>
                <c:pt idx="28">
                  <c:v>2.9751699999999999</c:v>
                </c:pt>
                <c:pt idx="29">
                  <c:v>3.0127600000000001</c:v>
                </c:pt>
                <c:pt idx="30">
                  <c:v>3.0432600000000001</c:v>
                </c:pt>
                <c:pt idx="31">
                  <c:v>3.06697</c:v>
                </c:pt>
                <c:pt idx="32">
                  <c:v>3.0878299999999999</c:v>
                </c:pt>
                <c:pt idx="33">
                  <c:v>3.1017200000000003</c:v>
                </c:pt>
                <c:pt idx="34">
                  <c:v>3.1105800000000001</c:v>
                </c:pt>
                <c:pt idx="35">
                  <c:v>3.1163699999999999</c:v>
                </c:pt>
                <c:pt idx="36">
                  <c:v>3.11666</c:v>
                </c:pt>
                <c:pt idx="37">
                  <c:v>3.1129600000000002</c:v>
                </c:pt>
                <c:pt idx="38">
                  <c:v>3.0999300000000001</c:v>
                </c:pt>
                <c:pt idx="39">
                  <c:v>3.0806</c:v>
                </c:pt>
                <c:pt idx="40">
                  <c:v>3.05952</c:v>
                </c:pt>
                <c:pt idx="41">
                  <c:v>3.0335800000000002</c:v>
                </c:pt>
                <c:pt idx="42">
                  <c:v>3.0048399999999997</c:v>
                </c:pt>
                <c:pt idx="43">
                  <c:v>2.9742200000000003</c:v>
                </c:pt>
                <c:pt idx="44">
                  <c:v>2.9417</c:v>
                </c:pt>
                <c:pt idx="45">
                  <c:v>2.9086800000000004</c:v>
                </c:pt>
                <c:pt idx="46">
                  <c:v>2.8770800000000003</c:v>
                </c:pt>
                <c:pt idx="47">
                  <c:v>2.8471600000000001</c:v>
                </c:pt>
                <c:pt idx="48">
                  <c:v>2.8176000000000001</c:v>
                </c:pt>
                <c:pt idx="49">
                  <c:v>2.7879100000000001</c:v>
                </c:pt>
                <c:pt idx="50">
                  <c:v>2.7648800000000002</c:v>
                </c:pt>
                <c:pt idx="51">
                  <c:v>2.7353699999999996</c:v>
                </c:pt>
                <c:pt idx="52">
                  <c:v>2.7051799999999999</c:v>
                </c:pt>
                <c:pt idx="53">
                  <c:v>2.6720199999999998</c:v>
                </c:pt>
                <c:pt idx="54">
                  <c:v>2.64453</c:v>
                </c:pt>
                <c:pt idx="55">
                  <c:v>2.6213100000000003</c:v>
                </c:pt>
                <c:pt idx="56">
                  <c:v>2.6030100000000003</c:v>
                </c:pt>
                <c:pt idx="57">
                  <c:v>2.5895700000000001</c:v>
                </c:pt>
                <c:pt idx="58">
                  <c:v>2.5789200000000001</c:v>
                </c:pt>
                <c:pt idx="59">
                  <c:v>2.5789299999999997</c:v>
                </c:pt>
                <c:pt idx="60">
                  <c:v>2.5710899999999999</c:v>
                </c:pt>
                <c:pt idx="61">
                  <c:v>2.5769799999999998</c:v>
                </c:pt>
                <c:pt idx="62">
                  <c:v>2.57531</c:v>
                </c:pt>
                <c:pt idx="63">
                  <c:v>2.58839</c:v>
                </c:pt>
                <c:pt idx="64">
                  <c:v>2.6063700000000001</c:v>
                </c:pt>
                <c:pt idx="65">
                  <c:v>2.63733</c:v>
                </c:pt>
                <c:pt idx="66">
                  <c:v>2.6489000000000003</c:v>
                </c:pt>
                <c:pt idx="67">
                  <c:v>2.6688499999999999</c:v>
                </c:pt>
                <c:pt idx="68">
                  <c:v>2.6903600000000001</c:v>
                </c:pt>
                <c:pt idx="69">
                  <c:v>2.7186700000000004</c:v>
                </c:pt>
                <c:pt idx="70">
                  <c:v>2.7405600000000003</c:v>
                </c:pt>
                <c:pt idx="71">
                  <c:v>2.7611300000000001</c:v>
                </c:pt>
                <c:pt idx="72">
                  <c:v>2.7761499999999999</c:v>
                </c:pt>
                <c:pt idx="73">
                  <c:v>2.7909699999999997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69.248800000000003</c:v>
                </c:pt>
                <c:pt idx="1">
                  <c:v>68.552500000000009</c:v>
                </c:pt>
                <c:pt idx="2">
                  <c:v>67.555099999999996</c:v>
                </c:pt>
                <c:pt idx="3">
                  <c:v>66.272599999999997</c:v>
                </c:pt>
                <c:pt idx="4">
                  <c:v>64.854100000000003</c:v>
                </c:pt>
                <c:pt idx="5">
                  <c:v>63.165300000000002</c:v>
                </c:pt>
                <c:pt idx="6">
                  <c:v>61.429400000000001</c:v>
                </c:pt>
                <c:pt idx="7">
                  <c:v>59.870199999999997</c:v>
                </c:pt>
                <c:pt idx="8">
                  <c:v>58.291899999999998</c:v>
                </c:pt>
                <c:pt idx="9">
                  <c:v>56.592600000000004</c:v>
                </c:pt>
                <c:pt idx="10">
                  <c:v>55.003700000000002</c:v>
                </c:pt>
                <c:pt idx="11">
                  <c:v>53.323799999999999</c:v>
                </c:pt>
                <c:pt idx="12">
                  <c:v>51.790300000000002</c:v>
                </c:pt>
                <c:pt idx="13">
                  <c:v>50.054299999999998</c:v>
                </c:pt>
                <c:pt idx="14">
                  <c:v>48.352800000000002</c:v>
                </c:pt>
                <c:pt idx="15">
                  <c:v>46.805999999999997</c:v>
                </c:pt>
                <c:pt idx="16">
                  <c:v>45.530500000000004</c:v>
                </c:pt>
                <c:pt idx="17">
                  <c:v>44.2485</c:v>
                </c:pt>
                <c:pt idx="18">
                  <c:v>43.021999999999998</c:v>
                </c:pt>
                <c:pt idx="19">
                  <c:v>41.925800000000002</c:v>
                </c:pt>
                <c:pt idx="20">
                  <c:v>41.000399999999999</c:v>
                </c:pt>
                <c:pt idx="21">
                  <c:v>40.302300000000002</c:v>
                </c:pt>
                <c:pt idx="22">
                  <c:v>39.727800000000002</c:v>
                </c:pt>
                <c:pt idx="23">
                  <c:v>39.182899999999997</c:v>
                </c:pt>
                <c:pt idx="24">
                  <c:v>38.703299999999999</c:v>
                </c:pt>
                <c:pt idx="25">
                  <c:v>38.346499999999999</c:v>
                </c:pt>
                <c:pt idx="26">
                  <c:v>38.096000000000004</c:v>
                </c:pt>
                <c:pt idx="27">
                  <c:v>37.811299999999996</c:v>
                </c:pt>
                <c:pt idx="28">
                  <c:v>37.520600000000002</c:v>
                </c:pt>
                <c:pt idx="29">
                  <c:v>37.302800000000005</c:v>
                </c:pt>
                <c:pt idx="30">
                  <c:v>37.099399999999996</c:v>
                </c:pt>
                <c:pt idx="31">
                  <c:v>36.932299999999998</c:v>
                </c:pt>
                <c:pt idx="32">
                  <c:v>36.813600000000001</c:v>
                </c:pt>
                <c:pt idx="33">
                  <c:v>36.725999999999999</c:v>
                </c:pt>
                <c:pt idx="34">
                  <c:v>36.610799999999998</c:v>
                </c:pt>
                <c:pt idx="35">
                  <c:v>36.485700000000001</c:v>
                </c:pt>
                <c:pt idx="36">
                  <c:v>36.374200000000002</c:v>
                </c:pt>
                <c:pt idx="37">
                  <c:v>36.316199999999995</c:v>
                </c:pt>
                <c:pt idx="38">
                  <c:v>36.313099999999999</c:v>
                </c:pt>
                <c:pt idx="39">
                  <c:v>36.363500000000002</c:v>
                </c:pt>
                <c:pt idx="40">
                  <c:v>36.569400000000002</c:v>
                </c:pt>
                <c:pt idx="41">
                  <c:v>36.928400000000003</c:v>
                </c:pt>
                <c:pt idx="42">
                  <c:v>37.369599999999998</c:v>
                </c:pt>
                <c:pt idx="43">
                  <c:v>37.845600000000005</c:v>
                </c:pt>
                <c:pt idx="44">
                  <c:v>38.351800000000004</c:v>
                </c:pt>
                <c:pt idx="45">
                  <c:v>38.878599999999999</c:v>
                </c:pt>
                <c:pt idx="46">
                  <c:v>39.398800000000001</c:v>
                </c:pt>
                <c:pt idx="47">
                  <c:v>39.916699999999999</c:v>
                </c:pt>
                <c:pt idx="48">
                  <c:v>40.490500000000004</c:v>
                </c:pt>
                <c:pt idx="49">
                  <c:v>41.092099999999995</c:v>
                </c:pt>
                <c:pt idx="50">
                  <c:v>41.623199999999997</c:v>
                </c:pt>
                <c:pt idx="51">
                  <c:v>42.210599999999999</c:v>
                </c:pt>
                <c:pt idx="52">
                  <c:v>42.861900000000006</c:v>
                </c:pt>
                <c:pt idx="53">
                  <c:v>43.622499999999995</c:v>
                </c:pt>
                <c:pt idx="54">
                  <c:v>44.256299999999996</c:v>
                </c:pt>
                <c:pt idx="55">
                  <c:v>44.776700000000005</c:v>
                </c:pt>
                <c:pt idx="56">
                  <c:v>45.208999999999996</c:v>
                </c:pt>
                <c:pt idx="57">
                  <c:v>45.598399999999998</c:v>
                </c:pt>
                <c:pt idx="58">
                  <c:v>45.8932</c:v>
                </c:pt>
                <c:pt idx="59">
                  <c:v>46.111899999999999</c:v>
                </c:pt>
                <c:pt idx="60">
                  <c:v>46.363500000000002</c:v>
                </c:pt>
                <c:pt idx="61">
                  <c:v>46.3401</c:v>
                </c:pt>
                <c:pt idx="62">
                  <c:v>46.380700000000004</c:v>
                </c:pt>
                <c:pt idx="63">
                  <c:v>46.174300000000002</c:v>
                </c:pt>
                <c:pt idx="64">
                  <c:v>45.889299999999999</c:v>
                </c:pt>
                <c:pt idx="65">
                  <c:v>45.408000000000001</c:v>
                </c:pt>
                <c:pt idx="66">
                  <c:v>45.2196</c:v>
                </c:pt>
                <c:pt idx="67">
                  <c:v>44.997399999999999</c:v>
                </c:pt>
                <c:pt idx="68">
                  <c:v>44.814300000000003</c:v>
                </c:pt>
                <c:pt idx="69">
                  <c:v>44.698</c:v>
                </c:pt>
                <c:pt idx="70">
                  <c:v>44.612899999999996</c:v>
                </c:pt>
                <c:pt idx="71">
                  <c:v>44.579800000000006</c:v>
                </c:pt>
                <c:pt idx="72">
                  <c:v>44.556200000000004</c:v>
                </c:pt>
                <c:pt idx="73">
                  <c:v>44.676100000000005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2.7909699999999997</c:v>
                </c:pt>
                <c:pt idx="1">
                  <c:v>2.8045900000000001</c:v>
                </c:pt>
                <c:pt idx="2">
                  <c:v>2.8157100000000002</c:v>
                </c:pt>
                <c:pt idx="3">
                  <c:v>2.8211599999999999</c:v>
                </c:pt>
                <c:pt idx="4">
                  <c:v>2.8223599999999998</c:v>
                </c:pt>
                <c:pt idx="5">
                  <c:v>2.8218199999999998</c:v>
                </c:pt>
                <c:pt idx="6">
                  <c:v>2.8207599999999999</c:v>
                </c:pt>
                <c:pt idx="7">
                  <c:v>2.8179400000000001</c:v>
                </c:pt>
                <c:pt idx="8">
                  <c:v>2.8111299999999999</c:v>
                </c:pt>
                <c:pt idx="9">
                  <c:v>2.7987500000000001</c:v>
                </c:pt>
                <c:pt idx="10">
                  <c:v>2.7839199999999997</c:v>
                </c:pt>
                <c:pt idx="11">
                  <c:v>2.7647200000000001</c:v>
                </c:pt>
                <c:pt idx="12">
                  <c:v>2.7446100000000002</c:v>
                </c:pt>
                <c:pt idx="13">
                  <c:v>2.7207699999999999</c:v>
                </c:pt>
                <c:pt idx="14">
                  <c:v>2.69259</c:v>
                </c:pt>
                <c:pt idx="15">
                  <c:v>2.6622600000000003</c:v>
                </c:pt>
                <c:pt idx="16">
                  <c:v>2.6299399999999999</c:v>
                </c:pt>
                <c:pt idx="17">
                  <c:v>2.5973099999999998</c:v>
                </c:pt>
                <c:pt idx="18">
                  <c:v>2.5701700000000001</c:v>
                </c:pt>
                <c:pt idx="19">
                  <c:v>2.5440299999999998</c:v>
                </c:pt>
                <c:pt idx="20">
                  <c:v>2.5171700000000001</c:v>
                </c:pt>
                <c:pt idx="21">
                  <c:v>2.49133</c:v>
                </c:pt>
                <c:pt idx="22">
                  <c:v>2.4672200000000002</c:v>
                </c:pt>
                <c:pt idx="23">
                  <c:v>2.4448500000000002</c:v>
                </c:pt>
                <c:pt idx="24">
                  <c:v>2.4281299999999999</c:v>
                </c:pt>
                <c:pt idx="25">
                  <c:v>2.4146899999999998</c:v>
                </c:pt>
                <c:pt idx="26">
                  <c:v>2.4025799999999999</c:v>
                </c:pt>
                <c:pt idx="27">
                  <c:v>2.39411</c:v>
                </c:pt>
                <c:pt idx="28">
                  <c:v>2.3903400000000001</c:v>
                </c:pt>
                <c:pt idx="29">
                  <c:v>2.3890799999999999</c:v>
                </c:pt>
                <c:pt idx="30">
                  <c:v>2.3925900000000002</c:v>
                </c:pt>
                <c:pt idx="31">
                  <c:v>2.3992900000000001</c:v>
                </c:pt>
                <c:pt idx="32">
                  <c:v>2.40862</c:v>
                </c:pt>
                <c:pt idx="33">
                  <c:v>2.42069</c:v>
                </c:pt>
                <c:pt idx="34">
                  <c:v>2.4344700000000001</c:v>
                </c:pt>
                <c:pt idx="35">
                  <c:v>2.45017</c:v>
                </c:pt>
                <c:pt idx="36">
                  <c:v>2.4704300000000003</c:v>
                </c:pt>
                <c:pt idx="37">
                  <c:v>2.4914200000000002</c:v>
                </c:pt>
                <c:pt idx="38">
                  <c:v>2.5146699999999997</c:v>
                </c:pt>
                <c:pt idx="39">
                  <c:v>2.5366300000000002</c:v>
                </c:pt>
                <c:pt idx="40">
                  <c:v>2.5548100000000002</c:v>
                </c:pt>
                <c:pt idx="41">
                  <c:v>2.5712299999999999</c:v>
                </c:pt>
                <c:pt idx="42">
                  <c:v>2.5884800000000001</c:v>
                </c:pt>
                <c:pt idx="43">
                  <c:v>2.6055099999999998</c:v>
                </c:pt>
                <c:pt idx="44">
                  <c:v>2.6233</c:v>
                </c:pt>
                <c:pt idx="45">
                  <c:v>2.6418699999999999</c:v>
                </c:pt>
                <c:pt idx="46">
                  <c:v>2.6618199999999996</c:v>
                </c:pt>
                <c:pt idx="47">
                  <c:v>2.68147</c:v>
                </c:pt>
                <c:pt idx="48">
                  <c:v>2.7036300000000004</c:v>
                </c:pt>
                <c:pt idx="49">
                  <c:v>2.7245499999999998</c:v>
                </c:pt>
                <c:pt idx="50">
                  <c:v>2.7434599999999998</c:v>
                </c:pt>
                <c:pt idx="51">
                  <c:v>2.7513300000000003</c:v>
                </c:pt>
                <c:pt idx="52">
                  <c:v>2.7584799999999996</c:v>
                </c:pt>
                <c:pt idx="53">
                  <c:v>2.7670699999999999</c:v>
                </c:pt>
                <c:pt idx="54">
                  <c:v>2.7780700000000005</c:v>
                </c:pt>
                <c:pt idx="55">
                  <c:v>2.7866600000000004</c:v>
                </c:pt>
                <c:pt idx="56">
                  <c:v>2.7929500000000003</c:v>
                </c:pt>
                <c:pt idx="57">
                  <c:v>2.7979900000000004</c:v>
                </c:pt>
                <c:pt idx="58">
                  <c:v>2.8046199999999999</c:v>
                </c:pt>
                <c:pt idx="59">
                  <c:v>2.8135700000000003</c:v>
                </c:pt>
                <c:pt idx="60">
                  <c:v>2.8212900000000003</c:v>
                </c:pt>
                <c:pt idx="61">
                  <c:v>2.8237399999999999</c:v>
                </c:pt>
                <c:pt idx="62">
                  <c:v>2.82626</c:v>
                </c:pt>
                <c:pt idx="63">
                  <c:v>2.82646</c:v>
                </c:pt>
                <c:pt idx="64">
                  <c:v>2.8300599999999996</c:v>
                </c:pt>
                <c:pt idx="65">
                  <c:v>2.8414699999999997</c:v>
                </c:pt>
                <c:pt idx="66">
                  <c:v>2.8595600000000001</c:v>
                </c:pt>
                <c:pt idx="67">
                  <c:v>2.8745500000000002</c:v>
                </c:pt>
                <c:pt idx="68">
                  <c:v>2.8887099999999997</c:v>
                </c:pt>
                <c:pt idx="69">
                  <c:v>2.9069699999999998</c:v>
                </c:pt>
                <c:pt idx="70">
                  <c:v>2.9304100000000002</c:v>
                </c:pt>
                <c:pt idx="71">
                  <c:v>2.9539800000000001</c:v>
                </c:pt>
                <c:pt idx="72">
                  <c:v>2.9847600000000001</c:v>
                </c:pt>
                <c:pt idx="73">
                  <c:v>2.99831</c:v>
                </c:pt>
                <c:pt idx="74">
                  <c:v>2.9897600000000004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44.676100000000005</c:v>
                </c:pt>
                <c:pt idx="1">
                  <c:v>44.885999999999996</c:v>
                </c:pt>
                <c:pt idx="2">
                  <c:v>45.285399999999996</c:v>
                </c:pt>
                <c:pt idx="3">
                  <c:v>45.570100000000004</c:v>
                </c:pt>
                <c:pt idx="4">
                  <c:v>45.811300000000003</c:v>
                </c:pt>
                <c:pt idx="5">
                  <c:v>46.040199999999999</c:v>
                </c:pt>
                <c:pt idx="6">
                  <c:v>46.312999999999995</c:v>
                </c:pt>
                <c:pt idx="7">
                  <c:v>46.593000000000004</c:v>
                </c:pt>
                <c:pt idx="8">
                  <c:v>46.840199999999996</c:v>
                </c:pt>
                <c:pt idx="9">
                  <c:v>47.033799999999999</c:v>
                </c:pt>
                <c:pt idx="10">
                  <c:v>47.182299999999998</c:v>
                </c:pt>
                <c:pt idx="11">
                  <c:v>47.3172</c:v>
                </c:pt>
                <c:pt idx="12">
                  <c:v>47.491399999999999</c:v>
                </c:pt>
                <c:pt idx="13">
                  <c:v>47.730899999999998</c:v>
                </c:pt>
                <c:pt idx="14">
                  <c:v>48.020800000000001</c:v>
                </c:pt>
                <c:pt idx="15">
                  <c:v>48.378900000000002</c:v>
                </c:pt>
                <c:pt idx="16">
                  <c:v>48.856200000000001</c:v>
                </c:pt>
                <c:pt idx="17">
                  <c:v>49.391800000000003</c:v>
                </c:pt>
                <c:pt idx="18">
                  <c:v>49.834099999999999</c:v>
                </c:pt>
                <c:pt idx="19">
                  <c:v>50.266900000000007</c:v>
                </c:pt>
                <c:pt idx="20">
                  <c:v>50.714599999999997</c:v>
                </c:pt>
                <c:pt idx="21">
                  <c:v>51.181699999999999</c:v>
                </c:pt>
                <c:pt idx="22">
                  <c:v>51.656800000000004</c:v>
                </c:pt>
                <c:pt idx="23">
                  <c:v>52.107300000000002</c:v>
                </c:pt>
                <c:pt idx="24">
                  <c:v>52.450600000000001</c:v>
                </c:pt>
                <c:pt idx="25">
                  <c:v>52.639100000000006</c:v>
                </c:pt>
                <c:pt idx="26">
                  <c:v>52.748799999999996</c:v>
                </c:pt>
                <c:pt idx="27">
                  <c:v>52.764500000000005</c:v>
                </c:pt>
                <c:pt idx="28">
                  <c:v>52.677799999999998</c:v>
                </c:pt>
                <c:pt idx="29">
                  <c:v>52.5595</c:v>
                </c:pt>
                <c:pt idx="30">
                  <c:v>52.351800000000004</c:v>
                </c:pt>
                <c:pt idx="31">
                  <c:v>52.027699999999996</c:v>
                </c:pt>
                <c:pt idx="32">
                  <c:v>51.637900000000002</c:v>
                </c:pt>
                <c:pt idx="33">
                  <c:v>51.1768</c:v>
                </c:pt>
                <c:pt idx="34">
                  <c:v>50.736899999999999</c:v>
                </c:pt>
                <c:pt idx="35">
                  <c:v>50.269699999999993</c:v>
                </c:pt>
                <c:pt idx="36">
                  <c:v>49.739800000000002</c:v>
                </c:pt>
                <c:pt idx="37">
                  <c:v>49.233399999999996</c:v>
                </c:pt>
                <c:pt idx="38">
                  <c:v>48.749199999999995</c:v>
                </c:pt>
                <c:pt idx="39">
                  <c:v>48.364800000000002</c:v>
                </c:pt>
                <c:pt idx="40">
                  <c:v>48.056100000000001</c:v>
                </c:pt>
                <c:pt idx="41">
                  <c:v>47.714800000000004</c:v>
                </c:pt>
                <c:pt idx="42">
                  <c:v>47.3673</c:v>
                </c:pt>
                <c:pt idx="43">
                  <c:v>47.0625</c:v>
                </c:pt>
                <c:pt idx="44">
                  <c:v>46.787800000000004</c:v>
                </c:pt>
                <c:pt idx="45">
                  <c:v>46.506799999999998</c:v>
                </c:pt>
                <c:pt idx="46">
                  <c:v>46.17</c:v>
                </c:pt>
                <c:pt idx="47">
                  <c:v>45.817600000000006</c:v>
                </c:pt>
                <c:pt idx="48">
                  <c:v>45.393799999999999</c:v>
                </c:pt>
                <c:pt idx="49">
                  <c:v>44.930199999999999</c:v>
                </c:pt>
                <c:pt idx="50">
                  <c:v>44.5809</c:v>
                </c:pt>
                <c:pt idx="51">
                  <c:v>44.425699999999999</c:v>
                </c:pt>
                <c:pt idx="52">
                  <c:v>44.2547</c:v>
                </c:pt>
                <c:pt idx="53">
                  <c:v>44.0762</c:v>
                </c:pt>
                <c:pt idx="54">
                  <c:v>43.872</c:v>
                </c:pt>
                <c:pt idx="55">
                  <c:v>43.623800000000003</c:v>
                </c:pt>
                <c:pt idx="56">
                  <c:v>43.388599999999997</c:v>
                </c:pt>
                <c:pt idx="57">
                  <c:v>43.150300000000001</c:v>
                </c:pt>
                <c:pt idx="58">
                  <c:v>42.964599999999997</c:v>
                </c:pt>
                <c:pt idx="59">
                  <c:v>42.767699999999998</c:v>
                </c:pt>
                <c:pt idx="60">
                  <c:v>42.582099999999997</c:v>
                </c:pt>
                <c:pt idx="61">
                  <c:v>42.446400000000004</c:v>
                </c:pt>
                <c:pt idx="62">
                  <c:v>42.289200000000001</c:v>
                </c:pt>
                <c:pt idx="63">
                  <c:v>42.112000000000002</c:v>
                </c:pt>
                <c:pt idx="64">
                  <c:v>41.856700000000004</c:v>
                </c:pt>
                <c:pt idx="65">
                  <c:v>41.580800000000004</c:v>
                </c:pt>
                <c:pt idx="66">
                  <c:v>41.453899999999997</c:v>
                </c:pt>
                <c:pt idx="67">
                  <c:v>41.402000000000001</c:v>
                </c:pt>
                <c:pt idx="68">
                  <c:v>41.305599999999998</c:v>
                </c:pt>
                <c:pt idx="69">
                  <c:v>41.070499999999996</c:v>
                </c:pt>
                <c:pt idx="70">
                  <c:v>40.784999999999997</c:v>
                </c:pt>
                <c:pt idx="71">
                  <c:v>40.613100000000003</c:v>
                </c:pt>
                <c:pt idx="72">
                  <c:v>40.485100000000003</c:v>
                </c:pt>
                <c:pt idx="73">
                  <c:v>40.7515</c:v>
                </c:pt>
                <c:pt idx="74">
                  <c:v>41.589700000000001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2.5788624324324312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45.04911216216216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2.6812186486486489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46.619827027027036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2.6812186486486489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46.619827027027036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0.18727076590240155</c:v>
                </c:pt>
                <c:pt idx="1">
                  <c:v>0.30953286334680902</c:v>
                </c:pt>
                <c:pt idx="2">
                  <c:v>0.50319637075078938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0.40407799999999999</c:v>
                </c:pt>
                <c:pt idx="2">
                  <c:v>0.80802200000000002</c:v>
                </c:pt>
                <c:pt idx="3">
                  <c:v>1.21567</c:v>
                </c:pt>
                <c:pt idx="4">
                  <c:v>1.6254599999999999</c:v>
                </c:pt>
                <c:pt idx="5">
                  <c:v>2.03085</c:v>
                </c:pt>
                <c:pt idx="6">
                  <c:v>2.4357199999999999</c:v>
                </c:pt>
                <c:pt idx="7">
                  <c:v>2.8406699999999998</c:v>
                </c:pt>
                <c:pt idx="8">
                  <c:v>3.2472799999999999</c:v>
                </c:pt>
                <c:pt idx="9">
                  <c:v>3.6533000000000002</c:v>
                </c:pt>
                <c:pt idx="10">
                  <c:v>4.0647399999999996</c:v>
                </c:pt>
                <c:pt idx="11">
                  <c:v>4.46713</c:v>
                </c:pt>
                <c:pt idx="12">
                  <c:v>4.8724400000000001</c:v>
                </c:pt>
                <c:pt idx="13">
                  <c:v>5.2766200000000003</c:v>
                </c:pt>
                <c:pt idx="14">
                  <c:v>5.6858500000000003</c:v>
                </c:pt>
                <c:pt idx="15">
                  <c:v>6.0964799999999997</c:v>
                </c:pt>
                <c:pt idx="16">
                  <c:v>6.4991700000000003</c:v>
                </c:pt>
                <c:pt idx="17">
                  <c:v>6.9024700000000001</c:v>
                </c:pt>
                <c:pt idx="18">
                  <c:v>7.3084600000000002</c:v>
                </c:pt>
                <c:pt idx="19">
                  <c:v>7.7183700000000002</c:v>
                </c:pt>
                <c:pt idx="20">
                  <c:v>8.1241400000000006</c:v>
                </c:pt>
                <c:pt idx="21">
                  <c:v>8.5271699999999999</c:v>
                </c:pt>
                <c:pt idx="22">
                  <c:v>8.9347499999999993</c:v>
                </c:pt>
                <c:pt idx="23">
                  <c:v>9.3397299999999994</c:v>
                </c:pt>
                <c:pt idx="24">
                  <c:v>9.7497000000000007</c:v>
                </c:pt>
                <c:pt idx="25">
                  <c:v>10.157400000000001</c:v>
                </c:pt>
                <c:pt idx="26">
                  <c:v>10.561999999999999</c:v>
                </c:pt>
                <c:pt idx="27">
                  <c:v>10.9664</c:v>
                </c:pt>
                <c:pt idx="28">
                  <c:v>11.3721</c:v>
                </c:pt>
                <c:pt idx="29">
                  <c:v>11.782500000000001</c:v>
                </c:pt>
                <c:pt idx="30">
                  <c:v>12.1867</c:v>
                </c:pt>
                <c:pt idx="31">
                  <c:v>12.593299999999999</c:v>
                </c:pt>
                <c:pt idx="32">
                  <c:v>12.997299999999999</c:v>
                </c:pt>
                <c:pt idx="33">
                  <c:v>13.402699999999999</c:v>
                </c:pt>
                <c:pt idx="34">
                  <c:v>13.809799999999999</c:v>
                </c:pt>
                <c:pt idx="35">
                  <c:v>14.2141</c:v>
                </c:pt>
                <c:pt idx="36">
                  <c:v>14.6205</c:v>
                </c:pt>
                <c:pt idx="37">
                  <c:v>15.0311</c:v>
                </c:pt>
                <c:pt idx="38">
                  <c:v>15.4373</c:v>
                </c:pt>
                <c:pt idx="39">
                  <c:v>15.846500000000001</c:v>
                </c:pt>
                <c:pt idx="40">
                  <c:v>16.2453</c:v>
                </c:pt>
                <c:pt idx="41">
                  <c:v>16.655200000000001</c:v>
                </c:pt>
                <c:pt idx="42">
                  <c:v>17.065300000000001</c:v>
                </c:pt>
                <c:pt idx="43">
                  <c:v>17.468499999999999</c:v>
                </c:pt>
                <c:pt idx="44">
                  <c:v>17.872499999999999</c:v>
                </c:pt>
                <c:pt idx="45">
                  <c:v>18.277799999999999</c:v>
                </c:pt>
                <c:pt idx="46">
                  <c:v>18.683800000000002</c:v>
                </c:pt>
                <c:pt idx="47">
                  <c:v>19.093800000000002</c:v>
                </c:pt>
                <c:pt idx="48">
                  <c:v>19.5</c:v>
                </c:pt>
                <c:pt idx="49">
                  <c:v>19.906199999999998</c:v>
                </c:pt>
                <c:pt idx="50">
                  <c:v>20.3093</c:v>
                </c:pt>
                <c:pt idx="51">
                  <c:v>20.7136</c:v>
                </c:pt>
                <c:pt idx="52">
                  <c:v>21.1252</c:v>
                </c:pt>
                <c:pt idx="53">
                  <c:v>21.530200000000001</c:v>
                </c:pt>
                <c:pt idx="54">
                  <c:v>21.938300000000002</c:v>
                </c:pt>
                <c:pt idx="55">
                  <c:v>22.343</c:v>
                </c:pt>
                <c:pt idx="56">
                  <c:v>22.748100000000001</c:v>
                </c:pt>
                <c:pt idx="57">
                  <c:v>23.154900000000001</c:v>
                </c:pt>
                <c:pt idx="58">
                  <c:v>23.5593</c:v>
                </c:pt>
                <c:pt idx="59">
                  <c:v>23.967600000000001</c:v>
                </c:pt>
                <c:pt idx="60">
                  <c:v>24.372499999999999</c:v>
                </c:pt>
                <c:pt idx="61">
                  <c:v>24.782900000000001</c:v>
                </c:pt>
                <c:pt idx="62">
                  <c:v>25.184100000000001</c:v>
                </c:pt>
                <c:pt idx="63">
                  <c:v>25.593699999999998</c:v>
                </c:pt>
                <c:pt idx="64">
                  <c:v>25.998100000000001</c:v>
                </c:pt>
                <c:pt idx="65">
                  <c:v>26.405899999999999</c:v>
                </c:pt>
                <c:pt idx="66">
                  <c:v>26.808599999999998</c:v>
                </c:pt>
                <c:pt idx="67">
                  <c:v>27.2182</c:v>
                </c:pt>
                <c:pt idx="68">
                  <c:v>27.625299999999999</c:v>
                </c:pt>
                <c:pt idx="69">
                  <c:v>28.0334</c:v>
                </c:pt>
                <c:pt idx="70">
                  <c:v>28.439</c:v>
                </c:pt>
                <c:pt idx="71">
                  <c:v>28.841200000000001</c:v>
                </c:pt>
                <c:pt idx="72">
                  <c:v>29.245899999999999</c:v>
                </c:pt>
                <c:pt idx="73">
                  <c:v>29.653700000000001</c:v>
                </c:pt>
                <c:pt idx="74">
                  <c:v>30.062899999999999</c:v>
                </c:pt>
                <c:pt idx="75">
                  <c:v>30.528700000000001</c:v>
                </c:pt>
                <c:pt idx="76">
                  <c:v>30.933499999999999</c:v>
                </c:pt>
                <c:pt idx="77">
                  <c:v>31.328800000000001</c:v>
                </c:pt>
                <c:pt idx="78">
                  <c:v>31.732500000000002</c:v>
                </c:pt>
                <c:pt idx="79">
                  <c:v>32.139400000000002</c:v>
                </c:pt>
                <c:pt idx="80">
                  <c:v>32.542999999999999</c:v>
                </c:pt>
                <c:pt idx="81">
                  <c:v>32.949199999999998</c:v>
                </c:pt>
                <c:pt idx="82">
                  <c:v>33.354599999999998</c:v>
                </c:pt>
                <c:pt idx="83">
                  <c:v>33.763300000000001</c:v>
                </c:pt>
                <c:pt idx="84">
                  <c:v>34.174399999999999</c:v>
                </c:pt>
                <c:pt idx="85">
                  <c:v>34.578299999999999</c:v>
                </c:pt>
                <c:pt idx="86">
                  <c:v>34.981400000000001</c:v>
                </c:pt>
                <c:pt idx="87">
                  <c:v>35.387599999999999</c:v>
                </c:pt>
                <c:pt idx="88">
                  <c:v>35.792999999999999</c:v>
                </c:pt>
                <c:pt idx="89">
                  <c:v>36.204300000000003</c:v>
                </c:pt>
                <c:pt idx="90">
                  <c:v>36.608699999999999</c:v>
                </c:pt>
                <c:pt idx="91">
                  <c:v>37.013399999999997</c:v>
                </c:pt>
                <c:pt idx="92">
                  <c:v>37.418599999999998</c:v>
                </c:pt>
                <c:pt idx="93">
                  <c:v>37.829500000000003</c:v>
                </c:pt>
                <c:pt idx="94">
                  <c:v>38.234299999999998</c:v>
                </c:pt>
                <c:pt idx="95">
                  <c:v>38.639899999999997</c:v>
                </c:pt>
                <c:pt idx="96">
                  <c:v>39.043700000000001</c:v>
                </c:pt>
                <c:pt idx="97">
                  <c:v>39.4499</c:v>
                </c:pt>
                <c:pt idx="98">
                  <c:v>39.858600000000003</c:v>
                </c:pt>
                <c:pt idx="99">
                  <c:v>40.266100000000002</c:v>
                </c:pt>
                <c:pt idx="100">
                  <c:v>40.6723</c:v>
                </c:pt>
                <c:pt idx="101">
                  <c:v>41.073599999999999</c:v>
                </c:pt>
                <c:pt idx="102">
                  <c:v>41.481299999999997</c:v>
                </c:pt>
                <c:pt idx="103">
                  <c:v>41.891599999999997</c:v>
                </c:pt>
                <c:pt idx="104">
                  <c:v>42.2943</c:v>
                </c:pt>
                <c:pt idx="105">
                  <c:v>42.701599999999999</c:v>
                </c:pt>
                <c:pt idx="106">
                  <c:v>43.108499999999999</c:v>
                </c:pt>
                <c:pt idx="107">
                  <c:v>43.511699999999998</c:v>
                </c:pt>
                <c:pt idx="108">
                  <c:v>43.919800000000002</c:v>
                </c:pt>
                <c:pt idx="109">
                  <c:v>44.3277</c:v>
                </c:pt>
                <c:pt idx="110">
                  <c:v>44.734499999999997</c:v>
                </c:pt>
                <c:pt idx="111">
                  <c:v>45.141399999999997</c:v>
                </c:pt>
                <c:pt idx="112">
                  <c:v>45.546700000000001</c:v>
                </c:pt>
                <c:pt idx="113">
                  <c:v>45.950800000000001</c:v>
                </c:pt>
                <c:pt idx="114">
                  <c:v>46.356299999999997</c:v>
                </c:pt>
                <c:pt idx="115">
                  <c:v>46.764600000000002</c:v>
                </c:pt>
                <c:pt idx="116">
                  <c:v>47.169800000000002</c:v>
                </c:pt>
                <c:pt idx="117">
                  <c:v>47.575000000000003</c:v>
                </c:pt>
                <c:pt idx="118">
                  <c:v>47.980800000000002</c:v>
                </c:pt>
                <c:pt idx="119">
                  <c:v>48.387999999999998</c:v>
                </c:pt>
                <c:pt idx="120">
                  <c:v>48.795400000000001</c:v>
                </c:pt>
                <c:pt idx="121">
                  <c:v>49.203499999999998</c:v>
                </c:pt>
                <c:pt idx="122">
                  <c:v>49.607900000000001</c:v>
                </c:pt>
                <c:pt idx="123">
                  <c:v>50.012500000000003</c:v>
                </c:pt>
                <c:pt idx="124">
                  <c:v>50.421900000000001</c:v>
                </c:pt>
                <c:pt idx="125">
                  <c:v>50.828600000000002</c:v>
                </c:pt>
                <c:pt idx="126">
                  <c:v>51.230600000000003</c:v>
                </c:pt>
                <c:pt idx="127">
                  <c:v>51.6477</c:v>
                </c:pt>
                <c:pt idx="128">
                  <c:v>52.044400000000003</c:v>
                </c:pt>
                <c:pt idx="129">
                  <c:v>52.454700000000003</c:v>
                </c:pt>
                <c:pt idx="130">
                  <c:v>52.857399999999998</c:v>
                </c:pt>
                <c:pt idx="131">
                  <c:v>53.262700000000002</c:v>
                </c:pt>
                <c:pt idx="132">
                  <c:v>53.668399999999998</c:v>
                </c:pt>
                <c:pt idx="133">
                  <c:v>54.077800000000003</c:v>
                </c:pt>
                <c:pt idx="134">
                  <c:v>54.482799999999997</c:v>
                </c:pt>
                <c:pt idx="135">
                  <c:v>54.8872</c:v>
                </c:pt>
                <c:pt idx="136">
                  <c:v>55.292499999999997</c:v>
                </c:pt>
                <c:pt idx="137">
                  <c:v>55.700299999999999</c:v>
                </c:pt>
                <c:pt idx="138">
                  <c:v>56.108699999999999</c:v>
                </c:pt>
                <c:pt idx="139">
                  <c:v>56.5139</c:v>
                </c:pt>
                <c:pt idx="140">
                  <c:v>56.917499999999997</c:v>
                </c:pt>
                <c:pt idx="141">
                  <c:v>57.3245</c:v>
                </c:pt>
                <c:pt idx="142">
                  <c:v>57.734000000000002</c:v>
                </c:pt>
                <c:pt idx="143">
                  <c:v>58.142899999999997</c:v>
                </c:pt>
                <c:pt idx="144">
                  <c:v>58.546199999999999</c:v>
                </c:pt>
                <c:pt idx="145">
                  <c:v>58.950800000000001</c:v>
                </c:pt>
                <c:pt idx="146">
                  <c:v>59.355499999999999</c:v>
                </c:pt>
                <c:pt idx="147">
                  <c:v>59.765900000000002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1.3846700000000001</c:v>
                </c:pt>
                <c:pt idx="1">
                  <c:v>1.42703</c:v>
                </c:pt>
                <c:pt idx="2">
                  <c:v>1.4749499999999998</c:v>
                </c:pt>
                <c:pt idx="3">
                  <c:v>1.5291399999999999</c:v>
                </c:pt>
                <c:pt idx="4">
                  <c:v>1.58416</c:v>
                </c:pt>
                <c:pt idx="5">
                  <c:v>1.6417999999999999</c:v>
                </c:pt>
                <c:pt idx="6">
                  <c:v>1.6993100000000001</c:v>
                </c:pt>
                <c:pt idx="7">
                  <c:v>1.75589</c:v>
                </c:pt>
                <c:pt idx="8">
                  <c:v>1.8146100000000001</c:v>
                </c:pt>
                <c:pt idx="9">
                  <c:v>1.87751</c:v>
                </c:pt>
                <c:pt idx="10">
                  <c:v>1.94218</c:v>
                </c:pt>
                <c:pt idx="11">
                  <c:v>2.01152</c:v>
                </c:pt>
                <c:pt idx="12">
                  <c:v>2.0799699999999999</c:v>
                </c:pt>
                <c:pt idx="13">
                  <c:v>2.1527400000000001</c:v>
                </c:pt>
                <c:pt idx="14">
                  <c:v>2.22729</c:v>
                </c:pt>
                <c:pt idx="15">
                  <c:v>2.2971400000000002</c:v>
                </c:pt>
                <c:pt idx="16">
                  <c:v>2.3560400000000001</c:v>
                </c:pt>
                <c:pt idx="17">
                  <c:v>2.41499</c:v>
                </c:pt>
                <c:pt idx="18">
                  <c:v>2.4747699999999999</c:v>
                </c:pt>
                <c:pt idx="19">
                  <c:v>2.5340699999999998</c:v>
                </c:pt>
                <c:pt idx="20">
                  <c:v>2.5898300000000001</c:v>
                </c:pt>
                <c:pt idx="21">
                  <c:v>2.6434299999999999</c:v>
                </c:pt>
                <c:pt idx="22">
                  <c:v>2.6944800000000004</c:v>
                </c:pt>
                <c:pt idx="23">
                  <c:v>2.74499</c:v>
                </c:pt>
                <c:pt idx="24">
                  <c:v>2.7944799999999996</c:v>
                </c:pt>
                <c:pt idx="25">
                  <c:v>2.8428500000000003</c:v>
                </c:pt>
                <c:pt idx="26">
                  <c:v>2.8898299999999999</c:v>
                </c:pt>
                <c:pt idx="27">
                  <c:v>2.9342699999999997</c:v>
                </c:pt>
                <c:pt idx="28">
                  <c:v>2.9751699999999999</c:v>
                </c:pt>
                <c:pt idx="29">
                  <c:v>3.0127600000000001</c:v>
                </c:pt>
                <c:pt idx="30">
                  <c:v>3.0432600000000001</c:v>
                </c:pt>
                <c:pt idx="31">
                  <c:v>3.06697</c:v>
                </c:pt>
                <c:pt idx="32">
                  <c:v>3.0878299999999999</c:v>
                </c:pt>
                <c:pt idx="33">
                  <c:v>3.1017200000000003</c:v>
                </c:pt>
                <c:pt idx="34">
                  <c:v>3.1105800000000001</c:v>
                </c:pt>
                <c:pt idx="35">
                  <c:v>3.1163699999999999</c:v>
                </c:pt>
                <c:pt idx="36">
                  <c:v>3.11666</c:v>
                </c:pt>
                <c:pt idx="37">
                  <c:v>3.1129600000000002</c:v>
                </c:pt>
                <c:pt idx="38">
                  <c:v>3.0999300000000001</c:v>
                </c:pt>
                <c:pt idx="39">
                  <c:v>3.0806</c:v>
                </c:pt>
                <c:pt idx="40">
                  <c:v>3.05952</c:v>
                </c:pt>
                <c:pt idx="41">
                  <c:v>3.0335800000000002</c:v>
                </c:pt>
                <c:pt idx="42">
                  <c:v>3.0048399999999997</c:v>
                </c:pt>
                <c:pt idx="43">
                  <c:v>2.9742200000000003</c:v>
                </c:pt>
                <c:pt idx="44">
                  <c:v>2.9417</c:v>
                </c:pt>
                <c:pt idx="45">
                  <c:v>2.9086800000000004</c:v>
                </c:pt>
                <c:pt idx="46">
                  <c:v>2.8770800000000003</c:v>
                </c:pt>
                <c:pt idx="47">
                  <c:v>2.8471600000000001</c:v>
                </c:pt>
                <c:pt idx="48">
                  <c:v>2.8176000000000001</c:v>
                </c:pt>
                <c:pt idx="49">
                  <c:v>2.7879100000000001</c:v>
                </c:pt>
                <c:pt idx="50">
                  <c:v>2.7648800000000002</c:v>
                </c:pt>
                <c:pt idx="51">
                  <c:v>2.7353699999999996</c:v>
                </c:pt>
                <c:pt idx="52">
                  <c:v>2.7051799999999999</c:v>
                </c:pt>
                <c:pt idx="53">
                  <c:v>2.6720199999999998</c:v>
                </c:pt>
                <c:pt idx="54">
                  <c:v>2.64453</c:v>
                </c:pt>
                <c:pt idx="55">
                  <c:v>2.6213100000000003</c:v>
                </c:pt>
                <c:pt idx="56">
                  <c:v>2.6030100000000003</c:v>
                </c:pt>
                <c:pt idx="57">
                  <c:v>2.5895700000000001</c:v>
                </c:pt>
                <c:pt idx="58">
                  <c:v>2.5789200000000001</c:v>
                </c:pt>
                <c:pt idx="59">
                  <c:v>2.5789299999999997</c:v>
                </c:pt>
                <c:pt idx="60">
                  <c:v>2.5710899999999999</c:v>
                </c:pt>
                <c:pt idx="61">
                  <c:v>2.5769799999999998</c:v>
                </c:pt>
                <c:pt idx="62">
                  <c:v>2.57531</c:v>
                </c:pt>
                <c:pt idx="63">
                  <c:v>2.58839</c:v>
                </c:pt>
                <c:pt idx="64">
                  <c:v>2.6063700000000001</c:v>
                </c:pt>
                <c:pt idx="65">
                  <c:v>2.63733</c:v>
                </c:pt>
                <c:pt idx="66">
                  <c:v>2.6489000000000003</c:v>
                </c:pt>
                <c:pt idx="67">
                  <c:v>2.6688499999999999</c:v>
                </c:pt>
                <c:pt idx="68">
                  <c:v>2.6903600000000001</c:v>
                </c:pt>
                <c:pt idx="69">
                  <c:v>2.7186700000000004</c:v>
                </c:pt>
                <c:pt idx="70">
                  <c:v>2.7405600000000003</c:v>
                </c:pt>
                <c:pt idx="71">
                  <c:v>2.7611300000000001</c:v>
                </c:pt>
                <c:pt idx="72">
                  <c:v>2.7761499999999999</c:v>
                </c:pt>
                <c:pt idx="73">
                  <c:v>2.7909699999999997</c:v>
                </c:pt>
                <c:pt idx="74">
                  <c:v>2.8045900000000001</c:v>
                </c:pt>
                <c:pt idx="75">
                  <c:v>2.8157100000000002</c:v>
                </c:pt>
                <c:pt idx="76">
                  <c:v>2.8211599999999999</c:v>
                </c:pt>
                <c:pt idx="77">
                  <c:v>2.8223599999999998</c:v>
                </c:pt>
                <c:pt idx="78">
                  <c:v>2.8218199999999998</c:v>
                </c:pt>
                <c:pt idx="79">
                  <c:v>2.8207599999999999</c:v>
                </c:pt>
                <c:pt idx="80">
                  <c:v>2.8179400000000001</c:v>
                </c:pt>
                <c:pt idx="81">
                  <c:v>2.8111299999999999</c:v>
                </c:pt>
                <c:pt idx="82">
                  <c:v>2.7987500000000001</c:v>
                </c:pt>
                <c:pt idx="83">
                  <c:v>2.7839199999999997</c:v>
                </c:pt>
                <c:pt idx="84">
                  <c:v>2.7647200000000001</c:v>
                </c:pt>
                <c:pt idx="85">
                  <c:v>2.7446100000000002</c:v>
                </c:pt>
                <c:pt idx="86">
                  <c:v>2.7207699999999999</c:v>
                </c:pt>
                <c:pt idx="87">
                  <c:v>2.69259</c:v>
                </c:pt>
                <c:pt idx="88">
                  <c:v>2.6622600000000003</c:v>
                </c:pt>
                <c:pt idx="89">
                  <c:v>2.6299399999999999</c:v>
                </c:pt>
                <c:pt idx="90">
                  <c:v>2.5973099999999998</c:v>
                </c:pt>
                <c:pt idx="91">
                  <c:v>2.5701700000000001</c:v>
                </c:pt>
                <c:pt idx="92">
                  <c:v>2.5440299999999998</c:v>
                </c:pt>
                <c:pt idx="93">
                  <c:v>2.5171700000000001</c:v>
                </c:pt>
                <c:pt idx="94">
                  <c:v>2.49133</c:v>
                </c:pt>
                <c:pt idx="95">
                  <c:v>2.4672200000000002</c:v>
                </c:pt>
                <c:pt idx="96">
                  <c:v>2.4448500000000002</c:v>
                </c:pt>
                <c:pt idx="97">
                  <c:v>2.4281299999999999</c:v>
                </c:pt>
                <c:pt idx="98">
                  <c:v>2.4146899999999998</c:v>
                </c:pt>
                <c:pt idx="99">
                  <c:v>2.4025799999999999</c:v>
                </c:pt>
                <c:pt idx="100">
                  <c:v>2.39411</c:v>
                </c:pt>
                <c:pt idx="101">
                  <c:v>2.3903400000000001</c:v>
                </c:pt>
                <c:pt idx="102">
                  <c:v>2.3890799999999999</c:v>
                </c:pt>
                <c:pt idx="103">
                  <c:v>2.3925900000000002</c:v>
                </c:pt>
                <c:pt idx="104">
                  <c:v>2.3992900000000001</c:v>
                </c:pt>
                <c:pt idx="105">
                  <c:v>2.40862</c:v>
                </c:pt>
                <c:pt idx="106">
                  <c:v>2.42069</c:v>
                </c:pt>
                <c:pt idx="107">
                  <c:v>2.4344700000000001</c:v>
                </c:pt>
                <c:pt idx="108">
                  <c:v>2.45017</c:v>
                </c:pt>
                <c:pt idx="109">
                  <c:v>2.4704300000000003</c:v>
                </c:pt>
                <c:pt idx="110">
                  <c:v>2.4914200000000002</c:v>
                </c:pt>
                <c:pt idx="111">
                  <c:v>2.5146699999999997</c:v>
                </c:pt>
                <c:pt idx="112">
                  <c:v>2.5366300000000002</c:v>
                </c:pt>
                <c:pt idx="113">
                  <c:v>2.5548100000000002</c:v>
                </c:pt>
                <c:pt idx="114">
                  <c:v>2.5712299999999999</c:v>
                </c:pt>
                <c:pt idx="115">
                  <c:v>2.5884800000000001</c:v>
                </c:pt>
                <c:pt idx="116">
                  <c:v>2.6055099999999998</c:v>
                </c:pt>
                <c:pt idx="117">
                  <c:v>2.6233</c:v>
                </c:pt>
                <c:pt idx="118">
                  <c:v>2.6418699999999999</c:v>
                </c:pt>
                <c:pt idx="119">
                  <c:v>2.6618199999999996</c:v>
                </c:pt>
                <c:pt idx="120">
                  <c:v>2.68147</c:v>
                </c:pt>
                <c:pt idx="121">
                  <c:v>2.7036300000000004</c:v>
                </c:pt>
                <c:pt idx="122">
                  <c:v>2.7245499999999998</c:v>
                </c:pt>
                <c:pt idx="123">
                  <c:v>2.7434599999999998</c:v>
                </c:pt>
                <c:pt idx="124">
                  <c:v>2.7513300000000003</c:v>
                </c:pt>
                <c:pt idx="125">
                  <c:v>2.7584799999999996</c:v>
                </c:pt>
                <c:pt idx="126">
                  <c:v>2.7670699999999999</c:v>
                </c:pt>
                <c:pt idx="127">
                  <c:v>2.7780700000000005</c:v>
                </c:pt>
                <c:pt idx="128">
                  <c:v>2.7866600000000004</c:v>
                </c:pt>
                <c:pt idx="129">
                  <c:v>2.7929500000000003</c:v>
                </c:pt>
                <c:pt idx="130">
                  <c:v>2.7979900000000004</c:v>
                </c:pt>
                <c:pt idx="131">
                  <c:v>2.8046199999999999</c:v>
                </c:pt>
                <c:pt idx="132">
                  <c:v>2.8135700000000003</c:v>
                </c:pt>
                <c:pt idx="133">
                  <c:v>2.8212900000000003</c:v>
                </c:pt>
                <c:pt idx="134">
                  <c:v>2.8237399999999999</c:v>
                </c:pt>
                <c:pt idx="135">
                  <c:v>2.82626</c:v>
                </c:pt>
                <c:pt idx="136">
                  <c:v>2.82646</c:v>
                </c:pt>
                <c:pt idx="137">
                  <c:v>2.8300599999999996</c:v>
                </c:pt>
                <c:pt idx="138">
                  <c:v>2.8414699999999997</c:v>
                </c:pt>
                <c:pt idx="139">
                  <c:v>2.8595600000000001</c:v>
                </c:pt>
                <c:pt idx="140">
                  <c:v>2.8745500000000002</c:v>
                </c:pt>
                <c:pt idx="141">
                  <c:v>2.8887099999999997</c:v>
                </c:pt>
                <c:pt idx="142">
                  <c:v>2.9069699999999998</c:v>
                </c:pt>
                <c:pt idx="143">
                  <c:v>2.9304100000000002</c:v>
                </c:pt>
                <c:pt idx="144">
                  <c:v>2.9539800000000001</c:v>
                </c:pt>
                <c:pt idx="145">
                  <c:v>2.9847600000000001</c:v>
                </c:pt>
                <c:pt idx="146">
                  <c:v>2.99831</c:v>
                </c:pt>
                <c:pt idx="147">
                  <c:v>2.9897600000000004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0.40407799999999999</c:v>
                </c:pt>
                <c:pt idx="2">
                  <c:v>0.80802200000000002</c:v>
                </c:pt>
                <c:pt idx="3">
                  <c:v>1.21567</c:v>
                </c:pt>
                <c:pt idx="4">
                  <c:v>1.6254599999999999</c:v>
                </c:pt>
                <c:pt idx="5">
                  <c:v>2.03085</c:v>
                </c:pt>
                <c:pt idx="6">
                  <c:v>2.4357199999999999</c:v>
                </c:pt>
                <c:pt idx="7">
                  <c:v>2.8406699999999998</c:v>
                </c:pt>
                <c:pt idx="8">
                  <c:v>3.2472799999999999</c:v>
                </c:pt>
                <c:pt idx="9">
                  <c:v>3.6533000000000002</c:v>
                </c:pt>
                <c:pt idx="10">
                  <c:v>4.0647399999999996</c:v>
                </c:pt>
                <c:pt idx="11">
                  <c:v>4.46713</c:v>
                </c:pt>
                <c:pt idx="12">
                  <c:v>4.8724400000000001</c:v>
                </c:pt>
                <c:pt idx="13">
                  <c:v>5.2766200000000003</c:v>
                </c:pt>
                <c:pt idx="14">
                  <c:v>5.6858500000000003</c:v>
                </c:pt>
                <c:pt idx="15">
                  <c:v>6.0964799999999997</c:v>
                </c:pt>
                <c:pt idx="16">
                  <c:v>6.4991700000000003</c:v>
                </c:pt>
                <c:pt idx="17">
                  <c:v>6.9024700000000001</c:v>
                </c:pt>
                <c:pt idx="18">
                  <c:v>7.3084600000000002</c:v>
                </c:pt>
                <c:pt idx="19">
                  <c:v>7.7183700000000002</c:v>
                </c:pt>
                <c:pt idx="20">
                  <c:v>8.1241400000000006</c:v>
                </c:pt>
                <c:pt idx="21">
                  <c:v>8.5271699999999999</c:v>
                </c:pt>
                <c:pt idx="22">
                  <c:v>8.9347499999999993</c:v>
                </c:pt>
                <c:pt idx="23">
                  <c:v>9.3397299999999994</c:v>
                </c:pt>
                <c:pt idx="24">
                  <c:v>9.7497000000000007</c:v>
                </c:pt>
                <c:pt idx="25">
                  <c:v>10.157400000000001</c:v>
                </c:pt>
                <c:pt idx="26">
                  <c:v>10.561999999999999</c:v>
                </c:pt>
                <c:pt idx="27">
                  <c:v>10.9664</c:v>
                </c:pt>
                <c:pt idx="28">
                  <c:v>11.3721</c:v>
                </c:pt>
                <c:pt idx="29">
                  <c:v>11.782500000000001</c:v>
                </c:pt>
                <c:pt idx="30">
                  <c:v>12.1867</c:v>
                </c:pt>
                <c:pt idx="31">
                  <c:v>12.593299999999999</c:v>
                </c:pt>
                <c:pt idx="32">
                  <c:v>12.997299999999999</c:v>
                </c:pt>
                <c:pt idx="33">
                  <c:v>13.402699999999999</c:v>
                </c:pt>
                <c:pt idx="34">
                  <c:v>13.809799999999999</c:v>
                </c:pt>
                <c:pt idx="35">
                  <c:v>14.2141</c:v>
                </c:pt>
                <c:pt idx="36">
                  <c:v>14.6205</c:v>
                </c:pt>
                <c:pt idx="37">
                  <c:v>15.0311</c:v>
                </c:pt>
                <c:pt idx="38">
                  <c:v>15.4373</c:v>
                </c:pt>
                <c:pt idx="39">
                  <c:v>15.846500000000001</c:v>
                </c:pt>
                <c:pt idx="40">
                  <c:v>16.2453</c:v>
                </c:pt>
                <c:pt idx="41">
                  <c:v>16.655200000000001</c:v>
                </c:pt>
                <c:pt idx="42">
                  <c:v>17.065300000000001</c:v>
                </c:pt>
                <c:pt idx="43">
                  <c:v>17.468499999999999</c:v>
                </c:pt>
                <c:pt idx="44">
                  <c:v>17.872499999999999</c:v>
                </c:pt>
                <c:pt idx="45">
                  <c:v>18.277799999999999</c:v>
                </c:pt>
                <c:pt idx="46">
                  <c:v>18.683800000000002</c:v>
                </c:pt>
                <c:pt idx="47">
                  <c:v>19.093800000000002</c:v>
                </c:pt>
                <c:pt idx="48">
                  <c:v>19.5</c:v>
                </c:pt>
                <c:pt idx="49">
                  <c:v>19.906199999999998</c:v>
                </c:pt>
                <c:pt idx="50">
                  <c:v>20.3093</c:v>
                </c:pt>
                <c:pt idx="51">
                  <c:v>20.7136</c:v>
                </c:pt>
                <c:pt idx="52">
                  <c:v>21.1252</c:v>
                </c:pt>
                <c:pt idx="53">
                  <c:v>21.530200000000001</c:v>
                </c:pt>
                <c:pt idx="54">
                  <c:v>21.938300000000002</c:v>
                </c:pt>
                <c:pt idx="55">
                  <c:v>22.343</c:v>
                </c:pt>
                <c:pt idx="56">
                  <c:v>22.748100000000001</c:v>
                </c:pt>
                <c:pt idx="57">
                  <c:v>23.154900000000001</c:v>
                </c:pt>
                <c:pt idx="58">
                  <c:v>23.5593</c:v>
                </c:pt>
                <c:pt idx="59">
                  <c:v>23.967600000000001</c:v>
                </c:pt>
                <c:pt idx="60">
                  <c:v>24.372499999999999</c:v>
                </c:pt>
                <c:pt idx="61">
                  <c:v>24.782900000000001</c:v>
                </c:pt>
                <c:pt idx="62">
                  <c:v>25.184100000000001</c:v>
                </c:pt>
                <c:pt idx="63">
                  <c:v>25.593699999999998</c:v>
                </c:pt>
                <c:pt idx="64">
                  <c:v>25.998100000000001</c:v>
                </c:pt>
                <c:pt idx="65">
                  <c:v>26.405899999999999</c:v>
                </c:pt>
                <c:pt idx="66">
                  <c:v>26.808599999999998</c:v>
                </c:pt>
                <c:pt idx="67">
                  <c:v>27.2182</c:v>
                </c:pt>
                <c:pt idx="68">
                  <c:v>27.625299999999999</c:v>
                </c:pt>
                <c:pt idx="69">
                  <c:v>28.0334</c:v>
                </c:pt>
                <c:pt idx="70">
                  <c:v>28.439</c:v>
                </c:pt>
                <c:pt idx="71">
                  <c:v>28.841200000000001</c:v>
                </c:pt>
                <c:pt idx="72">
                  <c:v>29.245899999999999</c:v>
                </c:pt>
                <c:pt idx="73">
                  <c:v>29.653700000000001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1.3846700000000001</c:v>
                </c:pt>
                <c:pt idx="1">
                  <c:v>1.42703</c:v>
                </c:pt>
                <c:pt idx="2">
                  <c:v>1.4749499999999998</c:v>
                </c:pt>
                <c:pt idx="3">
                  <c:v>1.5291399999999999</c:v>
                </c:pt>
                <c:pt idx="4">
                  <c:v>1.58416</c:v>
                </c:pt>
                <c:pt idx="5">
                  <c:v>1.6417999999999999</c:v>
                </c:pt>
                <c:pt idx="6">
                  <c:v>1.6993100000000001</c:v>
                </c:pt>
                <c:pt idx="7">
                  <c:v>1.75589</c:v>
                </c:pt>
                <c:pt idx="8">
                  <c:v>1.8146100000000001</c:v>
                </c:pt>
                <c:pt idx="9">
                  <c:v>1.87751</c:v>
                </c:pt>
                <c:pt idx="10">
                  <c:v>1.94218</c:v>
                </c:pt>
                <c:pt idx="11">
                  <c:v>2.01152</c:v>
                </c:pt>
                <c:pt idx="12">
                  <c:v>2.0799699999999999</c:v>
                </c:pt>
                <c:pt idx="13">
                  <c:v>2.1527400000000001</c:v>
                </c:pt>
                <c:pt idx="14">
                  <c:v>2.22729</c:v>
                </c:pt>
                <c:pt idx="15">
                  <c:v>2.2971400000000002</c:v>
                </c:pt>
                <c:pt idx="16">
                  <c:v>2.3560400000000001</c:v>
                </c:pt>
                <c:pt idx="17">
                  <c:v>2.41499</c:v>
                </c:pt>
                <c:pt idx="18">
                  <c:v>2.4747699999999999</c:v>
                </c:pt>
                <c:pt idx="19">
                  <c:v>2.5340699999999998</c:v>
                </c:pt>
                <c:pt idx="20">
                  <c:v>2.5898300000000001</c:v>
                </c:pt>
                <c:pt idx="21">
                  <c:v>2.6434299999999999</c:v>
                </c:pt>
                <c:pt idx="22">
                  <c:v>2.6944800000000004</c:v>
                </c:pt>
                <c:pt idx="23">
                  <c:v>2.74499</c:v>
                </c:pt>
                <c:pt idx="24">
                  <c:v>2.7944799999999996</c:v>
                </c:pt>
                <c:pt idx="25">
                  <c:v>2.8428500000000003</c:v>
                </c:pt>
                <c:pt idx="26">
                  <c:v>2.8898299999999999</c:v>
                </c:pt>
                <c:pt idx="27">
                  <c:v>2.9342699999999997</c:v>
                </c:pt>
                <c:pt idx="28">
                  <c:v>2.9751699999999999</c:v>
                </c:pt>
                <c:pt idx="29">
                  <c:v>3.0127600000000001</c:v>
                </c:pt>
                <c:pt idx="30">
                  <c:v>3.0432600000000001</c:v>
                </c:pt>
                <c:pt idx="31">
                  <c:v>3.06697</c:v>
                </c:pt>
                <c:pt idx="32">
                  <c:v>3.0878299999999999</c:v>
                </c:pt>
                <c:pt idx="33">
                  <c:v>3.1017200000000003</c:v>
                </c:pt>
                <c:pt idx="34">
                  <c:v>3.1105800000000001</c:v>
                </c:pt>
                <c:pt idx="35">
                  <c:v>3.1163699999999999</c:v>
                </c:pt>
                <c:pt idx="36">
                  <c:v>3.11666</c:v>
                </c:pt>
                <c:pt idx="37">
                  <c:v>3.1129600000000002</c:v>
                </c:pt>
                <c:pt idx="38">
                  <c:v>3.0999300000000001</c:v>
                </c:pt>
                <c:pt idx="39">
                  <c:v>3.0806</c:v>
                </c:pt>
                <c:pt idx="40">
                  <c:v>3.05952</c:v>
                </c:pt>
                <c:pt idx="41">
                  <c:v>3.0335800000000002</c:v>
                </c:pt>
                <c:pt idx="42">
                  <c:v>3.0048399999999997</c:v>
                </c:pt>
                <c:pt idx="43">
                  <c:v>2.9742200000000003</c:v>
                </c:pt>
                <c:pt idx="44">
                  <c:v>2.9417</c:v>
                </c:pt>
                <c:pt idx="45">
                  <c:v>2.9086800000000004</c:v>
                </c:pt>
                <c:pt idx="46">
                  <c:v>2.8770800000000003</c:v>
                </c:pt>
                <c:pt idx="47">
                  <c:v>2.8471600000000001</c:v>
                </c:pt>
                <c:pt idx="48">
                  <c:v>2.8176000000000001</c:v>
                </c:pt>
                <c:pt idx="49">
                  <c:v>2.7879100000000001</c:v>
                </c:pt>
                <c:pt idx="50">
                  <c:v>2.7648800000000002</c:v>
                </c:pt>
                <c:pt idx="51">
                  <c:v>2.7353699999999996</c:v>
                </c:pt>
                <c:pt idx="52">
                  <c:v>2.7051799999999999</c:v>
                </c:pt>
                <c:pt idx="53">
                  <c:v>2.6720199999999998</c:v>
                </c:pt>
                <c:pt idx="54">
                  <c:v>2.64453</c:v>
                </c:pt>
                <c:pt idx="55">
                  <c:v>2.6213100000000003</c:v>
                </c:pt>
                <c:pt idx="56">
                  <c:v>2.6030100000000003</c:v>
                </c:pt>
                <c:pt idx="57">
                  <c:v>2.5895700000000001</c:v>
                </c:pt>
                <c:pt idx="58">
                  <c:v>2.5789200000000001</c:v>
                </c:pt>
                <c:pt idx="59">
                  <c:v>2.5789299999999997</c:v>
                </c:pt>
                <c:pt idx="60">
                  <c:v>2.5710899999999999</c:v>
                </c:pt>
                <c:pt idx="61">
                  <c:v>2.5769799999999998</c:v>
                </c:pt>
                <c:pt idx="62">
                  <c:v>2.57531</c:v>
                </c:pt>
                <c:pt idx="63">
                  <c:v>2.58839</c:v>
                </c:pt>
                <c:pt idx="64">
                  <c:v>2.6063700000000001</c:v>
                </c:pt>
                <c:pt idx="65">
                  <c:v>2.63733</c:v>
                </c:pt>
                <c:pt idx="66">
                  <c:v>2.6489000000000003</c:v>
                </c:pt>
                <c:pt idx="67">
                  <c:v>2.6688499999999999</c:v>
                </c:pt>
                <c:pt idx="68">
                  <c:v>2.6903600000000001</c:v>
                </c:pt>
                <c:pt idx="69">
                  <c:v>2.7186700000000004</c:v>
                </c:pt>
                <c:pt idx="70">
                  <c:v>2.7405600000000003</c:v>
                </c:pt>
                <c:pt idx="71">
                  <c:v>2.7611300000000001</c:v>
                </c:pt>
                <c:pt idx="72">
                  <c:v>2.7761499999999999</c:v>
                </c:pt>
                <c:pt idx="73">
                  <c:v>2.7909699999999997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29.653700000000001</c:v>
                </c:pt>
                <c:pt idx="1">
                  <c:v>30.062899999999999</c:v>
                </c:pt>
                <c:pt idx="2">
                  <c:v>30.528700000000001</c:v>
                </c:pt>
                <c:pt idx="3">
                  <c:v>30.933499999999999</c:v>
                </c:pt>
                <c:pt idx="4">
                  <c:v>31.328800000000001</c:v>
                </c:pt>
                <c:pt idx="5">
                  <c:v>31.732500000000002</c:v>
                </c:pt>
                <c:pt idx="6">
                  <c:v>32.139400000000002</c:v>
                </c:pt>
                <c:pt idx="7">
                  <c:v>32.542999999999999</c:v>
                </c:pt>
                <c:pt idx="8">
                  <c:v>32.949199999999998</c:v>
                </c:pt>
                <c:pt idx="9">
                  <c:v>33.354599999999998</c:v>
                </c:pt>
                <c:pt idx="10">
                  <c:v>33.763300000000001</c:v>
                </c:pt>
                <c:pt idx="11">
                  <c:v>34.174399999999999</c:v>
                </c:pt>
                <c:pt idx="12">
                  <c:v>34.578299999999999</c:v>
                </c:pt>
                <c:pt idx="13">
                  <c:v>34.981400000000001</c:v>
                </c:pt>
                <c:pt idx="14">
                  <c:v>35.387599999999999</c:v>
                </c:pt>
                <c:pt idx="15">
                  <c:v>35.792999999999999</c:v>
                </c:pt>
                <c:pt idx="16">
                  <c:v>36.204300000000003</c:v>
                </c:pt>
                <c:pt idx="17">
                  <c:v>36.608699999999999</c:v>
                </c:pt>
                <c:pt idx="18">
                  <c:v>37.013399999999997</c:v>
                </c:pt>
                <c:pt idx="19">
                  <c:v>37.418599999999998</c:v>
                </c:pt>
                <c:pt idx="20">
                  <c:v>37.829500000000003</c:v>
                </c:pt>
                <c:pt idx="21">
                  <c:v>38.234299999999998</c:v>
                </c:pt>
                <c:pt idx="22">
                  <c:v>38.639899999999997</c:v>
                </c:pt>
                <c:pt idx="23">
                  <c:v>39.043700000000001</c:v>
                </c:pt>
                <c:pt idx="24">
                  <c:v>39.4499</c:v>
                </c:pt>
                <c:pt idx="25">
                  <c:v>39.858600000000003</c:v>
                </c:pt>
                <c:pt idx="26">
                  <c:v>40.266100000000002</c:v>
                </c:pt>
                <c:pt idx="27">
                  <c:v>40.6723</c:v>
                </c:pt>
                <c:pt idx="28">
                  <c:v>41.073599999999999</c:v>
                </c:pt>
                <c:pt idx="29">
                  <c:v>41.481299999999997</c:v>
                </c:pt>
                <c:pt idx="30">
                  <c:v>41.891599999999997</c:v>
                </c:pt>
                <c:pt idx="31">
                  <c:v>42.2943</c:v>
                </c:pt>
                <c:pt idx="32">
                  <c:v>42.701599999999999</c:v>
                </c:pt>
                <c:pt idx="33">
                  <c:v>43.108499999999999</c:v>
                </c:pt>
                <c:pt idx="34">
                  <c:v>43.511699999999998</c:v>
                </c:pt>
                <c:pt idx="35">
                  <c:v>43.919800000000002</c:v>
                </c:pt>
                <c:pt idx="36">
                  <c:v>44.3277</c:v>
                </c:pt>
                <c:pt idx="37">
                  <c:v>44.734499999999997</c:v>
                </c:pt>
                <c:pt idx="38">
                  <c:v>45.141399999999997</c:v>
                </c:pt>
                <c:pt idx="39">
                  <c:v>45.546700000000001</c:v>
                </c:pt>
                <c:pt idx="40">
                  <c:v>45.950800000000001</c:v>
                </c:pt>
                <c:pt idx="41">
                  <c:v>46.356299999999997</c:v>
                </c:pt>
                <c:pt idx="42">
                  <c:v>46.764600000000002</c:v>
                </c:pt>
                <c:pt idx="43">
                  <c:v>47.169800000000002</c:v>
                </c:pt>
                <c:pt idx="44">
                  <c:v>47.575000000000003</c:v>
                </c:pt>
                <c:pt idx="45">
                  <c:v>47.980800000000002</c:v>
                </c:pt>
                <c:pt idx="46">
                  <c:v>48.387999999999998</c:v>
                </c:pt>
                <c:pt idx="47">
                  <c:v>48.795400000000001</c:v>
                </c:pt>
                <c:pt idx="48">
                  <c:v>49.203499999999998</c:v>
                </c:pt>
                <c:pt idx="49">
                  <c:v>49.607900000000001</c:v>
                </c:pt>
                <c:pt idx="50">
                  <c:v>50.012500000000003</c:v>
                </c:pt>
                <c:pt idx="51">
                  <c:v>50.421900000000001</c:v>
                </c:pt>
                <c:pt idx="52">
                  <c:v>50.828600000000002</c:v>
                </c:pt>
                <c:pt idx="53">
                  <c:v>51.230600000000003</c:v>
                </c:pt>
                <c:pt idx="54">
                  <c:v>51.6477</c:v>
                </c:pt>
                <c:pt idx="55">
                  <c:v>52.044400000000003</c:v>
                </c:pt>
                <c:pt idx="56">
                  <c:v>52.454700000000003</c:v>
                </c:pt>
                <c:pt idx="57">
                  <c:v>52.857399999999998</c:v>
                </c:pt>
                <c:pt idx="58">
                  <c:v>53.262700000000002</c:v>
                </c:pt>
                <c:pt idx="59">
                  <c:v>53.668399999999998</c:v>
                </c:pt>
                <c:pt idx="60">
                  <c:v>54.077800000000003</c:v>
                </c:pt>
                <c:pt idx="61">
                  <c:v>54.482799999999997</c:v>
                </c:pt>
                <c:pt idx="62">
                  <c:v>54.8872</c:v>
                </c:pt>
                <c:pt idx="63">
                  <c:v>55.292499999999997</c:v>
                </c:pt>
                <c:pt idx="64">
                  <c:v>55.700299999999999</c:v>
                </c:pt>
                <c:pt idx="65">
                  <c:v>56.108699999999999</c:v>
                </c:pt>
                <c:pt idx="66">
                  <c:v>56.5139</c:v>
                </c:pt>
                <c:pt idx="67">
                  <c:v>56.917499999999997</c:v>
                </c:pt>
                <c:pt idx="68">
                  <c:v>57.3245</c:v>
                </c:pt>
                <c:pt idx="69">
                  <c:v>57.734000000000002</c:v>
                </c:pt>
                <c:pt idx="70">
                  <c:v>58.142899999999997</c:v>
                </c:pt>
                <c:pt idx="71">
                  <c:v>58.546199999999999</c:v>
                </c:pt>
                <c:pt idx="72">
                  <c:v>58.950800000000001</c:v>
                </c:pt>
                <c:pt idx="73">
                  <c:v>59.355499999999999</c:v>
                </c:pt>
                <c:pt idx="74">
                  <c:v>59.765900000000002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2.7909699999999997</c:v>
                </c:pt>
                <c:pt idx="1">
                  <c:v>2.8045900000000001</c:v>
                </c:pt>
                <c:pt idx="2">
                  <c:v>2.8157100000000002</c:v>
                </c:pt>
                <c:pt idx="3">
                  <c:v>2.8211599999999999</c:v>
                </c:pt>
                <c:pt idx="4">
                  <c:v>2.8223599999999998</c:v>
                </c:pt>
                <c:pt idx="5">
                  <c:v>2.8218199999999998</c:v>
                </c:pt>
                <c:pt idx="6">
                  <c:v>2.8207599999999999</c:v>
                </c:pt>
                <c:pt idx="7">
                  <c:v>2.8179400000000001</c:v>
                </c:pt>
                <c:pt idx="8">
                  <c:v>2.8111299999999999</c:v>
                </c:pt>
                <c:pt idx="9">
                  <c:v>2.7987500000000001</c:v>
                </c:pt>
                <c:pt idx="10">
                  <c:v>2.7839199999999997</c:v>
                </c:pt>
                <c:pt idx="11">
                  <c:v>2.7647200000000001</c:v>
                </c:pt>
                <c:pt idx="12">
                  <c:v>2.7446100000000002</c:v>
                </c:pt>
                <c:pt idx="13">
                  <c:v>2.7207699999999999</c:v>
                </c:pt>
                <c:pt idx="14">
                  <c:v>2.69259</c:v>
                </c:pt>
                <c:pt idx="15">
                  <c:v>2.6622600000000003</c:v>
                </c:pt>
                <c:pt idx="16">
                  <c:v>2.6299399999999999</c:v>
                </c:pt>
                <c:pt idx="17">
                  <c:v>2.5973099999999998</c:v>
                </c:pt>
                <c:pt idx="18">
                  <c:v>2.5701700000000001</c:v>
                </c:pt>
                <c:pt idx="19">
                  <c:v>2.5440299999999998</c:v>
                </c:pt>
                <c:pt idx="20">
                  <c:v>2.5171700000000001</c:v>
                </c:pt>
                <c:pt idx="21">
                  <c:v>2.49133</c:v>
                </c:pt>
                <c:pt idx="22">
                  <c:v>2.4672200000000002</c:v>
                </c:pt>
                <c:pt idx="23">
                  <c:v>2.4448500000000002</c:v>
                </c:pt>
                <c:pt idx="24">
                  <c:v>2.4281299999999999</c:v>
                </c:pt>
                <c:pt idx="25">
                  <c:v>2.4146899999999998</c:v>
                </c:pt>
                <c:pt idx="26">
                  <c:v>2.4025799999999999</c:v>
                </c:pt>
                <c:pt idx="27">
                  <c:v>2.39411</c:v>
                </c:pt>
                <c:pt idx="28">
                  <c:v>2.3903400000000001</c:v>
                </c:pt>
                <c:pt idx="29">
                  <c:v>2.3890799999999999</c:v>
                </c:pt>
                <c:pt idx="30">
                  <c:v>2.3925900000000002</c:v>
                </c:pt>
                <c:pt idx="31">
                  <c:v>2.3992900000000001</c:v>
                </c:pt>
                <c:pt idx="32">
                  <c:v>2.40862</c:v>
                </c:pt>
                <c:pt idx="33">
                  <c:v>2.42069</c:v>
                </c:pt>
                <c:pt idx="34">
                  <c:v>2.4344700000000001</c:v>
                </c:pt>
                <c:pt idx="35">
                  <c:v>2.45017</c:v>
                </c:pt>
                <c:pt idx="36">
                  <c:v>2.4704300000000003</c:v>
                </c:pt>
                <c:pt idx="37">
                  <c:v>2.4914200000000002</c:v>
                </c:pt>
                <c:pt idx="38">
                  <c:v>2.5146699999999997</c:v>
                </c:pt>
                <c:pt idx="39">
                  <c:v>2.5366300000000002</c:v>
                </c:pt>
                <c:pt idx="40">
                  <c:v>2.5548100000000002</c:v>
                </c:pt>
                <c:pt idx="41">
                  <c:v>2.5712299999999999</c:v>
                </c:pt>
                <c:pt idx="42">
                  <c:v>2.5884800000000001</c:v>
                </c:pt>
                <c:pt idx="43">
                  <c:v>2.6055099999999998</c:v>
                </c:pt>
                <c:pt idx="44">
                  <c:v>2.6233</c:v>
                </c:pt>
                <c:pt idx="45">
                  <c:v>2.6418699999999999</c:v>
                </c:pt>
                <c:pt idx="46">
                  <c:v>2.6618199999999996</c:v>
                </c:pt>
                <c:pt idx="47">
                  <c:v>2.68147</c:v>
                </c:pt>
                <c:pt idx="48">
                  <c:v>2.7036300000000004</c:v>
                </c:pt>
                <c:pt idx="49">
                  <c:v>2.7245499999999998</c:v>
                </c:pt>
                <c:pt idx="50">
                  <c:v>2.7434599999999998</c:v>
                </c:pt>
                <c:pt idx="51">
                  <c:v>2.7513300000000003</c:v>
                </c:pt>
                <c:pt idx="52">
                  <c:v>2.7584799999999996</c:v>
                </c:pt>
                <c:pt idx="53">
                  <c:v>2.7670699999999999</c:v>
                </c:pt>
                <c:pt idx="54">
                  <c:v>2.7780700000000005</c:v>
                </c:pt>
                <c:pt idx="55">
                  <c:v>2.7866600000000004</c:v>
                </c:pt>
                <c:pt idx="56">
                  <c:v>2.7929500000000003</c:v>
                </c:pt>
                <c:pt idx="57">
                  <c:v>2.7979900000000004</c:v>
                </c:pt>
                <c:pt idx="58">
                  <c:v>2.8046199999999999</c:v>
                </c:pt>
                <c:pt idx="59">
                  <c:v>2.8135700000000003</c:v>
                </c:pt>
                <c:pt idx="60">
                  <c:v>2.8212900000000003</c:v>
                </c:pt>
                <c:pt idx="61">
                  <c:v>2.8237399999999999</c:v>
                </c:pt>
                <c:pt idx="62">
                  <c:v>2.82626</c:v>
                </c:pt>
                <c:pt idx="63">
                  <c:v>2.82646</c:v>
                </c:pt>
                <c:pt idx="64">
                  <c:v>2.8300599999999996</c:v>
                </c:pt>
                <c:pt idx="65">
                  <c:v>2.8414699999999997</c:v>
                </c:pt>
                <c:pt idx="66">
                  <c:v>2.8595600000000001</c:v>
                </c:pt>
                <c:pt idx="67">
                  <c:v>2.8745500000000002</c:v>
                </c:pt>
                <c:pt idx="68">
                  <c:v>2.8887099999999997</c:v>
                </c:pt>
                <c:pt idx="69">
                  <c:v>2.9069699999999998</c:v>
                </c:pt>
                <c:pt idx="70">
                  <c:v>2.9304100000000002</c:v>
                </c:pt>
                <c:pt idx="71">
                  <c:v>2.9539800000000001</c:v>
                </c:pt>
                <c:pt idx="72">
                  <c:v>2.9847600000000001</c:v>
                </c:pt>
                <c:pt idx="73">
                  <c:v>2.99831</c:v>
                </c:pt>
                <c:pt idx="74">
                  <c:v>2.9897600000000004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14.941475000000001</c:v>
                </c:pt>
                <c:pt idx="1">
                  <c:v>44.824425000000005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2.5788624324324312</c:v>
                </c:pt>
                <c:pt idx="1">
                  <c:v>2.6812186486486489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0.40407799999999999</c:v>
                </c:pt>
                <c:pt idx="2">
                  <c:v>0.80802200000000002</c:v>
                </c:pt>
                <c:pt idx="3">
                  <c:v>1.21567</c:v>
                </c:pt>
                <c:pt idx="4">
                  <c:v>1.6254599999999999</c:v>
                </c:pt>
                <c:pt idx="5">
                  <c:v>2.03085</c:v>
                </c:pt>
                <c:pt idx="6">
                  <c:v>2.4357199999999999</c:v>
                </c:pt>
                <c:pt idx="7">
                  <c:v>2.8406699999999998</c:v>
                </c:pt>
                <c:pt idx="8">
                  <c:v>3.2472799999999999</c:v>
                </c:pt>
                <c:pt idx="9">
                  <c:v>3.6533000000000002</c:v>
                </c:pt>
                <c:pt idx="10">
                  <c:v>4.0647399999999996</c:v>
                </c:pt>
                <c:pt idx="11">
                  <c:v>4.46713</c:v>
                </c:pt>
                <c:pt idx="12">
                  <c:v>4.8724400000000001</c:v>
                </c:pt>
                <c:pt idx="13">
                  <c:v>5.2766200000000003</c:v>
                </c:pt>
                <c:pt idx="14">
                  <c:v>5.6858500000000003</c:v>
                </c:pt>
                <c:pt idx="15">
                  <c:v>6.0964799999999997</c:v>
                </c:pt>
                <c:pt idx="16">
                  <c:v>6.4991700000000003</c:v>
                </c:pt>
                <c:pt idx="17">
                  <c:v>6.9024700000000001</c:v>
                </c:pt>
                <c:pt idx="18">
                  <c:v>7.3084600000000002</c:v>
                </c:pt>
                <c:pt idx="19">
                  <c:v>7.7183700000000002</c:v>
                </c:pt>
                <c:pt idx="20">
                  <c:v>8.1241400000000006</c:v>
                </c:pt>
                <c:pt idx="21">
                  <c:v>8.5271699999999999</c:v>
                </c:pt>
                <c:pt idx="22">
                  <c:v>8.9347499999999993</c:v>
                </c:pt>
                <c:pt idx="23">
                  <c:v>9.3397299999999994</c:v>
                </c:pt>
                <c:pt idx="24">
                  <c:v>9.7497000000000007</c:v>
                </c:pt>
                <c:pt idx="25">
                  <c:v>10.157400000000001</c:v>
                </c:pt>
                <c:pt idx="26">
                  <c:v>10.561999999999999</c:v>
                </c:pt>
                <c:pt idx="27">
                  <c:v>10.9664</c:v>
                </c:pt>
                <c:pt idx="28">
                  <c:v>11.3721</c:v>
                </c:pt>
                <c:pt idx="29">
                  <c:v>11.782500000000001</c:v>
                </c:pt>
                <c:pt idx="30">
                  <c:v>12.1867</c:v>
                </c:pt>
                <c:pt idx="31">
                  <c:v>12.593299999999999</c:v>
                </c:pt>
                <c:pt idx="32">
                  <c:v>12.997299999999999</c:v>
                </c:pt>
                <c:pt idx="33">
                  <c:v>13.402699999999999</c:v>
                </c:pt>
                <c:pt idx="34">
                  <c:v>13.809799999999999</c:v>
                </c:pt>
                <c:pt idx="35">
                  <c:v>14.2141</c:v>
                </c:pt>
                <c:pt idx="36">
                  <c:v>14.6205</c:v>
                </c:pt>
                <c:pt idx="37">
                  <c:v>15.0311</c:v>
                </c:pt>
                <c:pt idx="38">
                  <c:v>15.4373</c:v>
                </c:pt>
                <c:pt idx="39">
                  <c:v>15.846500000000001</c:v>
                </c:pt>
                <c:pt idx="40">
                  <c:v>16.2453</c:v>
                </c:pt>
                <c:pt idx="41">
                  <c:v>16.655200000000001</c:v>
                </c:pt>
                <c:pt idx="42">
                  <c:v>17.065300000000001</c:v>
                </c:pt>
                <c:pt idx="43">
                  <c:v>17.468499999999999</c:v>
                </c:pt>
                <c:pt idx="44">
                  <c:v>17.872499999999999</c:v>
                </c:pt>
                <c:pt idx="45">
                  <c:v>18.277799999999999</c:v>
                </c:pt>
                <c:pt idx="46">
                  <c:v>18.683800000000002</c:v>
                </c:pt>
                <c:pt idx="47">
                  <c:v>19.093800000000002</c:v>
                </c:pt>
                <c:pt idx="48">
                  <c:v>19.5</c:v>
                </c:pt>
                <c:pt idx="49">
                  <c:v>19.906199999999998</c:v>
                </c:pt>
                <c:pt idx="50">
                  <c:v>20.3093</c:v>
                </c:pt>
                <c:pt idx="51">
                  <c:v>20.7136</c:v>
                </c:pt>
                <c:pt idx="52">
                  <c:v>21.1252</c:v>
                </c:pt>
                <c:pt idx="53">
                  <c:v>21.530200000000001</c:v>
                </c:pt>
                <c:pt idx="54">
                  <c:v>21.938300000000002</c:v>
                </c:pt>
                <c:pt idx="55">
                  <c:v>22.343</c:v>
                </c:pt>
                <c:pt idx="56">
                  <c:v>22.748100000000001</c:v>
                </c:pt>
                <c:pt idx="57">
                  <c:v>23.154900000000001</c:v>
                </c:pt>
                <c:pt idx="58">
                  <c:v>23.5593</c:v>
                </c:pt>
                <c:pt idx="59">
                  <c:v>23.967600000000001</c:v>
                </c:pt>
                <c:pt idx="60">
                  <c:v>24.372499999999999</c:v>
                </c:pt>
                <c:pt idx="61">
                  <c:v>24.782900000000001</c:v>
                </c:pt>
                <c:pt idx="62">
                  <c:v>25.184100000000001</c:v>
                </c:pt>
                <c:pt idx="63">
                  <c:v>25.593699999999998</c:v>
                </c:pt>
                <c:pt idx="64">
                  <c:v>25.998100000000001</c:v>
                </c:pt>
                <c:pt idx="65">
                  <c:v>26.405899999999999</c:v>
                </c:pt>
                <c:pt idx="66">
                  <c:v>26.808599999999998</c:v>
                </c:pt>
                <c:pt idx="67">
                  <c:v>27.2182</c:v>
                </c:pt>
                <c:pt idx="68">
                  <c:v>27.625299999999999</c:v>
                </c:pt>
                <c:pt idx="69">
                  <c:v>28.0334</c:v>
                </c:pt>
                <c:pt idx="70">
                  <c:v>28.439</c:v>
                </c:pt>
                <c:pt idx="71">
                  <c:v>28.841200000000001</c:v>
                </c:pt>
                <c:pt idx="72">
                  <c:v>29.245899999999999</c:v>
                </c:pt>
                <c:pt idx="73">
                  <c:v>29.653700000000001</c:v>
                </c:pt>
                <c:pt idx="74">
                  <c:v>30.062899999999999</c:v>
                </c:pt>
                <c:pt idx="75">
                  <c:v>30.528700000000001</c:v>
                </c:pt>
                <c:pt idx="76">
                  <c:v>30.933499999999999</c:v>
                </c:pt>
                <c:pt idx="77">
                  <c:v>31.328800000000001</c:v>
                </c:pt>
                <c:pt idx="78">
                  <c:v>31.732500000000002</c:v>
                </c:pt>
                <c:pt idx="79">
                  <c:v>32.139400000000002</c:v>
                </c:pt>
                <c:pt idx="80">
                  <c:v>32.542999999999999</c:v>
                </c:pt>
                <c:pt idx="81">
                  <c:v>32.949199999999998</c:v>
                </c:pt>
                <c:pt idx="82">
                  <c:v>33.354599999999998</c:v>
                </c:pt>
                <c:pt idx="83">
                  <c:v>33.763300000000001</c:v>
                </c:pt>
                <c:pt idx="84">
                  <c:v>34.174399999999999</c:v>
                </c:pt>
                <c:pt idx="85">
                  <c:v>34.578299999999999</c:v>
                </c:pt>
                <c:pt idx="86">
                  <c:v>34.981400000000001</c:v>
                </c:pt>
                <c:pt idx="87">
                  <c:v>35.387599999999999</c:v>
                </c:pt>
                <c:pt idx="88">
                  <c:v>35.792999999999999</c:v>
                </c:pt>
                <c:pt idx="89">
                  <c:v>36.204300000000003</c:v>
                </c:pt>
                <c:pt idx="90">
                  <c:v>36.608699999999999</c:v>
                </c:pt>
                <c:pt idx="91">
                  <c:v>37.013399999999997</c:v>
                </c:pt>
                <c:pt idx="92">
                  <c:v>37.418599999999998</c:v>
                </c:pt>
                <c:pt idx="93">
                  <c:v>37.829500000000003</c:v>
                </c:pt>
                <c:pt idx="94">
                  <c:v>38.234299999999998</c:v>
                </c:pt>
                <c:pt idx="95">
                  <c:v>38.639899999999997</c:v>
                </c:pt>
                <c:pt idx="96">
                  <c:v>39.043700000000001</c:v>
                </c:pt>
                <c:pt idx="97">
                  <c:v>39.4499</c:v>
                </c:pt>
                <c:pt idx="98">
                  <c:v>39.858600000000003</c:v>
                </c:pt>
                <c:pt idx="99">
                  <c:v>40.266100000000002</c:v>
                </c:pt>
                <c:pt idx="100">
                  <c:v>40.6723</c:v>
                </c:pt>
                <c:pt idx="101">
                  <c:v>41.073599999999999</c:v>
                </c:pt>
                <c:pt idx="102">
                  <c:v>41.481299999999997</c:v>
                </c:pt>
                <c:pt idx="103">
                  <c:v>41.891599999999997</c:v>
                </c:pt>
                <c:pt idx="104">
                  <c:v>42.2943</c:v>
                </c:pt>
                <c:pt idx="105">
                  <c:v>42.701599999999999</c:v>
                </c:pt>
                <c:pt idx="106">
                  <c:v>43.108499999999999</c:v>
                </c:pt>
                <c:pt idx="107">
                  <c:v>43.511699999999998</c:v>
                </c:pt>
                <c:pt idx="108">
                  <c:v>43.919800000000002</c:v>
                </c:pt>
                <c:pt idx="109">
                  <c:v>44.3277</c:v>
                </c:pt>
                <c:pt idx="110">
                  <c:v>44.734499999999997</c:v>
                </c:pt>
                <c:pt idx="111">
                  <c:v>45.141399999999997</c:v>
                </c:pt>
                <c:pt idx="112">
                  <c:v>45.546700000000001</c:v>
                </c:pt>
                <c:pt idx="113">
                  <c:v>45.950800000000001</c:v>
                </c:pt>
                <c:pt idx="114">
                  <c:v>46.356299999999997</c:v>
                </c:pt>
                <c:pt idx="115">
                  <c:v>46.764600000000002</c:v>
                </c:pt>
                <c:pt idx="116">
                  <c:v>47.169800000000002</c:v>
                </c:pt>
                <c:pt idx="117">
                  <c:v>47.575000000000003</c:v>
                </c:pt>
                <c:pt idx="118">
                  <c:v>47.980800000000002</c:v>
                </c:pt>
                <c:pt idx="119">
                  <c:v>48.387999999999998</c:v>
                </c:pt>
                <c:pt idx="120">
                  <c:v>48.795400000000001</c:v>
                </c:pt>
                <c:pt idx="121">
                  <c:v>49.203499999999998</c:v>
                </c:pt>
                <c:pt idx="122">
                  <c:v>49.607900000000001</c:v>
                </c:pt>
                <c:pt idx="123">
                  <c:v>50.012500000000003</c:v>
                </c:pt>
                <c:pt idx="124">
                  <c:v>50.421900000000001</c:v>
                </c:pt>
                <c:pt idx="125">
                  <c:v>50.828600000000002</c:v>
                </c:pt>
                <c:pt idx="126">
                  <c:v>51.230600000000003</c:v>
                </c:pt>
                <c:pt idx="127">
                  <c:v>51.6477</c:v>
                </c:pt>
                <c:pt idx="128">
                  <c:v>52.044400000000003</c:v>
                </c:pt>
                <c:pt idx="129">
                  <c:v>52.454700000000003</c:v>
                </c:pt>
                <c:pt idx="130">
                  <c:v>52.857399999999998</c:v>
                </c:pt>
                <c:pt idx="131">
                  <c:v>53.262700000000002</c:v>
                </c:pt>
                <c:pt idx="132">
                  <c:v>53.668399999999998</c:v>
                </c:pt>
                <c:pt idx="133">
                  <c:v>54.077800000000003</c:v>
                </c:pt>
                <c:pt idx="134">
                  <c:v>54.482799999999997</c:v>
                </c:pt>
                <c:pt idx="135">
                  <c:v>54.8872</c:v>
                </c:pt>
                <c:pt idx="136">
                  <c:v>55.292499999999997</c:v>
                </c:pt>
                <c:pt idx="137">
                  <c:v>55.700299999999999</c:v>
                </c:pt>
                <c:pt idx="138">
                  <c:v>56.108699999999999</c:v>
                </c:pt>
                <c:pt idx="139">
                  <c:v>56.5139</c:v>
                </c:pt>
                <c:pt idx="140">
                  <c:v>56.917499999999997</c:v>
                </c:pt>
                <c:pt idx="141">
                  <c:v>57.3245</c:v>
                </c:pt>
                <c:pt idx="142">
                  <c:v>57.734000000000002</c:v>
                </c:pt>
                <c:pt idx="143">
                  <c:v>58.142899999999997</c:v>
                </c:pt>
                <c:pt idx="144">
                  <c:v>58.546199999999999</c:v>
                </c:pt>
                <c:pt idx="145">
                  <c:v>58.950800000000001</c:v>
                </c:pt>
                <c:pt idx="146">
                  <c:v>59.355499999999999</c:v>
                </c:pt>
                <c:pt idx="147">
                  <c:v>59.765900000000002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69.248800000000003</c:v>
                </c:pt>
                <c:pt idx="1">
                  <c:v>68.552500000000009</c:v>
                </c:pt>
                <c:pt idx="2">
                  <c:v>67.555099999999996</c:v>
                </c:pt>
                <c:pt idx="3">
                  <c:v>66.272599999999997</c:v>
                </c:pt>
                <c:pt idx="4">
                  <c:v>64.854100000000003</c:v>
                </c:pt>
                <c:pt idx="5">
                  <c:v>63.165300000000002</c:v>
                </c:pt>
                <c:pt idx="6">
                  <c:v>61.429400000000001</c:v>
                </c:pt>
                <c:pt idx="7">
                  <c:v>59.870199999999997</c:v>
                </c:pt>
                <c:pt idx="8">
                  <c:v>58.291899999999998</c:v>
                </c:pt>
                <c:pt idx="9">
                  <c:v>56.592600000000004</c:v>
                </c:pt>
                <c:pt idx="10">
                  <c:v>55.003700000000002</c:v>
                </c:pt>
                <c:pt idx="11">
                  <c:v>53.323799999999999</c:v>
                </c:pt>
                <c:pt idx="12">
                  <c:v>51.790300000000002</c:v>
                </c:pt>
                <c:pt idx="13">
                  <c:v>50.054299999999998</c:v>
                </c:pt>
                <c:pt idx="14">
                  <c:v>48.352800000000002</c:v>
                </c:pt>
                <c:pt idx="15">
                  <c:v>46.805999999999997</c:v>
                </c:pt>
                <c:pt idx="16">
                  <c:v>45.530500000000004</c:v>
                </c:pt>
                <c:pt idx="17">
                  <c:v>44.2485</c:v>
                </c:pt>
                <c:pt idx="18">
                  <c:v>43.021999999999998</c:v>
                </c:pt>
                <c:pt idx="19">
                  <c:v>41.925800000000002</c:v>
                </c:pt>
                <c:pt idx="20">
                  <c:v>41.000399999999999</c:v>
                </c:pt>
                <c:pt idx="21">
                  <c:v>40.302300000000002</c:v>
                </c:pt>
                <c:pt idx="22">
                  <c:v>39.727800000000002</c:v>
                </c:pt>
                <c:pt idx="23">
                  <c:v>39.182899999999997</c:v>
                </c:pt>
                <c:pt idx="24">
                  <c:v>38.703299999999999</c:v>
                </c:pt>
                <c:pt idx="25">
                  <c:v>38.346499999999999</c:v>
                </c:pt>
                <c:pt idx="26">
                  <c:v>38.096000000000004</c:v>
                </c:pt>
                <c:pt idx="27">
                  <c:v>37.811299999999996</c:v>
                </c:pt>
                <c:pt idx="28">
                  <c:v>37.520600000000002</c:v>
                </c:pt>
                <c:pt idx="29">
                  <c:v>37.302800000000005</c:v>
                </c:pt>
                <c:pt idx="30">
                  <c:v>37.099399999999996</c:v>
                </c:pt>
                <c:pt idx="31">
                  <c:v>36.932299999999998</c:v>
                </c:pt>
                <c:pt idx="32">
                  <c:v>36.813600000000001</c:v>
                </c:pt>
                <c:pt idx="33">
                  <c:v>36.725999999999999</c:v>
                </c:pt>
                <c:pt idx="34">
                  <c:v>36.610799999999998</c:v>
                </c:pt>
                <c:pt idx="35">
                  <c:v>36.485700000000001</c:v>
                </c:pt>
                <c:pt idx="36">
                  <c:v>36.374200000000002</c:v>
                </c:pt>
                <c:pt idx="37">
                  <c:v>36.316199999999995</c:v>
                </c:pt>
                <c:pt idx="38">
                  <c:v>36.313099999999999</c:v>
                </c:pt>
                <c:pt idx="39">
                  <c:v>36.363500000000002</c:v>
                </c:pt>
                <c:pt idx="40">
                  <c:v>36.569400000000002</c:v>
                </c:pt>
                <c:pt idx="41">
                  <c:v>36.928400000000003</c:v>
                </c:pt>
                <c:pt idx="42">
                  <c:v>37.369599999999998</c:v>
                </c:pt>
                <c:pt idx="43">
                  <c:v>37.845600000000005</c:v>
                </c:pt>
                <c:pt idx="44">
                  <c:v>38.351800000000004</c:v>
                </c:pt>
                <c:pt idx="45">
                  <c:v>38.878599999999999</c:v>
                </c:pt>
                <c:pt idx="46">
                  <c:v>39.398800000000001</c:v>
                </c:pt>
                <c:pt idx="47">
                  <c:v>39.916699999999999</c:v>
                </c:pt>
                <c:pt idx="48">
                  <c:v>40.490500000000004</c:v>
                </c:pt>
                <c:pt idx="49">
                  <c:v>41.092099999999995</c:v>
                </c:pt>
                <c:pt idx="50">
                  <c:v>41.623199999999997</c:v>
                </c:pt>
                <c:pt idx="51">
                  <c:v>42.210599999999999</c:v>
                </c:pt>
                <c:pt idx="52">
                  <c:v>42.861900000000006</c:v>
                </c:pt>
                <c:pt idx="53">
                  <c:v>43.622499999999995</c:v>
                </c:pt>
                <c:pt idx="54">
                  <c:v>44.256299999999996</c:v>
                </c:pt>
                <c:pt idx="55">
                  <c:v>44.776700000000005</c:v>
                </c:pt>
                <c:pt idx="56">
                  <c:v>45.208999999999996</c:v>
                </c:pt>
                <c:pt idx="57">
                  <c:v>45.598399999999998</c:v>
                </c:pt>
                <c:pt idx="58">
                  <c:v>45.8932</c:v>
                </c:pt>
                <c:pt idx="59">
                  <c:v>46.111899999999999</c:v>
                </c:pt>
                <c:pt idx="60">
                  <c:v>46.363500000000002</c:v>
                </c:pt>
                <c:pt idx="61">
                  <c:v>46.3401</c:v>
                </c:pt>
                <c:pt idx="62">
                  <c:v>46.380700000000004</c:v>
                </c:pt>
                <c:pt idx="63">
                  <c:v>46.174300000000002</c:v>
                </c:pt>
                <c:pt idx="64">
                  <c:v>45.889299999999999</c:v>
                </c:pt>
                <c:pt idx="65">
                  <c:v>45.408000000000001</c:v>
                </c:pt>
                <c:pt idx="66">
                  <c:v>45.2196</c:v>
                </c:pt>
                <c:pt idx="67">
                  <c:v>44.997399999999999</c:v>
                </c:pt>
                <c:pt idx="68">
                  <c:v>44.814300000000003</c:v>
                </c:pt>
                <c:pt idx="69">
                  <c:v>44.698</c:v>
                </c:pt>
                <c:pt idx="70">
                  <c:v>44.612899999999996</c:v>
                </c:pt>
                <c:pt idx="71">
                  <c:v>44.579800000000006</c:v>
                </c:pt>
                <c:pt idx="72">
                  <c:v>44.556200000000004</c:v>
                </c:pt>
                <c:pt idx="73">
                  <c:v>44.676100000000005</c:v>
                </c:pt>
                <c:pt idx="74">
                  <c:v>44.885999999999996</c:v>
                </c:pt>
                <c:pt idx="75">
                  <c:v>45.285399999999996</c:v>
                </c:pt>
                <c:pt idx="76">
                  <c:v>45.570100000000004</c:v>
                </c:pt>
                <c:pt idx="77">
                  <c:v>45.811300000000003</c:v>
                </c:pt>
                <c:pt idx="78">
                  <c:v>46.040199999999999</c:v>
                </c:pt>
                <c:pt idx="79">
                  <c:v>46.312999999999995</c:v>
                </c:pt>
                <c:pt idx="80">
                  <c:v>46.593000000000004</c:v>
                </c:pt>
                <c:pt idx="81">
                  <c:v>46.840199999999996</c:v>
                </c:pt>
                <c:pt idx="82">
                  <c:v>47.033799999999999</c:v>
                </c:pt>
                <c:pt idx="83">
                  <c:v>47.182299999999998</c:v>
                </c:pt>
                <c:pt idx="84">
                  <c:v>47.3172</c:v>
                </c:pt>
                <c:pt idx="85">
                  <c:v>47.491399999999999</c:v>
                </c:pt>
                <c:pt idx="86">
                  <c:v>47.730899999999998</c:v>
                </c:pt>
                <c:pt idx="87">
                  <c:v>48.020800000000001</c:v>
                </c:pt>
                <c:pt idx="88">
                  <c:v>48.378900000000002</c:v>
                </c:pt>
                <c:pt idx="89">
                  <c:v>48.856200000000001</c:v>
                </c:pt>
                <c:pt idx="90">
                  <c:v>49.391800000000003</c:v>
                </c:pt>
                <c:pt idx="91">
                  <c:v>49.834099999999999</c:v>
                </c:pt>
                <c:pt idx="92">
                  <c:v>50.266900000000007</c:v>
                </c:pt>
                <c:pt idx="93">
                  <c:v>50.714599999999997</c:v>
                </c:pt>
                <c:pt idx="94">
                  <c:v>51.181699999999999</c:v>
                </c:pt>
                <c:pt idx="95">
                  <c:v>51.656800000000004</c:v>
                </c:pt>
                <c:pt idx="96">
                  <c:v>52.107300000000002</c:v>
                </c:pt>
                <c:pt idx="97">
                  <c:v>52.450600000000001</c:v>
                </c:pt>
                <c:pt idx="98">
                  <c:v>52.639100000000006</c:v>
                </c:pt>
                <c:pt idx="99">
                  <c:v>52.748799999999996</c:v>
                </c:pt>
                <c:pt idx="100">
                  <c:v>52.764500000000005</c:v>
                </c:pt>
                <c:pt idx="101">
                  <c:v>52.677799999999998</c:v>
                </c:pt>
                <c:pt idx="102">
                  <c:v>52.5595</c:v>
                </c:pt>
                <c:pt idx="103">
                  <c:v>52.351800000000004</c:v>
                </c:pt>
                <c:pt idx="104">
                  <c:v>52.027699999999996</c:v>
                </c:pt>
                <c:pt idx="105">
                  <c:v>51.637900000000002</c:v>
                </c:pt>
                <c:pt idx="106">
                  <c:v>51.1768</c:v>
                </c:pt>
                <c:pt idx="107">
                  <c:v>50.736899999999999</c:v>
                </c:pt>
                <c:pt idx="108">
                  <c:v>50.269699999999993</c:v>
                </c:pt>
                <c:pt idx="109">
                  <c:v>49.739800000000002</c:v>
                </c:pt>
                <c:pt idx="110">
                  <c:v>49.233399999999996</c:v>
                </c:pt>
                <c:pt idx="111">
                  <c:v>48.749199999999995</c:v>
                </c:pt>
                <c:pt idx="112">
                  <c:v>48.364800000000002</c:v>
                </c:pt>
                <c:pt idx="113">
                  <c:v>48.056100000000001</c:v>
                </c:pt>
                <c:pt idx="114">
                  <c:v>47.714800000000004</c:v>
                </c:pt>
                <c:pt idx="115">
                  <c:v>47.3673</c:v>
                </c:pt>
                <c:pt idx="116">
                  <c:v>47.0625</c:v>
                </c:pt>
                <c:pt idx="117">
                  <c:v>46.787800000000004</c:v>
                </c:pt>
                <c:pt idx="118">
                  <c:v>46.506799999999998</c:v>
                </c:pt>
                <c:pt idx="119">
                  <c:v>46.17</c:v>
                </c:pt>
                <c:pt idx="120">
                  <c:v>45.817600000000006</c:v>
                </c:pt>
                <c:pt idx="121">
                  <c:v>45.393799999999999</c:v>
                </c:pt>
                <c:pt idx="122">
                  <c:v>44.930199999999999</c:v>
                </c:pt>
                <c:pt idx="123">
                  <c:v>44.5809</c:v>
                </c:pt>
                <c:pt idx="124">
                  <c:v>44.425699999999999</c:v>
                </c:pt>
                <c:pt idx="125">
                  <c:v>44.2547</c:v>
                </c:pt>
                <c:pt idx="126">
                  <c:v>44.0762</c:v>
                </c:pt>
                <c:pt idx="127">
                  <c:v>43.872</c:v>
                </c:pt>
                <c:pt idx="128">
                  <c:v>43.623800000000003</c:v>
                </c:pt>
                <c:pt idx="129">
                  <c:v>43.388599999999997</c:v>
                </c:pt>
                <c:pt idx="130">
                  <c:v>43.150300000000001</c:v>
                </c:pt>
                <c:pt idx="131">
                  <c:v>42.964599999999997</c:v>
                </c:pt>
                <c:pt idx="132">
                  <c:v>42.767699999999998</c:v>
                </c:pt>
                <c:pt idx="133">
                  <c:v>42.582099999999997</c:v>
                </c:pt>
                <c:pt idx="134">
                  <c:v>42.446400000000004</c:v>
                </c:pt>
                <c:pt idx="135">
                  <c:v>42.289200000000001</c:v>
                </c:pt>
                <c:pt idx="136">
                  <c:v>42.112000000000002</c:v>
                </c:pt>
                <c:pt idx="137">
                  <c:v>41.856700000000004</c:v>
                </c:pt>
                <c:pt idx="138">
                  <c:v>41.580800000000004</c:v>
                </c:pt>
                <c:pt idx="139">
                  <c:v>41.453899999999997</c:v>
                </c:pt>
                <c:pt idx="140">
                  <c:v>41.402000000000001</c:v>
                </c:pt>
                <c:pt idx="141">
                  <c:v>41.305599999999998</c:v>
                </c:pt>
                <c:pt idx="142">
                  <c:v>41.070499999999996</c:v>
                </c:pt>
                <c:pt idx="143">
                  <c:v>40.784999999999997</c:v>
                </c:pt>
                <c:pt idx="144">
                  <c:v>40.613100000000003</c:v>
                </c:pt>
                <c:pt idx="145">
                  <c:v>40.485100000000003</c:v>
                </c:pt>
                <c:pt idx="146">
                  <c:v>40.7515</c:v>
                </c:pt>
                <c:pt idx="147">
                  <c:v>41.589700000000001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0.40407799999999999</c:v>
                </c:pt>
                <c:pt idx="2">
                  <c:v>0.80802200000000002</c:v>
                </c:pt>
                <c:pt idx="3">
                  <c:v>1.21567</c:v>
                </c:pt>
                <c:pt idx="4">
                  <c:v>1.6254599999999999</c:v>
                </c:pt>
                <c:pt idx="5">
                  <c:v>2.03085</c:v>
                </c:pt>
                <c:pt idx="6">
                  <c:v>2.4357199999999999</c:v>
                </c:pt>
                <c:pt idx="7">
                  <c:v>2.8406699999999998</c:v>
                </c:pt>
                <c:pt idx="8">
                  <c:v>3.2472799999999999</c:v>
                </c:pt>
                <c:pt idx="9">
                  <c:v>3.6533000000000002</c:v>
                </c:pt>
                <c:pt idx="10">
                  <c:v>4.0647399999999996</c:v>
                </c:pt>
                <c:pt idx="11">
                  <c:v>4.46713</c:v>
                </c:pt>
                <c:pt idx="12">
                  <c:v>4.8724400000000001</c:v>
                </c:pt>
                <c:pt idx="13">
                  <c:v>5.2766200000000003</c:v>
                </c:pt>
                <c:pt idx="14">
                  <c:v>5.6858500000000003</c:v>
                </c:pt>
                <c:pt idx="15">
                  <c:v>6.0964799999999997</c:v>
                </c:pt>
                <c:pt idx="16">
                  <c:v>6.4991700000000003</c:v>
                </c:pt>
                <c:pt idx="17">
                  <c:v>6.9024700000000001</c:v>
                </c:pt>
                <c:pt idx="18">
                  <c:v>7.3084600000000002</c:v>
                </c:pt>
                <c:pt idx="19">
                  <c:v>7.7183700000000002</c:v>
                </c:pt>
                <c:pt idx="20">
                  <c:v>8.1241400000000006</c:v>
                </c:pt>
                <c:pt idx="21">
                  <c:v>8.5271699999999999</c:v>
                </c:pt>
                <c:pt idx="22">
                  <c:v>8.9347499999999993</c:v>
                </c:pt>
                <c:pt idx="23">
                  <c:v>9.3397299999999994</c:v>
                </c:pt>
                <c:pt idx="24">
                  <c:v>9.7497000000000007</c:v>
                </c:pt>
                <c:pt idx="25">
                  <c:v>10.157400000000001</c:v>
                </c:pt>
                <c:pt idx="26">
                  <c:v>10.561999999999999</c:v>
                </c:pt>
                <c:pt idx="27">
                  <c:v>10.9664</c:v>
                </c:pt>
                <c:pt idx="28">
                  <c:v>11.3721</c:v>
                </c:pt>
                <c:pt idx="29">
                  <c:v>11.782500000000001</c:v>
                </c:pt>
                <c:pt idx="30">
                  <c:v>12.1867</c:v>
                </c:pt>
                <c:pt idx="31">
                  <c:v>12.593299999999999</c:v>
                </c:pt>
                <c:pt idx="32">
                  <c:v>12.997299999999999</c:v>
                </c:pt>
                <c:pt idx="33">
                  <c:v>13.402699999999999</c:v>
                </c:pt>
                <c:pt idx="34">
                  <c:v>13.809799999999999</c:v>
                </c:pt>
                <c:pt idx="35">
                  <c:v>14.2141</c:v>
                </c:pt>
                <c:pt idx="36">
                  <c:v>14.6205</c:v>
                </c:pt>
                <c:pt idx="37">
                  <c:v>15.0311</c:v>
                </c:pt>
                <c:pt idx="38">
                  <c:v>15.4373</c:v>
                </c:pt>
                <c:pt idx="39">
                  <c:v>15.846500000000001</c:v>
                </c:pt>
                <c:pt idx="40">
                  <c:v>16.2453</c:v>
                </c:pt>
                <c:pt idx="41">
                  <c:v>16.655200000000001</c:v>
                </c:pt>
                <c:pt idx="42">
                  <c:v>17.065300000000001</c:v>
                </c:pt>
                <c:pt idx="43">
                  <c:v>17.468499999999999</c:v>
                </c:pt>
                <c:pt idx="44">
                  <c:v>17.872499999999999</c:v>
                </c:pt>
                <c:pt idx="45">
                  <c:v>18.277799999999999</c:v>
                </c:pt>
                <c:pt idx="46">
                  <c:v>18.683800000000002</c:v>
                </c:pt>
                <c:pt idx="47">
                  <c:v>19.093800000000002</c:v>
                </c:pt>
                <c:pt idx="48">
                  <c:v>19.5</c:v>
                </c:pt>
                <c:pt idx="49">
                  <c:v>19.906199999999998</c:v>
                </c:pt>
                <c:pt idx="50">
                  <c:v>20.3093</c:v>
                </c:pt>
                <c:pt idx="51">
                  <c:v>20.7136</c:v>
                </c:pt>
                <c:pt idx="52">
                  <c:v>21.1252</c:v>
                </c:pt>
                <c:pt idx="53">
                  <c:v>21.530200000000001</c:v>
                </c:pt>
                <c:pt idx="54">
                  <c:v>21.938300000000002</c:v>
                </c:pt>
                <c:pt idx="55">
                  <c:v>22.343</c:v>
                </c:pt>
                <c:pt idx="56">
                  <c:v>22.748100000000001</c:v>
                </c:pt>
                <c:pt idx="57">
                  <c:v>23.154900000000001</c:v>
                </c:pt>
                <c:pt idx="58">
                  <c:v>23.5593</c:v>
                </c:pt>
                <c:pt idx="59">
                  <c:v>23.967600000000001</c:v>
                </c:pt>
                <c:pt idx="60">
                  <c:v>24.372499999999999</c:v>
                </c:pt>
                <c:pt idx="61">
                  <c:v>24.782900000000001</c:v>
                </c:pt>
                <c:pt idx="62">
                  <c:v>25.184100000000001</c:v>
                </c:pt>
                <c:pt idx="63">
                  <c:v>25.593699999999998</c:v>
                </c:pt>
                <c:pt idx="64">
                  <c:v>25.998100000000001</c:v>
                </c:pt>
                <c:pt idx="65">
                  <c:v>26.405899999999999</c:v>
                </c:pt>
                <c:pt idx="66">
                  <c:v>26.808599999999998</c:v>
                </c:pt>
                <c:pt idx="67">
                  <c:v>27.2182</c:v>
                </c:pt>
                <c:pt idx="68">
                  <c:v>27.625299999999999</c:v>
                </c:pt>
                <c:pt idx="69">
                  <c:v>28.0334</c:v>
                </c:pt>
                <c:pt idx="70">
                  <c:v>28.439</c:v>
                </c:pt>
                <c:pt idx="71">
                  <c:v>28.841200000000001</c:v>
                </c:pt>
                <c:pt idx="72">
                  <c:v>29.245899999999999</c:v>
                </c:pt>
                <c:pt idx="73">
                  <c:v>29.653700000000001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69.248800000000003</c:v>
                </c:pt>
                <c:pt idx="1">
                  <c:v>68.552500000000009</c:v>
                </c:pt>
                <c:pt idx="2">
                  <c:v>67.555099999999996</c:v>
                </c:pt>
                <c:pt idx="3">
                  <c:v>66.272599999999997</c:v>
                </c:pt>
                <c:pt idx="4">
                  <c:v>64.854100000000003</c:v>
                </c:pt>
                <c:pt idx="5">
                  <c:v>63.165300000000002</c:v>
                </c:pt>
                <c:pt idx="6">
                  <c:v>61.429400000000001</c:v>
                </c:pt>
                <c:pt idx="7">
                  <c:v>59.870199999999997</c:v>
                </c:pt>
                <c:pt idx="8">
                  <c:v>58.291899999999998</c:v>
                </c:pt>
                <c:pt idx="9">
                  <c:v>56.592600000000004</c:v>
                </c:pt>
                <c:pt idx="10">
                  <c:v>55.003700000000002</c:v>
                </c:pt>
                <c:pt idx="11">
                  <c:v>53.323799999999999</c:v>
                </c:pt>
                <c:pt idx="12">
                  <c:v>51.790300000000002</c:v>
                </c:pt>
                <c:pt idx="13">
                  <c:v>50.054299999999998</c:v>
                </c:pt>
                <c:pt idx="14">
                  <c:v>48.352800000000002</c:v>
                </c:pt>
                <c:pt idx="15">
                  <c:v>46.805999999999997</c:v>
                </c:pt>
                <c:pt idx="16">
                  <c:v>45.530500000000004</c:v>
                </c:pt>
                <c:pt idx="17">
                  <c:v>44.2485</c:v>
                </c:pt>
                <c:pt idx="18">
                  <c:v>43.021999999999998</c:v>
                </c:pt>
                <c:pt idx="19">
                  <c:v>41.925800000000002</c:v>
                </c:pt>
                <c:pt idx="20">
                  <c:v>41.000399999999999</c:v>
                </c:pt>
                <c:pt idx="21">
                  <c:v>40.302300000000002</c:v>
                </c:pt>
                <c:pt idx="22">
                  <c:v>39.727800000000002</c:v>
                </c:pt>
                <c:pt idx="23">
                  <c:v>39.182899999999997</c:v>
                </c:pt>
                <c:pt idx="24">
                  <c:v>38.703299999999999</c:v>
                </c:pt>
                <c:pt idx="25">
                  <c:v>38.346499999999999</c:v>
                </c:pt>
                <c:pt idx="26">
                  <c:v>38.096000000000004</c:v>
                </c:pt>
                <c:pt idx="27">
                  <c:v>37.811299999999996</c:v>
                </c:pt>
                <c:pt idx="28">
                  <c:v>37.520600000000002</c:v>
                </c:pt>
                <c:pt idx="29">
                  <c:v>37.302800000000005</c:v>
                </c:pt>
                <c:pt idx="30">
                  <c:v>37.099399999999996</c:v>
                </c:pt>
                <c:pt idx="31">
                  <c:v>36.932299999999998</c:v>
                </c:pt>
                <c:pt idx="32">
                  <c:v>36.813600000000001</c:v>
                </c:pt>
                <c:pt idx="33">
                  <c:v>36.725999999999999</c:v>
                </c:pt>
                <c:pt idx="34">
                  <c:v>36.610799999999998</c:v>
                </c:pt>
                <c:pt idx="35">
                  <c:v>36.485700000000001</c:v>
                </c:pt>
                <c:pt idx="36">
                  <c:v>36.374200000000002</c:v>
                </c:pt>
                <c:pt idx="37">
                  <c:v>36.316199999999995</c:v>
                </c:pt>
                <c:pt idx="38">
                  <c:v>36.313099999999999</c:v>
                </c:pt>
                <c:pt idx="39">
                  <c:v>36.363500000000002</c:v>
                </c:pt>
                <c:pt idx="40">
                  <c:v>36.569400000000002</c:v>
                </c:pt>
                <c:pt idx="41">
                  <c:v>36.928400000000003</c:v>
                </c:pt>
                <c:pt idx="42">
                  <c:v>37.369599999999998</c:v>
                </c:pt>
                <c:pt idx="43">
                  <c:v>37.845600000000005</c:v>
                </c:pt>
                <c:pt idx="44">
                  <c:v>38.351800000000004</c:v>
                </c:pt>
                <c:pt idx="45">
                  <c:v>38.878599999999999</c:v>
                </c:pt>
                <c:pt idx="46">
                  <c:v>39.398800000000001</c:v>
                </c:pt>
                <c:pt idx="47">
                  <c:v>39.916699999999999</c:v>
                </c:pt>
                <c:pt idx="48">
                  <c:v>40.490500000000004</c:v>
                </c:pt>
                <c:pt idx="49">
                  <c:v>41.092099999999995</c:v>
                </c:pt>
                <c:pt idx="50">
                  <c:v>41.623199999999997</c:v>
                </c:pt>
                <c:pt idx="51">
                  <c:v>42.210599999999999</c:v>
                </c:pt>
                <c:pt idx="52">
                  <c:v>42.861900000000006</c:v>
                </c:pt>
                <c:pt idx="53">
                  <c:v>43.622499999999995</c:v>
                </c:pt>
                <c:pt idx="54">
                  <c:v>44.256299999999996</c:v>
                </c:pt>
                <c:pt idx="55">
                  <c:v>44.776700000000005</c:v>
                </c:pt>
                <c:pt idx="56">
                  <c:v>45.208999999999996</c:v>
                </c:pt>
                <c:pt idx="57">
                  <c:v>45.598399999999998</c:v>
                </c:pt>
                <c:pt idx="58">
                  <c:v>45.8932</c:v>
                </c:pt>
                <c:pt idx="59">
                  <c:v>46.111899999999999</c:v>
                </c:pt>
                <c:pt idx="60">
                  <c:v>46.363500000000002</c:v>
                </c:pt>
                <c:pt idx="61">
                  <c:v>46.3401</c:v>
                </c:pt>
                <c:pt idx="62">
                  <c:v>46.380700000000004</c:v>
                </c:pt>
                <c:pt idx="63">
                  <c:v>46.174300000000002</c:v>
                </c:pt>
                <c:pt idx="64">
                  <c:v>45.889299999999999</c:v>
                </c:pt>
                <c:pt idx="65">
                  <c:v>45.408000000000001</c:v>
                </c:pt>
                <c:pt idx="66">
                  <c:v>45.2196</c:v>
                </c:pt>
                <c:pt idx="67">
                  <c:v>44.997399999999999</c:v>
                </c:pt>
                <c:pt idx="68">
                  <c:v>44.814300000000003</c:v>
                </c:pt>
                <c:pt idx="69">
                  <c:v>44.698</c:v>
                </c:pt>
                <c:pt idx="70">
                  <c:v>44.612899999999996</c:v>
                </c:pt>
                <c:pt idx="71">
                  <c:v>44.579800000000006</c:v>
                </c:pt>
                <c:pt idx="72">
                  <c:v>44.556200000000004</c:v>
                </c:pt>
                <c:pt idx="73">
                  <c:v>44.676100000000005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29.653700000000001</c:v>
                </c:pt>
                <c:pt idx="1">
                  <c:v>30.062899999999999</c:v>
                </c:pt>
                <c:pt idx="2">
                  <c:v>30.528700000000001</c:v>
                </c:pt>
                <c:pt idx="3">
                  <c:v>30.933499999999999</c:v>
                </c:pt>
                <c:pt idx="4">
                  <c:v>31.328800000000001</c:v>
                </c:pt>
                <c:pt idx="5">
                  <c:v>31.732500000000002</c:v>
                </c:pt>
                <c:pt idx="6">
                  <c:v>32.139400000000002</c:v>
                </c:pt>
                <c:pt idx="7">
                  <c:v>32.542999999999999</c:v>
                </c:pt>
                <c:pt idx="8">
                  <c:v>32.949199999999998</c:v>
                </c:pt>
                <c:pt idx="9">
                  <c:v>33.354599999999998</c:v>
                </c:pt>
                <c:pt idx="10">
                  <c:v>33.763300000000001</c:v>
                </c:pt>
                <c:pt idx="11">
                  <c:v>34.174399999999999</c:v>
                </c:pt>
                <c:pt idx="12">
                  <c:v>34.578299999999999</c:v>
                </c:pt>
                <c:pt idx="13">
                  <c:v>34.981400000000001</c:v>
                </c:pt>
                <c:pt idx="14">
                  <c:v>35.387599999999999</c:v>
                </c:pt>
                <c:pt idx="15">
                  <c:v>35.792999999999999</c:v>
                </c:pt>
                <c:pt idx="16">
                  <c:v>36.204300000000003</c:v>
                </c:pt>
                <c:pt idx="17">
                  <c:v>36.608699999999999</c:v>
                </c:pt>
                <c:pt idx="18">
                  <c:v>37.013399999999997</c:v>
                </c:pt>
                <c:pt idx="19">
                  <c:v>37.418599999999998</c:v>
                </c:pt>
                <c:pt idx="20">
                  <c:v>37.829500000000003</c:v>
                </c:pt>
                <c:pt idx="21">
                  <c:v>38.234299999999998</c:v>
                </c:pt>
                <c:pt idx="22">
                  <c:v>38.639899999999997</c:v>
                </c:pt>
                <c:pt idx="23">
                  <c:v>39.043700000000001</c:v>
                </c:pt>
                <c:pt idx="24">
                  <c:v>39.4499</c:v>
                </c:pt>
                <c:pt idx="25">
                  <c:v>39.858600000000003</c:v>
                </c:pt>
                <c:pt idx="26">
                  <c:v>40.266100000000002</c:v>
                </c:pt>
                <c:pt idx="27">
                  <c:v>40.6723</c:v>
                </c:pt>
                <c:pt idx="28">
                  <c:v>41.073599999999999</c:v>
                </c:pt>
                <c:pt idx="29">
                  <c:v>41.481299999999997</c:v>
                </c:pt>
                <c:pt idx="30">
                  <c:v>41.891599999999997</c:v>
                </c:pt>
                <c:pt idx="31">
                  <c:v>42.2943</c:v>
                </c:pt>
                <c:pt idx="32">
                  <c:v>42.701599999999999</c:v>
                </c:pt>
                <c:pt idx="33">
                  <c:v>43.108499999999999</c:v>
                </c:pt>
                <c:pt idx="34">
                  <c:v>43.511699999999998</c:v>
                </c:pt>
                <c:pt idx="35">
                  <c:v>43.919800000000002</c:v>
                </c:pt>
                <c:pt idx="36">
                  <c:v>44.3277</c:v>
                </c:pt>
                <c:pt idx="37">
                  <c:v>44.734499999999997</c:v>
                </c:pt>
                <c:pt idx="38">
                  <c:v>45.141399999999997</c:v>
                </c:pt>
                <c:pt idx="39">
                  <c:v>45.546700000000001</c:v>
                </c:pt>
                <c:pt idx="40">
                  <c:v>45.950800000000001</c:v>
                </c:pt>
                <c:pt idx="41">
                  <c:v>46.356299999999997</c:v>
                </c:pt>
                <c:pt idx="42">
                  <c:v>46.764600000000002</c:v>
                </c:pt>
                <c:pt idx="43">
                  <c:v>47.169800000000002</c:v>
                </c:pt>
                <c:pt idx="44">
                  <c:v>47.575000000000003</c:v>
                </c:pt>
                <c:pt idx="45">
                  <c:v>47.980800000000002</c:v>
                </c:pt>
                <c:pt idx="46">
                  <c:v>48.387999999999998</c:v>
                </c:pt>
                <c:pt idx="47">
                  <c:v>48.795400000000001</c:v>
                </c:pt>
                <c:pt idx="48">
                  <c:v>49.203499999999998</c:v>
                </c:pt>
                <c:pt idx="49">
                  <c:v>49.607900000000001</c:v>
                </c:pt>
                <c:pt idx="50">
                  <c:v>50.012500000000003</c:v>
                </c:pt>
                <c:pt idx="51">
                  <c:v>50.421900000000001</c:v>
                </c:pt>
                <c:pt idx="52">
                  <c:v>50.828600000000002</c:v>
                </c:pt>
                <c:pt idx="53">
                  <c:v>51.230600000000003</c:v>
                </c:pt>
                <c:pt idx="54">
                  <c:v>51.6477</c:v>
                </c:pt>
                <c:pt idx="55">
                  <c:v>52.044400000000003</c:v>
                </c:pt>
                <c:pt idx="56">
                  <c:v>52.454700000000003</c:v>
                </c:pt>
                <c:pt idx="57">
                  <c:v>52.857399999999998</c:v>
                </c:pt>
                <c:pt idx="58">
                  <c:v>53.262700000000002</c:v>
                </c:pt>
                <c:pt idx="59">
                  <c:v>53.668399999999998</c:v>
                </c:pt>
                <c:pt idx="60">
                  <c:v>54.077800000000003</c:v>
                </c:pt>
                <c:pt idx="61">
                  <c:v>54.482799999999997</c:v>
                </c:pt>
                <c:pt idx="62">
                  <c:v>54.8872</c:v>
                </c:pt>
                <c:pt idx="63">
                  <c:v>55.292499999999997</c:v>
                </c:pt>
                <c:pt idx="64">
                  <c:v>55.700299999999999</c:v>
                </c:pt>
                <c:pt idx="65">
                  <c:v>56.108699999999999</c:v>
                </c:pt>
                <c:pt idx="66">
                  <c:v>56.5139</c:v>
                </c:pt>
                <c:pt idx="67">
                  <c:v>56.917499999999997</c:v>
                </c:pt>
                <c:pt idx="68">
                  <c:v>57.3245</c:v>
                </c:pt>
                <c:pt idx="69">
                  <c:v>57.734000000000002</c:v>
                </c:pt>
                <c:pt idx="70">
                  <c:v>58.142899999999997</c:v>
                </c:pt>
                <c:pt idx="71">
                  <c:v>58.546199999999999</c:v>
                </c:pt>
                <c:pt idx="72">
                  <c:v>58.950800000000001</c:v>
                </c:pt>
                <c:pt idx="73">
                  <c:v>59.355499999999999</c:v>
                </c:pt>
                <c:pt idx="74">
                  <c:v>59.765900000000002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44.676100000000005</c:v>
                </c:pt>
                <c:pt idx="1">
                  <c:v>44.885999999999996</c:v>
                </c:pt>
                <c:pt idx="2">
                  <c:v>45.285399999999996</c:v>
                </c:pt>
                <c:pt idx="3">
                  <c:v>45.570100000000004</c:v>
                </c:pt>
                <c:pt idx="4">
                  <c:v>45.811300000000003</c:v>
                </c:pt>
                <c:pt idx="5">
                  <c:v>46.040199999999999</c:v>
                </c:pt>
                <c:pt idx="6">
                  <c:v>46.312999999999995</c:v>
                </c:pt>
                <c:pt idx="7">
                  <c:v>46.593000000000004</c:v>
                </c:pt>
                <c:pt idx="8">
                  <c:v>46.840199999999996</c:v>
                </c:pt>
                <c:pt idx="9">
                  <c:v>47.033799999999999</c:v>
                </c:pt>
                <c:pt idx="10">
                  <c:v>47.182299999999998</c:v>
                </c:pt>
                <c:pt idx="11">
                  <c:v>47.3172</c:v>
                </c:pt>
                <c:pt idx="12">
                  <c:v>47.491399999999999</c:v>
                </c:pt>
                <c:pt idx="13">
                  <c:v>47.730899999999998</c:v>
                </c:pt>
                <c:pt idx="14">
                  <c:v>48.020800000000001</c:v>
                </c:pt>
                <c:pt idx="15">
                  <c:v>48.378900000000002</c:v>
                </c:pt>
                <c:pt idx="16">
                  <c:v>48.856200000000001</c:v>
                </c:pt>
                <c:pt idx="17">
                  <c:v>49.391800000000003</c:v>
                </c:pt>
                <c:pt idx="18">
                  <c:v>49.834099999999999</c:v>
                </c:pt>
                <c:pt idx="19">
                  <c:v>50.266900000000007</c:v>
                </c:pt>
                <c:pt idx="20">
                  <c:v>50.714599999999997</c:v>
                </c:pt>
                <c:pt idx="21">
                  <c:v>51.181699999999999</c:v>
                </c:pt>
                <c:pt idx="22">
                  <c:v>51.656800000000004</c:v>
                </c:pt>
                <c:pt idx="23">
                  <c:v>52.107300000000002</c:v>
                </c:pt>
                <c:pt idx="24">
                  <c:v>52.450600000000001</c:v>
                </c:pt>
                <c:pt idx="25">
                  <c:v>52.639100000000006</c:v>
                </c:pt>
                <c:pt idx="26">
                  <c:v>52.748799999999996</c:v>
                </c:pt>
                <c:pt idx="27">
                  <c:v>52.764500000000005</c:v>
                </c:pt>
                <c:pt idx="28">
                  <c:v>52.677799999999998</c:v>
                </c:pt>
                <c:pt idx="29">
                  <c:v>52.5595</c:v>
                </c:pt>
                <c:pt idx="30">
                  <c:v>52.351800000000004</c:v>
                </c:pt>
                <c:pt idx="31">
                  <c:v>52.027699999999996</c:v>
                </c:pt>
                <c:pt idx="32">
                  <c:v>51.637900000000002</c:v>
                </c:pt>
                <c:pt idx="33">
                  <c:v>51.1768</c:v>
                </c:pt>
                <c:pt idx="34">
                  <c:v>50.736899999999999</c:v>
                </c:pt>
                <c:pt idx="35">
                  <c:v>50.269699999999993</c:v>
                </c:pt>
                <c:pt idx="36">
                  <c:v>49.739800000000002</c:v>
                </c:pt>
                <c:pt idx="37">
                  <c:v>49.233399999999996</c:v>
                </c:pt>
                <c:pt idx="38">
                  <c:v>48.749199999999995</c:v>
                </c:pt>
                <c:pt idx="39">
                  <c:v>48.364800000000002</c:v>
                </c:pt>
                <c:pt idx="40">
                  <c:v>48.056100000000001</c:v>
                </c:pt>
                <c:pt idx="41">
                  <c:v>47.714800000000004</c:v>
                </c:pt>
                <c:pt idx="42">
                  <c:v>47.3673</c:v>
                </c:pt>
                <c:pt idx="43">
                  <c:v>47.0625</c:v>
                </c:pt>
                <c:pt idx="44">
                  <c:v>46.787800000000004</c:v>
                </c:pt>
                <c:pt idx="45">
                  <c:v>46.506799999999998</c:v>
                </c:pt>
                <c:pt idx="46">
                  <c:v>46.17</c:v>
                </c:pt>
                <c:pt idx="47">
                  <c:v>45.817600000000006</c:v>
                </c:pt>
                <c:pt idx="48">
                  <c:v>45.393799999999999</c:v>
                </c:pt>
                <c:pt idx="49">
                  <c:v>44.930199999999999</c:v>
                </c:pt>
                <c:pt idx="50">
                  <c:v>44.5809</c:v>
                </c:pt>
                <c:pt idx="51">
                  <c:v>44.425699999999999</c:v>
                </c:pt>
                <c:pt idx="52">
                  <c:v>44.2547</c:v>
                </c:pt>
                <c:pt idx="53">
                  <c:v>44.0762</c:v>
                </c:pt>
                <c:pt idx="54">
                  <c:v>43.872</c:v>
                </c:pt>
                <c:pt idx="55">
                  <c:v>43.623800000000003</c:v>
                </c:pt>
                <c:pt idx="56">
                  <c:v>43.388599999999997</c:v>
                </c:pt>
                <c:pt idx="57">
                  <c:v>43.150300000000001</c:v>
                </c:pt>
                <c:pt idx="58">
                  <c:v>42.964599999999997</c:v>
                </c:pt>
                <c:pt idx="59">
                  <c:v>42.767699999999998</c:v>
                </c:pt>
                <c:pt idx="60">
                  <c:v>42.582099999999997</c:v>
                </c:pt>
                <c:pt idx="61">
                  <c:v>42.446400000000004</c:v>
                </c:pt>
                <c:pt idx="62">
                  <c:v>42.289200000000001</c:v>
                </c:pt>
                <c:pt idx="63">
                  <c:v>42.112000000000002</c:v>
                </c:pt>
                <c:pt idx="64">
                  <c:v>41.856700000000004</c:v>
                </c:pt>
                <c:pt idx="65">
                  <c:v>41.580800000000004</c:v>
                </c:pt>
                <c:pt idx="66">
                  <c:v>41.453899999999997</c:v>
                </c:pt>
                <c:pt idx="67">
                  <c:v>41.402000000000001</c:v>
                </c:pt>
                <c:pt idx="68">
                  <c:v>41.305599999999998</c:v>
                </c:pt>
                <c:pt idx="69">
                  <c:v>41.070499999999996</c:v>
                </c:pt>
                <c:pt idx="70">
                  <c:v>40.784999999999997</c:v>
                </c:pt>
                <c:pt idx="71">
                  <c:v>40.613100000000003</c:v>
                </c:pt>
                <c:pt idx="72">
                  <c:v>40.485100000000003</c:v>
                </c:pt>
                <c:pt idx="73">
                  <c:v>40.7515</c:v>
                </c:pt>
                <c:pt idx="74">
                  <c:v>41.589700000000001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14.941475000000001</c:v>
                </c:pt>
                <c:pt idx="1">
                  <c:v>44.824425000000005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45.04911216216216</c:v>
                </c:pt>
                <c:pt idx="1">
                  <c:v>46.619827027027036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32.297899999999998</c:v>
                </c:pt>
                <c:pt idx="1">
                  <c:v>24.636700000000001</c:v>
                </c:pt>
                <c:pt idx="2">
                  <c:v>34.5291</c:v>
                </c:pt>
                <c:pt idx="3">
                  <c:v>28.278099999999998</c:v>
                </c:pt>
                <c:pt idx="4">
                  <c:v>66.964399999999998</c:v>
                </c:pt>
                <c:pt idx="5">
                  <c:v>80.876000000000005</c:v>
                </c:pt>
                <c:pt idx="6">
                  <c:v>14.4794</c:v>
                </c:pt>
                <c:pt idx="7">
                  <c:v>72.727000000000004</c:v>
                </c:pt>
                <c:pt idx="8">
                  <c:v>17.535</c:v>
                </c:pt>
                <c:pt idx="9">
                  <c:v>38.316400000000002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34.031300000000002</c:v>
                </c:pt>
                <c:pt idx="1">
                  <c:v>25.498999999999999</c:v>
                </c:pt>
                <c:pt idx="2">
                  <c:v>30.969899999999999</c:v>
                </c:pt>
                <c:pt idx="3">
                  <c:v>29.492999999999999</c:v>
                </c:pt>
                <c:pt idx="4">
                  <c:v>60.2744</c:v>
                </c:pt>
                <c:pt idx="5">
                  <c:v>76.926500000000004</c:v>
                </c:pt>
                <c:pt idx="6">
                  <c:v>15.932</c:v>
                </c:pt>
                <c:pt idx="7">
                  <c:v>68.742099999999994</c:v>
                </c:pt>
                <c:pt idx="8">
                  <c:v>17.631900000000002</c:v>
                </c:pt>
                <c:pt idx="9">
                  <c:v>22.1083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0.50386095006253062</c:v>
                </c:pt>
                <c:pt idx="1">
                  <c:v>0.25668597534702675</c:v>
                </c:pt>
                <c:pt idx="2">
                  <c:v>0.2394530745904426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7414</c:v>
                </c:pt>
                <c:pt idx="7">
                  <c:v>0</c:v>
                </c:pt>
                <c:pt idx="8">
                  <c:v>11112</c:v>
                </c:pt>
                <c:pt idx="9">
                  <c:v>0</c:v>
                </c:pt>
                <c:pt idx="10">
                  <c:v>0</c:v>
                </c:pt>
                <c:pt idx="11">
                  <c:v>14976</c:v>
                </c:pt>
                <c:pt idx="12">
                  <c:v>0</c:v>
                </c:pt>
                <c:pt idx="13">
                  <c:v>24129</c:v>
                </c:pt>
                <c:pt idx="14">
                  <c:v>0</c:v>
                </c:pt>
                <c:pt idx="15">
                  <c:v>0</c:v>
                </c:pt>
                <c:pt idx="16">
                  <c:v>31791</c:v>
                </c:pt>
                <c:pt idx="17">
                  <c:v>0</c:v>
                </c:pt>
                <c:pt idx="18">
                  <c:v>0</c:v>
                </c:pt>
                <c:pt idx="19">
                  <c:v>29574</c:v>
                </c:pt>
                <c:pt idx="20">
                  <c:v>0</c:v>
                </c:pt>
                <c:pt idx="21">
                  <c:v>40575</c:v>
                </c:pt>
                <c:pt idx="22">
                  <c:v>0</c:v>
                </c:pt>
                <c:pt idx="23">
                  <c:v>0</c:v>
                </c:pt>
                <c:pt idx="24">
                  <c:v>42537</c:v>
                </c:pt>
                <c:pt idx="25">
                  <c:v>0</c:v>
                </c:pt>
                <c:pt idx="26">
                  <c:v>49862</c:v>
                </c:pt>
                <c:pt idx="27">
                  <c:v>0</c:v>
                </c:pt>
                <c:pt idx="28">
                  <c:v>0</c:v>
                </c:pt>
                <c:pt idx="29">
                  <c:v>58623</c:v>
                </c:pt>
                <c:pt idx="30">
                  <c:v>0</c:v>
                </c:pt>
                <c:pt idx="31">
                  <c:v>62686</c:v>
                </c:pt>
                <c:pt idx="32">
                  <c:v>0</c:v>
                </c:pt>
                <c:pt idx="33">
                  <c:v>0</c:v>
                </c:pt>
                <c:pt idx="34">
                  <c:v>58457</c:v>
                </c:pt>
                <c:pt idx="35">
                  <c:v>0</c:v>
                </c:pt>
                <c:pt idx="36">
                  <c:v>0</c:v>
                </c:pt>
                <c:pt idx="37">
                  <c:v>48251</c:v>
                </c:pt>
                <c:pt idx="38">
                  <c:v>0</c:v>
                </c:pt>
                <c:pt idx="39">
                  <c:v>52782</c:v>
                </c:pt>
                <c:pt idx="40">
                  <c:v>0</c:v>
                </c:pt>
                <c:pt idx="41">
                  <c:v>0</c:v>
                </c:pt>
                <c:pt idx="42">
                  <c:v>48447</c:v>
                </c:pt>
                <c:pt idx="43">
                  <c:v>0</c:v>
                </c:pt>
                <c:pt idx="44">
                  <c:v>44698</c:v>
                </c:pt>
                <c:pt idx="45">
                  <c:v>0</c:v>
                </c:pt>
                <c:pt idx="46">
                  <c:v>0</c:v>
                </c:pt>
                <c:pt idx="47">
                  <c:v>44012</c:v>
                </c:pt>
                <c:pt idx="48">
                  <c:v>0</c:v>
                </c:pt>
                <c:pt idx="49">
                  <c:v>48273</c:v>
                </c:pt>
                <c:pt idx="50">
                  <c:v>0</c:v>
                </c:pt>
                <c:pt idx="51">
                  <c:v>0</c:v>
                </c:pt>
                <c:pt idx="52">
                  <c:v>49442</c:v>
                </c:pt>
                <c:pt idx="53">
                  <c:v>0</c:v>
                </c:pt>
                <c:pt idx="54">
                  <c:v>0</c:v>
                </c:pt>
                <c:pt idx="55">
                  <c:v>52480</c:v>
                </c:pt>
                <c:pt idx="56">
                  <c:v>0</c:v>
                </c:pt>
                <c:pt idx="57">
                  <c:v>51791</c:v>
                </c:pt>
                <c:pt idx="58">
                  <c:v>0</c:v>
                </c:pt>
                <c:pt idx="59">
                  <c:v>0</c:v>
                </c:pt>
                <c:pt idx="60">
                  <c:v>50866</c:v>
                </c:pt>
                <c:pt idx="61">
                  <c:v>0</c:v>
                </c:pt>
                <c:pt idx="62">
                  <c:v>50627</c:v>
                </c:pt>
                <c:pt idx="63">
                  <c:v>0</c:v>
                </c:pt>
                <c:pt idx="64">
                  <c:v>0</c:v>
                </c:pt>
                <c:pt idx="65">
                  <c:v>44898</c:v>
                </c:pt>
                <c:pt idx="66">
                  <c:v>0</c:v>
                </c:pt>
                <c:pt idx="67">
                  <c:v>45450</c:v>
                </c:pt>
                <c:pt idx="68">
                  <c:v>0</c:v>
                </c:pt>
                <c:pt idx="69">
                  <c:v>0</c:v>
                </c:pt>
                <c:pt idx="70">
                  <c:v>49802</c:v>
                </c:pt>
                <c:pt idx="71">
                  <c:v>0</c:v>
                </c:pt>
                <c:pt idx="72">
                  <c:v>0</c:v>
                </c:pt>
                <c:pt idx="73">
                  <c:v>48751</c:v>
                </c:pt>
                <c:pt idx="74">
                  <c:v>0</c:v>
                </c:pt>
                <c:pt idx="75">
                  <c:v>49116</c:v>
                </c:pt>
                <c:pt idx="76">
                  <c:v>0</c:v>
                </c:pt>
                <c:pt idx="77">
                  <c:v>0</c:v>
                </c:pt>
                <c:pt idx="78">
                  <c:v>45681</c:v>
                </c:pt>
                <c:pt idx="79">
                  <c:v>0</c:v>
                </c:pt>
                <c:pt idx="80">
                  <c:v>42923</c:v>
                </c:pt>
                <c:pt idx="81">
                  <c:v>0</c:v>
                </c:pt>
                <c:pt idx="82">
                  <c:v>0</c:v>
                </c:pt>
                <c:pt idx="83">
                  <c:v>40793</c:v>
                </c:pt>
                <c:pt idx="84">
                  <c:v>0</c:v>
                </c:pt>
                <c:pt idx="85">
                  <c:v>0</c:v>
                </c:pt>
                <c:pt idx="86">
                  <c:v>44274</c:v>
                </c:pt>
                <c:pt idx="87">
                  <c:v>0</c:v>
                </c:pt>
                <c:pt idx="88">
                  <c:v>41438</c:v>
                </c:pt>
                <c:pt idx="89">
                  <c:v>0</c:v>
                </c:pt>
                <c:pt idx="90">
                  <c:v>0</c:v>
                </c:pt>
                <c:pt idx="91">
                  <c:v>41563</c:v>
                </c:pt>
                <c:pt idx="92">
                  <c:v>0</c:v>
                </c:pt>
                <c:pt idx="93">
                  <c:v>41416</c:v>
                </c:pt>
                <c:pt idx="94">
                  <c:v>0</c:v>
                </c:pt>
                <c:pt idx="95">
                  <c:v>0</c:v>
                </c:pt>
                <c:pt idx="96">
                  <c:v>29679</c:v>
                </c:pt>
                <c:pt idx="97">
                  <c:v>0</c:v>
                </c:pt>
                <c:pt idx="98">
                  <c:v>31160</c:v>
                </c:pt>
                <c:pt idx="99">
                  <c:v>0</c:v>
                </c:pt>
                <c:pt idx="100">
                  <c:v>0</c:v>
                </c:pt>
                <c:pt idx="101">
                  <c:v>30533</c:v>
                </c:pt>
                <c:pt idx="102">
                  <c:v>0</c:v>
                </c:pt>
                <c:pt idx="103">
                  <c:v>0</c:v>
                </c:pt>
                <c:pt idx="104">
                  <c:v>25587</c:v>
                </c:pt>
                <c:pt idx="105">
                  <c:v>0</c:v>
                </c:pt>
                <c:pt idx="106">
                  <c:v>24374</c:v>
                </c:pt>
                <c:pt idx="107">
                  <c:v>0</c:v>
                </c:pt>
                <c:pt idx="108">
                  <c:v>0</c:v>
                </c:pt>
                <c:pt idx="109">
                  <c:v>19531</c:v>
                </c:pt>
                <c:pt idx="110">
                  <c:v>0</c:v>
                </c:pt>
                <c:pt idx="111">
                  <c:v>17295</c:v>
                </c:pt>
                <c:pt idx="112">
                  <c:v>0</c:v>
                </c:pt>
                <c:pt idx="113">
                  <c:v>0</c:v>
                </c:pt>
                <c:pt idx="114">
                  <c:v>18828</c:v>
                </c:pt>
                <c:pt idx="115">
                  <c:v>0</c:v>
                </c:pt>
                <c:pt idx="116">
                  <c:v>15487</c:v>
                </c:pt>
                <c:pt idx="117">
                  <c:v>0</c:v>
                </c:pt>
                <c:pt idx="118">
                  <c:v>0</c:v>
                </c:pt>
                <c:pt idx="119">
                  <c:v>14121</c:v>
                </c:pt>
                <c:pt idx="120">
                  <c:v>0</c:v>
                </c:pt>
                <c:pt idx="121">
                  <c:v>0</c:v>
                </c:pt>
                <c:pt idx="122">
                  <c:v>10345</c:v>
                </c:pt>
                <c:pt idx="123">
                  <c:v>0</c:v>
                </c:pt>
                <c:pt idx="124">
                  <c:v>8898</c:v>
                </c:pt>
                <c:pt idx="125">
                  <c:v>0</c:v>
                </c:pt>
                <c:pt idx="126">
                  <c:v>0</c:v>
                </c:pt>
                <c:pt idx="127">
                  <c:v>9222</c:v>
                </c:pt>
                <c:pt idx="128">
                  <c:v>0</c:v>
                </c:pt>
                <c:pt idx="129">
                  <c:v>7738</c:v>
                </c:pt>
                <c:pt idx="130">
                  <c:v>0</c:v>
                </c:pt>
                <c:pt idx="131">
                  <c:v>0</c:v>
                </c:pt>
                <c:pt idx="132">
                  <c:v>8967</c:v>
                </c:pt>
                <c:pt idx="133">
                  <c:v>0</c:v>
                </c:pt>
                <c:pt idx="134">
                  <c:v>6605</c:v>
                </c:pt>
                <c:pt idx="135">
                  <c:v>0</c:v>
                </c:pt>
                <c:pt idx="136">
                  <c:v>0</c:v>
                </c:pt>
                <c:pt idx="137">
                  <c:v>6831</c:v>
                </c:pt>
                <c:pt idx="138">
                  <c:v>0</c:v>
                </c:pt>
                <c:pt idx="139">
                  <c:v>0</c:v>
                </c:pt>
                <c:pt idx="140">
                  <c:v>6615</c:v>
                </c:pt>
                <c:pt idx="141">
                  <c:v>0</c:v>
                </c:pt>
                <c:pt idx="142">
                  <c:v>6157</c:v>
                </c:pt>
                <c:pt idx="143">
                  <c:v>0</c:v>
                </c:pt>
                <c:pt idx="144">
                  <c:v>0</c:v>
                </c:pt>
                <c:pt idx="145">
                  <c:v>4490</c:v>
                </c:pt>
                <c:pt idx="146">
                  <c:v>0</c:v>
                </c:pt>
                <c:pt idx="147">
                  <c:v>3725</c:v>
                </c:pt>
                <c:pt idx="148">
                  <c:v>0</c:v>
                </c:pt>
                <c:pt idx="149">
                  <c:v>0</c:v>
                </c:pt>
                <c:pt idx="150">
                  <c:v>2044</c:v>
                </c:pt>
                <c:pt idx="151">
                  <c:v>0</c:v>
                </c:pt>
                <c:pt idx="152">
                  <c:v>1685</c:v>
                </c:pt>
                <c:pt idx="153">
                  <c:v>0</c:v>
                </c:pt>
                <c:pt idx="154">
                  <c:v>0</c:v>
                </c:pt>
                <c:pt idx="155">
                  <c:v>889</c:v>
                </c:pt>
                <c:pt idx="156">
                  <c:v>0</c:v>
                </c:pt>
                <c:pt idx="157">
                  <c:v>0</c:v>
                </c:pt>
                <c:pt idx="158">
                  <c:v>796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1587</c:v>
                </c:pt>
                <c:pt idx="7">
                  <c:v>0</c:v>
                </c:pt>
                <c:pt idx="8">
                  <c:v>3159</c:v>
                </c:pt>
                <c:pt idx="9">
                  <c:v>0</c:v>
                </c:pt>
                <c:pt idx="10">
                  <c:v>0</c:v>
                </c:pt>
                <c:pt idx="11">
                  <c:v>4081</c:v>
                </c:pt>
                <c:pt idx="12">
                  <c:v>0</c:v>
                </c:pt>
                <c:pt idx="13">
                  <c:v>7524</c:v>
                </c:pt>
                <c:pt idx="14">
                  <c:v>0</c:v>
                </c:pt>
                <c:pt idx="15">
                  <c:v>0</c:v>
                </c:pt>
                <c:pt idx="16">
                  <c:v>13132</c:v>
                </c:pt>
                <c:pt idx="17">
                  <c:v>0</c:v>
                </c:pt>
                <c:pt idx="18">
                  <c:v>0</c:v>
                </c:pt>
                <c:pt idx="19">
                  <c:v>19643</c:v>
                </c:pt>
                <c:pt idx="20">
                  <c:v>0</c:v>
                </c:pt>
                <c:pt idx="21">
                  <c:v>28841</c:v>
                </c:pt>
                <c:pt idx="22">
                  <c:v>0</c:v>
                </c:pt>
                <c:pt idx="23">
                  <c:v>0</c:v>
                </c:pt>
                <c:pt idx="24">
                  <c:v>27334</c:v>
                </c:pt>
                <c:pt idx="25">
                  <c:v>0</c:v>
                </c:pt>
                <c:pt idx="26">
                  <c:v>33865</c:v>
                </c:pt>
                <c:pt idx="27">
                  <c:v>0</c:v>
                </c:pt>
                <c:pt idx="28">
                  <c:v>0</c:v>
                </c:pt>
                <c:pt idx="29">
                  <c:v>41570</c:v>
                </c:pt>
                <c:pt idx="30">
                  <c:v>0</c:v>
                </c:pt>
                <c:pt idx="31">
                  <c:v>47125</c:v>
                </c:pt>
                <c:pt idx="32">
                  <c:v>0</c:v>
                </c:pt>
                <c:pt idx="33">
                  <c:v>0</c:v>
                </c:pt>
                <c:pt idx="34">
                  <c:v>54568</c:v>
                </c:pt>
                <c:pt idx="35">
                  <c:v>0</c:v>
                </c:pt>
                <c:pt idx="36">
                  <c:v>0</c:v>
                </c:pt>
                <c:pt idx="37">
                  <c:v>53991</c:v>
                </c:pt>
                <c:pt idx="38">
                  <c:v>0</c:v>
                </c:pt>
                <c:pt idx="39">
                  <c:v>50389</c:v>
                </c:pt>
                <c:pt idx="40">
                  <c:v>0</c:v>
                </c:pt>
                <c:pt idx="41">
                  <c:v>0</c:v>
                </c:pt>
                <c:pt idx="42">
                  <c:v>56504</c:v>
                </c:pt>
                <c:pt idx="43">
                  <c:v>0</c:v>
                </c:pt>
                <c:pt idx="44">
                  <c:v>57901</c:v>
                </c:pt>
                <c:pt idx="45">
                  <c:v>0</c:v>
                </c:pt>
                <c:pt idx="46">
                  <c:v>0</c:v>
                </c:pt>
                <c:pt idx="47">
                  <c:v>57734</c:v>
                </c:pt>
                <c:pt idx="48">
                  <c:v>0</c:v>
                </c:pt>
                <c:pt idx="49">
                  <c:v>68889</c:v>
                </c:pt>
                <c:pt idx="50">
                  <c:v>0</c:v>
                </c:pt>
                <c:pt idx="51">
                  <c:v>0</c:v>
                </c:pt>
                <c:pt idx="52">
                  <c:v>80107</c:v>
                </c:pt>
                <c:pt idx="53">
                  <c:v>0</c:v>
                </c:pt>
                <c:pt idx="54">
                  <c:v>0</c:v>
                </c:pt>
                <c:pt idx="55">
                  <c:v>94411</c:v>
                </c:pt>
                <c:pt idx="56">
                  <c:v>0</c:v>
                </c:pt>
                <c:pt idx="57">
                  <c:v>104183</c:v>
                </c:pt>
                <c:pt idx="58">
                  <c:v>0</c:v>
                </c:pt>
                <c:pt idx="59">
                  <c:v>0</c:v>
                </c:pt>
                <c:pt idx="60">
                  <c:v>114650</c:v>
                </c:pt>
                <c:pt idx="61">
                  <c:v>0</c:v>
                </c:pt>
                <c:pt idx="62">
                  <c:v>111251</c:v>
                </c:pt>
                <c:pt idx="63">
                  <c:v>0</c:v>
                </c:pt>
                <c:pt idx="64">
                  <c:v>0</c:v>
                </c:pt>
                <c:pt idx="65">
                  <c:v>113003</c:v>
                </c:pt>
                <c:pt idx="66">
                  <c:v>0</c:v>
                </c:pt>
                <c:pt idx="67">
                  <c:v>113507</c:v>
                </c:pt>
                <c:pt idx="68">
                  <c:v>0</c:v>
                </c:pt>
                <c:pt idx="69">
                  <c:v>0</c:v>
                </c:pt>
                <c:pt idx="70">
                  <c:v>107538</c:v>
                </c:pt>
                <c:pt idx="71">
                  <c:v>0</c:v>
                </c:pt>
                <c:pt idx="72">
                  <c:v>0</c:v>
                </c:pt>
                <c:pt idx="73">
                  <c:v>104449</c:v>
                </c:pt>
                <c:pt idx="74">
                  <c:v>0</c:v>
                </c:pt>
                <c:pt idx="75">
                  <c:v>103967</c:v>
                </c:pt>
                <c:pt idx="76">
                  <c:v>0</c:v>
                </c:pt>
                <c:pt idx="77">
                  <c:v>0</c:v>
                </c:pt>
                <c:pt idx="78">
                  <c:v>93790</c:v>
                </c:pt>
                <c:pt idx="79">
                  <c:v>0</c:v>
                </c:pt>
                <c:pt idx="80">
                  <c:v>87638</c:v>
                </c:pt>
                <c:pt idx="81">
                  <c:v>0</c:v>
                </c:pt>
                <c:pt idx="82">
                  <c:v>0</c:v>
                </c:pt>
                <c:pt idx="83">
                  <c:v>79596</c:v>
                </c:pt>
                <c:pt idx="84">
                  <c:v>0</c:v>
                </c:pt>
                <c:pt idx="85">
                  <c:v>0</c:v>
                </c:pt>
                <c:pt idx="86">
                  <c:v>62610</c:v>
                </c:pt>
                <c:pt idx="87">
                  <c:v>0</c:v>
                </c:pt>
                <c:pt idx="88">
                  <c:v>59105</c:v>
                </c:pt>
                <c:pt idx="89">
                  <c:v>0</c:v>
                </c:pt>
                <c:pt idx="90">
                  <c:v>0</c:v>
                </c:pt>
                <c:pt idx="91">
                  <c:v>54483</c:v>
                </c:pt>
                <c:pt idx="92">
                  <c:v>0</c:v>
                </c:pt>
                <c:pt idx="93">
                  <c:v>44041</c:v>
                </c:pt>
                <c:pt idx="94">
                  <c:v>0</c:v>
                </c:pt>
                <c:pt idx="95">
                  <c:v>0</c:v>
                </c:pt>
                <c:pt idx="96">
                  <c:v>39734</c:v>
                </c:pt>
                <c:pt idx="97">
                  <c:v>0</c:v>
                </c:pt>
                <c:pt idx="98">
                  <c:v>30911</c:v>
                </c:pt>
                <c:pt idx="99">
                  <c:v>0</c:v>
                </c:pt>
                <c:pt idx="100">
                  <c:v>0</c:v>
                </c:pt>
                <c:pt idx="101">
                  <c:v>26588</c:v>
                </c:pt>
                <c:pt idx="102">
                  <c:v>0</c:v>
                </c:pt>
                <c:pt idx="103">
                  <c:v>0</c:v>
                </c:pt>
                <c:pt idx="104">
                  <c:v>15660</c:v>
                </c:pt>
                <c:pt idx="105">
                  <c:v>0</c:v>
                </c:pt>
                <c:pt idx="106">
                  <c:v>16238</c:v>
                </c:pt>
                <c:pt idx="107">
                  <c:v>0</c:v>
                </c:pt>
                <c:pt idx="108">
                  <c:v>0</c:v>
                </c:pt>
                <c:pt idx="109">
                  <c:v>13924</c:v>
                </c:pt>
                <c:pt idx="110">
                  <c:v>0</c:v>
                </c:pt>
                <c:pt idx="111">
                  <c:v>11947</c:v>
                </c:pt>
                <c:pt idx="112">
                  <c:v>0</c:v>
                </c:pt>
                <c:pt idx="113">
                  <c:v>0</c:v>
                </c:pt>
                <c:pt idx="114">
                  <c:v>11545</c:v>
                </c:pt>
                <c:pt idx="115">
                  <c:v>0</c:v>
                </c:pt>
                <c:pt idx="116">
                  <c:v>10335</c:v>
                </c:pt>
                <c:pt idx="117">
                  <c:v>0</c:v>
                </c:pt>
                <c:pt idx="118">
                  <c:v>0</c:v>
                </c:pt>
                <c:pt idx="119">
                  <c:v>9287</c:v>
                </c:pt>
                <c:pt idx="120">
                  <c:v>0</c:v>
                </c:pt>
                <c:pt idx="121">
                  <c:v>0</c:v>
                </c:pt>
                <c:pt idx="122">
                  <c:v>6713</c:v>
                </c:pt>
                <c:pt idx="123">
                  <c:v>0</c:v>
                </c:pt>
                <c:pt idx="124">
                  <c:v>8927</c:v>
                </c:pt>
                <c:pt idx="125">
                  <c:v>0</c:v>
                </c:pt>
                <c:pt idx="126">
                  <c:v>0</c:v>
                </c:pt>
                <c:pt idx="127">
                  <c:v>8732</c:v>
                </c:pt>
                <c:pt idx="128">
                  <c:v>0</c:v>
                </c:pt>
                <c:pt idx="129">
                  <c:v>7692</c:v>
                </c:pt>
                <c:pt idx="130">
                  <c:v>0</c:v>
                </c:pt>
                <c:pt idx="131">
                  <c:v>0</c:v>
                </c:pt>
                <c:pt idx="132">
                  <c:v>9466</c:v>
                </c:pt>
                <c:pt idx="133">
                  <c:v>0</c:v>
                </c:pt>
                <c:pt idx="134">
                  <c:v>8874</c:v>
                </c:pt>
                <c:pt idx="135">
                  <c:v>0</c:v>
                </c:pt>
                <c:pt idx="136">
                  <c:v>0</c:v>
                </c:pt>
                <c:pt idx="137">
                  <c:v>9848</c:v>
                </c:pt>
                <c:pt idx="138">
                  <c:v>0</c:v>
                </c:pt>
                <c:pt idx="139">
                  <c:v>0</c:v>
                </c:pt>
                <c:pt idx="140">
                  <c:v>8612</c:v>
                </c:pt>
                <c:pt idx="141">
                  <c:v>0</c:v>
                </c:pt>
                <c:pt idx="142">
                  <c:v>9707</c:v>
                </c:pt>
                <c:pt idx="143">
                  <c:v>0</c:v>
                </c:pt>
                <c:pt idx="144">
                  <c:v>0</c:v>
                </c:pt>
                <c:pt idx="145">
                  <c:v>7007</c:v>
                </c:pt>
                <c:pt idx="146">
                  <c:v>0</c:v>
                </c:pt>
                <c:pt idx="147">
                  <c:v>6854</c:v>
                </c:pt>
                <c:pt idx="148">
                  <c:v>0</c:v>
                </c:pt>
                <c:pt idx="149">
                  <c:v>0</c:v>
                </c:pt>
                <c:pt idx="150">
                  <c:v>6188</c:v>
                </c:pt>
                <c:pt idx="151">
                  <c:v>0</c:v>
                </c:pt>
                <c:pt idx="152">
                  <c:v>6299</c:v>
                </c:pt>
                <c:pt idx="153">
                  <c:v>0</c:v>
                </c:pt>
                <c:pt idx="154">
                  <c:v>0</c:v>
                </c:pt>
                <c:pt idx="155">
                  <c:v>4325</c:v>
                </c:pt>
                <c:pt idx="156">
                  <c:v>0</c:v>
                </c:pt>
                <c:pt idx="157">
                  <c:v>0</c:v>
                </c:pt>
                <c:pt idx="158">
                  <c:v>5129</c:v>
                </c:pt>
                <c:pt idx="159">
                  <c:v>0</c:v>
                </c:pt>
                <c:pt idx="160">
                  <c:v>4417</c:v>
                </c:pt>
                <c:pt idx="161">
                  <c:v>0</c:v>
                </c:pt>
                <c:pt idx="162">
                  <c:v>0</c:v>
                </c:pt>
                <c:pt idx="163">
                  <c:v>1722</c:v>
                </c:pt>
                <c:pt idx="164">
                  <c:v>0</c:v>
                </c:pt>
                <c:pt idx="165">
                  <c:v>1176</c:v>
                </c:pt>
                <c:pt idx="166">
                  <c:v>0</c:v>
                </c:pt>
                <c:pt idx="167">
                  <c:v>0</c:v>
                </c:pt>
                <c:pt idx="168">
                  <c:v>409</c:v>
                </c:pt>
                <c:pt idx="169">
                  <c:v>0</c:v>
                </c:pt>
                <c:pt idx="170">
                  <c:v>0</c:v>
                </c:pt>
                <c:pt idx="171">
                  <c:v>92</c:v>
                </c:pt>
                <c:pt idx="172">
                  <c:v>0</c:v>
                </c:pt>
                <c:pt idx="173">
                  <c:v>139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0.20090861117911593</c:v>
                </c:pt>
                <c:pt idx="1">
                  <c:v>0.35058607205017145</c:v>
                </c:pt>
                <c:pt idx="2">
                  <c:v>0.4485053167707127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0.52658297666113052</c:v>
                </c:pt>
                <c:pt idx="1">
                  <c:v>0.28478366843986191</c:v>
                </c:pt>
                <c:pt idx="2">
                  <c:v>0.18863335489900765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6.9448600000000003</c:v>
                </c:pt>
                <c:pt idx="1">
                  <c:v>12.498597500000001</c:v>
                </c:pt>
                <c:pt idx="2">
                  <c:v>35.420400000000001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0.40407799999999999</c:v>
                </c:pt>
                <c:pt idx="2">
                  <c:v>0.80802200000000002</c:v>
                </c:pt>
                <c:pt idx="3">
                  <c:v>1.21567</c:v>
                </c:pt>
                <c:pt idx="4">
                  <c:v>1.6254599999999999</c:v>
                </c:pt>
                <c:pt idx="5">
                  <c:v>2.03085</c:v>
                </c:pt>
                <c:pt idx="6">
                  <c:v>2.4357199999999999</c:v>
                </c:pt>
                <c:pt idx="7">
                  <c:v>2.8406699999999998</c:v>
                </c:pt>
                <c:pt idx="8">
                  <c:v>3.2472799999999999</c:v>
                </c:pt>
                <c:pt idx="9">
                  <c:v>3.6533000000000002</c:v>
                </c:pt>
                <c:pt idx="10">
                  <c:v>4.0647399999999996</c:v>
                </c:pt>
                <c:pt idx="11">
                  <c:v>4.46713</c:v>
                </c:pt>
                <c:pt idx="12">
                  <c:v>4.8724400000000001</c:v>
                </c:pt>
                <c:pt idx="13">
                  <c:v>5.2766200000000003</c:v>
                </c:pt>
                <c:pt idx="14">
                  <c:v>5.6858500000000003</c:v>
                </c:pt>
                <c:pt idx="15">
                  <c:v>6.0964799999999997</c:v>
                </c:pt>
                <c:pt idx="16">
                  <c:v>6.4991700000000003</c:v>
                </c:pt>
                <c:pt idx="17">
                  <c:v>6.9024700000000001</c:v>
                </c:pt>
                <c:pt idx="18">
                  <c:v>7.3084600000000002</c:v>
                </c:pt>
                <c:pt idx="19">
                  <c:v>7.7183700000000002</c:v>
                </c:pt>
                <c:pt idx="20">
                  <c:v>8.1241400000000006</c:v>
                </c:pt>
                <c:pt idx="21">
                  <c:v>8.5271699999999999</c:v>
                </c:pt>
                <c:pt idx="22">
                  <c:v>8.9347499999999993</c:v>
                </c:pt>
                <c:pt idx="23">
                  <c:v>9.3397299999999994</c:v>
                </c:pt>
                <c:pt idx="24">
                  <c:v>9.7497000000000007</c:v>
                </c:pt>
                <c:pt idx="25">
                  <c:v>10.157400000000001</c:v>
                </c:pt>
                <c:pt idx="26">
                  <c:v>10.561999999999999</c:v>
                </c:pt>
                <c:pt idx="27">
                  <c:v>10.9664</c:v>
                </c:pt>
                <c:pt idx="28">
                  <c:v>11.3721</c:v>
                </c:pt>
                <c:pt idx="29">
                  <c:v>11.782500000000001</c:v>
                </c:pt>
                <c:pt idx="30">
                  <c:v>12.1867</c:v>
                </c:pt>
                <c:pt idx="31">
                  <c:v>12.593299999999999</c:v>
                </c:pt>
                <c:pt idx="32">
                  <c:v>12.997299999999999</c:v>
                </c:pt>
                <c:pt idx="33">
                  <c:v>13.402699999999999</c:v>
                </c:pt>
                <c:pt idx="34">
                  <c:v>13.809799999999999</c:v>
                </c:pt>
                <c:pt idx="35">
                  <c:v>14.2141</c:v>
                </c:pt>
                <c:pt idx="36">
                  <c:v>14.6205</c:v>
                </c:pt>
                <c:pt idx="37">
                  <c:v>15.0311</c:v>
                </c:pt>
                <c:pt idx="38">
                  <c:v>15.4373</c:v>
                </c:pt>
                <c:pt idx="39">
                  <c:v>15.846500000000001</c:v>
                </c:pt>
                <c:pt idx="40">
                  <c:v>16.2453</c:v>
                </c:pt>
                <c:pt idx="41">
                  <c:v>16.655200000000001</c:v>
                </c:pt>
                <c:pt idx="42">
                  <c:v>17.065300000000001</c:v>
                </c:pt>
                <c:pt idx="43">
                  <c:v>17.468499999999999</c:v>
                </c:pt>
                <c:pt idx="44">
                  <c:v>17.872499999999999</c:v>
                </c:pt>
                <c:pt idx="45">
                  <c:v>18.277799999999999</c:v>
                </c:pt>
                <c:pt idx="46">
                  <c:v>18.683800000000002</c:v>
                </c:pt>
                <c:pt idx="47">
                  <c:v>19.093800000000002</c:v>
                </c:pt>
                <c:pt idx="48">
                  <c:v>19.5</c:v>
                </c:pt>
                <c:pt idx="49">
                  <c:v>19.906199999999998</c:v>
                </c:pt>
                <c:pt idx="50">
                  <c:v>20.3093</c:v>
                </c:pt>
                <c:pt idx="51">
                  <c:v>20.7136</c:v>
                </c:pt>
                <c:pt idx="52">
                  <c:v>21.1252</c:v>
                </c:pt>
                <c:pt idx="53">
                  <c:v>21.530200000000001</c:v>
                </c:pt>
                <c:pt idx="54">
                  <c:v>21.938300000000002</c:v>
                </c:pt>
                <c:pt idx="55">
                  <c:v>22.343</c:v>
                </c:pt>
                <c:pt idx="56">
                  <c:v>22.748100000000001</c:v>
                </c:pt>
                <c:pt idx="57">
                  <c:v>23.154900000000001</c:v>
                </c:pt>
                <c:pt idx="58">
                  <c:v>23.5593</c:v>
                </c:pt>
                <c:pt idx="59">
                  <c:v>23.967600000000001</c:v>
                </c:pt>
                <c:pt idx="60">
                  <c:v>24.372499999999999</c:v>
                </c:pt>
                <c:pt idx="61">
                  <c:v>24.782900000000001</c:v>
                </c:pt>
                <c:pt idx="62">
                  <c:v>25.184100000000001</c:v>
                </c:pt>
                <c:pt idx="63">
                  <c:v>25.593699999999998</c:v>
                </c:pt>
                <c:pt idx="64">
                  <c:v>25.998100000000001</c:v>
                </c:pt>
                <c:pt idx="65">
                  <c:v>26.405899999999999</c:v>
                </c:pt>
                <c:pt idx="66">
                  <c:v>26.808599999999998</c:v>
                </c:pt>
                <c:pt idx="67">
                  <c:v>27.2182</c:v>
                </c:pt>
                <c:pt idx="68">
                  <c:v>27.625299999999999</c:v>
                </c:pt>
                <c:pt idx="69">
                  <c:v>28.0334</c:v>
                </c:pt>
                <c:pt idx="70">
                  <c:v>28.439</c:v>
                </c:pt>
                <c:pt idx="71">
                  <c:v>28.841200000000001</c:v>
                </c:pt>
                <c:pt idx="72">
                  <c:v>29.245899999999999</c:v>
                </c:pt>
                <c:pt idx="73">
                  <c:v>29.653700000000001</c:v>
                </c:pt>
                <c:pt idx="74">
                  <c:v>30.062899999999999</c:v>
                </c:pt>
                <c:pt idx="75">
                  <c:v>30.528700000000001</c:v>
                </c:pt>
                <c:pt idx="76">
                  <c:v>30.933499999999999</c:v>
                </c:pt>
                <c:pt idx="77">
                  <c:v>31.328800000000001</c:v>
                </c:pt>
                <c:pt idx="78">
                  <c:v>31.732500000000002</c:v>
                </c:pt>
                <c:pt idx="79">
                  <c:v>32.139400000000002</c:v>
                </c:pt>
                <c:pt idx="80">
                  <c:v>32.542999999999999</c:v>
                </c:pt>
                <c:pt idx="81">
                  <c:v>32.949199999999998</c:v>
                </c:pt>
                <c:pt idx="82">
                  <c:v>33.354599999999998</c:v>
                </c:pt>
                <c:pt idx="83">
                  <c:v>33.763300000000001</c:v>
                </c:pt>
                <c:pt idx="84">
                  <c:v>34.174399999999999</c:v>
                </c:pt>
                <c:pt idx="85">
                  <c:v>34.578299999999999</c:v>
                </c:pt>
                <c:pt idx="86">
                  <c:v>34.981400000000001</c:v>
                </c:pt>
                <c:pt idx="87">
                  <c:v>35.387599999999999</c:v>
                </c:pt>
                <c:pt idx="88">
                  <c:v>35.792999999999999</c:v>
                </c:pt>
                <c:pt idx="89">
                  <c:v>36.204300000000003</c:v>
                </c:pt>
                <c:pt idx="90">
                  <c:v>36.608699999999999</c:v>
                </c:pt>
                <c:pt idx="91">
                  <c:v>37.013399999999997</c:v>
                </c:pt>
                <c:pt idx="92">
                  <c:v>37.418599999999998</c:v>
                </c:pt>
                <c:pt idx="93">
                  <c:v>37.829500000000003</c:v>
                </c:pt>
                <c:pt idx="94">
                  <c:v>38.234299999999998</c:v>
                </c:pt>
                <c:pt idx="95">
                  <c:v>38.639899999999997</c:v>
                </c:pt>
                <c:pt idx="96">
                  <c:v>39.043700000000001</c:v>
                </c:pt>
                <c:pt idx="97">
                  <c:v>39.4499</c:v>
                </c:pt>
                <c:pt idx="98">
                  <c:v>39.858600000000003</c:v>
                </c:pt>
                <c:pt idx="99">
                  <c:v>40.266100000000002</c:v>
                </c:pt>
                <c:pt idx="100">
                  <c:v>40.6723</c:v>
                </c:pt>
                <c:pt idx="101">
                  <c:v>41.073599999999999</c:v>
                </c:pt>
                <c:pt idx="102">
                  <c:v>41.481299999999997</c:v>
                </c:pt>
                <c:pt idx="103">
                  <c:v>41.891599999999997</c:v>
                </c:pt>
                <c:pt idx="104">
                  <c:v>42.2943</c:v>
                </c:pt>
                <c:pt idx="105">
                  <c:v>42.701599999999999</c:v>
                </c:pt>
                <c:pt idx="106">
                  <c:v>43.108499999999999</c:v>
                </c:pt>
                <c:pt idx="107">
                  <c:v>43.511699999999998</c:v>
                </c:pt>
                <c:pt idx="108">
                  <c:v>43.919800000000002</c:v>
                </c:pt>
                <c:pt idx="109">
                  <c:v>44.3277</c:v>
                </c:pt>
                <c:pt idx="110">
                  <c:v>44.734499999999997</c:v>
                </c:pt>
                <c:pt idx="111">
                  <c:v>45.141399999999997</c:v>
                </c:pt>
                <c:pt idx="112">
                  <c:v>45.546700000000001</c:v>
                </c:pt>
                <c:pt idx="113">
                  <c:v>45.950800000000001</c:v>
                </c:pt>
                <c:pt idx="114">
                  <c:v>46.356299999999997</c:v>
                </c:pt>
                <c:pt idx="115">
                  <c:v>46.764600000000002</c:v>
                </c:pt>
                <c:pt idx="116">
                  <c:v>47.169800000000002</c:v>
                </c:pt>
                <c:pt idx="117">
                  <c:v>47.575000000000003</c:v>
                </c:pt>
                <c:pt idx="118">
                  <c:v>47.980800000000002</c:v>
                </c:pt>
                <c:pt idx="119">
                  <c:v>48.387999999999998</c:v>
                </c:pt>
                <c:pt idx="120">
                  <c:v>48.795400000000001</c:v>
                </c:pt>
                <c:pt idx="121">
                  <c:v>49.203499999999998</c:v>
                </c:pt>
                <c:pt idx="122">
                  <c:v>49.607900000000001</c:v>
                </c:pt>
                <c:pt idx="123">
                  <c:v>50.012500000000003</c:v>
                </c:pt>
                <c:pt idx="124">
                  <c:v>50.421900000000001</c:v>
                </c:pt>
                <c:pt idx="125">
                  <c:v>50.828600000000002</c:v>
                </c:pt>
                <c:pt idx="126">
                  <c:v>51.230600000000003</c:v>
                </c:pt>
                <c:pt idx="127">
                  <c:v>51.6477</c:v>
                </c:pt>
                <c:pt idx="128">
                  <c:v>52.044400000000003</c:v>
                </c:pt>
                <c:pt idx="129">
                  <c:v>52.454700000000003</c:v>
                </c:pt>
                <c:pt idx="130">
                  <c:v>52.857399999999998</c:v>
                </c:pt>
                <c:pt idx="131">
                  <c:v>53.262700000000002</c:v>
                </c:pt>
                <c:pt idx="132">
                  <c:v>53.668399999999998</c:v>
                </c:pt>
                <c:pt idx="133">
                  <c:v>54.077800000000003</c:v>
                </c:pt>
                <c:pt idx="134">
                  <c:v>54.482799999999997</c:v>
                </c:pt>
                <c:pt idx="135">
                  <c:v>54.8872</c:v>
                </c:pt>
                <c:pt idx="136">
                  <c:v>55.292499999999997</c:v>
                </c:pt>
                <c:pt idx="137">
                  <c:v>55.700299999999999</c:v>
                </c:pt>
                <c:pt idx="138">
                  <c:v>56.108699999999999</c:v>
                </c:pt>
                <c:pt idx="139">
                  <c:v>56.5139</c:v>
                </c:pt>
                <c:pt idx="140">
                  <c:v>56.917499999999997</c:v>
                </c:pt>
                <c:pt idx="141">
                  <c:v>57.3245</c:v>
                </c:pt>
                <c:pt idx="142">
                  <c:v>57.734000000000002</c:v>
                </c:pt>
                <c:pt idx="143">
                  <c:v>58.142899999999997</c:v>
                </c:pt>
                <c:pt idx="144">
                  <c:v>58.546199999999999</c:v>
                </c:pt>
                <c:pt idx="145">
                  <c:v>58.950800000000001</c:v>
                </c:pt>
                <c:pt idx="146">
                  <c:v>59.355499999999999</c:v>
                </c:pt>
                <c:pt idx="147">
                  <c:v>59.765900000000002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1.3846700000000001</c:v>
                </c:pt>
                <c:pt idx="1">
                  <c:v>1.42703</c:v>
                </c:pt>
                <c:pt idx="2">
                  <c:v>1.4749499999999998</c:v>
                </c:pt>
                <c:pt idx="3">
                  <c:v>1.5291399999999999</c:v>
                </c:pt>
                <c:pt idx="4">
                  <c:v>1.58416</c:v>
                </c:pt>
                <c:pt idx="5">
                  <c:v>1.6417999999999999</c:v>
                </c:pt>
                <c:pt idx="6">
                  <c:v>1.6993100000000001</c:v>
                </c:pt>
                <c:pt idx="7">
                  <c:v>1.75589</c:v>
                </c:pt>
                <c:pt idx="8">
                  <c:v>1.8146100000000001</c:v>
                </c:pt>
                <c:pt idx="9">
                  <c:v>1.87751</c:v>
                </c:pt>
                <c:pt idx="10">
                  <c:v>1.94218</c:v>
                </c:pt>
                <c:pt idx="11">
                  <c:v>2.01152</c:v>
                </c:pt>
                <c:pt idx="12">
                  <c:v>2.0799699999999999</c:v>
                </c:pt>
                <c:pt idx="13">
                  <c:v>2.1527400000000001</c:v>
                </c:pt>
                <c:pt idx="14">
                  <c:v>2.22729</c:v>
                </c:pt>
                <c:pt idx="15">
                  <c:v>2.2971400000000002</c:v>
                </c:pt>
                <c:pt idx="16">
                  <c:v>2.3560400000000001</c:v>
                </c:pt>
                <c:pt idx="17">
                  <c:v>2.41499</c:v>
                </c:pt>
                <c:pt idx="18">
                  <c:v>2.4747699999999999</c:v>
                </c:pt>
                <c:pt idx="19">
                  <c:v>2.5340699999999998</c:v>
                </c:pt>
                <c:pt idx="20">
                  <c:v>2.5898300000000001</c:v>
                </c:pt>
                <c:pt idx="21">
                  <c:v>2.6434299999999999</c:v>
                </c:pt>
                <c:pt idx="22">
                  <c:v>2.6944800000000004</c:v>
                </c:pt>
                <c:pt idx="23">
                  <c:v>2.74499</c:v>
                </c:pt>
                <c:pt idx="24">
                  <c:v>2.7944799999999996</c:v>
                </c:pt>
                <c:pt idx="25">
                  <c:v>2.8428500000000003</c:v>
                </c:pt>
                <c:pt idx="26">
                  <c:v>2.8898299999999999</c:v>
                </c:pt>
                <c:pt idx="27">
                  <c:v>2.9342699999999997</c:v>
                </c:pt>
                <c:pt idx="28">
                  <c:v>2.9751699999999999</c:v>
                </c:pt>
                <c:pt idx="29">
                  <c:v>3.0127600000000001</c:v>
                </c:pt>
                <c:pt idx="30">
                  <c:v>3.0432600000000001</c:v>
                </c:pt>
                <c:pt idx="31">
                  <c:v>3.06697</c:v>
                </c:pt>
                <c:pt idx="32">
                  <c:v>3.0878299999999999</c:v>
                </c:pt>
                <c:pt idx="33">
                  <c:v>3.1017200000000003</c:v>
                </c:pt>
                <c:pt idx="34">
                  <c:v>3.1105800000000001</c:v>
                </c:pt>
                <c:pt idx="35">
                  <c:v>3.1163699999999999</c:v>
                </c:pt>
                <c:pt idx="36">
                  <c:v>3.11666</c:v>
                </c:pt>
                <c:pt idx="37">
                  <c:v>3.1129600000000002</c:v>
                </c:pt>
                <c:pt idx="38">
                  <c:v>3.0999300000000001</c:v>
                </c:pt>
                <c:pt idx="39">
                  <c:v>3.0806</c:v>
                </c:pt>
                <c:pt idx="40">
                  <c:v>3.05952</c:v>
                </c:pt>
                <c:pt idx="41">
                  <c:v>3.0335800000000002</c:v>
                </c:pt>
                <c:pt idx="42">
                  <c:v>3.0048399999999997</c:v>
                </c:pt>
                <c:pt idx="43">
                  <c:v>2.9742200000000003</c:v>
                </c:pt>
                <c:pt idx="44">
                  <c:v>2.9417</c:v>
                </c:pt>
                <c:pt idx="45">
                  <c:v>2.9086800000000004</c:v>
                </c:pt>
                <c:pt idx="46">
                  <c:v>2.8770800000000003</c:v>
                </c:pt>
                <c:pt idx="47">
                  <c:v>2.8471600000000001</c:v>
                </c:pt>
                <c:pt idx="48">
                  <c:v>2.8176000000000001</c:v>
                </c:pt>
                <c:pt idx="49">
                  <c:v>2.7879100000000001</c:v>
                </c:pt>
                <c:pt idx="50">
                  <c:v>2.7648800000000002</c:v>
                </c:pt>
                <c:pt idx="51">
                  <c:v>2.7353699999999996</c:v>
                </c:pt>
                <c:pt idx="52">
                  <c:v>2.7051799999999999</c:v>
                </c:pt>
                <c:pt idx="53">
                  <c:v>2.6720199999999998</c:v>
                </c:pt>
                <c:pt idx="54">
                  <c:v>2.64453</c:v>
                </c:pt>
                <c:pt idx="55">
                  <c:v>2.6213100000000003</c:v>
                </c:pt>
                <c:pt idx="56">
                  <c:v>2.6030100000000003</c:v>
                </c:pt>
                <c:pt idx="57">
                  <c:v>2.5895700000000001</c:v>
                </c:pt>
                <c:pt idx="58">
                  <c:v>2.5789200000000001</c:v>
                </c:pt>
                <c:pt idx="59">
                  <c:v>2.5789299999999997</c:v>
                </c:pt>
                <c:pt idx="60">
                  <c:v>2.5710899999999999</c:v>
                </c:pt>
                <c:pt idx="61">
                  <c:v>2.5769799999999998</c:v>
                </c:pt>
                <c:pt idx="62">
                  <c:v>2.57531</c:v>
                </c:pt>
                <c:pt idx="63">
                  <c:v>2.58839</c:v>
                </c:pt>
                <c:pt idx="64">
                  <c:v>2.6063700000000001</c:v>
                </c:pt>
                <c:pt idx="65">
                  <c:v>2.63733</c:v>
                </c:pt>
                <c:pt idx="66">
                  <c:v>2.6489000000000003</c:v>
                </c:pt>
                <c:pt idx="67">
                  <c:v>2.6688499999999999</c:v>
                </c:pt>
                <c:pt idx="68">
                  <c:v>2.6903600000000001</c:v>
                </c:pt>
                <c:pt idx="69">
                  <c:v>2.7186700000000004</c:v>
                </c:pt>
                <c:pt idx="70">
                  <c:v>2.7405600000000003</c:v>
                </c:pt>
                <c:pt idx="71">
                  <c:v>2.7611300000000001</c:v>
                </c:pt>
                <c:pt idx="72">
                  <c:v>2.7761499999999999</c:v>
                </c:pt>
                <c:pt idx="73">
                  <c:v>2.7909699999999997</c:v>
                </c:pt>
                <c:pt idx="74">
                  <c:v>2.8045900000000001</c:v>
                </c:pt>
                <c:pt idx="75">
                  <c:v>2.8157100000000002</c:v>
                </c:pt>
                <c:pt idx="76">
                  <c:v>2.8211599999999999</c:v>
                </c:pt>
                <c:pt idx="77">
                  <c:v>2.8223599999999998</c:v>
                </c:pt>
                <c:pt idx="78">
                  <c:v>2.8218199999999998</c:v>
                </c:pt>
                <c:pt idx="79">
                  <c:v>2.8207599999999999</c:v>
                </c:pt>
                <c:pt idx="80">
                  <c:v>2.8179400000000001</c:v>
                </c:pt>
                <c:pt idx="81">
                  <c:v>2.8111299999999999</c:v>
                </c:pt>
                <c:pt idx="82">
                  <c:v>2.7987500000000001</c:v>
                </c:pt>
                <c:pt idx="83">
                  <c:v>2.7839199999999997</c:v>
                </c:pt>
                <c:pt idx="84">
                  <c:v>2.7647200000000001</c:v>
                </c:pt>
                <c:pt idx="85">
                  <c:v>2.7446100000000002</c:v>
                </c:pt>
                <c:pt idx="86">
                  <c:v>2.7207699999999999</c:v>
                </c:pt>
                <c:pt idx="87">
                  <c:v>2.69259</c:v>
                </c:pt>
                <c:pt idx="88">
                  <c:v>2.6622600000000003</c:v>
                </c:pt>
                <c:pt idx="89">
                  <c:v>2.6299399999999999</c:v>
                </c:pt>
                <c:pt idx="90">
                  <c:v>2.5973099999999998</c:v>
                </c:pt>
                <c:pt idx="91">
                  <c:v>2.5701700000000001</c:v>
                </c:pt>
                <c:pt idx="92">
                  <c:v>2.5440299999999998</c:v>
                </c:pt>
                <c:pt idx="93">
                  <c:v>2.5171700000000001</c:v>
                </c:pt>
                <c:pt idx="94">
                  <c:v>2.49133</c:v>
                </c:pt>
                <c:pt idx="95">
                  <c:v>2.4672200000000002</c:v>
                </c:pt>
                <c:pt idx="96">
                  <c:v>2.4448500000000002</c:v>
                </c:pt>
                <c:pt idx="97">
                  <c:v>2.4281299999999999</c:v>
                </c:pt>
                <c:pt idx="98">
                  <c:v>2.4146899999999998</c:v>
                </c:pt>
                <c:pt idx="99">
                  <c:v>2.4025799999999999</c:v>
                </c:pt>
                <c:pt idx="100">
                  <c:v>2.39411</c:v>
                </c:pt>
                <c:pt idx="101">
                  <c:v>2.3903400000000001</c:v>
                </c:pt>
                <c:pt idx="102">
                  <c:v>2.3890799999999999</c:v>
                </c:pt>
                <c:pt idx="103">
                  <c:v>2.3925900000000002</c:v>
                </c:pt>
                <c:pt idx="104">
                  <c:v>2.3992900000000001</c:v>
                </c:pt>
                <c:pt idx="105">
                  <c:v>2.40862</c:v>
                </c:pt>
                <c:pt idx="106">
                  <c:v>2.42069</c:v>
                </c:pt>
                <c:pt idx="107">
                  <c:v>2.4344700000000001</c:v>
                </c:pt>
                <c:pt idx="108">
                  <c:v>2.45017</c:v>
                </c:pt>
                <c:pt idx="109">
                  <c:v>2.4704300000000003</c:v>
                </c:pt>
                <c:pt idx="110">
                  <c:v>2.4914200000000002</c:v>
                </c:pt>
                <c:pt idx="111">
                  <c:v>2.5146699999999997</c:v>
                </c:pt>
                <c:pt idx="112">
                  <c:v>2.5366300000000002</c:v>
                </c:pt>
                <c:pt idx="113">
                  <c:v>2.5548100000000002</c:v>
                </c:pt>
                <c:pt idx="114">
                  <c:v>2.5712299999999999</c:v>
                </c:pt>
                <c:pt idx="115">
                  <c:v>2.5884800000000001</c:v>
                </c:pt>
                <c:pt idx="116">
                  <c:v>2.6055099999999998</c:v>
                </c:pt>
                <c:pt idx="117">
                  <c:v>2.6233</c:v>
                </c:pt>
                <c:pt idx="118">
                  <c:v>2.6418699999999999</c:v>
                </c:pt>
                <c:pt idx="119">
                  <c:v>2.6618199999999996</c:v>
                </c:pt>
                <c:pt idx="120">
                  <c:v>2.68147</c:v>
                </c:pt>
                <c:pt idx="121">
                  <c:v>2.7036300000000004</c:v>
                </c:pt>
                <c:pt idx="122">
                  <c:v>2.7245499999999998</c:v>
                </c:pt>
                <c:pt idx="123">
                  <c:v>2.7434599999999998</c:v>
                </c:pt>
                <c:pt idx="124">
                  <c:v>2.7513300000000003</c:v>
                </c:pt>
                <c:pt idx="125">
                  <c:v>2.7584799999999996</c:v>
                </c:pt>
                <c:pt idx="126">
                  <c:v>2.7670699999999999</c:v>
                </c:pt>
                <c:pt idx="127">
                  <c:v>2.7780700000000005</c:v>
                </c:pt>
                <c:pt idx="128">
                  <c:v>2.7866600000000004</c:v>
                </c:pt>
                <c:pt idx="129">
                  <c:v>2.7929500000000003</c:v>
                </c:pt>
                <c:pt idx="130">
                  <c:v>2.7979900000000004</c:v>
                </c:pt>
                <c:pt idx="131">
                  <c:v>2.8046199999999999</c:v>
                </c:pt>
                <c:pt idx="132">
                  <c:v>2.8135700000000003</c:v>
                </c:pt>
                <c:pt idx="133">
                  <c:v>2.8212900000000003</c:v>
                </c:pt>
                <c:pt idx="134">
                  <c:v>2.8237399999999999</c:v>
                </c:pt>
                <c:pt idx="135">
                  <c:v>2.82626</c:v>
                </c:pt>
                <c:pt idx="136">
                  <c:v>2.82646</c:v>
                </c:pt>
                <c:pt idx="137">
                  <c:v>2.8300599999999996</c:v>
                </c:pt>
                <c:pt idx="138">
                  <c:v>2.8414699999999997</c:v>
                </c:pt>
                <c:pt idx="139">
                  <c:v>2.8595600000000001</c:v>
                </c:pt>
                <c:pt idx="140">
                  <c:v>2.8745500000000002</c:v>
                </c:pt>
                <c:pt idx="141">
                  <c:v>2.8887099999999997</c:v>
                </c:pt>
                <c:pt idx="142">
                  <c:v>2.9069699999999998</c:v>
                </c:pt>
                <c:pt idx="143">
                  <c:v>2.9304100000000002</c:v>
                </c:pt>
                <c:pt idx="144">
                  <c:v>2.9539800000000001</c:v>
                </c:pt>
                <c:pt idx="145">
                  <c:v>2.9847600000000001</c:v>
                </c:pt>
                <c:pt idx="146">
                  <c:v>2.99831</c:v>
                </c:pt>
                <c:pt idx="147">
                  <c:v>2.9897600000000004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0.40407799999999999</c:v>
                </c:pt>
                <c:pt idx="2">
                  <c:v>0.80802200000000002</c:v>
                </c:pt>
                <c:pt idx="3">
                  <c:v>1.21567</c:v>
                </c:pt>
                <c:pt idx="4">
                  <c:v>1.6254599999999999</c:v>
                </c:pt>
                <c:pt idx="5">
                  <c:v>2.03085</c:v>
                </c:pt>
                <c:pt idx="6">
                  <c:v>2.4357199999999999</c:v>
                </c:pt>
                <c:pt idx="7">
                  <c:v>2.8406699999999998</c:v>
                </c:pt>
                <c:pt idx="8">
                  <c:v>3.2472799999999999</c:v>
                </c:pt>
                <c:pt idx="9">
                  <c:v>3.6533000000000002</c:v>
                </c:pt>
                <c:pt idx="10">
                  <c:v>4.0647399999999996</c:v>
                </c:pt>
                <c:pt idx="11">
                  <c:v>4.46713</c:v>
                </c:pt>
                <c:pt idx="12">
                  <c:v>4.8724400000000001</c:v>
                </c:pt>
                <c:pt idx="13">
                  <c:v>5.2766200000000003</c:v>
                </c:pt>
                <c:pt idx="14">
                  <c:v>5.6858500000000003</c:v>
                </c:pt>
                <c:pt idx="15">
                  <c:v>6.0964799999999997</c:v>
                </c:pt>
                <c:pt idx="16">
                  <c:v>6.4991700000000003</c:v>
                </c:pt>
                <c:pt idx="17">
                  <c:v>6.9024700000000001</c:v>
                </c:pt>
                <c:pt idx="18">
                  <c:v>7.3084600000000002</c:v>
                </c:pt>
                <c:pt idx="19">
                  <c:v>7.7183700000000002</c:v>
                </c:pt>
                <c:pt idx="20">
                  <c:v>8.1241400000000006</c:v>
                </c:pt>
                <c:pt idx="21">
                  <c:v>8.5271699999999999</c:v>
                </c:pt>
                <c:pt idx="22">
                  <c:v>8.9347499999999993</c:v>
                </c:pt>
                <c:pt idx="23">
                  <c:v>9.3397299999999994</c:v>
                </c:pt>
                <c:pt idx="24">
                  <c:v>9.7497000000000007</c:v>
                </c:pt>
                <c:pt idx="25">
                  <c:v>10.157400000000001</c:v>
                </c:pt>
                <c:pt idx="26">
                  <c:v>10.561999999999999</c:v>
                </c:pt>
                <c:pt idx="27">
                  <c:v>10.9664</c:v>
                </c:pt>
                <c:pt idx="28">
                  <c:v>11.3721</c:v>
                </c:pt>
                <c:pt idx="29">
                  <c:v>11.782500000000001</c:v>
                </c:pt>
                <c:pt idx="30">
                  <c:v>12.1867</c:v>
                </c:pt>
                <c:pt idx="31">
                  <c:v>12.593299999999999</c:v>
                </c:pt>
                <c:pt idx="32">
                  <c:v>12.997299999999999</c:v>
                </c:pt>
                <c:pt idx="33">
                  <c:v>13.402699999999999</c:v>
                </c:pt>
                <c:pt idx="34">
                  <c:v>13.809799999999999</c:v>
                </c:pt>
                <c:pt idx="35">
                  <c:v>14.2141</c:v>
                </c:pt>
                <c:pt idx="36">
                  <c:v>14.6205</c:v>
                </c:pt>
                <c:pt idx="37">
                  <c:v>15.0311</c:v>
                </c:pt>
                <c:pt idx="38">
                  <c:v>15.4373</c:v>
                </c:pt>
                <c:pt idx="39">
                  <c:v>15.846500000000001</c:v>
                </c:pt>
                <c:pt idx="40">
                  <c:v>16.2453</c:v>
                </c:pt>
                <c:pt idx="41">
                  <c:v>16.655200000000001</c:v>
                </c:pt>
                <c:pt idx="42">
                  <c:v>17.065300000000001</c:v>
                </c:pt>
                <c:pt idx="43">
                  <c:v>17.468499999999999</c:v>
                </c:pt>
                <c:pt idx="44">
                  <c:v>17.872499999999999</c:v>
                </c:pt>
                <c:pt idx="45">
                  <c:v>18.277799999999999</c:v>
                </c:pt>
                <c:pt idx="46">
                  <c:v>18.683800000000002</c:v>
                </c:pt>
                <c:pt idx="47">
                  <c:v>19.093800000000002</c:v>
                </c:pt>
                <c:pt idx="48">
                  <c:v>19.5</c:v>
                </c:pt>
                <c:pt idx="49">
                  <c:v>19.906199999999998</c:v>
                </c:pt>
                <c:pt idx="50">
                  <c:v>20.3093</c:v>
                </c:pt>
                <c:pt idx="51">
                  <c:v>20.7136</c:v>
                </c:pt>
                <c:pt idx="52">
                  <c:v>21.1252</c:v>
                </c:pt>
                <c:pt idx="53">
                  <c:v>21.530200000000001</c:v>
                </c:pt>
                <c:pt idx="54">
                  <c:v>21.938300000000002</c:v>
                </c:pt>
                <c:pt idx="55">
                  <c:v>22.343</c:v>
                </c:pt>
                <c:pt idx="56">
                  <c:v>22.748100000000001</c:v>
                </c:pt>
                <c:pt idx="57">
                  <c:v>23.154900000000001</c:v>
                </c:pt>
                <c:pt idx="58">
                  <c:v>23.5593</c:v>
                </c:pt>
                <c:pt idx="59">
                  <c:v>23.967600000000001</c:v>
                </c:pt>
                <c:pt idx="60">
                  <c:v>24.372499999999999</c:v>
                </c:pt>
                <c:pt idx="61">
                  <c:v>24.782900000000001</c:v>
                </c:pt>
                <c:pt idx="62">
                  <c:v>25.184100000000001</c:v>
                </c:pt>
                <c:pt idx="63">
                  <c:v>25.593699999999998</c:v>
                </c:pt>
                <c:pt idx="64">
                  <c:v>25.998100000000001</c:v>
                </c:pt>
                <c:pt idx="65">
                  <c:v>26.405899999999999</c:v>
                </c:pt>
                <c:pt idx="66">
                  <c:v>26.808599999999998</c:v>
                </c:pt>
                <c:pt idx="67">
                  <c:v>27.2182</c:v>
                </c:pt>
                <c:pt idx="68">
                  <c:v>27.625299999999999</c:v>
                </c:pt>
                <c:pt idx="69">
                  <c:v>28.0334</c:v>
                </c:pt>
                <c:pt idx="70">
                  <c:v>28.439</c:v>
                </c:pt>
                <c:pt idx="71">
                  <c:v>28.841200000000001</c:v>
                </c:pt>
                <c:pt idx="72">
                  <c:v>29.245899999999999</c:v>
                </c:pt>
                <c:pt idx="73">
                  <c:v>29.653700000000001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1.3846700000000001</c:v>
                </c:pt>
                <c:pt idx="1">
                  <c:v>1.42703</c:v>
                </c:pt>
                <c:pt idx="2">
                  <c:v>1.4749499999999998</c:v>
                </c:pt>
                <c:pt idx="3">
                  <c:v>1.5291399999999999</c:v>
                </c:pt>
                <c:pt idx="4">
                  <c:v>1.58416</c:v>
                </c:pt>
                <c:pt idx="5">
                  <c:v>1.6417999999999999</c:v>
                </c:pt>
                <c:pt idx="6">
                  <c:v>1.6993100000000001</c:v>
                </c:pt>
                <c:pt idx="7">
                  <c:v>1.75589</c:v>
                </c:pt>
                <c:pt idx="8">
                  <c:v>1.8146100000000001</c:v>
                </c:pt>
                <c:pt idx="9">
                  <c:v>1.87751</c:v>
                </c:pt>
                <c:pt idx="10">
                  <c:v>1.94218</c:v>
                </c:pt>
                <c:pt idx="11">
                  <c:v>2.01152</c:v>
                </c:pt>
                <c:pt idx="12">
                  <c:v>2.0799699999999999</c:v>
                </c:pt>
                <c:pt idx="13">
                  <c:v>2.1527400000000001</c:v>
                </c:pt>
                <c:pt idx="14">
                  <c:v>2.22729</c:v>
                </c:pt>
                <c:pt idx="15">
                  <c:v>2.2971400000000002</c:v>
                </c:pt>
                <c:pt idx="16">
                  <c:v>2.3560400000000001</c:v>
                </c:pt>
                <c:pt idx="17">
                  <c:v>2.41499</c:v>
                </c:pt>
                <c:pt idx="18">
                  <c:v>2.4747699999999999</c:v>
                </c:pt>
                <c:pt idx="19">
                  <c:v>2.5340699999999998</c:v>
                </c:pt>
                <c:pt idx="20">
                  <c:v>2.5898300000000001</c:v>
                </c:pt>
                <c:pt idx="21">
                  <c:v>2.6434299999999999</c:v>
                </c:pt>
                <c:pt idx="22">
                  <c:v>2.6944800000000004</c:v>
                </c:pt>
                <c:pt idx="23">
                  <c:v>2.74499</c:v>
                </c:pt>
                <c:pt idx="24">
                  <c:v>2.7944799999999996</c:v>
                </c:pt>
                <c:pt idx="25">
                  <c:v>2.8428500000000003</c:v>
                </c:pt>
                <c:pt idx="26">
                  <c:v>2.8898299999999999</c:v>
                </c:pt>
                <c:pt idx="27">
                  <c:v>2.9342699999999997</c:v>
                </c:pt>
                <c:pt idx="28">
                  <c:v>2.9751699999999999</c:v>
                </c:pt>
                <c:pt idx="29">
                  <c:v>3.0127600000000001</c:v>
                </c:pt>
                <c:pt idx="30">
                  <c:v>3.0432600000000001</c:v>
                </c:pt>
                <c:pt idx="31">
                  <c:v>3.06697</c:v>
                </c:pt>
                <c:pt idx="32">
                  <c:v>3.0878299999999999</c:v>
                </c:pt>
                <c:pt idx="33">
                  <c:v>3.1017200000000003</c:v>
                </c:pt>
                <c:pt idx="34">
                  <c:v>3.1105800000000001</c:v>
                </c:pt>
                <c:pt idx="35">
                  <c:v>3.1163699999999999</c:v>
                </c:pt>
                <c:pt idx="36">
                  <c:v>3.11666</c:v>
                </c:pt>
                <c:pt idx="37">
                  <c:v>3.1129600000000002</c:v>
                </c:pt>
                <c:pt idx="38">
                  <c:v>3.0999300000000001</c:v>
                </c:pt>
                <c:pt idx="39">
                  <c:v>3.0806</c:v>
                </c:pt>
                <c:pt idx="40">
                  <c:v>3.05952</c:v>
                </c:pt>
                <c:pt idx="41">
                  <c:v>3.0335800000000002</c:v>
                </c:pt>
                <c:pt idx="42">
                  <c:v>3.0048399999999997</c:v>
                </c:pt>
                <c:pt idx="43">
                  <c:v>2.9742200000000003</c:v>
                </c:pt>
                <c:pt idx="44">
                  <c:v>2.9417</c:v>
                </c:pt>
                <c:pt idx="45">
                  <c:v>2.9086800000000004</c:v>
                </c:pt>
                <c:pt idx="46">
                  <c:v>2.8770800000000003</c:v>
                </c:pt>
                <c:pt idx="47">
                  <c:v>2.8471600000000001</c:v>
                </c:pt>
                <c:pt idx="48">
                  <c:v>2.8176000000000001</c:v>
                </c:pt>
                <c:pt idx="49">
                  <c:v>2.7879100000000001</c:v>
                </c:pt>
                <c:pt idx="50">
                  <c:v>2.7648800000000002</c:v>
                </c:pt>
                <c:pt idx="51">
                  <c:v>2.7353699999999996</c:v>
                </c:pt>
                <c:pt idx="52">
                  <c:v>2.7051799999999999</c:v>
                </c:pt>
                <c:pt idx="53">
                  <c:v>2.6720199999999998</c:v>
                </c:pt>
                <c:pt idx="54">
                  <c:v>2.64453</c:v>
                </c:pt>
                <c:pt idx="55">
                  <c:v>2.6213100000000003</c:v>
                </c:pt>
                <c:pt idx="56">
                  <c:v>2.6030100000000003</c:v>
                </c:pt>
                <c:pt idx="57">
                  <c:v>2.5895700000000001</c:v>
                </c:pt>
                <c:pt idx="58">
                  <c:v>2.5789200000000001</c:v>
                </c:pt>
                <c:pt idx="59">
                  <c:v>2.5789299999999997</c:v>
                </c:pt>
                <c:pt idx="60">
                  <c:v>2.5710899999999999</c:v>
                </c:pt>
                <c:pt idx="61">
                  <c:v>2.5769799999999998</c:v>
                </c:pt>
                <c:pt idx="62">
                  <c:v>2.57531</c:v>
                </c:pt>
                <c:pt idx="63">
                  <c:v>2.58839</c:v>
                </c:pt>
                <c:pt idx="64">
                  <c:v>2.6063700000000001</c:v>
                </c:pt>
                <c:pt idx="65">
                  <c:v>2.63733</c:v>
                </c:pt>
                <c:pt idx="66">
                  <c:v>2.6489000000000003</c:v>
                </c:pt>
                <c:pt idx="67">
                  <c:v>2.6688499999999999</c:v>
                </c:pt>
                <c:pt idx="68">
                  <c:v>2.6903600000000001</c:v>
                </c:pt>
                <c:pt idx="69">
                  <c:v>2.7186700000000004</c:v>
                </c:pt>
                <c:pt idx="70">
                  <c:v>2.7405600000000003</c:v>
                </c:pt>
                <c:pt idx="71">
                  <c:v>2.7611300000000001</c:v>
                </c:pt>
                <c:pt idx="72">
                  <c:v>2.7761499999999999</c:v>
                </c:pt>
                <c:pt idx="73">
                  <c:v>2.7909699999999997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29.653700000000001</c:v>
                </c:pt>
                <c:pt idx="1">
                  <c:v>30.062899999999999</c:v>
                </c:pt>
                <c:pt idx="2">
                  <c:v>30.528700000000001</c:v>
                </c:pt>
                <c:pt idx="3">
                  <c:v>30.933499999999999</c:v>
                </c:pt>
                <c:pt idx="4">
                  <c:v>31.328800000000001</c:v>
                </c:pt>
                <c:pt idx="5">
                  <c:v>31.732500000000002</c:v>
                </c:pt>
                <c:pt idx="6">
                  <c:v>32.139400000000002</c:v>
                </c:pt>
                <c:pt idx="7">
                  <c:v>32.542999999999999</c:v>
                </c:pt>
                <c:pt idx="8">
                  <c:v>32.949199999999998</c:v>
                </c:pt>
                <c:pt idx="9">
                  <c:v>33.354599999999998</c:v>
                </c:pt>
                <c:pt idx="10">
                  <c:v>33.763300000000001</c:v>
                </c:pt>
                <c:pt idx="11">
                  <c:v>34.174399999999999</c:v>
                </c:pt>
                <c:pt idx="12">
                  <c:v>34.578299999999999</c:v>
                </c:pt>
                <c:pt idx="13">
                  <c:v>34.981400000000001</c:v>
                </c:pt>
                <c:pt idx="14">
                  <c:v>35.387599999999999</c:v>
                </c:pt>
                <c:pt idx="15">
                  <c:v>35.792999999999999</c:v>
                </c:pt>
                <c:pt idx="16">
                  <c:v>36.204300000000003</c:v>
                </c:pt>
                <c:pt idx="17">
                  <c:v>36.608699999999999</c:v>
                </c:pt>
                <c:pt idx="18">
                  <c:v>37.013399999999997</c:v>
                </c:pt>
                <c:pt idx="19">
                  <c:v>37.418599999999998</c:v>
                </c:pt>
                <c:pt idx="20">
                  <c:v>37.829500000000003</c:v>
                </c:pt>
                <c:pt idx="21">
                  <c:v>38.234299999999998</c:v>
                </c:pt>
                <c:pt idx="22">
                  <c:v>38.639899999999997</c:v>
                </c:pt>
                <c:pt idx="23">
                  <c:v>39.043700000000001</c:v>
                </c:pt>
                <c:pt idx="24">
                  <c:v>39.4499</c:v>
                </c:pt>
                <c:pt idx="25">
                  <c:v>39.858600000000003</c:v>
                </c:pt>
                <c:pt idx="26">
                  <c:v>40.266100000000002</c:v>
                </c:pt>
                <c:pt idx="27">
                  <c:v>40.6723</c:v>
                </c:pt>
                <c:pt idx="28">
                  <c:v>41.073599999999999</c:v>
                </c:pt>
                <c:pt idx="29">
                  <c:v>41.481299999999997</c:v>
                </c:pt>
                <c:pt idx="30">
                  <c:v>41.891599999999997</c:v>
                </c:pt>
                <c:pt idx="31">
                  <c:v>42.2943</c:v>
                </c:pt>
                <c:pt idx="32">
                  <c:v>42.701599999999999</c:v>
                </c:pt>
                <c:pt idx="33">
                  <c:v>43.108499999999999</c:v>
                </c:pt>
                <c:pt idx="34">
                  <c:v>43.511699999999998</c:v>
                </c:pt>
                <c:pt idx="35">
                  <c:v>43.919800000000002</c:v>
                </c:pt>
                <c:pt idx="36">
                  <c:v>44.3277</c:v>
                </c:pt>
                <c:pt idx="37">
                  <c:v>44.734499999999997</c:v>
                </c:pt>
                <c:pt idx="38">
                  <c:v>45.141399999999997</c:v>
                </c:pt>
                <c:pt idx="39">
                  <c:v>45.546700000000001</c:v>
                </c:pt>
                <c:pt idx="40">
                  <c:v>45.950800000000001</c:v>
                </c:pt>
                <c:pt idx="41">
                  <c:v>46.356299999999997</c:v>
                </c:pt>
                <c:pt idx="42">
                  <c:v>46.764600000000002</c:v>
                </c:pt>
                <c:pt idx="43">
                  <c:v>47.169800000000002</c:v>
                </c:pt>
                <c:pt idx="44">
                  <c:v>47.575000000000003</c:v>
                </c:pt>
                <c:pt idx="45">
                  <c:v>47.980800000000002</c:v>
                </c:pt>
                <c:pt idx="46">
                  <c:v>48.387999999999998</c:v>
                </c:pt>
                <c:pt idx="47">
                  <c:v>48.795400000000001</c:v>
                </c:pt>
                <c:pt idx="48">
                  <c:v>49.203499999999998</c:v>
                </c:pt>
                <c:pt idx="49">
                  <c:v>49.607900000000001</c:v>
                </c:pt>
                <c:pt idx="50">
                  <c:v>50.012500000000003</c:v>
                </c:pt>
                <c:pt idx="51">
                  <c:v>50.421900000000001</c:v>
                </c:pt>
                <c:pt idx="52">
                  <c:v>50.828600000000002</c:v>
                </c:pt>
                <c:pt idx="53">
                  <c:v>51.230600000000003</c:v>
                </c:pt>
                <c:pt idx="54">
                  <c:v>51.6477</c:v>
                </c:pt>
                <c:pt idx="55">
                  <c:v>52.044400000000003</c:v>
                </c:pt>
                <c:pt idx="56">
                  <c:v>52.454700000000003</c:v>
                </c:pt>
                <c:pt idx="57">
                  <c:v>52.857399999999998</c:v>
                </c:pt>
                <c:pt idx="58">
                  <c:v>53.262700000000002</c:v>
                </c:pt>
                <c:pt idx="59">
                  <c:v>53.668399999999998</c:v>
                </c:pt>
                <c:pt idx="60">
                  <c:v>54.077800000000003</c:v>
                </c:pt>
                <c:pt idx="61">
                  <c:v>54.482799999999997</c:v>
                </c:pt>
                <c:pt idx="62">
                  <c:v>54.8872</c:v>
                </c:pt>
                <c:pt idx="63">
                  <c:v>55.292499999999997</c:v>
                </c:pt>
                <c:pt idx="64">
                  <c:v>55.700299999999999</c:v>
                </c:pt>
                <c:pt idx="65">
                  <c:v>56.108699999999999</c:v>
                </c:pt>
                <c:pt idx="66">
                  <c:v>56.5139</c:v>
                </c:pt>
                <c:pt idx="67">
                  <c:v>56.917499999999997</c:v>
                </c:pt>
                <c:pt idx="68">
                  <c:v>57.3245</c:v>
                </c:pt>
                <c:pt idx="69">
                  <c:v>57.734000000000002</c:v>
                </c:pt>
                <c:pt idx="70">
                  <c:v>58.142899999999997</c:v>
                </c:pt>
                <c:pt idx="71">
                  <c:v>58.546199999999999</c:v>
                </c:pt>
                <c:pt idx="72">
                  <c:v>58.950800000000001</c:v>
                </c:pt>
                <c:pt idx="73">
                  <c:v>59.355499999999999</c:v>
                </c:pt>
                <c:pt idx="74">
                  <c:v>59.765900000000002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2.7909699999999997</c:v>
                </c:pt>
                <c:pt idx="1">
                  <c:v>2.8045900000000001</c:v>
                </c:pt>
                <c:pt idx="2">
                  <c:v>2.8157100000000002</c:v>
                </c:pt>
                <c:pt idx="3">
                  <c:v>2.8211599999999999</c:v>
                </c:pt>
                <c:pt idx="4">
                  <c:v>2.8223599999999998</c:v>
                </c:pt>
                <c:pt idx="5">
                  <c:v>2.8218199999999998</c:v>
                </c:pt>
                <c:pt idx="6">
                  <c:v>2.8207599999999999</c:v>
                </c:pt>
                <c:pt idx="7">
                  <c:v>2.8179400000000001</c:v>
                </c:pt>
                <c:pt idx="8">
                  <c:v>2.8111299999999999</c:v>
                </c:pt>
                <c:pt idx="9">
                  <c:v>2.7987500000000001</c:v>
                </c:pt>
                <c:pt idx="10">
                  <c:v>2.7839199999999997</c:v>
                </c:pt>
                <c:pt idx="11">
                  <c:v>2.7647200000000001</c:v>
                </c:pt>
                <c:pt idx="12">
                  <c:v>2.7446100000000002</c:v>
                </c:pt>
                <c:pt idx="13">
                  <c:v>2.7207699999999999</c:v>
                </c:pt>
                <c:pt idx="14">
                  <c:v>2.69259</c:v>
                </c:pt>
                <c:pt idx="15">
                  <c:v>2.6622600000000003</c:v>
                </c:pt>
                <c:pt idx="16">
                  <c:v>2.6299399999999999</c:v>
                </c:pt>
                <c:pt idx="17">
                  <c:v>2.5973099999999998</c:v>
                </c:pt>
                <c:pt idx="18">
                  <c:v>2.5701700000000001</c:v>
                </c:pt>
                <c:pt idx="19">
                  <c:v>2.5440299999999998</c:v>
                </c:pt>
                <c:pt idx="20">
                  <c:v>2.5171700000000001</c:v>
                </c:pt>
                <c:pt idx="21">
                  <c:v>2.49133</c:v>
                </c:pt>
                <c:pt idx="22">
                  <c:v>2.4672200000000002</c:v>
                </c:pt>
                <c:pt idx="23">
                  <c:v>2.4448500000000002</c:v>
                </c:pt>
                <c:pt idx="24">
                  <c:v>2.4281299999999999</c:v>
                </c:pt>
                <c:pt idx="25">
                  <c:v>2.4146899999999998</c:v>
                </c:pt>
                <c:pt idx="26">
                  <c:v>2.4025799999999999</c:v>
                </c:pt>
                <c:pt idx="27">
                  <c:v>2.39411</c:v>
                </c:pt>
                <c:pt idx="28">
                  <c:v>2.3903400000000001</c:v>
                </c:pt>
                <c:pt idx="29">
                  <c:v>2.3890799999999999</c:v>
                </c:pt>
                <c:pt idx="30">
                  <c:v>2.3925900000000002</c:v>
                </c:pt>
                <c:pt idx="31">
                  <c:v>2.3992900000000001</c:v>
                </c:pt>
                <c:pt idx="32">
                  <c:v>2.40862</c:v>
                </c:pt>
                <c:pt idx="33">
                  <c:v>2.42069</c:v>
                </c:pt>
                <c:pt idx="34">
                  <c:v>2.4344700000000001</c:v>
                </c:pt>
                <c:pt idx="35">
                  <c:v>2.45017</c:v>
                </c:pt>
                <c:pt idx="36">
                  <c:v>2.4704300000000003</c:v>
                </c:pt>
                <c:pt idx="37">
                  <c:v>2.4914200000000002</c:v>
                </c:pt>
                <c:pt idx="38">
                  <c:v>2.5146699999999997</c:v>
                </c:pt>
                <c:pt idx="39">
                  <c:v>2.5366300000000002</c:v>
                </c:pt>
                <c:pt idx="40">
                  <c:v>2.5548100000000002</c:v>
                </c:pt>
                <c:pt idx="41">
                  <c:v>2.5712299999999999</c:v>
                </c:pt>
                <c:pt idx="42">
                  <c:v>2.5884800000000001</c:v>
                </c:pt>
                <c:pt idx="43">
                  <c:v>2.6055099999999998</c:v>
                </c:pt>
                <c:pt idx="44">
                  <c:v>2.6233</c:v>
                </c:pt>
                <c:pt idx="45">
                  <c:v>2.6418699999999999</c:v>
                </c:pt>
                <c:pt idx="46">
                  <c:v>2.6618199999999996</c:v>
                </c:pt>
                <c:pt idx="47">
                  <c:v>2.68147</c:v>
                </c:pt>
                <c:pt idx="48">
                  <c:v>2.7036300000000004</c:v>
                </c:pt>
                <c:pt idx="49">
                  <c:v>2.7245499999999998</c:v>
                </c:pt>
                <c:pt idx="50">
                  <c:v>2.7434599999999998</c:v>
                </c:pt>
                <c:pt idx="51">
                  <c:v>2.7513300000000003</c:v>
                </c:pt>
                <c:pt idx="52">
                  <c:v>2.7584799999999996</c:v>
                </c:pt>
                <c:pt idx="53">
                  <c:v>2.7670699999999999</c:v>
                </c:pt>
                <c:pt idx="54">
                  <c:v>2.7780700000000005</c:v>
                </c:pt>
                <c:pt idx="55">
                  <c:v>2.7866600000000004</c:v>
                </c:pt>
                <c:pt idx="56">
                  <c:v>2.7929500000000003</c:v>
                </c:pt>
                <c:pt idx="57">
                  <c:v>2.7979900000000004</c:v>
                </c:pt>
                <c:pt idx="58">
                  <c:v>2.8046199999999999</c:v>
                </c:pt>
                <c:pt idx="59">
                  <c:v>2.8135700000000003</c:v>
                </c:pt>
                <c:pt idx="60">
                  <c:v>2.8212900000000003</c:v>
                </c:pt>
                <c:pt idx="61">
                  <c:v>2.8237399999999999</c:v>
                </c:pt>
                <c:pt idx="62">
                  <c:v>2.82626</c:v>
                </c:pt>
                <c:pt idx="63">
                  <c:v>2.82646</c:v>
                </c:pt>
                <c:pt idx="64">
                  <c:v>2.8300599999999996</c:v>
                </c:pt>
                <c:pt idx="65">
                  <c:v>2.8414699999999997</c:v>
                </c:pt>
                <c:pt idx="66">
                  <c:v>2.8595600000000001</c:v>
                </c:pt>
                <c:pt idx="67">
                  <c:v>2.8745500000000002</c:v>
                </c:pt>
                <c:pt idx="68">
                  <c:v>2.8887099999999997</c:v>
                </c:pt>
                <c:pt idx="69">
                  <c:v>2.9069699999999998</c:v>
                </c:pt>
                <c:pt idx="70">
                  <c:v>2.9304100000000002</c:v>
                </c:pt>
                <c:pt idx="71">
                  <c:v>2.9539800000000001</c:v>
                </c:pt>
                <c:pt idx="72">
                  <c:v>2.9847600000000001</c:v>
                </c:pt>
                <c:pt idx="73">
                  <c:v>2.99831</c:v>
                </c:pt>
                <c:pt idx="74">
                  <c:v>2.9897600000000004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14.941475000000001</c:v>
                </c:pt>
                <c:pt idx="1">
                  <c:v>44.824425000000005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2.5788624324324312</c:v>
                </c:pt>
                <c:pt idx="1">
                  <c:v>2.6812186486486489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0.40407799999999999</c:v>
                </c:pt>
                <c:pt idx="2">
                  <c:v>0.80802200000000002</c:v>
                </c:pt>
                <c:pt idx="3">
                  <c:v>1.21567</c:v>
                </c:pt>
                <c:pt idx="4">
                  <c:v>1.6254599999999999</c:v>
                </c:pt>
                <c:pt idx="5">
                  <c:v>2.03085</c:v>
                </c:pt>
                <c:pt idx="6">
                  <c:v>2.4357199999999999</c:v>
                </c:pt>
                <c:pt idx="7">
                  <c:v>2.8406699999999998</c:v>
                </c:pt>
                <c:pt idx="8">
                  <c:v>3.2472799999999999</c:v>
                </c:pt>
                <c:pt idx="9">
                  <c:v>3.6533000000000002</c:v>
                </c:pt>
                <c:pt idx="10">
                  <c:v>4.0647399999999996</c:v>
                </c:pt>
                <c:pt idx="11">
                  <c:v>4.46713</c:v>
                </c:pt>
                <c:pt idx="12">
                  <c:v>4.8724400000000001</c:v>
                </c:pt>
                <c:pt idx="13">
                  <c:v>5.2766200000000003</c:v>
                </c:pt>
                <c:pt idx="14">
                  <c:v>5.6858500000000003</c:v>
                </c:pt>
                <c:pt idx="15">
                  <c:v>6.0964799999999997</c:v>
                </c:pt>
                <c:pt idx="16">
                  <c:v>6.4991700000000003</c:v>
                </c:pt>
                <c:pt idx="17">
                  <c:v>6.9024700000000001</c:v>
                </c:pt>
                <c:pt idx="18">
                  <c:v>7.3084600000000002</c:v>
                </c:pt>
                <c:pt idx="19">
                  <c:v>7.7183700000000002</c:v>
                </c:pt>
                <c:pt idx="20">
                  <c:v>8.1241400000000006</c:v>
                </c:pt>
                <c:pt idx="21">
                  <c:v>8.5271699999999999</c:v>
                </c:pt>
                <c:pt idx="22">
                  <c:v>8.9347499999999993</c:v>
                </c:pt>
                <c:pt idx="23">
                  <c:v>9.3397299999999994</c:v>
                </c:pt>
                <c:pt idx="24">
                  <c:v>9.7497000000000007</c:v>
                </c:pt>
                <c:pt idx="25">
                  <c:v>10.157400000000001</c:v>
                </c:pt>
                <c:pt idx="26">
                  <c:v>10.561999999999999</c:v>
                </c:pt>
                <c:pt idx="27">
                  <c:v>10.9664</c:v>
                </c:pt>
                <c:pt idx="28">
                  <c:v>11.3721</c:v>
                </c:pt>
                <c:pt idx="29">
                  <c:v>11.782500000000001</c:v>
                </c:pt>
                <c:pt idx="30">
                  <c:v>12.1867</c:v>
                </c:pt>
                <c:pt idx="31">
                  <c:v>12.593299999999999</c:v>
                </c:pt>
                <c:pt idx="32">
                  <c:v>12.997299999999999</c:v>
                </c:pt>
                <c:pt idx="33">
                  <c:v>13.402699999999999</c:v>
                </c:pt>
                <c:pt idx="34">
                  <c:v>13.809799999999999</c:v>
                </c:pt>
                <c:pt idx="35">
                  <c:v>14.2141</c:v>
                </c:pt>
                <c:pt idx="36">
                  <c:v>14.6205</c:v>
                </c:pt>
                <c:pt idx="37">
                  <c:v>15.0311</c:v>
                </c:pt>
                <c:pt idx="38">
                  <c:v>15.4373</c:v>
                </c:pt>
                <c:pt idx="39">
                  <c:v>15.846500000000001</c:v>
                </c:pt>
                <c:pt idx="40">
                  <c:v>16.2453</c:v>
                </c:pt>
                <c:pt idx="41">
                  <c:v>16.655200000000001</c:v>
                </c:pt>
                <c:pt idx="42">
                  <c:v>17.065300000000001</c:v>
                </c:pt>
                <c:pt idx="43">
                  <c:v>17.468499999999999</c:v>
                </c:pt>
                <c:pt idx="44">
                  <c:v>17.872499999999999</c:v>
                </c:pt>
                <c:pt idx="45">
                  <c:v>18.277799999999999</c:v>
                </c:pt>
                <c:pt idx="46">
                  <c:v>18.683800000000002</c:v>
                </c:pt>
                <c:pt idx="47">
                  <c:v>19.093800000000002</c:v>
                </c:pt>
                <c:pt idx="48">
                  <c:v>19.5</c:v>
                </c:pt>
                <c:pt idx="49">
                  <c:v>19.906199999999998</c:v>
                </c:pt>
                <c:pt idx="50">
                  <c:v>20.3093</c:v>
                </c:pt>
                <c:pt idx="51">
                  <c:v>20.7136</c:v>
                </c:pt>
                <c:pt idx="52">
                  <c:v>21.1252</c:v>
                </c:pt>
                <c:pt idx="53">
                  <c:v>21.530200000000001</c:v>
                </c:pt>
                <c:pt idx="54">
                  <c:v>21.938300000000002</c:v>
                </c:pt>
                <c:pt idx="55">
                  <c:v>22.343</c:v>
                </c:pt>
                <c:pt idx="56">
                  <c:v>22.748100000000001</c:v>
                </c:pt>
                <c:pt idx="57">
                  <c:v>23.154900000000001</c:v>
                </c:pt>
                <c:pt idx="58">
                  <c:v>23.5593</c:v>
                </c:pt>
                <c:pt idx="59">
                  <c:v>23.967600000000001</c:v>
                </c:pt>
                <c:pt idx="60">
                  <c:v>24.372499999999999</c:v>
                </c:pt>
                <c:pt idx="61">
                  <c:v>24.782900000000001</c:v>
                </c:pt>
                <c:pt idx="62">
                  <c:v>25.184100000000001</c:v>
                </c:pt>
                <c:pt idx="63">
                  <c:v>25.593699999999998</c:v>
                </c:pt>
                <c:pt idx="64">
                  <c:v>25.998100000000001</c:v>
                </c:pt>
                <c:pt idx="65">
                  <c:v>26.405899999999999</c:v>
                </c:pt>
                <c:pt idx="66">
                  <c:v>26.808599999999998</c:v>
                </c:pt>
                <c:pt idx="67">
                  <c:v>27.2182</c:v>
                </c:pt>
                <c:pt idx="68">
                  <c:v>27.625299999999999</c:v>
                </c:pt>
                <c:pt idx="69">
                  <c:v>28.0334</c:v>
                </c:pt>
                <c:pt idx="70">
                  <c:v>28.439</c:v>
                </c:pt>
                <c:pt idx="71">
                  <c:v>28.841200000000001</c:v>
                </c:pt>
                <c:pt idx="72">
                  <c:v>29.245899999999999</c:v>
                </c:pt>
                <c:pt idx="73">
                  <c:v>29.653700000000001</c:v>
                </c:pt>
                <c:pt idx="74">
                  <c:v>30.062899999999999</c:v>
                </c:pt>
                <c:pt idx="75">
                  <c:v>30.528700000000001</c:v>
                </c:pt>
                <c:pt idx="76">
                  <c:v>30.933499999999999</c:v>
                </c:pt>
                <c:pt idx="77">
                  <c:v>31.328800000000001</c:v>
                </c:pt>
                <c:pt idx="78">
                  <c:v>31.732500000000002</c:v>
                </c:pt>
                <c:pt idx="79">
                  <c:v>32.139400000000002</c:v>
                </c:pt>
                <c:pt idx="80">
                  <c:v>32.542999999999999</c:v>
                </c:pt>
                <c:pt idx="81">
                  <c:v>32.949199999999998</c:v>
                </c:pt>
                <c:pt idx="82">
                  <c:v>33.354599999999998</c:v>
                </c:pt>
                <c:pt idx="83">
                  <c:v>33.763300000000001</c:v>
                </c:pt>
                <c:pt idx="84">
                  <c:v>34.174399999999999</c:v>
                </c:pt>
                <c:pt idx="85">
                  <c:v>34.578299999999999</c:v>
                </c:pt>
                <c:pt idx="86">
                  <c:v>34.981400000000001</c:v>
                </c:pt>
                <c:pt idx="87">
                  <c:v>35.387599999999999</c:v>
                </c:pt>
                <c:pt idx="88">
                  <c:v>35.792999999999999</c:v>
                </c:pt>
                <c:pt idx="89">
                  <c:v>36.204300000000003</c:v>
                </c:pt>
                <c:pt idx="90">
                  <c:v>36.608699999999999</c:v>
                </c:pt>
                <c:pt idx="91">
                  <c:v>37.013399999999997</c:v>
                </c:pt>
                <c:pt idx="92">
                  <c:v>37.418599999999998</c:v>
                </c:pt>
                <c:pt idx="93">
                  <c:v>37.829500000000003</c:v>
                </c:pt>
                <c:pt idx="94">
                  <c:v>38.234299999999998</c:v>
                </c:pt>
                <c:pt idx="95">
                  <c:v>38.639899999999997</c:v>
                </c:pt>
                <c:pt idx="96">
                  <c:v>39.043700000000001</c:v>
                </c:pt>
                <c:pt idx="97">
                  <c:v>39.4499</c:v>
                </c:pt>
                <c:pt idx="98">
                  <c:v>39.858600000000003</c:v>
                </c:pt>
                <c:pt idx="99">
                  <c:v>40.266100000000002</c:v>
                </c:pt>
                <c:pt idx="100">
                  <c:v>40.6723</c:v>
                </c:pt>
                <c:pt idx="101">
                  <c:v>41.073599999999999</c:v>
                </c:pt>
                <c:pt idx="102">
                  <c:v>41.481299999999997</c:v>
                </c:pt>
                <c:pt idx="103">
                  <c:v>41.891599999999997</c:v>
                </c:pt>
                <c:pt idx="104">
                  <c:v>42.2943</c:v>
                </c:pt>
                <c:pt idx="105">
                  <c:v>42.701599999999999</c:v>
                </c:pt>
                <c:pt idx="106">
                  <c:v>43.108499999999999</c:v>
                </c:pt>
                <c:pt idx="107">
                  <c:v>43.511699999999998</c:v>
                </c:pt>
                <c:pt idx="108">
                  <c:v>43.919800000000002</c:v>
                </c:pt>
                <c:pt idx="109">
                  <c:v>44.3277</c:v>
                </c:pt>
                <c:pt idx="110">
                  <c:v>44.734499999999997</c:v>
                </c:pt>
                <c:pt idx="111">
                  <c:v>45.141399999999997</c:v>
                </c:pt>
                <c:pt idx="112">
                  <c:v>45.546700000000001</c:v>
                </c:pt>
                <c:pt idx="113">
                  <c:v>45.950800000000001</c:v>
                </c:pt>
                <c:pt idx="114">
                  <c:v>46.356299999999997</c:v>
                </c:pt>
                <c:pt idx="115">
                  <c:v>46.764600000000002</c:v>
                </c:pt>
                <c:pt idx="116">
                  <c:v>47.169800000000002</c:v>
                </c:pt>
                <c:pt idx="117">
                  <c:v>47.575000000000003</c:v>
                </c:pt>
                <c:pt idx="118">
                  <c:v>47.980800000000002</c:v>
                </c:pt>
                <c:pt idx="119">
                  <c:v>48.387999999999998</c:v>
                </c:pt>
                <c:pt idx="120">
                  <c:v>48.795400000000001</c:v>
                </c:pt>
                <c:pt idx="121">
                  <c:v>49.203499999999998</c:v>
                </c:pt>
                <c:pt idx="122">
                  <c:v>49.607900000000001</c:v>
                </c:pt>
                <c:pt idx="123">
                  <c:v>50.012500000000003</c:v>
                </c:pt>
                <c:pt idx="124">
                  <c:v>50.421900000000001</c:v>
                </c:pt>
                <c:pt idx="125">
                  <c:v>50.828600000000002</c:v>
                </c:pt>
                <c:pt idx="126">
                  <c:v>51.230600000000003</c:v>
                </c:pt>
                <c:pt idx="127">
                  <c:v>51.6477</c:v>
                </c:pt>
                <c:pt idx="128">
                  <c:v>52.044400000000003</c:v>
                </c:pt>
                <c:pt idx="129">
                  <c:v>52.454700000000003</c:v>
                </c:pt>
                <c:pt idx="130">
                  <c:v>52.857399999999998</c:v>
                </c:pt>
                <c:pt idx="131">
                  <c:v>53.262700000000002</c:v>
                </c:pt>
                <c:pt idx="132">
                  <c:v>53.668399999999998</c:v>
                </c:pt>
                <c:pt idx="133">
                  <c:v>54.077800000000003</c:v>
                </c:pt>
                <c:pt idx="134">
                  <c:v>54.482799999999997</c:v>
                </c:pt>
                <c:pt idx="135">
                  <c:v>54.8872</c:v>
                </c:pt>
                <c:pt idx="136">
                  <c:v>55.292499999999997</c:v>
                </c:pt>
                <c:pt idx="137">
                  <c:v>55.700299999999999</c:v>
                </c:pt>
                <c:pt idx="138">
                  <c:v>56.108699999999999</c:v>
                </c:pt>
                <c:pt idx="139">
                  <c:v>56.5139</c:v>
                </c:pt>
                <c:pt idx="140">
                  <c:v>56.917499999999997</c:v>
                </c:pt>
                <c:pt idx="141">
                  <c:v>57.3245</c:v>
                </c:pt>
                <c:pt idx="142">
                  <c:v>57.734000000000002</c:v>
                </c:pt>
                <c:pt idx="143">
                  <c:v>58.142899999999997</c:v>
                </c:pt>
                <c:pt idx="144">
                  <c:v>58.546199999999999</c:v>
                </c:pt>
                <c:pt idx="145">
                  <c:v>58.950800000000001</c:v>
                </c:pt>
                <c:pt idx="146">
                  <c:v>59.355499999999999</c:v>
                </c:pt>
                <c:pt idx="147">
                  <c:v>59.765900000000002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69.248800000000003</c:v>
                </c:pt>
                <c:pt idx="1">
                  <c:v>68.552500000000009</c:v>
                </c:pt>
                <c:pt idx="2">
                  <c:v>67.555099999999996</c:v>
                </c:pt>
                <c:pt idx="3">
                  <c:v>66.272599999999997</c:v>
                </c:pt>
                <c:pt idx="4">
                  <c:v>64.854100000000003</c:v>
                </c:pt>
                <c:pt idx="5">
                  <c:v>63.165300000000002</c:v>
                </c:pt>
                <c:pt idx="6">
                  <c:v>61.429400000000001</c:v>
                </c:pt>
                <c:pt idx="7">
                  <c:v>59.870199999999997</c:v>
                </c:pt>
                <c:pt idx="8">
                  <c:v>58.291899999999998</c:v>
                </c:pt>
                <c:pt idx="9">
                  <c:v>56.592600000000004</c:v>
                </c:pt>
                <c:pt idx="10">
                  <c:v>55.003700000000002</c:v>
                </c:pt>
                <c:pt idx="11">
                  <c:v>53.323799999999999</c:v>
                </c:pt>
                <c:pt idx="12">
                  <c:v>51.790300000000002</c:v>
                </c:pt>
                <c:pt idx="13">
                  <c:v>50.054299999999998</c:v>
                </c:pt>
                <c:pt idx="14">
                  <c:v>48.352800000000002</c:v>
                </c:pt>
                <c:pt idx="15">
                  <c:v>46.805999999999997</c:v>
                </c:pt>
                <c:pt idx="16">
                  <c:v>45.530500000000004</c:v>
                </c:pt>
                <c:pt idx="17">
                  <c:v>44.2485</c:v>
                </c:pt>
                <c:pt idx="18">
                  <c:v>43.021999999999998</c:v>
                </c:pt>
                <c:pt idx="19">
                  <c:v>41.925800000000002</c:v>
                </c:pt>
                <c:pt idx="20">
                  <c:v>41.000399999999999</c:v>
                </c:pt>
                <c:pt idx="21">
                  <c:v>40.302300000000002</c:v>
                </c:pt>
                <c:pt idx="22">
                  <c:v>39.727800000000002</c:v>
                </c:pt>
                <c:pt idx="23">
                  <c:v>39.182899999999997</c:v>
                </c:pt>
                <c:pt idx="24">
                  <c:v>38.703299999999999</c:v>
                </c:pt>
                <c:pt idx="25">
                  <c:v>38.346499999999999</c:v>
                </c:pt>
                <c:pt idx="26">
                  <c:v>38.096000000000004</c:v>
                </c:pt>
                <c:pt idx="27">
                  <c:v>37.811299999999996</c:v>
                </c:pt>
                <c:pt idx="28">
                  <c:v>37.520600000000002</c:v>
                </c:pt>
                <c:pt idx="29">
                  <c:v>37.302800000000005</c:v>
                </c:pt>
                <c:pt idx="30">
                  <c:v>37.099399999999996</c:v>
                </c:pt>
                <c:pt idx="31">
                  <c:v>36.932299999999998</c:v>
                </c:pt>
                <c:pt idx="32">
                  <c:v>36.813600000000001</c:v>
                </c:pt>
                <c:pt idx="33">
                  <c:v>36.725999999999999</c:v>
                </c:pt>
                <c:pt idx="34">
                  <c:v>36.610799999999998</c:v>
                </c:pt>
                <c:pt idx="35">
                  <c:v>36.485700000000001</c:v>
                </c:pt>
                <c:pt idx="36">
                  <c:v>36.374200000000002</c:v>
                </c:pt>
                <c:pt idx="37">
                  <c:v>36.316199999999995</c:v>
                </c:pt>
                <c:pt idx="38">
                  <c:v>36.313099999999999</c:v>
                </c:pt>
                <c:pt idx="39">
                  <c:v>36.363500000000002</c:v>
                </c:pt>
                <c:pt idx="40">
                  <c:v>36.569400000000002</c:v>
                </c:pt>
                <c:pt idx="41">
                  <c:v>36.928400000000003</c:v>
                </c:pt>
                <c:pt idx="42">
                  <c:v>37.369599999999998</c:v>
                </c:pt>
                <c:pt idx="43">
                  <c:v>37.845600000000005</c:v>
                </c:pt>
                <c:pt idx="44">
                  <c:v>38.351800000000004</c:v>
                </c:pt>
                <c:pt idx="45">
                  <c:v>38.878599999999999</c:v>
                </c:pt>
                <c:pt idx="46">
                  <c:v>39.398800000000001</c:v>
                </c:pt>
                <c:pt idx="47">
                  <c:v>39.916699999999999</c:v>
                </c:pt>
                <c:pt idx="48">
                  <c:v>40.490500000000004</c:v>
                </c:pt>
                <c:pt idx="49">
                  <c:v>41.092099999999995</c:v>
                </c:pt>
                <c:pt idx="50">
                  <c:v>41.623199999999997</c:v>
                </c:pt>
                <c:pt idx="51">
                  <c:v>42.210599999999999</c:v>
                </c:pt>
                <c:pt idx="52">
                  <c:v>42.861900000000006</c:v>
                </c:pt>
                <c:pt idx="53">
                  <c:v>43.622499999999995</c:v>
                </c:pt>
                <c:pt idx="54">
                  <c:v>44.256299999999996</c:v>
                </c:pt>
                <c:pt idx="55">
                  <c:v>44.776700000000005</c:v>
                </c:pt>
                <c:pt idx="56">
                  <c:v>45.208999999999996</c:v>
                </c:pt>
                <c:pt idx="57">
                  <c:v>45.598399999999998</c:v>
                </c:pt>
                <c:pt idx="58">
                  <c:v>45.8932</c:v>
                </c:pt>
                <c:pt idx="59">
                  <c:v>46.111899999999999</c:v>
                </c:pt>
                <c:pt idx="60">
                  <c:v>46.363500000000002</c:v>
                </c:pt>
                <c:pt idx="61">
                  <c:v>46.3401</c:v>
                </c:pt>
                <c:pt idx="62">
                  <c:v>46.380700000000004</c:v>
                </c:pt>
                <c:pt idx="63">
                  <c:v>46.174300000000002</c:v>
                </c:pt>
                <c:pt idx="64">
                  <c:v>45.889299999999999</c:v>
                </c:pt>
                <c:pt idx="65">
                  <c:v>45.408000000000001</c:v>
                </c:pt>
                <c:pt idx="66">
                  <c:v>45.2196</c:v>
                </c:pt>
                <c:pt idx="67">
                  <c:v>44.997399999999999</c:v>
                </c:pt>
                <c:pt idx="68">
                  <c:v>44.814300000000003</c:v>
                </c:pt>
                <c:pt idx="69">
                  <c:v>44.698</c:v>
                </c:pt>
                <c:pt idx="70">
                  <c:v>44.612899999999996</c:v>
                </c:pt>
                <c:pt idx="71">
                  <c:v>44.579800000000006</c:v>
                </c:pt>
                <c:pt idx="72">
                  <c:v>44.556200000000004</c:v>
                </c:pt>
                <c:pt idx="73">
                  <c:v>44.676100000000005</c:v>
                </c:pt>
                <c:pt idx="74">
                  <c:v>44.885999999999996</c:v>
                </c:pt>
                <c:pt idx="75">
                  <c:v>45.285399999999996</c:v>
                </c:pt>
                <c:pt idx="76">
                  <c:v>45.570100000000004</c:v>
                </c:pt>
                <c:pt idx="77">
                  <c:v>45.811300000000003</c:v>
                </c:pt>
                <c:pt idx="78">
                  <c:v>46.040199999999999</c:v>
                </c:pt>
                <c:pt idx="79">
                  <c:v>46.312999999999995</c:v>
                </c:pt>
                <c:pt idx="80">
                  <c:v>46.593000000000004</c:v>
                </c:pt>
                <c:pt idx="81">
                  <c:v>46.840199999999996</c:v>
                </c:pt>
                <c:pt idx="82">
                  <c:v>47.033799999999999</c:v>
                </c:pt>
                <c:pt idx="83">
                  <c:v>47.182299999999998</c:v>
                </c:pt>
                <c:pt idx="84">
                  <c:v>47.3172</c:v>
                </c:pt>
                <c:pt idx="85">
                  <c:v>47.491399999999999</c:v>
                </c:pt>
                <c:pt idx="86">
                  <c:v>47.730899999999998</c:v>
                </c:pt>
                <c:pt idx="87">
                  <c:v>48.020800000000001</c:v>
                </c:pt>
                <c:pt idx="88">
                  <c:v>48.378900000000002</c:v>
                </c:pt>
                <c:pt idx="89">
                  <c:v>48.856200000000001</c:v>
                </c:pt>
                <c:pt idx="90">
                  <c:v>49.391800000000003</c:v>
                </c:pt>
                <c:pt idx="91">
                  <c:v>49.834099999999999</c:v>
                </c:pt>
                <c:pt idx="92">
                  <c:v>50.266900000000007</c:v>
                </c:pt>
                <c:pt idx="93">
                  <c:v>50.714599999999997</c:v>
                </c:pt>
                <c:pt idx="94">
                  <c:v>51.181699999999999</c:v>
                </c:pt>
                <c:pt idx="95">
                  <c:v>51.656800000000004</c:v>
                </c:pt>
                <c:pt idx="96">
                  <c:v>52.107300000000002</c:v>
                </c:pt>
                <c:pt idx="97">
                  <c:v>52.450600000000001</c:v>
                </c:pt>
                <c:pt idx="98">
                  <c:v>52.639100000000006</c:v>
                </c:pt>
                <c:pt idx="99">
                  <c:v>52.748799999999996</c:v>
                </c:pt>
                <c:pt idx="100">
                  <c:v>52.764500000000005</c:v>
                </c:pt>
                <c:pt idx="101">
                  <c:v>52.677799999999998</c:v>
                </c:pt>
                <c:pt idx="102">
                  <c:v>52.5595</c:v>
                </c:pt>
                <c:pt idx="103">
                  <c:v>52.351800000000004</c:v>
                </c:pt>
                <c:pt idx="104">
                  <c:v>52.027699999999996</c:v>
                </c:pt>
                <c:pt idx="105">
                  <c:v>51.637900000000002</c:v>
                </c:pt>
                <c:pt idx="106">
                  <c:v>51.1768</c:v>
                </c:pt>
                <c:pt idx="107">
                  <c:v>50.736899999999999</c:v>
                </c:pt>
                <c:pt idx="108">
                  <c:v>50.269699999999993</c:v>
                </c:pt>
                <c:pt idx="109">
                  <c:v>49.739800000000002</c:v>
                </c:pt>
                <c:pt idx="110">
                  <c:v>49.233399999999996</c:v>
                </c:pt>
                <c:pt idx="111">
                  <c:v>48.749199999999995</c:v>
                </c:pt>
                <c:pt idx="112">
                  <c:v>48.364800000000002</c:v>
                </c:pt>
                <c:pt idx="113">
                  <c:v>48.056100000000001</c:v>
                </c:pt>
                <c:pt idx="114">
                  <c:v>47.714800000000004</c:v>
                </c:pt>
                <c:pt idx="115">
                  <c:v>47.3673</c:v>
                </c:pt>
                <c:pt idx="116">
                  <c:v>47.0625</c:v>
                </c:pt>
                <c:pt idx="117">
                  <c:v>46.787800000000004</c:v>
                </c:pt>
                <c:pt idx="118">
                  <c:v>46.506799999999998</c:v>
                </c:pt>
                <c:pt idx="119">
                  <c:v>46.17</c:v>
                </c:pt>
                <c:pt idx="120">
                  <c:v>45.817600000000006</c:v>
                </c:pt>
                <c:pt idx="121">
                  <c:v>45.393799999999999</c:v>
                </c:pt>
                <c:pt idx="122">
                  <c:v>44.930199999999999</c:v>
                </c:pt>
                <c:pt idx="123">
                  <c:v>44.5809</c:v>
                </c:pt>
                <c:pt idx="124">
                  <c:v>44.425699999999999</c:v>
                </c:pt>
                <c:pt idx="125">
                  <c:v>44.2547</c:v>
                </c:pt>
                <c:pt idx="126">
                  <c:v>44.0762</c:v>
                </c:pt>
                <c:pt idx="127">
                  <c:v>43.872</c:v>
                </c:pt>
                <c:pt idx="128">
                  <c:v>43.623800000000003</c:v>
                </c:pt>
                <c:pt idx="129">
                  <c:v>43.388599999999997</c:v>
                </c:pt>
                <c:pt idx="130">
                  <c:v>43.150300000000001</c:v>
                </c:pt>
                <c:pt idx="131">
                  <c:v>42.964599999999997</c:v>
                </c:pt>
                <c:pt idx="132">
                  <c:v>42.767699999999998</c:v>
                </c:pt>
                <c:pt idx="133">
                  <c:v>42.582099999999997</c:v>
                </c:pt>
                <c:pt idx="134">
                  <c:v>42.446400000000004</c:v>
                </c:pt>
                <c:pt idx="135">
                  <c:v>42.289200000000001</c:v>
                </c:pt>
                <c:pt idx="136">
                  <c:v>42.112000000000002</c:v>
                </c:pt>
                <c:pt idx="137">
                  <c:v>41.856700000000004</c:v>
                </c:pt>
                <c:pt idx="138">
                  <c:v>41.580800000000004</c:v>
                </c:pt>
                <c:pt idx="139">
                  <c:v>41.453899999999997</c:v>
                </c:pt>
                <c:pt idx="140">
                  <c:v>41.402000000000001</c:v>
                </c:pt>
                <c:pt idx="141">
                  <c:v>41.305599999999998</c:v>
                </c:pt>
                <c:pt idx="142">
                  <c:v>41.070499999999996</c:v>
                </c:pt>
                <c:pt idx="143">
                  <c:v>40.784999999999997</c:v>
                </c:pt>
                <c:pt idx="144">
                  <c:v>40.613100000000003</c:v>
                </c:pt>
                <c:pt idx="145">
                  <c:v>40.485100000000003</c:v>
                </c:pt>
                <c:pt idx="146">
                  <c:v>40.7515</c:v>
                </c:pt>
                <c:pt idx="147">
                  <c:v>41.589700000000001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0.40407799999999999</c:v>
                </c:pt>
                <c:pt idx="2">
                  <c:v>0.80802200000000002</c:v>
                </c:pt>
                <c:pt idx="3">
                  <c:v>1.21567</c:v>
                </c:pt>
                <c:pt idx="4">
                  <c:v>1.6254599999999999</c:v>
                </c:pt>
                <c:pt idx="5">
                  <c:v>2.03085</c:v>
                </c:pt>
                <c:pt idx="6">
                  <c:v>2.4357199999999999</c:v>
                </c:pt>
                <c:pt idx="7">
                  <c:v>2.8406699999999998</c:v>
                </c:pt>
                <c:pt idx="8">
                  <c:v>3.2472799999999999</c:v>
                </c:pt>
                <c:pt idx="9">
                  <c:v>3.6533000000000002</c:v>
                </c:pt>
                <c:pt idx="10">
                  <c:v>4.0647399999999996</c:v>
                </c:pt>
                <c:pt idx="11">
                  <c:v>4.46713</c:v>
                </c:pt>
                <c:pt idx="12">
                  <c:v>4.8724400000000001</c:v>
                </c:pt>
                <c:pt idx="13">
                  <c:v>5.2766200000000003</c:v>
                </c:pt>
                <c:pt idx="14">
                  <c:v>5.6858500000000003</c:v>
                </c:pt>
                <c:pt idx="15">
                  <c:v>6.0964799999999997</c:v>
                </c:pt>
                <c:pt idx="16">
                  <c:v>6.4991700000000003</c:v>
                </c:pt>
                <c:pt idx="17">
                  <c:v>6.9024700000000001</c:v>
                </c:pt>
                <c:pt idx="18">
                  <c:v>7.3084600000000002</c:v>
                </c:pt>
                <c:pt idx="19">
                  <c:v>7.7183700000000002</c:v>
                </c:pt>
                <c:pt idx="20">
                  <c:v>8.1241400000000006</c:v>
                </c:pt>
                <c:pt idx="21">
                  <c:v>8.5271699999999999</c:v>
                </c:pt>
                <c:pt idx="22">
                  <c:v>8.9347499999999993</c:v>
                </c:pt>
                <c:pt idx="23">
                  <c:v>9.3397299999999994</c:v>
                </c:pt>
                <c:pt idx="24">
                  <c:v>9.7497000000000007</c:v>
                </c:pt>
                <c:pt idx="25">
                  <c:v>10.157400000000001</c:v>
                </c:pt>
                <c:pt idx="26">
                  <c:v>10.561999999999999</c:v>
                </c:pt>
                <c:pt idx="27">
                  <c:v>10.9664</c:v>
                </c:pt>
                <c:pt idx="28">
                  <c:v>11.3721</c:v>
                </c:pt>
                <c:pt idx="29">
                  <c:v>11.782500000000001</c:v>
                </c:pt>
                <c:pt idx="30">
                  <c:v>12.1867</c:v>
                </c:pt>
                <c:pt idx="31">
                  <c:v>12.593299999999999</c:v>
                </c:pt>
                <c:pt idx="32">
                  <c:v>12.997299999999999</c:v>
                </c:pt>
                <c:pt idx="33">
                  <c:v>13.402699999999999</c:v>
                </c:pt>
                <c:pt idx="34">
                  <c:v>13.809799999999999</c:v>
                </c:pt>
                <c:pt idx="35">
                  <c:v>14.2141</c:v>
                </c:pt>
                <c:pt idx="36">
                  <c:v>14.6205</c:v>
                </c:pt>
                <c:pt idx="37">
                  <c:v>15.0311</c:v>
                </c:pt>
                <c:pt idx="38">
                  <c:v>15.4373</c:v>
                </c:pt>
                <c:pt idx="39">
                  <c:v>15.846500000000001</c:v>
                </c:pt>
                <c:pt idx="40">
                  <c:v>16.2453</c:v>
                </c:pt>
                <c:pt idx="41">
                  <c:v>16.655200000000001</c:v>
                </c:pt>
                <c:pt idx="42">
                  <c:v>17.065300000000001</c:v>
                </c:pt>
                <c:pt idx="43">
                  <c:v>17.468499999999999</c:v>
                </c:pt>
                <c:pt idx="44">
                  <c:v>17.872499999999999</c:v>
                </c:pt>
                <c:pt idx="45">
                  <c:v>18.277799999999999</c:v>
                </c:pt>
                <c:pt idx="46">
                  <c:v>18.683800000000002</c:v>
                </c:pt>
                <c:pt idx="47">
                  <c:v>19.093800000000002</c:v>
                </c:pt>
                <c:pt idx="48">
                  <c:v>19.5</c:v>
                </c:pt>
                <c:pt idx="49">
                  <c:v>19.906199999999998</c:v>
                </c:pt>
                <c:pt idx="50">
                  <c:v>20.3093</c:v>
                </c:pt>
                <c:pt idx="51">
                  <c:v>20.7136</c:v>
                </c:pt>
                <c:pt idx="52">
                  <c:v>21.1252</c:v>
                </c:pt>
                <c:pt idx="53">
                  <c:v>21.530200000000001</c:v>
                </c:pt>
                <c:pt idx="54">
                  <c:v>21.938300000000002</c:v>
                </c:pt>
                <c:pt idx="55">
                  <c:v>22.343</c:v>
                </c:pt>
                <c:pt idx="56">
                  <c:v>22.748100000000001</c:v>
                </c:pt>
                <c:pt idx="57">
                  <c:v>23.154900000000001</c:v>
                </c:pt>
                <c:pt idx="58">
                  <c:v>23.5593</c:v>
                </c:pt>
                <c:pt idx="59">
                  <c:v>23.967600000000001</c:v>
                </c:pt>
                <c:pt idx="60">
                  <c:v>24.372499999999999</c:v>
                </c:pt>
                <c:pt idx="61">
                  <c:v>24.782900000000001</c:v>
                </c:pt>
                <c:pt idx="62">
                  <c:v>25.184100000000001</c:v>
                </c:pt>
                <c:pt idx="63">
                  <c:v>25.593699999999998</c:v>
                </c:pt>
                <c:pt idx="64">
                  <c:v>25.998100000000001</c:v>
                </c:pt>
                <c:pt idx="65">
                  <c:v>26.405899999999999</c:v>
                </c:pt>
                <c:pt idx="66">
                  <c:v>26.808599999999998</c:v>
                </c:pt>
                <c:pt idx="67">
                  <c:v>27.2182</c:v>
                </c:pt>
                <c:pt idx="68">
                  <c:v>27.625299999999999</c:v>
                </c:pt>
                <c:pt idx="69">
                  <c:v>28.0334</c:v>
                </c:pt>
                <c:pt idx="70">
                  <c:v>28.439</c:v>
                </c:pt>
                <c:pt idx="71">
                  <c:v>28.841200000000001</c:v>
                </c:pt>
                <c:pt idx="72">
                  <c:v>29.245899999999999</c:v>
                </c:pt>
                <c:pt idx="73">
                  <c:v>29.653700000000001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69.248800000000003</c:v>
                </c:pt>
                <c:pt idx="1">
                  <c:v>68.552500000000009</c:v>
                </c:pt>
                <c:pt idx="2">
                  <c:v>67.555099999999996</c:v>
                </c:pt>
                <c:pt idx="3">
                  <c:v>66.272599999999997</c:v>
                </c:pt>
                <c:pt idx="4">
                  <c:v>64.854100000000003</c:v>
                </c:pt>
                <c:pt idx="5">
                  <c:v>63.165300000000002</c:v>
                </c:pt>
                <c:pt idx="6">
                  <c:v>61.429400000000001</c:v>
                </c:pt>
                <c:pt idx="7">
                  <c:v>59.870199999999997</c:v>
                </c:pt>
                <c:pt idx="8">
                  <c:v>58.291899999999998</c:v>
                </c:pt>
                <c:pt idx="9">
                  <c:v>56.592600000000004</c:v>
                </c:pt>
                <c:pt idx="10">
                  <c:v>55.003700000000002</c:v>
                </c:pt>
                <c:pt idx="11">
                  <c:v>53.323799999999999</c:v>
                </c:pt>
                <c:pt idx="12">
                  <c:v>51.790300000000002</c:v>
                </c:pt>
                <c:pt idx="13">
                  <c:v>50.054299999999998</c:v>
                </c:pt>
                <c:pt idx="14">
                  <c:v>48.352800000000002</c:v>
                </c:pt>
                <c:pt idx="15">
                  <c:v>46.805999999999997</c:v>
                </c:pt>
                <c:pt idx="16">
                  <c:v>45.530500000000004</c:v>
                </c:pt>
                <c:pt idx="17">
                  <c:v>44.2485</c:v>
                </c:pt>
                <c:pt idx="18">
                  <c:v>43.021999999999998</c:v>
                </c:pt>
                <c:pt idx="19">
                  <c:v>41.925800000000002</c:v>
                </c:pt>
                <c:pt idx="20">
                  <c:v>41.000399999999999</c:v>
                </c:pt>
                <c:pt idx="21">
                  <c:v>40.302300000000002</c:v>
                </c:pt>
                <c:pt idx="22">
                  <c:v>39.727800000000002</c:v>
                </c:pt>
                <c:pt idx="23">
                  <c:v>39.182899999999997</c:v>
                </c:pt>
                <c:pt idx="24">
                  <c:v>38.703299999999999</c:v>
                </c:pt>
                <c:pt idx="25">
                  <c:v>38.346499999999999</c:v>
                </c:pt>
                <c:pt idx="26">
                  <c:v>38.096000000000004</c:v>
                </c:pt>
                <c:pt idx="27">
                  <c:v>37.811299999999996</c:v>
                </c:pt>
                <c:pt idx="28">
                  <c:v>37.520600000000002</c:v>
                </c:pt>
                <c:pt idx="29">
                  <c:v>37.302800000000005</c:v>
                </c:pt>
                <c:pt idx="30">
                  <c:v>37.099399999999996</c:v>
                </c:pt>
                <c:pt idx="31">
                  <c:v>36.932299999999998</c:v>
                </c:pt>
                <c:pt idx="32">
                  <c:v>36.813600000000001</c:v>
                </c:pt>
                <c:pt idx="33">
                  <c:v>36.725999999999999</c:v>
                </c:pt>
                <c:pt idx="34">
                  <c:v>36.610799999999998</c:v>
                </c:pt>
                <c:pt idx="35">
                  <c:v>36.485700000000001</c:v>
                </c:pt>
                <c:pt idx="36">
                  <c:v>36.374200000000002</c:v>
                </c:pt>
                <c:pt idx="37">
                  <c:v>36.316199999999995</c:v>
                </c:pt>
                <c:pt idx="38">
                  <c:v>36.313099999999999</c:v>
                </c:pt>
                <c:pt idx="39">
                  <c:v>36.363500000000002</c:v>
                </c:pt>
                <c:pt idx="40">
                  <c:v>36.569400000000002</c:v>
                </c:pt>
                <c:pt idx="41">
                  <c:v>36.928400000000003</c:v>
                </c:pt>
                <c:pt idx="42">
                  <c:v>37.369599999999998</c:v>
                </c:pt>
                <c:pt idx="43">
                  <c:v>37.845600000000005</c:v>
                </c:pt>
                <c:pt idx="44">
                  <c:v>38.351800000000004</c:v>
                </c:pt>
                <c:pt idx="45">
                  <c:v>38.878599999999999</c:v>
                </c:pt>
                <c:pt idx="46">
                  <c:v>39.398800000000001</c:v>
                </c:pt>
                <c:pt idx="47">
                  <c:v>39.916699999999999</c:v>
                </c:pt>
                <c:pt idx="48">
                  <c:v>40.490500000000004</c:v>
                </c:pt>
                <c:pt idx="49">
                  <c:v>41.092099999999995</c:v>
                </c:pt>
                <c:pt idx="50">
                  <c:v>41.623199999999997</c:v>
                </c:pt>
                <c:pt idx="51">
                  <c:v>42.210599999999999</c:v>
                </c:pt>
                <c:pt idx="52">
                  <c:v>42.861900000000006</c:v>
                </c:pt>
                <c:pt idx="53">
                  <c:v>43.622499999999995</c:v>
                </c:pt>
                <c:pt idx="54">
                  <c:v>44.256299999999996</c:v>
                </c:pt>
                <c:pt idx="55">
                  <c:v>44.776700000000005</c:v>
                </c:pt>
                <c:pt idx="56">
                  <c:v>45.208999999999996</c:v>
                </c:pt>
                <c:pt idx="57">
                  <c:v>45.598399999999998</c:v>
                </c:pt>
                <c:pt idx="58">
                  <c:v>45.8932</c:v>
                </c:pt>
                <c:pt idx="59">
                  <c:v>46.111899999999999</c:v>
                </c:pt>
                <c:pt idx="60">
                  <c:v>46.363500000000002</c:v>
                </c:pt>
                <c:pt idx="61">
                  <c:v>46.3401</c:v>
                </c:pt>
                <c:pt idx="62">
                  <c:v>46.380700000000004</c:v>
                </c:pt>
                <c:pt idx="63">
                  <c:v>46.174300000000002</c:v>
                </c:pt>
                <c:pt idx="64">
                  <c:v>45.889299999999999</c:v>
                </c:pt>
                <c:pt idx="65">
                  <c:v>45.408000000000001</c:v>
                </c:pt>
                <c:pt idx="66">
                  <c:v>45.2196</c:v>
                </c:pt>
                <c:pt idx="67">
                  <c:v>44.997399999999999</c:v>
                </c:pt>
                <c:pt idx="68">
                  <c:v>44.814300000000003</c:v>
                </c:pt>
                <c:pt idx="69">
                  <c:v>44.698</c:v>
                </c:pt>
                <c:pt idx="70">
                  <c:v>44.612899999999996</c:v>
                </c:pt>
                <c:pt idx="71">
                  <c:v>44.579800000000006</c:v>
                </c:pt>
                <c:pt idx="72">
                  <c:v>44.556200000000004</c:v>
                </c:pt>
                <c:pt idx="73">
                  <c:v>44.676100000000005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29.653700000000001</c:v>
                </c:pt>
                <c:pt idx="1">
                  <c:v>30.062899999999999</c:v>
                </c:pt>
                <c:pt idx="2">
                  <c:v>30.528700000000001</c:v>
                </c:pt>
                <c:pt idx="3">
                  <c:v>30.933499999999999</c:v>
                </c:pt>
                <c:pt idx="4">
                  <c:v>31.328800000000001</c:v>
                </c:pt>
                <c:pt idx="5">
                  <c:v>31.732500000000002</c:v>
                </c:pt>
                <c:pt idx="6">
                  <c:v>32.139400000000002</c:v>
                </c:pt>
                <c:pt idx="7">
                  <c:v>32.542999999999999</c:v>
                </c:pt>
                <c:pt idx="8">
                  <c:v>32.949199999999998</c:v>
                </c:pt>
                <c:pt idx="9">
                  <c:v>33.354599999999998</c:v>
                </c:pt>
                <c:pt idx="10">
                  <c:v>33.763300000000001</c:v>
                </c:pt>
                <c:pt idx="11">
                  <c:v>34.174399999999999</c:v>
                </c:pt>
                <c:pt idx="12">
                  <c:v>34.578299999999999</c:v>
                </c:pt>
                <c:pt idx="13">
                  <c:v>34.981400000000001</c:v>
                </c:pt>
                <c:pt idx="14">
                  <c:v>35.387599999999999</c:v>
                </c:pt>
                <c:pt idx="15">
                  <c:v>35.792999999999999</c:v>
                </c:pt>
                <c:pt idx="16">
                  <c:v>36.204300000000003</c:v>
                </c:pt>
                <c:pt idx="17">
                  <c:v>36.608699999999999</c:v>
                </c:pt>
                <c:pt idx="18">
                  <c:v>37.013399999999997</c:v>
                </c:pt>
                <c:pt idx="19">
                  <c:v>37.418599999999998</c:v>
                </c:pt>
                <c:pt idx="20">
                  <c:v>37.829500000000003</c:v>
                </c:pt>
                <c:pt idx="21">
                  <c:v>38.234299999999998</c:v>
                </c:pt>
                <c:pt idx="22">
                  <c:v>38.639899999999997</c:v>
                </c:pt>
                <c:pt idx="23">
                  <c:v>39.043700000000001</c:v>
                </c:pt>
                <c:pt idx="24">
                  <c:v>39.4499</c:v>
                </c:pt>
                <c:pt idx="25">
                  <c:v>39.858600000000003</c:v>
                </c:pt>
                <c:pt idx="26">
                  <c:v>40.266100000000002</c:v>
                </c:pt>
                <c:pt idx="27">
                  <c:v>40.6723</c:v>
                </c:pt>
                <c:pt idx="28">
                  <c:v>41.073599999999999</c:v>
                </c:pt>
                <c:pt idx="29">
                  <c:v>41.481299999999997</c:v>
                </c:pt>
                <c:pt idx="30">
                  <c:v>41.891599999999997</c:v>
                </c:pt>
                <c:pt idx="31">
                  <c:v>42.2943</c:v>
                </c:pt>
                <c:pt idx="32">
                  <c:v>42.701599999999999</c:v>
                </c:pt>
                <c:pt idx="33">
                  <c:v>43.108499999999999</c:v>
                </c:pt>
                <c:pt idx="34">
                  <c:v>43.511699999999998</c:v>
                </c:pt>
                <c:pt idx="35">
                  <c:v>43.919800000000002</c:v>
                </c:pt>
                <c:pt idx="36">
                  <c:v>44.3277</c:v>
                </c:pt>
                <c:pt idx="37">
                  <c:v>44.734499999999997</c:v>
                </c:pt>
                <c:pt idx="38">
                  <c:v>45.141399999999997</c:v>
                </c:pt>
                <c:pt idx="39">
                  <c:v>45.546700000000001</c:v>
                </c:pt>
                <c:pt idx="40">
                  <c:v>45.950800000000001</c:v>
                </c:pt>
                <c:pt idx="41">
                  <c:v>46.356299999999997</c:v>
                </c:pt>
                <c:pt idx="42">
                  <c:v>46.764600000000002</c:v>
                </c:pt>
                <c:pt idx="43">
                  <c:v>47.169800000000002</c:v>
                </c:pt>
                <c:pt idx="44">
                  <c:v>47.575000000000003</c:v>
                </c:pt>
                <c:pt idx="45">
                  <c:v>47.980800000000002</c:v>
                </c:pt>
                <c:pt idx="46">
                  <c:v>48.387999999999998</c:v>
                </c:pt>
                <c:pt idx="47">
                  <c:v>48.795400000000001</c:v>
                </c:pt>
                <c:pt idx="48">
                  <c:v>49.203499999999998</c:v>
                </c:pt>
                <c:pt idx="49">
                  <c:v>49.607900000000001</c:v>
                </c:pt>
                <c:pt idx="50">
                  <c:v>50.012500000000003</c:v>
                </c:pt>
                <c:pt idx="51">
                  <c:v>50.421900000000001</c:v>
                </c:pt>
                <c:pt idx="52">
                  <c:v>50.828600000000002</c:v>
                </c:pt>
                <c:pt idx="53">
                  <c:v>51.230600000000003</c:v>
                </c:pt>
                <c:pt idx="54">
                  <c:v>51.6477</c:v>
                </c:pt>
                <c:pt idx="55">
                  <c:v>52.044400000000003</c:v>
                </c:pt>
                <c:pt idx="56">
                  <c:v>52.454700000000003</c:v>
                </c:pt>
                <c:pt idx="57">
                  <c:v>52.857399999999998</c:v>
                </c:pt>
                <c:pt idx="58">
                  <c:v>53.262700000000002</c:v>
                </c:pt>
                <c:pt idx="59">
                  <c:v>53.668399999999998</c:v>
                </c:pt>
                <c:pt idx="60">
                  <c:v>54.077800000000003</c:v>
                </c:pt>
                <c:pt idx="61">
                  <c:v>54.482799999999997</c:v>
                </c:pt>
                <c:pt idx="62">
                  <c:v>54.8872</c:v>
                </c:pt>
                <c:pt idx="63">
                  <c:v>55.292499999999997</c:v>
                </c:pt>
                <c:pt idx="64">
                  <c:v>55.700299999999999</c:v>
                </c:pt>
                <c:pt idx="65">
                  <c:v>56.108699999999999</c:v>
                </c:pt>
                <c:pt idx="66">
                  <c:v>56.5139</c:v>
                </c:pt>
                <c:pt idx="67">
                  <c:v>56.917499999999997</c:v>
                </c:pt>
                <c:pt idx="68">
                  <c:v>57.3245</c:v>
                </c:pt>
                <c:pt idx="69">
                  <c:v>57.734000000000002</c:v>
                </c:pt>
                <c:pt idx="70">
                  <c:v>58.142899999999997</c:v>
                </c:pt>
                <c:pt idx="71">
                  <c:v>58.546199999999999</c:v>
                </c:pt>
                <c:pt idx="72">
                  <c:v>58.950800000000001</c:v>
                </c:pt>
                <c:pt idx="73">
                  <c:v>59.355499999999999</c:v>
                </c:pt>
                <c:pt idx="74">
                  <c:v>59.765900000000002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44.676100000000005</c:v>
                </c:pt>
                <c:pt idx="1">
                  <c:v>44.885999999999996</c:v>
                </c:pt>
                <c:pt idx="2">
                  <c:v>45.285399999999996</c:v>
                </c:pt>
                <c:pt idx="3">
                  <c:v>45.570100000000004</c:v>
                </c:pt>
                <c:pt idx="4">
                  <c:v>45.811300000000003</c:v>
                </c:pt>
                <c:pt idx="5">
                  <c:v>46.040199999999999</c:v>
                </c:pt>
                <c:pt idx="6">
                  <c:v>46.312999999999995</c:v>
                </c:pt>
                <c:pt idx="7">
                  <c:v>46.593000000000004</c:v>
                </c:pt>
                <c:pt idx="8">
                  <c:v>46.840199999999996</c:v>
                </c:pt>
                <c:pt idx="9">
                  <c:v>47.033799999999999</c:v>
                </c:pt>
                <c:pt idx="10">
                  <c:v>47.182299999999998</c:v>
                </c:pt>
                <c:pt idx="11">
                  <c:v>47.3172</c:v>
                </c:pt>
                <c:pt idx="12">
                  <c:v>47.491399999999999</c:v>
                </c:pt>
                <c:pt idx="13">
                  <c:v>47.730899999999998</c:v>
                </c:pt>
                <c:pt idx="14">
                  <c:v>48.020800000000001</c:v>
                </c:pt>
                <c:pt idx="15">
                  <c:v>48.378900000000002</c:v>
                </c:pt>
                <c:pt idx="16">
                  <c:v>48.856200000000001</c:v>
                </c:pt>
                <c:pt idx="17">
                  <c:v>49.391800000000003</c:v>
                </c:pt>
                <c:pt idx="18">
                  <c:v>49.834099999999999</c:v>
                </c:pt>
                <c:pt idx="19">
                  <c:v>50.266900000000007</c:v>
                </c:pt>
                <c:pt idx="20">
                  <c:v>50.714599999999997</c:v>
                </c:pt>
                <c:pt idx="21">
                  <c:v>51.181699999999999</c:v>
                </c:pt>
                <c:pt idx="22">
                  <c:v>51.656800000000004</c:v>
                </c:pt>
                <c:pt idx="23">
                  <c:v>52.107300000000002</c:v>
                </c:pt>
                <c:pt idx="24">
                  <c:v>52.450600000000001</c:v>
                </c:pt>
                <c:pt idx="25">
                  <c:v>52.639100000000006</c:v>
                </c:pt>
                <c:pt idx="26">
                  <c:v>52.748799999999996</c:v>
                </c:pt>
                <c:pt idx="27">
                  <c:v>52.764500000000005</c:v>
                </c:pt>
                <c:pt idx="28">
                  <c:v>52.677799999999998</c:v>
                </c:pt>
                <c:pt idx="29">
                  <c:v>52.5595</c:v>
                </c:pt>
                <c:pt idx="30">
                  <c:v>52.351800000000004</c:v>
                </c:pt>
                <c:pt idx="31">
                  <c:v>52.027699999999996</c:v>
                </c:pt>
                <c:pt idx="32">
                  <c:v>51.637900000000002</c:v>
                </c:pt>
                <c:pt idx="33">
                  <c:v>51.1768</c:v>
                </c:pt>
                <c:pt idx="34">
                  <c:v>50.736899999999999</c:v>
                </c:pt>
                <c:pt idx="35">
                  <c:v>50.269699999999993</c:v>
                </c:pt>
                <c:pt idx="36">
                  <c:v>49.739800000000002</c:v>
                </c:pt>
                <c:pt idx="37">
                  <c:v>49.233399999999996</c:v>
                </c:pt>
                <c:pt idx="38">
                  <c:v>48.749199999999995</c:v>
                </c:pt>
                <c:pt idx="39">
                  <c:v>48.364800000000002</c:v>
                </c:pt>
                <c:pt idx="40">
                  <c:v>48.056100000000001</c:v>
                </c:pt>
                <c:pt idx="41">
                  <c:v>47.714800000000004</c:v>
                </c:pt>
                <c:pt idx="42">
                  <c:v>47.3673</c:v>
                </c:pt>
                <c:pt idx="43">
                  <c:v>47.0625</c:v>
                </c:pt>
                <c:pt idx="44">
                  <c:v>46.787800000000004</c:v>
                </c:pt>
                <c:pt idx="45">
                  <c:v>46.506799999999998</c:v>
                </c:pt>
                <c:pt idx="46">
                  <c:v>46.17</c:v>
                </c:pt>
                <c:pt idx="47">
                  <c:v>45.817600000000006</c:v>
                </c:pt>
                <c:pt idx="48">
                  <c:v>45.393799999999999</c:v>
                </c:pt>
                <c:pt idx="49">
                  <c:v>44.930199999999999</c:v>
                </c:pt>
                <c:pt idx="50">
                  <c:v>44.5809</c:v>
                </c:pt>
                <c:pt idx="51">
                  <c:v>44.425699999999999</c:v>
                </c:pt>
                <c:pt idx="52">
                  <c:v>44.2547</c:v>
                </c:pt>
                <c:pt idx="53">
                  <c:v>44.0762</c:v>
                </c:pt>
                <c:pt idx="54">
                  <c:v>43.872</c:v>
                </c:pt>
                <c:pt idx="55">
                  <c:v>43.623800000000003</c:v>
                </c:pt>
                <c:pt idx="56">
                  <c:v>43.388599999999997</c:v>
                </c:pt>
                <c:pt idx="57">
                  <c:v>43.150300000000001</c:v>
                </c:pt>
                <c:pt idx="58">
                  <c:v>42.964599999999997</c:v>
                </c:pt>
                <c:pt idx="59">
                  <c:v>42.767699999999998</c:v>
                </c:pt>
                <c:pt idx="60">
                  <c:v>42.582099999999997</c:v>
                </c:pt>
                <c:pt idx="61">
                  <c:v>42.446400000000004</c:v>
                </c:pt>
                <c:pt idx="62">
                  <c:v>42.289200000000001</c:v>
                </c:pt>
                <c:pt idx="63">
                  <c:v>42.112000000000002</c:v>
                </c:pt>
                <c:pt idx="64">
                  <c:v>41.856700000000004</c:v>
                </c:pt>
                <c:pt idx="65">
                  <c:v>41.580800000000004</c:v>
                </c:pt>
                <c:pt idx="66">
                  <c:v>41.453899999999997</c:v>
                </c:pt>
                <c:pt idx="67">
                  <c:v>41.402000000000001</c:v>
                </c:pt>
                <c:pt idx="68">
                  <c:v>41.305599999999998</c:v>
                </c:pt>
                <c:pt idx="69">
                  <c:v>41.070499999999996</c:v>
                </c:pt>
                <c:pt idx="70">
                  <c:v>40.784999999999997</c:v>
                </c:pt>
                <c:pt idx="71">
                  <c:v>40.613100000000003</c:v>
                </c:pt>
                <c:pt idx="72">
                  <c:v>40.485100000000003</c:v>
                </c:pt>
                <c:pt idx="73">
                  <c:v>40.7515</c:v>
                </c:pt>
                <c:pt idx="74">
                  <c:v>41.589700000000001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14.941475000000001</c:v>
                </c:pt>
                <c:pt idx="1">
                  <c:v>44.824425000000005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45.04911216216216</c:v>
                </c:pt>
                <c:pt idx="1">
                  <c:v>46.619827027027036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1.3846700000000001</c:v>
                </c:pt>
                <c:pt idx="1">
                  <c:v>1.42703</c:v>
                </c:pt>
                <c:pt idx="2">
                  <c:v>1.4749499999999998</c:v>
                </c:pt>
                <c:pt idx="3">
                  <c:v>1.5291399999999999</c:v>
                </c:pt>
                <c:pt idx="4">
                  <c:v>1.58416</c:v>
                </c:pt>
                <c:pt idx="5">
                  <c:v>1.6417999999999999</c:v>
                </c:pt>
                <c:pt idx="6">
                  <c:v>1.6993100000000001</c:v>
                </c:pt>
                <c:pt idx="7">
                  <c:v>1.75589</c:v>
                </c:pt>
                <c:pt idx="8">
                  <c:v>1.8146100000000001</c:v>
                </c:pt>
                <c:pt idx="9">
                  <c:v>1.87751</c:v>
                </c:pt>
                <c:pt idx="10">
                  <c:v>1.94218</c:v>
                </c:pt>
                <c:pt idx="11">
                  <c:v>2.01152</c:v>
                </c:pt>
                <c:pt idx="12">
                  <c:v>2.0799699999999999</c:v>
                </c:pt>
                <c:pt idx="13">
                  <c:v>2.1527400000000001</c:v>
                </c:pt>
                <c:pt idx="14">
                  <c:v>2.22729</c:v>
                </c:pt>
                <c:pt idx="15">
                  <c:v>2.2971400000000002</c:v>
                </c:pt>
                <c:pt idx="16">
                  <c:v>2.3560400000000001</c:v>
                </c:pt>
                <c:pt idx="17">
                  <c:v>2.41499</c:v>
                </c:pt>
                <c:pt idx="18">
                  <c:v>2.4747699999999999</c:v>
                </c:pt>
                <c:pt idx="19">
                  <c:v>2.5340699999999998</c:v>
                </c:pt>
                <c:pt idx="20">
                  <c:v>2.5898300000000001</c:v>
                </c:pt>
                <c:pt idx="21">
                  <c:v>2.6434299999999999</c:v>
                </c:pt>
                <c:pt idx="22">
                  <c:v>2.6944800000000004</c:v>
                </c:pt>
                <c:pt idx="23">
                  <c:v>2.74499</c:v>
                </c:pt>
                <c:pt idx="24">
                  <c:v>2.7944799999999996</c:v>
                </c:pt>
                <c:pt idx="25">
                  <c:v>2.8428500000000003</c:v>
                </c:pt>
                <c:pt idx="26">
                  <c:v>2.8898299999999999</c:v>
                </c:pt>
                <c:pt idx="27">
                  <c:v>2.9342699999999997</c:v>
                </c:pt>
                <c:pt idx="28">
                  <c:v>2.9751699999999999</c:v>
                </c:pt>
                <c:pt idx="29">
                  <c:v>3.0127600000000001</c:v>
                </c:pt>
                <c:pt idx="30">
                  <c:v>3.0432600000000001</c:v>
                </c:pt>
                <c:pt idx="31">
                  <c:v>3.06697</c:v>
                </c:pt>
                <c:pt idx="32">
                  <c:v>3.0878299999999999</c:v>
                </c:pt>
                <c:pt idx="33">
                  <c:v>3.1017200000000003</c:v>
                </c:pt>
                <c:pt idx="34">
                  <c:v>3.1105800000000001</c:v>
                </c:pt>
                <c:pt idx="35">
                  <c:v>3.1163699999999999</c:v>
                </c:pt>
                <c:pt idx="36">
                  <c:v>3.11666</c:v>
                </c:pt>
                <c:pt idx="37">
                  <c:v>3.1129600000000002</c:v>
                </c:pt>
                <c:pt idx="38">
                  <c:v>3.0999300000000001</c:v>
                </c:pt>
                <c:pt idx="39">
                  <c:v>3.0806</c:v>
                </c:pt>
                <c:pt idx="40">
                  <c:v>3.05952</c:v>
                </c:pt>
                <c:pt idx="41">
                  <c:v>3.0335800000000002</c:v>
                </c:pt>
                <c:pt idx="42">
                  <c:v>3.0048399999999997</c:v>
                </c:pt>
                <c:pt idx="43">
                  <c:v>2.9742200000000003</c:v>
                </c:pt>
                <c:pt idx="44">
                  <c:v>2.9417</c:v>
                </c:pt>
                <c:pt idx="45">
                  <c:v>2.9086800000000004</c:v>
                </c:pt>
                <c:pt idx="46">
                  <c:v>2.8770800000000003</c:v>
                </c:pt>
                <c:pt idx="47">
                  <c:v>2.8471600000000001</c:v>
                </c:pt>
                <c:pt idx="48">
                  <c:v>2.8176000000000001</c:v>
                </c:pt>
                <c:pt idx="49">
                  <c:v>2.7879100000000001</c:v>
                </c:pt>
                <c:pt idx="50">
                  <c:v>2.7648800000000002</c:v>
                </c:pt>
                <c:pt idx="51">
                  <c:v>2.7353699999999996</c:v>
                </c:pt>
                <c:pt idx="52">
                  <c:v>2.7051799999999999</c:v>
                </c:pt>
                <c:pt idx="53">
                  <c:v>2.6720199999999998</c:v>
                </c:pt>
                <c:pt idx="54">
                  <c:v>2.64453</c:v>
                </c:pt>
                <c:pt idx="55">
                  <c:v>2.6213100000000003</c:v>
                </c:pt>
                <c:pt idx="56">
                  <c:v>2.6030100000000003</c:v>
                </c:pt>
                <c:pt idx="57">
                  <c:v>2.5895700000000001</c:v>
                </c:pt>
                <c:pt idx="58">
                  <c:v>2.5789200000000001</c:v>
                </c:pt>
                <c:pt idx="59">
                  <c:v>2.5789299999999997</c:v>
                </c:pt>
                <c:pt idx="60">
                  <c:v>2.5710899999999999</c:v>
                </c:pt>
                <c:pt idx="61">
                  <c:v>2.5769799999999998</c:v>
                </c:pt>
                <c:pt idx="62">
                  <c:v>2.57531</c:v>
                </c:pt>
                <c:pt idx="63">
                  <c:v>2.58839</c:v>
                </c:pt>
                <c:pt idx="64">
                  <c:v>2.6063700000000001</c:v>
                </c:pt>
                <c:pt idx="65">
                  <c:v>2.63733</c:v>
                </c:pt>
                <c:pt idx="66">
                  <c:v>2.6489000000000003</c:v>
                </c:pt>
                <c:pt idx="67">
                  <c:v>2.6688499999999999</c:v>
                </c:pt>
                <c:pt idx="68">
                  <c:v>2.6903600000000001</c:v>
                </c:pt>
                <c:pt idx="69">
                  <c:v>2.7186700000000004</c:v>
                </c:pt>
                <c:pt idx="70">
                  <c:v>2.7405600000000003</c:v>
                </c:pt>
                <c:pt idx="71">
                  <c:v>2.7611300000000001</c:v>
                </c:pt>
                <c:pt idx="72">
                  <c:v>2.7761499999999999</c:v>
                </c:pt>
                <c:pt idx="73">
                  <c:v>2.7909699999999997</c:v>
                </c:pt>
                <c:pt idx="74">
                  <c:v>2.8045900000000001</c:v>
                </c:pt>
                <c:pt idx="75">
                  <c:v>2.8157100000000002</c:v>
                </c:pt>
                <c:pt idx="76">
                  <c:v>2.8211599999999999</c:v>
                </c:pt>
                <c:pt idx="77">
                  <c:v>2.8223599999999998</c:v>
                </c:pt>
                <c:pt idx="78">
                  <c:v>2.8218199999999998</c:v>
                </c:pt>
                <c:pt idx="79">
                  <c:v>2.8207599999999999</c:v>
                </c:pt>
                <c:pt idx="80">
                  <c:v>2.8179400000000001</c:v>
                </c:pt>
                <c:pt idx="81">
                  <c:v>2.8111299999999999</c:v>
                </c:pt>
                <c:pt idx="82">
                  <c:v>2.7987500000000001</c:v>
                </c:pt>
                <c:pt idx="83">
                  <c:v>2.7839199999999997</c:v>
                </c:pt>
                <c:pt idx="84">
                  <c:v>2.7647200000000001</c:v>
                </c:pt>
                <c:pt idx="85">
                  <c:v>2.7446100000000002</c:v>
                </c:pt>
                <c:pt idx="86">
                  <c:v>2.7207699999999999</c:v>
                </c:pt>
                <c:pt idx="87">
                  <c:v>2.69259</c:v>
                </c:pt>
                <c:pt idx="88">
                  <c:v>2.6622600000000003</c:v>
                </c:pt>
                <c:pt idx="89">
                  <c:v>2.6299399999999999</c:v>
                </c:pt>
                <c:pt idx="90">
                  <c:v>2.5973099999999998</c:v>
                </c:pt>
                <c:pt idx="91">
                  <c:v>2.5701700000000001</c:v>
                </c:pt>
                <c:pt idx="92">
                  <c:v>2.5440299999999998</c:v>
                </c:pt>
                <c:pt idx="93">
                  <c:v>2.5171700000000001</c:v>
                </c:pt>
                <c:pt idx="94">
                  <c:v>2.49133</c:v>
                </c:pt>
                <c:pt idx="95">
                  <c:v>2.4672200000000002</c:v>
                </c:pt>
                <c:pt idx="96">
                  <c:v>2.4448500000000002</c:v>
                </c:pt>
                <c:pt idx="97">
                  <c:v>2.4281299999999999</c:v>
                </c:pt>
                <c:pt idx="98">
                  <c:v>2.4146899999999998</c:v>
                </c:pt>
                <c:pt idx="99">
                  <c:v>2.4025799999999999</c:v>
                </c:pt>
                <c:pt idx="100">
                  <c:v>2.39411</c:v>
                </c:pt>
                <c:pt idx="101">
                  <c:v>2.3903400000000001</c:v>
                </c:pt>
                <c:pt idx="102">
                  <c:v>2.3890799999999999</c:v>
                </c:pt>
                <c:pt idx="103">
                  <c:v>2.3925900000000002</c:v>
                </c:pt>
                <c:pt idx="104">
                  <c:v>2.3992900000000001</c:v>
                </c:pt>
                <c:pt idx="105">
                  <c:v>2.40862</c:v>
                </c:pt>
                <c:pt idx="106">
                  <c:v>2.42069</c:v>
                </c:pt>
                <c:pt idx="107">
                  <c:v>2.4344700000000001</c:v>
                </c:pt>
                <c:pt idx="108">
                  <c:v>2.45017</c:v>
                </c:pt>
                <c:pt idx="109">
                  <c:v>2.4704300000000003</c:v>
                </c:pt>
                <c:pt idx="110">
                  <c:v>2.4914200000000002</c:v>
                </c:pt>
                <c:pt idx="111">
                  <c:v>2.5146699999999997</c:v>
                </c:pt>
                <c:pt idx="112">
                  <c:v>2.5366300000000002</c:v>
                </c:pt>
                <c:pt idx="113">
                  <c:v>2.5548100000000002</c:v>
                </c:pt>
                <c:pt idx="114">
                  <c:v>2.5712299999999999</c:v>
                </c:pt>
                <c:pt idx="115">
                  <c:v>2.5884800000000001</c:v>
                </c:pt>
                <c:pt idx="116">
                  <c:v>2.6055099999999998</c:v>
                </c:pt>
                <c:pt idx="117">
                  <c:v>2.6233</c:v>
                </c:pt>
                <c:pt idx="118">
                  <c:v>2.6418699999999999</c:v>
                </c:pt>
                <c:pt idx="119">
                  <c:v>2.6618199999999996</c:v>
                </c:pt>
                <c:pt idx="120">
                  <c:v>2.68147</c:v>
                </c:pt>
                <c:pt idx="121">
                  <c:v>2.7036300000000004</c:v>
                </c:pt>
                <c:pt idx="122">
                  <c:v>2.7245499999999998</c:v>
                </c:pt>
                <c:pt idx="123">
                  <c:v>2.7434599999999998</c:v>
                </c:pt>
                <c:pt idx="124">
                  <c:v>2.7513300000000003</c:v>
                </c:pt>
                <c:pt idx="125">
                  <c:v>2.7584799999999996</c:v>
                </c:pt>
                <c:pt idx="126">
                  <c:v>2.7670699999999999</c:v>
                </c:pt>
                <c:pt idx="127">
                  <c:v>2.7780700000000005</c:v>
                </c:pt>
                <c:pt idx="128">
                  <c:v>2.7866600000000004</c:v>
                </c:pt>
                <c:pt idx="129">
                  <c:v>2.7929500000000003</c:v>
                </c:pt>
                <c:pt idx="130">
                  <c:v>2.7979900000000004</c:v>
                </c:pt>
                <c:pt idx="131">
                  <c:v>2.8046199999999999</c:v>
                </c:pt>
                <c:pt idx="132">
                  <c:v>2.8135700000000003</c:v>
                </c:pt>
                <c:pt idx="133">
                  <c:v>2.8212900000000003</c:v>
                </c:pt>
                <c:pt idx="134">
                  <c:v>2.8237399999999999</c:v>
                </c:pt>
                <c:pt idx="135">
                  <c:v>2.82626</c:v>
                </c:pt>
                <c:pt idx="136">
                  <c:v>2.82646</c:v>
                </c:pt>
                <c:pt idx="137">
                  <c:v>2.8300599999999996</c:v>
                </c:pt>
                <c:pt idx="138">
                  <c:v>2.8414699999999997</c:v>
                </c:pt>
                <c:pt idx="139">
                  <c:v>2.8595600000000001</c:v>
                </c:pt>
                <c:pt idx="140">
                  <c:v>2.8745500000000002</c:v>
                </c:pt>
                <c:pt idx="141">
                  <c:v>2.8887099999999997</c:v>
                </c:pt>
                <c:pt idx="142">
                  <c:v>2.9069699999999998</c:v>
                </c:pt>
                <c:pt idx="143">
                  <c:v>2.9304100000000002</c:v>
                </c:pt>
                <c:pt idx="144">
                  <c:v>2.9539800000000001</c:v>
                </c:pt>
                <c:pt idx="145">
                  <c:v>2.9847600000000001</c:v>
                </c:pt>
                <c:pt idx="146">
                  <c:v>2.99831</c:v>
                </c:pt>
                <c:pt idx="147">
                  <c:v>2.9897600000000004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69.248800000000003</c:v>
                </c:pt>
                <c:pt idx="1">
                  <c:v>68.552500000000009</c:v>
                </c:pt>
                <c:pt idx="2">
                  <c:v>67.555099999999996</c:v>
                </c:pt>
                <c:pt idx="3">
                  <c:v>66.272599999999997</c:v>
                </c:pt>
                <c:pt idx="4">
                  <c:v>64.854100000000003</c:v>
                </c:pt>
                <c:pt idx="5">
                  <c:v>63.165300000000002</c:v>
                </c:pt>
                <c:pt idx="6">
                  <c:v>61.429400000000001</c:v>
                </c:pt>
                <c:pt idx="7">
                  <c:v>59.870199999999997</c:v>
                </c:pt>
                <c:pt idx="8">
                  <c:v>58.291899999999998</c:v>
                </c:pt>
                <c:pt idx="9">
                  <c:v>56.592600000000004</c:v>
                </c:pt>
                <c:pt idx="10">
                  <c:v>55.003700000000002</c:v>
                </c:pt>
                <c:pt idx="11">
                  <c:v>53.323799999999999</c:v>
                </c:pt>
                <c:pt idx="12">
                  <c:v>51.790300000000002</c:v>
                </c:pt>
                <c:pt idx="13">
                  <c:v>50.054299999999998</c:v>
                </c:pt>
                <c:pt idx="14">
                  <c:v>48.352800000000002</c:v>
                </c:pt>
                <c:pt idx="15">
                  <c:v>46.805999999999997</c:v>
                </c:pt>
                <c:pt idx="16">
                  <c:v>45.530500000000004</c:v>
                </c:pt>
                <c:pt idx="17">
                  <c:v>44.2485</c:v>
                </c:pt>
                <c:pt idx="18">
                  <c:v>43.021999999999998</c:v>
                </c:pt>
                <c:pt idx="19">
                  <c:v>41.925800000000002</c:v>
                </c:pt>
                <c:pt idx="20">
                  <c:v>41.000399999999999</c:v>
                </c:pt>
                <c:pt idx="21">
                  <c:v>40.302300000000002</c:v>
                </c:pt>
                <c:pt idx="22">
                  <c:v>39.727800000000002</c:v>
                </c:pt>
                <c:pt idx="23">
                  <c:v>39.182899999999997</c:v>
                </c:pt>
                <c:pt idx="24">
                  <c:v>38.703299999999999</c:v>
                </c:pt>
                <c:pt idx="25">
                  <c:v>38.346499999999999</c:v>
                </c:pt>
                <c:pt idx="26">
                  <c:v>38.096000000000004</c:v>
                </c:pt>
                <c:pt idx="27">
                  <c:v>37.811299999999996</c:v>
                </c:pt>
                <c:pt idx="28">
                  <c:v>37.520600000000002</c:v>
                </c:pt>
                <c:pt idx="29">
                  <c:v>37.302800000000005</c:v>
                </c:pt>
                <c:pt idx="30">
                  <c:v>37.099399999999996</c:v>
                </c:pt>
                <c:pt idx="31">
                  <c:v>36.932299999999998</c:v>
                </c:pt>
                <c:pt idx="32">
                  <c:v>36.813600000000001</c:v>
                </c:pt>
                <c:pt idx="33">
                  <c:v>36.725999999999999</c:v>
                </c:pt>
                <c:pt idx="34">
                  <c:v>36.610799999999998</c:v>
                </c:pt>
                <c:pt idx="35">
                  <c:v>36.485700000000001</c:v>
                </c:pt>
                <c:pt idx="36">
                  <c:v>36.374200000000002</c:v>
                </c:pt>
                <c:pt idx="37">
                  <c:v>36.316199999999995</c:v>
                </c:pt>
                <c:pt idx="38">
                  <c:v>36.313099999999999</c:v>
                </c:pt>
                <c:pt idx="39">
                  <c:v>36.363500000000002</c:v>
                </c:pt>
                <c:pt idx="40">
                  <c:v>36.569400000000002</c:v>
                </c:pt>
                <c:pt idx="41">
                  <c:v>36.928400000000003</c:v>
                </c:pt>
                <c:pt idx="42">
                  <c:v>37.369599999999998</c:v>
                </c:pt>
                <c:pt idx="43">
                  <c:v>37.845600000000005</c:v>
                </c:pt>
                <c:pt idx="44">
                  <c:v>38.351800000000004</c:v>
                </c:pt>
                <c:pt idx="45">
                  <c:v>38.878599999999999</c:v>
                </c:pt>
                <c:pt idx="46">
                  <c:v>39.398800000000001</c:v>
                </c:pt>
                <c:pt idx="47">
                  <c:v>39.916699999999999</c:v>
                </c:pt>
                <c:pt idx="48">
                  <c:v>40.490500000000004</c:v>
                </c:pt>
                <c:pt idx="49">
                  <c:v>41.092099999999995</c:v>
                </c:pt>
                <c:pt idx="50">
                  <c:v>41.623199999999997</c:v>
                </c:pt>
                <c:pt idx="51">
                  <c:v>42.210599999999999</c:v>
                </c:pt>
                <c:pt idx="52">
                  <c:v>42.861900000000006</c:v>
                </c:pt>
                <c:pt idx="53">
                  <c:v>43.622499999999995</c:v>
                </c:pt>
                <c:pt idx="54">
                  <c:v>44.256299999999996</c:v>
                </c:pt>
                <c:pt idx="55">
                  <c:v>44.776700000000005</c:v>
                </c:pt>
                <c:pt idx="56">
                  <c:v>45.208999999999996</c:v>
                </c:pt>
                <c:pt idx="57">
                  <c:v>45.598399999999998</c:v>
                </c:pt>
                <c:pt idx="58">
                  <c:v>45.8932</c:v>
                </c:pt>
                <c:pt idx="59">
                  <c:v>46.111899999999999</c:v>
                </c:pt>
                <c:pt idx="60">
                  <c:v>46.363500000000002</c:v>
                </c:pt>
                <c:pt idx="61">
                  <c:v>46.3401</c:v>
                </c:pt>
                <c:pt idx="62">
                  <c:v>46.380700000000004</c:v>
                </c:pt>
                <c:pt idx="63">
                  <c:v>46.174300000000002</c:v>
                </c:pt>
                <c:pt idx="64">
                  <c:v>45.889299999999999</c:v>
                </c:pt>
                <c:pt idx="65">
                  <c:v>45.408000000000001</c:v>
                </c:pt>
                <c:pt idx="66">
                  <c:v>45.2196</c:v>
                </c:pt>
                <c:pt idx="67">
                  <c:v>44.997399999999999</c:v>
                </c:pt>
                <c:pt idx="68">
                  <c:v>44.814300000000003</c:v>
                </c:pt>
                <c:pt idx="69">
                  <c:v>44.698</c:v>
                </c:pt>
                <c:pt idx="70">
                  <c:v>44.612899999999996</c:v>
                </c:pt>
                <c:pt idx="71">
                  <c:v>44.579800000000006</c:v>
                </c:pt>
                <c:pt idx="72">
                  <c:v>44.556200000000004</c:v>
                </c:pt>
                <c:pt idx="73">
                  <c:v>44.676100000000005</c:v>
                </c:pt>
                <c:pt idx="74">
                  <c:v>44.885999999999996</c:v>
                </c:pt>
                <c:pt idx="75">
                  <c:v>45.285399999999996</c:v>
                </c:pt>
                <c:pt idx="76">
                  <c:v>45.570100000000004</c:v>
                </c:pt>
                <c:pt idx="77">
                  <c:v>45.811300000000003</c:v>
                </c:pt>
                <c:pt idx="78">
                  <c:v>46.040199999999999</c:v>
                </c:pt>
                <c:pt idx="79">
                  <c:v>46.312999999999995</c:v>
                </c:pt>
                <c:pt idx="80">
                  <c:v>46.593000000000004</c:v>
                </c:pt>
                <c:pt idx="81">
                  <c:v>46.840199999999996</c:v>
                </c:pt>
                <c:pt idx="82">
                  <c:v>47.033799999999999</c:v>
                </c:pt>
                <c:pt idx="83">
                  <c:v>47.182299999999998</c:v>
                </c:pt>
                <c:pt idx="84">
                  <c:v>47.3172</c:v>
                </c:pt>
                <c:pt idx="85">
                  <c:v>47.491399999999999</c:v>
                </c:pt>
                <c:pt idx="86">
                  <c:v>47.730899999999998</c:v>
                </c:pt>
                <c:pt idx="87">
                  <c:v>48.020800000000001</c:v>
                </c:pt>
                <c:pt idx="88">
                  <c:v>48.378900000000002</c:v>
                </c:pt>
                <c:pt idx="89">
                  <c:v>48.856200000000001</c:v>
                </c:pt>
                <c:pt idx="90">
                  <c:v>49.391800000000003</c:v>
                </c:pt>
                <c:pt idx="91">
                  <c:v>49.834099999999999</c:v>
                </c:pt>
                <c:pt idx="92">
                  <c:v>50.266900000000007</c:v>
                </c:pt>
                <c:pt idx="93">
                  <c:v>50.714599999999997</c:v>
                </c:pt>
                <c:pt idx="94">
                  <c:v>51.181699999999999</c:v>
                </c:pt>
                <c:pt idx="95">
                  <c:v>51.656800000000004</c:v>
                </c:pt>
                <c:pt idx="96">
                  <c:v>52.107300000000002</c:v>
                </c:pt>
                <c:pt idx="97">
                  <c:v>52.450600000000001</c:v>
                </c:pt>
                <c:pt idx="98">
                  <c:v>52.639100000000006</c:v>
                </c:pt>
                <c:pt idx="99">
                  <c:v>52.748799999999996</c:v>
                </c:pt>
                <c:pt idx="100">
                  <c:v>52.764500000000005</c:v>
                </c:pt>
                <c:pt idx="101">
                  <c:v>52.677799999999998</c:v>
                </c:pt>
                <c:pt idx="102">
                  <c:v>52.5595</c:v>
                </c:pt>
                <c:pt idx="103">
                  <c:v>52.351800000000004</c:v>
                </c:pt>
                <c:pt idx="104">
                  <c:v>52.027699999999996</c:v>
                </c:pt>
                <c:pt idx="105">
                  <c:v>51.637900000000002</c:v>
                </c:pt>
                <c:pt idx="106">
                  <c:v>51.1768</c:v>
                </c:pt>
                <c:pt idx="107">
                  <c:v>50.736899999999999</c:v>
                </c:pt>
                <c:pt idx="108">
                  <c:v>50.269699999999993</c:v>
                </c:pt>
                <c:pt idx="109">
                  <c:v>49.739800000000002</c:v>
                </c:pt>
                <c:pt idx="110">
                  <c:v>49.233399999999996</c:v>
                </c:pt>
                <c:pt idx="111">
                  <c:v>48.749199999999995</c:v>
                </c:pt>
                <c:pt idx="112">
                  <c:v>48.364800000000002</c:v>
                </c:pt>
                <c:pt idx="113">
                  <c:v>48.056100000000001</c:v>
                </c:pt>
                <c:pt idx="114">
                  <c:v>47.714800000000004</c:v>
                </c:pt>
                <c:pt idx="115">
                  <c:v>47.3673</c:v>
                </c:pt>
                <c:pt idx="116">
                  <c:v>47.0625</c:v>
                </c:pt>
                <c:pt idx="117">
                  <c:v>46.787800000000004</c:v>
                </c:pt>
                <c:pt idx="118">
                  <c:v>46.506799999999998</c:v>
                </c:pt>
                <c:pt idx="119">
                  <c:v>46.17</c:v>
                </c:pt>
                <c:pt idx="120">
                  <c:v>45.817600000000006</c:v>
                </c:pt>
                <c:pt idx="121">
                  <c:v>45.393799999999999</c:v>
                </c:pt>
                <c:pt idx="122">
                  <c:v>44.930199999999999</c:v>
                </c:pt>
                <c:pt idx="123">
                  <c:v>44.5809</c:v>
                </c:pt>
                <c:pt idx="124">
                  <c:v>44.425699999999999</c:v>
                </c:pt>
                <c:pt idx="125">
                  <c:v>44.2547</c:v>
                </c:pt>
                <c:pt idx="126">
                  <c:v>44.0762</c:v>
                </c:pt>
                <c:pt idx="127">
                  <c:v>43.872</c:v>
                </c:pt>
                <c:pt idx="128">
                  <c:v>43.623800000000003</c:v>
                </c:pt>
                <c:pt idx="129">
                  <c:v>43.388599999999997</c:v>
                </c:pt>
                <c:pt idx="130">
                  <c:v>43.150300000000001</c:v>
                </c:pt>
                <c:pt idx="131">
                  <c:v>42.964599999999997</c:v>
                </c:pt>
                <c:pt idx="132">
                  <c:v>42.767699999999998</c:v>
                </c:pt>
                <c:pt idx="133">
                  <c:v>42.582099999999997</c:v>
                </c:pt>
                <c:pt idx="134">
                  <c:v>42.446400000000004</c:v>
                </c:pt>
                <c:pt idx="135">
                  <c:v>42.289200000000001</c:v>
                </c:pt>
                <c:pt idx="136">
                  <c:v>42.112000000000002</c:v>
                </c:pt>
                <c:pt idx="137">
                  <c:v>41.856700000000004</c:v>
                </c:pt>
                <c:pt idx="138">
                  <c:v>41.580800000000004</c:v>
                </c:pt>
                <c:pt idx="139">
                  <c:v>41.453899999999997</c:v>
                </c:pt>
                <c:pt idx="140">
                  <c:v>41.402000000000001</c:v>
                </c:pt>
                <c:pt idx="141">
                  <c:v>41.305599999999998</c:v>
                </c:pt>
                <c:pt idx="142">
                  <c:v>41.070499999999996</c:v>
                </c:pt>
                <c:pt idx="143">
                  <c:v>40.784999999999997</c:v>
                </c:pt>
                <c:pt idx="144">
                  <c:v>40.613100000000003</c:v>
                </c:pt>
                <c:pt idx="145">
                  <c:v>40.485100000000003</c:v>
                </c:pt>
                <c:pt idx="146">
                  <c:v>40.7515</c:v>
                </c:pt>
                <c:pt idx="147">
                  <c:v>41.589700000000001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1.3846700000000001</c:v>
                </c:pt>
                <c:pt idx="1">
                  <c:v>1.42703</c:v>
                </c:pt>
                <c:pt idx="2">
                  <c:v>1.4749499999999998</c:v>
                </c:pt>
                <c:pt idx="3">
                  <c:v>1.5291399999999999</c:v>
                </c:pt>
                <c:pt idx="4">
                  <c:v>1.58416</c:v>
                </c:pt>
                <c:pt idx="5">
                  <c:v>1.6417999999999999</c:v>
                </c:pt>
                <c:pt idx="6">
                  <c:v>1.6993100000000001</c:v>
                </c:pt>
                <c:pt idx="7">
                  <c:v>1.75589</c:v>
                </c:pt>
                <c:pt idx="8">
                  <c:v>1.8146100000000001</c:v>
                </c:pt>
                <c:pt idx="9">
                  <c:v>1.87751</c:v>
                </c:pt>
                <c:pt idx="10">
                  <c:v>1.94218</c:v>
                </c:pt>
                <c:pt idx="11">
                  <c:v>2.01152</c:v>
                </c:pt>
                <c:pt idx="12">
                  <c:v>2.0799699999999999</c:v>
                </c:pt>
                <c:pt idx="13">
                  <c:v>2.1527400000000001</c:v>
                </c:pt>
                <c:pt idx="14">
                  <c:v>2.22729</c:v>
                </c:pt>
                <c:pt idx="15">
                  <c:v>2.2971400000000002</c:v>
                </c:pt>
                <c:pt idx="16">
                  <c:v>2.3560400000000001</c:v>
                </c:pt>
                <c:pt idx="17">
                  <c:v>2.41499</c:v>
                </c:pt>
                <c:pt idx="18">
                  <c:v>2.4747699999999999</c:v>
                </c:pt>
                <c:pt idx="19">
                  <c:v>2.5340699999999998</c:v>
                </c:pt>
                <c:pt idx="20">
                  <c:v>2.5898300000000001</c:v>
                </c:pt>
                <c:pt idx="21">
                  <c:v>2.6434299999999999</c:v>
                </c:pt>
                <c:pt idx="22">
                  <c:v>2.6944800000000004</c:v>
                </c:pt>
                <c:pt idx="23">
                  <c:v>2.74499</c:v>
                </c:pt>
                <c:pt idx="24">
                  <c:v>2.7944799999999996</c:v>
                </c:pt>
                <c:pt idx="25">
                  <c:v>2.8428500000000003</c:v>
                </c:pt>
                <c:pt idx="26">
                  <c:v>2.8898299999999999</c:v>
                </c:pt>
                <c:pt idx="27">
                  <c:v>2.9342699999999997</c:v>
                </c:pt>
                <c:pt idx="28">
                  <c:v>2.9751699999999999</c:v>
                </c:pt>
                <c:pt idx="29">
                  <c:v>3.0127600000000001</c:v>
                </c:pt>
                <c:pt idx="30">
                  <c:v>3.0432600000000001</c:v>
                </c:pt>
                <c:pt idx="31">
                  <c:v>3.06697</c:v>
                </c:pt>
                <c:pt idx="32">
                  <c:v>3.0878299999999999</c:v>
                </c:pt>
                <c:pt idx="33">
                  <c:v>3.1017200000000003</c:v>
                </c:pt>
                <c:pt idx="34">
                  <c:v>3.1105800000000001</c:v>
                </c:pt>
                <c:pt idx="35">
                  <c:v>3.1163699999999999</c:v>
                </c:pt>
                <c:pt idx="36">
                  <c:v>3.11666</c:v>
                </c:pt>
                <c:pt idx="37">
                  <c:v>3.1129600000000002</c:v>
                </c:pt>
                <c:pt idx="38">
                  <c:v>3.0999300000000001</c:v>
                </c:pt>
                <c:pt idx="39">
                  <c:v>3.0806</c:v>
                </c:pt>
                <c:pt idx="40">
                  <c:v>3.05952</c:v>
                </c:pt>
                <c:pt idx="41">
                  <c:v>3.0335800000000002</c:v>
                </c:pt>
                <c:pt idx="42">
                  <c:v>3.0048399999999997</c:v>
                </c:pt>
                <c:pt idx="43">
                  <c:v>2.9742200000000003</c:v>
                </c:pt>
                <c:pt idx="44">
                  <c:v>2.9417</c:v>
                </c:pt>
                <c:pt idx="45">
                  <c:v>2.9086800000000004</c:v>
                </c:pt>
                <c:pt idx="46">
                  <c:v>2.8770800000000003</c:v>
                </c:pt>
                <c:pt idx="47">
                  <c:v>2.8471600000000001</c:v>
                </c:pt>
                <c:pt idx="48">
                  <c:v>2.8176000000000001</c:v>
                </c:pt>
                <c:pt idx="49">
                  <c:v>2.7879100000000001</c:v>
                </c:pt>
                <c:pt idx="50">
                  <c:v>2.7648800000000002</c:v>
                </c:pt>
                <c:pt idx="51">
                  <c:v>2.7353699999999996</c:v>
                </c:pt>
                <c:pt idx="52">
                  <c:v>2.7051799999999999</c:v>
                </c:pt>
                <c:pt idx="53">
                  <c:v>2.6720199999999998</c:v>
                </c:pt>
                <c:pt idx="54">
                  <c:v>2.64453</c:v>
                </c:pt>
                <c:pt idx="55">
                  <c:v>2.6213100000000003</c:v>
                </c:pt>
                <c:pt idx="56">
                  <c:v>2.6030100000000003</c:v>
                </c:pt>
                <c:pt idx="57">
                  <c:v>2.5895700000000001</c:v>
                </c:pt>
                <c:pt idx="58">
                  <c:v>2.5789200000000001</c:v>
                </c:pt>
                <c:pt idx="59">
                  <c:v>2.5789299999999997</c:v>
                </c:pt>
                <c:pt idx="60">
                  <c:v>2.5710899999999999</c:v>
                </c:pt>
                <c:pt idx="61">
                  <c:v>2.5769799999999998</c:v>
                </c:pt>
                <c:pt idx="62">
                  <c:v>2.57531</c:v>
                </c:pt>
                <c:pt idx="63">
                  <c:v>2.58839</c:v>
                </c:pt>
                <c:pt idx="64">
                  <c:v>2.6063700000000001</c:v>
                </c:pt>
                <c:pt idx="65">
                  <c:v>2.63733</c:v>
                </c:pt>
                <c:pt idx="66">
                  <c:v>2.6489000000000003</c:v>
                </c:pt>
                <c:pt idx="67">
                  <c:v>2.6688499999999999</c:v>
                </c:pt>
                <c:pt idx="68">
                  <c:v>2.6903600000000001</c:v>
                </c:pt>
                <c:pt idx="69">
                  <c:v>2.7186700000000004</c:v>
                </c:pt>
                <c:pt idx="70">
                  <c:v>2.7405600000000003</c:v>
                </c:pt>
                <c:pt idx="71">
                  <c:v>2.7611300000000001</c:v>
                </c:pt>
                <c:pt idx="72">
                  <c:v>2.7761499999999999</c:v>
                </c:pt>
                <c:pt idx="73">
                  <c:v>2.7909699999999997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69.248800000000003</c:v>
                </c:pt>
                <c:pt idx="1">
                  <c:v>68.552500000000009</c:v>
                </c:pt>
                <c:pt idx="2">
                  <c:v>67.555099999999996</c:v>
                </c:pt>
                <c:pt idx="3">
                  <c:v>66.272599999999997</c:v>
                </c:pt>
                <c:pt idx="4">
                  <c:v>64.854100000000003</c:v>
                </c:pt>
                <c:pt idx="5">
                  <c:v>63.165300000000002</c:v>
                </c:pt>
                <c:pt idx="6">
                  <c:v>61.429400000000001</c:v>
                </c:pt>
                <c:pt idx="7">
                  <c:v>59.870199999999997</c:v>
                </c:pt>
                <c:pt idx="8">
                  <c:v>58.291899999999998</c:v>
                </c:pt>
                <c:pt idx="9">
                  <c:v>56.592600000000004</c:v>
                </c:pt>
                <c:pt idx="10">
                  <c:v>55.003700000000002</c:v>
                </c:pt>
                <c:pt idx="11">
                  <c:v>53.323799999999999</c:v>
                </c:pt>
                <c:pt idx="12">
                  <c:v>51.790300000000002</c:v>
                </c:pt>
                <c:pt idx="13">
                  <c:v>50.054299999999998</c:v>
                </c:pt>
                <c:pt idx="14">
                  <c:v>48.352800000000002</c:v>
                </c:pt>
                <c:pt idx="15">
                  <c:v>46.805999999999997</c:v>
                </c:pt>
                <c:pt idx="16">
                  <c:v>45.530500000000004</c:v>
                </c:pt>
                <c:pt idx="17">
                  <c:v>44.2485</c:v>
                </c:pt>
                <c:pt idx="18">
                  <c:v>43.021999999999998</c:v>
                </c:pt>
                <c:pt idx="19">
                  <c:v>41.925800000000002</c:v>
                </c:pt>
                <c:pt idx="20">
                  <c:v>41.000399999999999</c:v>
                </c:pt>
                <c:pt idx="21">
                  <c:v>40.302300000000002</c:v>
                </c:pt>
                <c:pt idx="22">
                  <c:v>39.727800000000002</c:v>
                </c:pt>
                <c:pt idx="23">
                  <c:v>39.182899999999997</c:v>
                </c:pt>
                <c:pt idx="24">
                  <c:v>38.703299999999999</c:v>
                </c:pt>
                <c:pt idx="25">
                  <c:v>38.346499999999999</c:v>
                </c:pt>
                <c:pt idx="26">
                  <c:v>38.096000000000004</c:v>
                </c:pt>
                <c:pt idx="27">
                  <c:v>37.811299999999996</c:v>
                </c:pt>
                <c:pt idx="28">
                  <c:v>37.520600000000002</c:v>
                </c:pt>
                <c:pt idx="29">
                  <c:v>37.302800000000005</c:v>
                </c:pt>
                <c:pt idx="30">
                  <c:v>37.099399999999996</c:v>
                </c:pt>
                <c:pt idx="31">
                  <c:v>36.932299999999998</c:v>
                </c:pt>
                <c:pt idx="32">
                  <c:v>36.813600000000001</c:v>
                </c:pt>
                <c:pt idx="33">
                  <c:v>36.725999999999999</c:v>
                </c:pt>
                <c:pt idx="34">
                  <c:v>36.610799999999998</c:v>
                </c:pt>
                <c:pt idx="35">
                  <c:v>36.485700000000001</c:v>
                </c:pt>
                <c:pt idx="36">
                  <c:v>36.374200000000002</c:v>
                </c:pt>
                <c:pt idx="37">
                  <c:v>36.316199999999995</c:v>
                </c:pt>
                <c:pt idx="38">
                  <c:v>36.313099999999999</c:v>
                </c:pt>
                <c:pt idx="39">
                  <c:v>36.363500000000002</c:v>
                </c:pt>
                <c:pt idx="40">
                  <c:v>36.569400000000002</c:v>
                </c:pt>
                <c:pt idx="41">
                  <c:v>36.928400000000003</c:v>
                </c:pt>
                <c:pt idx="42">
                  <c:v>37.369599999999998</c:v>
                </c:pt>
                <c:pt idx="43">
                  <c:v>37.845600000000005</c:v>
                </c:pt>
                <c:pt idx="44">
                  <c:v>38.351800000000004</c:v>
                </c:pt>
                <c:pt idx="45">
                  <c:v>38.878599999999999</c:v>
                </c:pt>
                <c:pt idx="46">
                  <c:v>39.398800000000001</c:v>
                </c:pt>
                <c:pt idx="47">
                  <c:v>39.916699999999999</c:v>
                </c:pt>
                <c:pt idx="48">
                  <c:v>40.490500000000004</c:v>
                </c:pt>
                <c:pt idx="49">
                  <c:v>41.092099999999995</c:v>
                </c:pt>
                <c:pt idx="50">
                  <c:v>41.623199999999997</c:v>
                </c:pt>
                <c:pt idx="51">
                  <c:v>42.210599999999999</c:v>
                </c:pt>
                <c:pt idx="52">
                  <c:v>42.861900000000006</c:v>
                </c:pt>
                <c:pt idx="53">
                  <c:v>43.622499999999995</c:v>
                </c:pt>
                <c:pt idx="54">
                  <c:v>44.256299999999996</c:v>
                </c:pt>
                <c:pt idx="55">
                  <c:v>44.776700000000005</c:v>
                </c:pt>
                <c:pt idx="56">
                  <c:v>45.208999999999996</c:v>
                </c:pt>
                <c:pt idx="57">
                  <c:v>45.598399999999998</c:v>
                </c:pt>
                <c:pt idx="58">
                  <c:v>45.8932</c:v>
                </c:pt>
                <c:pt idx="59">
                  <c:v>46.111899999999999</c:v>
                </c:pt>
                <c:pt idx="60">
                  <c:v>46.363500000000002</c:v>
                </c:pt>
                <c:pt idx="61">
                  <c:v>46.3401</c:v>
                </c:pt>
                <c:pt idx="62">
                  <c:v>46.380700000000004</c:v>
                </c:pt>
                <c:pt idx="63">
                  <c:v>46.174300000000002</c:v>
                </c:pt>
                <c:pt idx="64">
                  <c:v>45.889299999999999</c:v>
                </c:pt>
                <c:pt idx="65">
                  <c:v>45.408000000000001</c:v>
                </c:pt>
                <c:pt idx="66">
                  <c:v>45.2196</c:v>
                </c:pt>
                <c:pt idx="67">
                  <c:v>44.997399999999999</c:v>
                </c:pt>
                <c:pt idx="68">
                  <c:v>44.814300000000003</c:v>
                </c:pt>
                <c:pt idx="69">
                  <c:v>44.698</c:v>
                </c:pt>
                <c:pt idx="70">
                  <c:v>44.612899999999996</c:v>
                </c:pt>
                <c:pt idx="71">
                  <c:v>44.579800000000006</c:v>
                </c:pt>
                <c:pt idx="72">
                  <c:v>44.556200000000004</c:v>
                </c:pt>
                <c:pt idx="73">
                  <c:v>44.676100000000005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2.7909699999999997</c:v>
                </c:pt>
                <c:pt idx="1">
                  <c:v>2.8045900000000001</c:v>
                </c:pt>
                <c:pt idx="2">
                  <c:v>2.8157100000000002</c:v>
                </c:pt>
                <c:pt idx="3">
                  <c:v>2.8211599999999999</c:v>
                </c:pt>
                <c:pt idx="4">
                  <c:v>2.8223599999999998</c:v>
                </c:pt>
                <c:pt idx="5">
                  <c:v>2.8218199999999998</c:v>
                </c:pt>
                <c:pt idx="6">
                  <c:v>2.8207599999999999</c:v>
                </c:pt>
                <c:pt idx="7">
                  <c:v>2.8179400000000001</c:v>
                </c:pt>
                <c:pt idx="8">
                  <c:v>2.8111299999999999</c:v>
                </c:pt>
                <c:pt idx="9">
                  <c:v>2.7987500000000001</c:v>
                </c:pt>
                <c:pt idx="10">
                  <c:v>2.7839199999999997</c:v>
                </c:pt>
                <c:pt idx="11">
                  <c:v>2.7647200000000001</c:v>
                </c:pt>
                <c:pt idx="12">
                  <c:v>2.7446100000000002</c:v>
                </c:pt>
                <c:pt idx="13">
                  <c:v>2.7207699999999999</c:v>
                </c:pt>
                <c:pt idx="14">
                  <c:v>2.69259</c:v>
                </c:pt>
                <c:pt idx="15">
                  <c:v>2.6622600000000003</c:v>
                </c:pt>
                <c:pt idx="16">
                  <c:v>2.6299399999999999</c:v>
                </c:pt>
                <c:pt idx="17">
                  <c:v>2.5973099999999998</c:v>
                </c:pt>
                <c:pt idx="18">
                  <c:v>2.5701700000000001</c:v>
                </c:pt>
                <c:pt idx="19">
                  <c:v>2.5440299999999998</c:v>
                </c:pt>
                <c:pt idx="20">
                  <c:v>2.5171700000000001</c:v>
                </c:pt>
                <c:pt idx="21">
                  <c:v>2.49133</c:v>
                </c:pt>
                <c:pt idx="22">
                  <c:v>2.4672200000000002</c:v>
                </c:pt>
                <c:pt idx="23">
                  <c:v>2.4448500000000002</c:v>
                </c:pt>
                <c:pt idx="24">
                  <c:v>2.4281299999999999</c:v>
                </c:pt>
                <c:pt idx="25">
                  <c:v>2.4146899999999998</c:v>
                </c:pt>
                <c:pt idx="26">
                  <c:v>2.4025799999999999</c:v>
                </c:pt>
                <c:pt idx="27">
                  <c:v>2.39411</c:v>
                </c:pt>
                <c:pt idx="28">
                  <c:v>2.3903400000000001</c:v>
                </c:pt>
                <c:pt idx="29">
                  <c:v>2.3890799999999999</c:v>
                </c:pt>
                <c:pt idx="30">
                  <c:v>2.3925900000000002</c:v>
                </c:pt>
                <c:pt idx="31">
                  <c:v>2.3992900000000001</c:v>
                </c:pt>
                <c:pt idx="32">
                  <c:v>2.40862</c:v>
                </c:pt>
                <c:pt idx="33">
                  <c:v>2.42069</c:v>
                </c:pt>
                <c:pt idx="34">
                  <c:v>2.4344700000000001</c:v>
                </c:pt>
                <c:pt idx="35">
                  <c:v>2.45017</c:v>
                </c:pt>
                <c:pt idx="36">
                  <c:v>2.4704300000000003</c:v>
                </c:pt>
                <c:pt idx="37">
                  <c:v>2.4914200000000002</c:v>
                </c:pt>
                <c:pt idx="38">
                  <c:v>2.5146699999999997</c:v>
                </c:pt>
                <c:pt idx="39">
                  <c:v>2.5366300000000002</c:v>
                </c:pt>
                <c:pt idx="40">
                  <c:v>2.5548100000000002</c:v>
                </c:pt>
                <c:pt idx="41">
                  <c:v>2.5712299999999999</c:v>
                </c:pt>
                <c:pt idx="42">
                  <c:v>2.5884800000000001</c:v>
                </c:pt>
                <c:pt idx="43">
                  <c:v>2.6055099999999998</c:v>
                </c:pt>
                <c:pt idx="44">
                  <c:v>2.6233</c:v>
                </c:pt>
                <c:pt idx="45">
                  <c:v>2.6418699999999999</c:v>
                </c:pt>
                <c:pt idx="46">
                  <c:v>2.6618199999999996</c:v>
                </c:pt>
                <c:pt idx="47">
                  <c:v>2.68147</c:v>
                </c:pt>
                <c:pt idx="48">
                  <c:v>2.7036300000000004</c:v>
                </c:pt>
                <c:pt idx="49">
                  <c:v>2.7245499999999998</c:v>
                </c:pt>
                <c:pt idx="50">
                  <c:v>2.7434599999999998</c:v>
                </c:pt>
                <c:pt idx="51">
                  <c:v>2.7513300000000003</c:v>
                </c:pt>
                <c:pt idx="52">
                  <c:v>2.7584799999999996</c:v>
                </c:pt>
                <c:pt idx="53">
                  <c:v>2.7670699999999999</c:v>
                </c:pt>
                <c:pt idx="54">
                  <c:v>2.7780700000000005</c:v>
                </c:pt>
                <c:pt idx="55">
                  <c:v>2.7866600000000004</c:v>
                </c:pt>
                <c:pt idx="56">
                  <c:v>2.7929500000000003</c:v>
                </c:pt>
                <c:pt idx="57">
                  <c:v>2.7979900000000004</c:v>
                </c:pt>
                <c:pt idx="58">
                  <c:v>2.8046199999999999</c:v>
                </c:pt>
                <c:pt idx="59">
                  <c:v>2.8135700000000003</c:v>
                </c:pt>
                <c:pt idx="60">
                  <c:v>2.8212900000000003</c:v>
                </c:pt>
                <c:pt idx="61">
                  <c:v>2.8237399999999999</c:v>
                </c:pt>
                <c:pt idx="62">
                  <c:v>2.82626</c:v>
                </c:pt>
                <c:pt idx="63">
                  <c:v>2.82646</c:v>
                </c:pt>
                <c:pt idx="64">
                  <c:v>2.8300599999999996</c:v>
                </c:pt>
                <c:pt idx="65">
                  <c:v>2.8414699999999997</c:v>
                </c:pt>
                <c:pt idx="66">
                  <c:v>2.8595600000000001</c:v>
                </c:pt>
                <c:pt idx="67">
                  <c:v>2.8745500000000002</c:v>
                </c:pt>
                <c:pt idx="68">
                  <c:v>2.8887099999999997</c:v>
                </c:pt>
                <c:pt idx="69">
                  <c:v>2.9069699999999998</c:v>
                </c:pt>
                <c:pt idx="70">
                  <c:v>2.9304100000000002</c:v>
                </c:pt>
                <c:pt idx="71">
                  <c:v>2.9539800000000001</c:v>
                </c:pt>
                <c:pt idx="72">
                  <c:v>2.9847600000000001</c:v>
                </c:pt>
                <c:pt idx="73">
                  <c:v>2.99831</c:v>
                </c:pt>
                <c:pt idx="74">
                  <c:v>2.9897600000000004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44.676100000000005</c:v>
                </c:pt>
                <c:pt idx="1">
                  <c:v>44.885999999999996</c:v>
                </c:pt>
                <c:pt idx="2">
                  <c:v>45.285399999999996</c:v>
                </c:pt>
                <c:pt idx="3">
                  <c:v>45.570100000000004</c:v>
                </c:pt>
                <c:pt idx="4">
                  <c:v>45.811300000000003</c:v>
                </c:pt>
                <c:pt idx="5">
                  <c:v>46.040199999999999</c:v>
                </c:pt>
                <c:pt idx="6">
                  <c:v>46.312999999999995</c:v>
                </c:pt>
                <c:pt idx="7">
                  <c:v>46.593000000000004</c:v>
                </c:pt>
                <c:pt idx="8">
                  <c:v>46.840199999999996</c:v>
                </c:pt>
                <c:pt idx="9">
                  <c:v>47.033799999999999</c:v>
                </c:pt>
                <c:pt idx="10">
                  <c:v>47.182299999999998</c:v>
                </c:pt>
                <c:pt idx="11">
                  <c:v>47.3172</c:v>
                </c:pt>
                <c:pt idx="12">
                  <c:v>47.491399999999999</c:v>
                </c:pt>
                <c:pt idx="13">
                  <c:v>47.730899999999998</c:v>
                </c:pt>
                <c:pt idx="14">
                  <c:v>48.020800000000001</c:v>
                </c:pt>
                <c:pt idx="15">
                  <c:v>48.378900000000002</c:v>
                </c:pt>
                <c:pt idx="16">
                  <c:v>48.856200000000001</c:v>
                </c:pt>
                <c:pt idx="17">
                  <c:v>49.391800000000003</c:v>
                </c:pt>
                <c:pt idx="18">
                  <c:v>49.834099999999999</c:v>
                </c:pt>
                <c:pt idx="19">
                  <c:v>50.266900000000007</c:v>
                </c:pt>
                <c:pt idx="20">
                  <c:v>50.714599999999997</c:v>
                </c:pt>
                <c:pt idx="21">
                  <c:v>51.181699999999999</c:v>
                </c:pt>
                <c:pt idx="22">
                  <c:v>51.656800000000004</c:v>
                </c:pt>
                <c:pt idx="23">
                  <c:v>52.107300000000002</c:v>
                </c:pt>
                <c:pt idx="24">
                  <c:v>52.450600000000001</c:v>
                </c:pt>
                <c:pt idx="25">
                  <c:v>52.639100000000006</c:v>
                </c:pt>
                <c:pt idx="26">
                  <c:v>52.748799999999996</c:v>
                </c:pt>
                <c:pt idx="27">
                  <c:v>52.764500000000005</c:v>
                </c:pt>
                <c:pt idx="28">
                  <c:v>52.677799999999998</c:v>
                </c:pt>
                <c:pt idx="29">
                  <c:v>52.5595</c:v>
                </c:pt>
                <c:pt idx="30">
                  <c:v>52.351800000000004</c:v>
                </c:pt>
                <c:pt idx="31">
                  <c:v>52.027699999999996</c:v>
                </c:pt>
                <c:pt idx="32">
                  <c:v>51.637900000000002</c:v>
                </c:pt>
                <c:pt idx="33">
                  <c:v>51.1768</c:v>
                </c:pt>
                <c:pt idx="34">
                  <c:v>50.736899999999999</c:v>
                </c:pt>
                <c:pt idx="35">
                  <c:v>50.269699999999993</c:v>
                </c:pt>
                <c:pt idx="36">
                  <c:v>49.739800000000002</c:v>
                </c:pt>
                <c:pt idx="37">
                  <c:v>49.233399999999996</c:v>
                </c:pt>
                <c:pt idx="38">
                  <c:v>48.749199999999995</c:v>
                </c:pt>
                <c:pt idx="39">
                  <c:v>48.364800000000002</c:v>
                </c:pt>
                <c:pt idx="40">
                  <c:v>48.056100000000001</c:v>
                </c:pt>
                <c:pt idx="41">
                  <c:v>47.714800000000004</c:v>
                </c:pt>
                <c:pt idx="42">
                  <c:v>47.3673</c:v>
                </c:pt>
                <c:pt idx="43">
                  <c:v>47.0625</c:v>
                </c:pt>
                <c:pt idx="44">
                  <c:v>46.787800000000004</c:v>
                </c:pt>
                <c:pt idx="45">
                  <c:v>46.506799999999998</c:v>
                </c:pt>
                <c:pt idx="46">
                  <c:v>46.17</c:v>
                </c:pt>
                <c:pt idx="47">
                  <c:v>45.817600000000006</c:v>
                </c:pt>
                <c:pt idx="48">
                  <c:v>45.393799999999999</c:v>
                </c:pt>
                <c:pt idx="49">
                  <c:v>44.930199999999999</c:v>
                </c:pt>
                <c:pt idx="50">
                  <c:v>44.5809</c:v>
                </c:pt>
                <c:pt idx="51">
                  <c:v>44.425699999999999</c:v>
                </c:pt>
                <c:pt idx="52">
                  <c:v>44.2547</c:v>
                </c:pt>
                <c:pt idx="53">
                  <c:v>44.0762</c:v>
                </c:pt>
                <c:pt idx="54">
                  <c:v>43.872</c:v>
                </c:pt>
                <c:pt idx="55">
                  <c:v>43.623800000000003</c:v>
                </c:pt>
                <c:pt idx="56">
                  <c:v>43.388599999999997</c:v>
                </c:pt>
                <c:pt idx="57">
                  <c:v>43.150300000000001</c:v>
                </c:pt>
                <c:pt idx="58">
                  <c:v>42.964599999999997</c:v>
                </c:pt>
                <c:pt idx="59">
                  <c:v>42.767699999999998</c:v>
                </c:pt>
                <c:pt idx="60">
                  <c:v>42.582099999999997</c:v>
                </c:pt>
                <c:pt idx="61">
                  <c:v>42.446400000000004</c:v>
                </c:pt>
                <c:pt idx="62">
                  <c:v>42.289200000000001</c:v>
                </c:pt>
                <c:pt idx="63">
                  <c:v>42.112000000000002</c:v>
                </c:pt>
                <c:pt idx="64">
                  <c:v>41.856700000000004</c:v>
                </c:pt>
                <c:pt idx="65">
                  <c:v>41.580800000000004</c:v>
                </c:pt>
                <c:pt idx="66">
                  <c:v>41.453899999999997</c:v>
                </c:pt>
                <c:pt idx="67">
                  <c:v>41.402000000000001</c:v>
                </c:pt>
                <c:pt idx="68">
                  <c:v>41.305599999999998</c:v>
                </c:pt>
                <c:pt idx="69">
                  <c:v>41.070499999999996</c:v>
                </c:pt>
                <c:pt idx="70">
                  <c:v>40.784999999999997</c:v>
                </c:pt>
                <c:pt idx="71">
                  <c:v>40.613100000000003</c:v>
                </c:pt>
                <c:pt idx="72">
                  <c:v>40.485100000000003</c:v>
                </c:pt>
                <c:pt idx="73">
                  <c:v>40.7515</c:v>
                </c:pt>
                <c:pt idx="74">
                  <c:v>41.589700000000001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1.3846700000000001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69.248800000000003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2.5788624324324312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45.04911216216216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2.6812186486486489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46.619827027027036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2.6812186486486489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46.619827027027036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569</v>
      </c>
      <c r="D5" s="191"/>
      <c r="E5" s="191"/>
      <c r="F5" s="192"/>
      <c r="G5" s="48" t="str">
        <f>lang!B27</f>
        <v>编号</v>
      </c>
      <c r="H5" s="190">
        <v>9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568</v>
      </c>
      <c r="D6" s="145"/>
      <c r="E6" s="145"/>
      <c r="F6" s="146"/>
      <c r="G6" s="49" t="str">
        <f>lang!B28</f>
        <v xml:space="preserve"> 日期</v>
      </c>
      <c r="H6" s="129">
        <f>FH_info!A2</f>
        <v>43612.672395833331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60</v>
      </c>
      <c r="D7" s="148"/>
      <c r="E7" s="148"/>
      <c r="F7" s="149"/>
      <c r="G7" s="50" t="str">
        <f>lang!B29</f>
        <v>误差率（%）</v>
      </c>
      <c r="H7" s="132">
        <f>M!B17*1</f>
        <v>17.664000000000001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33.273099999999999</v>
      </c>
      <c r="O8" s="59">
        <f>M!C5*1</f>
        <v>8.7170100000000001</v>
      </c>
      <c r="P8" s="59">
        <f>M!D5*1</f>
        <v>26.198399999999999</v>
      </c>
      <c r="Q8" s="59">
        <f>M!E5*1</f>
        <v>20</v>
      </c>
      <c r="R8" s="59">
        <f>M!F5*1</f>
        <v>8.2564200000000003</v>
      </c>
      <c r="S8" s="59">
        <f>M!G5*1</f>
        <v>50</v>
      </c>
      <c r="T8" s="59">
        <f>M!H5*1</f>
        <v>45.5092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25.334199999999999</v>
      </c>
      <c r="O9" s="59">
        <f>M!C6*1</f>
        <v>1.8964099999999999</v>
      </c>
      <c r="P9" s="59">
        <f>M!D6*1</f>
        <v>7.4855799999999997</v>
      </c>
      <c r="Q9" s="59">
        <f>M!E6*1</f>
        <v>20</v>
      </c>
      <c r="R9" s="59">
        <f>M!F6*1</f>
        <v>22.0381</v>
      </c>
      <c r="S9" s="59">
        <f>M!G6*1</f>
        <v>40</v>
      </c>
      <c r="T9" s="59">
        <f>M!H6*1</f>
        <v>32.685099999999998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8.2564200000000003</v>
      </c>
      <c r="D10" s="99">
        <f>N8</f>
        <v>33.273099999999999</v>
      </c>
      <c r="E10" s="100">
        <f>T8</f>
        <v>45.5092</v>
      </c>
      <c r="F10" s="91">
        <f>P8</f>
        <v>26.198399999999999</v>
      </c>
      <c r="G10" s="81" t="str">
        <f>CONCATENATE(M9,"
(20 ~ 40)")</f>
        <v>压力
(20 ~ 40)</v>
      </c>
      <c r="H10" s="98">
        <f>R9</f>
        <v>22.0381</v>
      </c>
      <c r="I10" s="108">
        <f>N9</f>
        <v>25.334199999999999</v>
      </c>
      <c r="J10" s="98">
        <f>T9</f>
        <v>32.685099999999998</v>
      </c>
      <c r="K10" s="92">
        <f>P9</f>
        <v>7.4855799999999997</v>
      </c>
      <c r="L10" s="6"/>
      <c r="M10" s="27" t="str">
        <f>lang!B16</f>
        <v>焦虑</v>
      </c>
      <c r="N10" s="59">
        <f>M!B7*1</f>
        <v>33.588999999999999</v>
      </c>
      <c r="O10" s="59">
        <f>M!C7*1</f>
        <v>9.6455699999999993</v>
      </c>
      <c r="P10" s="59">
        <f>M!D7*1</f>
        <v>28.7165</v>
      </c>
      <c r="Q10" s="59">
        <f>M!E7*1</f>
        <v>15</v>
      </c>
      <c r="R10" s="59">
        <f>M!F7*1</f>
        <v>2.5480499999999999</v>
      </c>
      <c r="S10" s="59">
        <f>M!G7*1</f>
        <v>40</v>
      </c>
      <c r="T10" s="59">
        <f>M!H7*1</f>
        <v>50.180100000000003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2.5480499999999999</v>
      </c>
      <c r="D11" s="102">
        <f>N10</f>
        <v>33.588999999999999</v>
      </c>
      <c r="E11" s="103">
        <f>T10</f>
        <v>50.180100000000003</v>
      </c>
      <c r="F11" s="94">
        <f>P10</f>
        <v>28.7165</v>
      </c>
      <c r="G11" s="52" t="str">
        <f>CONCATENATE(M11,"
(20 ~ 50)")</f>
        <v>可疑
(20 ~ 50)</v>
      </c>
      <c r="H11" s="101">
        <f>R11</f>
        <v>23.414899999999999</v>
      </c>
      <c r="I11" s="104">
        <f>N11</f>
        <v>29.2499</v>
      </c>
      <c r="J11" s="101">
        <f>T11</f>
        <v>37.078699999999998</v>
      </c>
      <c r="K11" s="95">
        <f>P11</f>
        <v>10.6562</v>
      </c>
      <c r="L11" s="4"/>
      <c r="M11" s="27" t="str">
        <f>lang!B17</f>
        <v>可疑</v>
      </c>
      <c r="N11" s="59">
        <f>M!B8*1</f>
        <v>29.2499</v>
      </c>
      <c r="O11" s="59">
        <f>M!C8*1</f>
        <v>3.1169199999999999</v>
      </c>
      <c r="P11" s="59">
        <f>M!D8*1</f>
        <v>10.6562</v>
      </c>
      <c r="Q11" s="59">
        <f>M!E8*1</f>
        <v>20</v>
      </c>
      <c r="R11" s="59">
        <f>M!F8*1</f>
        <v>23.414899999999999</v>
      </c>
      <c r="S11" s="59">
        <f>M!G8*1</f>
        <v>50</v>
      </c>
      <c r="T11" s="59">
        <f>M!H8*1</f>
        <v>37.078699999999998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45.867400000000004</v>
      </c>
      <c r="D12" s="104">
        <f>N12</f>
        <v>62.261499999999998</v>
      </c>
      <c r="E12" s="101">
        <f>T12</f>
        <v>85.475300000000004</v>
      </c>
      <c r="F12" s="93">
        <f>P12</f>
        <v>11.8886</v>
      </c>
      <c r="G12" s="52" t="str">
        <f>CONCATENATE(M13,"
(40 ~ 100)")</f>
        <v>自信
(40 ~ 100)</v>
      </c>
      <c r="H12" s="101">
        <f>R13</f>
        <v>69.887</v>
      </c>
      <c r="I12" s="104">
        <f>N13</f>
        <v>77.490799999999993</v>
      </c>
      <c r="J12" s="101">
        <f>T13</f>
        <v>85.116299999999995</v>
      </c>
      <c r="K12" s="95">
        <f>P13</f>
        <v>3.9225599999999998</v>
      </c>
      <c r="L12" s="4"/>
      <c r="M12" s="27" t="str">
        <f>lang!B18</f>
        <v>平衡</v>
      </c>
      <c r="N12" s="59">
        <f>M!B9*1</f>
        <v>62.261499999999998</v>
      </c>
      <c r="O12" s="59">
        <f>M!C9*1</f>
        <v>7.4020099999999998</v>
      </c>
      <c r="P12" s="59">
        <f>M!D9*1</f>
        <v>11.8886</v>
      </c>
      <c r="Q12" s="59">
        <f>M!E9*1</f>
        <v>50</v>
      </c>
      <c r="R12" s="59">
        <f>M!F9*1</f>
        <v>45.867400000000004</v>
      </c>
      <c r="S12" s="59">
        <f>M!G9*1</f>
        <v>100</v>
      </c>
      <c r="T12" s="59">
        <f>M!H9*1</f>
        <v>85.475300000000004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4.2561200000000001</v>
      </c>
      <c r="D13" s="102">
        <f>N14</f>
        <v>15.726000000000001</v>
      </c>
      <c r="E13" s="103">
        <f>T14</f>
        <v>19.750299999999999</v>
      </c>
      <c r="F13" s="94">
        <f>P14</f>
        <v>22.359200000000001</v>
      </c>
      <c r="G13" s="52" t="str">
        <f>CONCATENATE(M15,"
(50 ~ 100)")</f>
        <v>自我调节
(50 ~ 100)</v>
      </c>
      <c r="H13" s="101">
        <f>R15</f>
        <v>61.057400000000001</v>
      </c>
      <c r="I13" s="104">
        <f>N15</f>
        <v>70.907799999999995</v>
      </c>
      <c r="J13" s="101">
        <f>T15</f>
        <v>84.003200000000007</v>
      </c>
      <c r="K13" s="95">
        <f>P15</f>
        <v>6.0297299999999998</v>
      </c>
      <c r="L13" s="4"/>
      <c r="M13" s="27" t="str">
        <f>lang!B19</f>
        <v>自信</v>
      </c>
      <c r="N13" s="59">
        <f>M!B10*1</f>
        <v>77.490799999999993</v>
      </c>
      <c r="O13" s="59">
        <f>M!C10*1</f>
        <v>3.0396200000000002</v>
      </c>
      <c r="P13" s="59">
        <f>M!D10*1</f>
        <v>3.9225599999999998</v>
      </c>
      <c r="Q13" s="59">
        <f>M!E10*1</f>
        <v>40</v>
      </c>
      <c r="R13" s="59">
        <f>M!F10*1</f>
        <v>69.887</v>
      </c>
      <c r="S13" s="59">
        <f>M!G10*1</f>
        <v>100</v>
      </c>
      <c r="T13" s="59">
        <f>M!H10*1</f>
        <v>85.116299999999995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13.222</v>
      </c>
      <c r="D14" s="106">
        <f>N16</f>
        <v>17.584099999999999</v>
      </c>
      <c r="E14" s="107">
        <f>T16</f>
        <v>30.192599999999999</v>
      </c>
      <c r="F14" s="96">
        <f>P16</f>
        <v>17.890999999999998</v>
      </c>
      <c r="G14" s="112" t="str">
        <f>CONCATENATE(M17,"
(10 ~ 50)")</f>
        <v>神经质
(10 ~ 50)</v>
      </c>
      <c r="H14" s="105">
        <f>R17</f>
        <v>1.1362099999999999</v>
      </c>
      <c r="I14" s="106">
        <f>N17</f>
        <v>31.459900000000001</v>
      </c>
      <c r="J14" s="107">
        <f>T17</f>
        <v>48.073399999999999</v>
      </c>
      <c r="K14" s="97">
        <f>P17</f>
        <v>41.491799999999998</v>
      </c>
      <c r="M14" s="27" t="str">
        <f>lang!B20</f>
        <v>活力</v>
      </c>
      <c r="N14" s="59">
        <f>M!B11*1</f>
        <v>15.726000000000001</v>
      </c>
      <c r="O14" s="59">
        <f>M!C11*1</f>
        <v>3.5162200000000001</v>
      </c>
      <c r="P14" s="59">
        <f>M!D11*1</f>
        <v>22.359200000000001</v>
      </c>
      <c r="Q14" s="59">
        <f>M!E11*1</f>
        <v>10</v>
      </c>
      <c r="R14" s="59">
        <f>M!F11*1</f>
        <v>4.2561200000000001</v>
      </c>
      <c r="S14" s="59">
        <f>M!G11*1</f>
        <v>50</v>
      </c>
      <c r="T14" s="59">
        <f>M!H11*1</f>
        <v>19.750299999999999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70.907799999999995</v>
      </c>
      <c r="O15" s="59">
        <f>M!C12*1</f>
        <v>4.27555</v>
      </c>
      <c r="P15" s="59">
        <f>M!D12*1</f>
        <v>6.0297299999999998</v>
      </c>
      <c r="Q15" s="59">
        <f>M!E12*1</f>
        <v>50</v>
      </c>
      <c r="R15" s="59">
        <f>M!F12*1</f>
        <v>61.057400000000001</v>
      </c>
      <c r="S15" s="59">
        <f>M!G12*1</f>
        <v>100</v>
      </c>
      <c r="T15" s="59">
        <f>M!H12*1</f>
        <v>84.003200000000007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17.584099999999999</v>
      </c>
      <c r="O16" s="59">
        <f>M!C13*1</f>
        <v>3.1459899999999998</v>
      </c>
      <c r="P16" s="59">
        <f>M!D13*1</f>
        <v>17.890999999999998</v>
      </c>
      <c r="Q16" s="59">
        <f>M!E13*1</f>
        <v>10</v>
      </c>
      <c r="R16" s="59">
        <f>M!F13*1</f>
        <v>13.222</v>
      </c>
      <c r="S16" s="59">
        <f>M!G13*1</f>
        <v>25</v>
      </c>
      <c r="T16" s="59">
        <f>M!H13*1</f>
        <v>30.192599999999999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31.459900000000001</v>
      </c>
      <c r="O17" s="59">
        <f>M!C14*1</f>
        <v>13.0533</v>
      </c>
      <c r="P17" s="59">
        <f>M!D14*1</f>
        <v>41.491799999999998</v>
      </c>
      <c r="Q17" s="59">
        <f>M!E14*1</f>
        <v>10</v>
      </c>
      <c r="R17" s="59">
        <f>M!F14*1</f>
        <v>1.1362099999999999</v>
      </c>
      <c r="S17" s="59">
        <f>M!G14*1</f>
        <v>50</v>
      </c>
      <c r="T17" s="59">
        <f>M!H14*1</f>
        <v>48.073399999999999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56.596525</v>
      </c>
      <c r="O18" s="22">
        <f>N18/(N18+N19+N20)</f>
        <v>0.50768287516849986</v>
      </c>
      <c r="P18" s="65">
        <f>SUM(P12:P15)/4</f>
        <v>11.050022500000001</v>
      </c>
      <c r="Q18" s="22">
        <f>P18/(P18+P19+P20)</f>
        <v>0.18727076590240155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30.361549999999998</v>
      </c>
      <c r="O19" s="22">
        <f>N19/(N18+N19+N20)</f>
        <v>0.27234956560623053</v>
      </c>
      <c r="P19" s="18">
        <f>SUM(P8:P11)/4</f>
        <v>18.26417</v>
      </c>
      <c r="Q19" s="22">
        <f>P19/(P18+P19+P20)</f>
        <v>0.30953286334680902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24.521999999999998</v>
      </c>
      <c r="O20" s="22">
        <f>N20/(N18+N19+N20)</f>
        <v>0.21996755922526962</v>
      </c>
      <c r="P20" s="18">
        <f>(P16+P17)/2</f>
        <v>29.691399999999998</v>
      </c>
      <c r="Q20" s="22">
        <f>P20/(P18+P19+P20)</f>
        <v>0.50319637075078938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5.4715270270269123E-3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1.2669710810955259</v>
      </c>
      <c r="D25" s="44" t="str">
        <f>lang!B11</f>
        <v>频率方差</v>
      </c>
      <c r="E25" s="182">
        <f ca="1">FH!L3</f>
        <v>0.56556822461059042</v>
      </c>
      <c r="F25" s="183"/>
      <c r="G25" s="174" t="str">
        <f>lang!B12</f>
        <v>生理变化率</v>
      </c>
      <c r="H25" s="175"/>
      <c r="I25" s="62" t="str">
        <f ca="1">CONCATENATE(info!M7,"-",info!M8)</f>
        <v>36.3-69.2</v>
      </c>
      <c r="J25" s="42" t="str">
        <f>lang!B13</f>
        <v>千卡l/分钟</v>
      </c>
      <c r="K25" s="41" t="str">
        <f ca="1">CONCATENATE(info!M5,"-",info!M6)</f>
        <v>1.4-3.1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52.084099999999999</v>
      </c>
      <c r="F28" s="121"/>
      <c r="G28" s="135" t="str">
        <f>lang!B33</f>
        <v>稳定性</v>
      </c>
      <c r="H28" s="136"/>
      <c r="I28" s="137"/>
      <c r="J28" s="138">
        <f>M!B19*100</f>
        <v>76.500199999999992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43612.672395833331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1.7334000000000032</v>
      </c>
      <c r="O7" s="59">
        <f t="shared" ref="O7:T7" si="2">AG7-X7</f>
        <v>-7.961310000000001</v>
      </c>
      <c r="P7" s="59">
        <f t="shared" si="2"/>
        <v>-25.207100000000001</v>
      </c>
      <c r="Q7" s="59">
        <f t="shared" si="2"/>
        <v>0</v>
      </c>
      <c r="R7" s="59">
        <f t="shared" si="2"/>
        <v>19.580379999999998</v>
      </c>
      <c r="S7" s="59">
        <f t="shared" si="2"/>
        <v>0</v>
      </c>
      <c r="T7" s="59">
        <f t="shared" si="2"/>
        <v>-2.4686999999999983</v>
      </c>
      <c r="U7" s="14"/>
      <c r="V7" s="27" t="str">
        <f>M7</f>
        <v>攻击性</v>
      </c>
      <c r="W7" s="59">
        <f>'M1'!B5*1</f>
        <v>32.297899999999998</v>
      </c>
      <c r="X7" s="59">
        <f>'M1'!C5*1</f>
        <v>11.496700000000001</v>
      </c>
      <c r="Y7" s="59">
        <f>'M1'!D5*1</f>
        <v>35.595700000000001</v>
      </c>
      <c r="Z7" s="59">
        <f>'M1'!E5*1</f>
        <v>20</v>
      </c>
      <c r="AA7" s="59">
        <f>'M1'!F5*1</f>
        <v>8.2564200000000003</v>
      </c>
      <c r="AB7" s="59">
        <f>'M1'!G5*1</f>
        <v>50</v>
      </c>
      <c r="AC7" s="59">
        <f>'M1'!H5*1</f>
        <v>45.5092</v>
      </c>
      <c r="AE7" s="27" t="str">
        <f>V7</f>
        <v>攻击性</v>
      </c>
      <c r="AF7" s="59">
        <f>'M2'!B5*1</f>
        <v>34.031300000000002</v>
      </c>
      <c r="AG7" s="59">
        <f>'M2'!C5*1</f>
        <v>3.53539</v>
      </c>
      <c r="AH7" s="59">
        <f>'M2'!D5*1</f>
        <v>10.3886</v>
      </c>
      <c r="AI7" s="59">
        <f>'M2'!E5*1</f>
        <v>20</v>
      </c>
      <c r="AJ7" s="59">
        <f>'M2'!F5*1</f>
        <v>27.8368</v>
      </c>
      <c r="AK7" s="59">
        <f>'M2'!G5*1</f>
        <v>50</v>
      </c>
      <c r="AL7" s="59">
        <f>'M2'!H5*1</f>
        <v>43.040500000000002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0.86229999999999762</v>
      </c>
      <c r="O8" s="59">
        <f t="shared" ref="O8:O16" si="5">AG8-X8</f>
        <v>0.32690000000000019</v>
      </c>
      <c r="P8" s="59">
        <f t="shared" ref="P8:P16" si="6">AH8-Y8</f>
        <v>1.0556999999999999</v>
      </c>
      <c r="Q8" s="59">
        <f t="shared" ref="Q8:Q16" si="7">AI8-Z8</f>
        <v>0</v>
      </c>
      <c r="R8" s="59">
        <f t="shared" ref="R8:R16" si="8">AJ8-AA8</f>
        <v>0.92680000000000007</v>
      </c>
      <c r="S8" s="59">
        <f t="shared" ref="S8:S16" si="9">AK8-AB8</f>
        <v>0</v>
      </c>
      <c r="T8" s="59">
        <f t="shared" ref="T8:T16" si="10">AL8-AC8</f>
        <v>2.2389999999999972</v>
      </c>
      <c r="U8" s="15"/>
      <c r="V8" s="27" t="str">
        <f t="shared" ref="V8:V16" si="11">M8</f>
        <v>压力</v>
      </c>
      <c r="W8" s="59">
        <f>'M1'!B6*1</f>
        <v>24.636700000000001</v>
      </c>
      <c r="X8" s="59">
        <f>'M1'!C6*1</f>
        <v>1.6491199999999999</v>
      </c>
      <c r="Y8" s="59">
        <f>'M1'!D6*1</f>
        <v>6.6937199999999999</v>
      </c>
      <c r="Z8" s="59">
        <f>'M1'!E6*1</f>
        <v>20</v>
      </c>
      <c r="AA8" s="59">
        <f>'M1'!F6*1</f>
        <v>22.0381</v>
      </c>
      <c r="AB8" s="59">
        <f>'M1'!G6*1</f>
        <v>40</v>
      </c>
      <c r="AC8" s="59">
        <f>'M1'!H6*1</f>
        <v>28.622900000000001</v>
      </c>
      <c r="AE8" s="27" t="str">
        <f t="shared" ref="AE8:AE16" si="12">V8</f>
        <v>压力</v>
      </c>
      <c r="AF8" s="59">
        <f>'M2'!B6*1</f>
        <v>25.498999999999999</v>
      </c>
      <c r="AG8" s="59">
        <f>'M2'!C6*1</f>
        <v>1.9760200000000001</v>
      </c>
      <c r="AH8" s="59">
        <f>'M2'!D6*1</f>
        <v>7.7494199999999998</v>
      </c>
      <c r="AI8" s="59">
        <f>'M2'!E6*1</f>
        <v>20</v>
      </c>
      <c r="AJ8" s="59">
        <f>'M2'!F6*1</f>
        <v>22.9649</v>
      </c>
      <c r="AK8" s="59">
        <f>'M2'!G6*1</f>
        <v>40</v>
      </c>
      <c r="AL8" s="59">
        <f>'M2'!H6*1</f>
        <v>30.861899999999999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19.580379999999998</v>
      </c>
      <c r="D9" s="78">
        <f>N7</f>
        <v>1.7334000000000032</v>
      </c>
      <c r="E9" s="79">
        <f>T7</f>
        <v>-2.4686999999999983</v>
      </c>
      <c r="F9" s="79">
        <f>P7</f>
        <v>-25.207100000000001</v>
      </c>
      <c r="G9" s="80" t="str">
        <f>CONCATENATE(M8,"
(20 ~ 40)")</f>
        <v>压力
(20 ~ 40)</v>
      </c>
      <c r="H9" s="77">
        <f>R8</f>
        <v>0.92680000000000007</v>
      </c>
      <c r="I9" s="81">
        <f>N8</f>
        <v>0.86229999999999762</v>
      </c>
      <c r="J9" s="77">
        <f>T8</f>
        <v>2.2389999999999972</v>
      </c>
      <c r="K9" s="82">
        <f>P8</f>
        <v>1.0556999999999999</v>
      </c>
      <c r="L9" s="6"/>
      <c r="M9" s="27" t="str">
        <f>lang!B16</f>
        <v>焦虑</v>
      </c>
      <c r="N9" s="59">
        <f t="shared" si="4"/>
        <v>-3.5592000000000006</v>
      </c>
      <c r="O9" s="59">
        <f t="shared" si="5"/>
        <v>-4.2784499999999994</v>
      </c>
      <c r="P9" s="59">
        <f t="shared" si="6"/>
        <v>-9.9731999999999985</v>
      </c>
      <c r="Q9" s="59">
        <f t="shared" si="7"/>
        <v>0</v>
      </c>
      <c r="R9" s="59">
        <f t="shared" si="8"/>
        <v>8.6134500000000003</v>
      </c>
      <c r="S9" s="59">
        <f t="shared" si="9"/>
        <v>0</v>
      </c>
      <c r="T9" s="59">
        <f t="shared" si="10"/>
        <v>-4.0763000000000034</v>
      </c>
      <c r="U9" s="14"/>
      <c r="V9" s="27" t="str">
        <f t="shared" si="11"/>
        <v>焦虑</v>
      </c>
      <c r="W9" s="59">
        <f>'M1'!B7*1</f>
        <v>34.5291</v>
      </c>
      <c r="X9" s="59">
        <f>'M1'!C7*1</f>
        <v>11.5428</v>
      </c>
      <c r="Y9" s="59">
        <f>'M1'!D7*1</f>
        <v>33.429299999999998</v>
      </c>
      <c r="Z9" s="59">
        <f>'M1'!E7*1</f>
        <v>15</v>
      </c>
      <c r="AA9" s="59">
        <f>'M1'!F7*1</f>
        <v>2.5480499999999999</v>
      </c>
      <c r="AB9" s="59">
        <f>'M1'!G7*1</f>
        <v>40</v>
      </c>
      <c r="AC9" s="59">
        <f>'M1'!H7*1</f>
        <v>50.180100000000003</v>
      </c>
      <c r="AE9" s="27" t="str">
        <f t="shared" si="12"/>
        <v>焦虑</v>
      </c>
      <c r="AF9" s="59">
        <f>'M2'!B7*1</f>
        <v>30.969899999999999</v>
      </c>
      <c r="AG9" s="59">
        <f>'M2'!C7*1</f>
        <v>7.2643500000000003</v>
      </c>
      <c r="AH9" s="59">
        <f>'M2'!D7*1</f>
        <v>23.456099999999999</v>
      </c>
      <c r="AI9" s="59">
        <f>'M2'!E7*1</f>
        <v>15</v>
      </c>
      <c r="AJ9" s="59">
        <f>'M2'!F7*1</f>
        <v>11.1615</v>
      </c>
      <c r="AK9" s="59">
        <f>'M2'!G7*1</f>
        <v>40</v>
      </c>
      <c r="AL9" s="59">
        <f>'M2'!H7*1</f>
        <v>46.1038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8.6134500000000003</v>
      </c>
      <c r="D10" s="51">
        <f>N9</f>
        <v>-3.5592000000000006</v>
      </c>
      <c r="E10" s="53">
        <f>T9</f>
        <v>-4.0763000000000034</v>
      </c>
      <c r="F10" s="53">
        <f>P9</f>
        <v>-9.9731999999999985</v>
      </c>
      <c r="G10" s="73" t="str">
        <f>CONCATENATE(M10,"
(20 ~ 50)")</f>
        <v>可疑
(20 ~ 50)</v>
      </c>
      <c r="H10" s="24">
        <f>R10</f>
        <v>1.622399999999999</v>
      </c>
      <c r="I10" s="52">
        <f>N10</f>
        <v>1.2149000000000001</v>
      </c>
      <c r="J10" s="24">
        <f>T10</f>
        <v>2.0193999999999974</v>
      </c>
      <c r="K10" s="25">
        <f>P10</f>
        <v>-3.9223299999999988</v>
      </c>
      <c r="L10" s="4"/>
      <c r="M10" s="27" t="str">
        <f>lang!B17</f>
        <v>可疑</v>
      </c>
      <c r="N10" s="59">
        <f t="shared" si="4"/>
        <v>1.2149000000000001</v>
      </c>
      <c r="O10" s="59">
        <f t="shared" si="5"/>
        <v>-1.00712</v>
      </c>
      <c r="P10" s="59">
        <f t="shared" si="6"/>
        <v>-3.9223299999999988</v>
      </c>
      <c r="Q10" s="59">
        <f t="shared" si="7"/>
        <v>0</v>
      </c>
      <c r="R10" s="59">
        <f t="shared" si="8"/>
        <v>1.622399999999999</v>
      </c>
      <c r="S10" s="59">
        <f t="shared" si="9"/>
        <v>0</v>
      </c>
      <c r="T10" s="59">
        <f t="shared" si="10"/>
        <v>2.0193999999999974</v>
      </c>
      <c r="U10" s="14"/>
      <c r="V10" s="27" t="str">
        <f t="shared" si="11"/>
        <v>可疑</v>
      </c>
      <c r="W10" s="59">
        <f>'M1'!B8*1</f>
        <v>28.278099999999998</v>
      </c>
      <c r="X10" s="59">
        <f>'M1'!C8*1</f>
        <v>3.48461</v>
      </c>
      <c r="Y10" s="59">
        <f>'M1'!D8*1</f>
        <v>12.3226</v>
      </c>
      <c r="Z10" s="59">
        <f>'M1'!E8*1</f>
        <v>20</v>
      </c>
      <c r="AA10" s="59">
        <f>'M1'!F8*1</f>
        <v>23.414899999999999</v>
      </c>
      <c r="AB10" s="59">
        <f>'M1'!G8*1</f>
        <v>50</v>
      </c>
      <c r="AC10" s="59">
        <f>'M1'!H8*1</f>
        <v>34.8964</v>
      </c>
      <c r="AE10" s="27" t="str">
        <f t="shared" si="12"/>
        <v>可疑</v>
      </c>
      <c r="AF10" s="59">
        <f>'M2'!B8*1</f>
        <v>29.492999999999999</v>
      </c>
      <c r="AG10" s="59">
        <f>'M2'!C8*1</f>
        <v>2.47749</v>
      </c>
      <c r="AH10" s="59">
        <f>'M2'!D8*1</f>
        <v>8.4002700000000008</v>
      </c>
      <c r="AI10" s="59">
        <f>'M2'!E8*1</f>
        <v>20</v>
      </c>
      <c r="AJ10" s="59">
        <f>'M2'!F8*1</f>
        <v>25.037299999999998</v>
      </c>
      <c r="AK10" s="59">
        <f>'M2'!G8*1</f>
        <v>50</v>
      </c>
      <c r="AL10" s="59">
        <f>'M2'!H8*1</f>
        <v>36.915799999999997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-10.516599999999997</v>
      </c>
      <c r="D11" s="52">
        <f>N11</f>
        <v>-6.6899999999999977</v>
      </c>
      <c r="E11" s="24">
        <f>T11</f>
        <v>-11.797899999999998</v>
      </c>
      <c r="F11" s="24">
        <f>P11</f>
        <v>-0.88898999999999972</v>
      </c>
      <c r="G11" s="73" t="str">
        <f>CONCATENATE(M12,"
(40 ~ 100)")</f>
        <v>自信
(40 ~ 100)</v>
      </c>
      <c r="H11" s="24">
        <f>R12</f>
        <v>-1.4578999999999951</v>
      </c>
      <c r="I11" s="52">
        <f>N12</f>
        <v>-3.9495000000000005</v>
      </c>
      <c r="J11" s="24">
        <f>T12</f>
        <v>-3.0478999999999985</v>
      </c>
      <c r="K11" s="25">
        <f>P12</f>
        <v>-0.81703999999999999</v>
      </c>
      <c r="L11" s="4"/>
      <c r="M11" s="27" t="str">
        <f>lang!B18</f>
        <v>平衡</v>
      </c>
      <c r="N11" s="59">
        <f t="shared" si="4"/>
        <v>-6.6899999999999977</v>
      </c>
      <c r="O11" s="59">
        <f t="shared" si="5"/>
        <v>-1.2466499999999998</v>
      </c>
      <c r="P11" s="59">
        <f t="shared" si="6"/>
        <v>-0.88898999999999972</v>
      </c>
      <c r="Q11" s="59">
        <f t="shared" si="7"/>
        <v>0</v>
      </c>
      <c r="R11" s="59">
        <f t="shared" si="8"/>
        <v>-10.516599999999997</v>
      </c>
      <c r="S11" s="59">
        <f t="shared" si="9"/>
        <v>0</v>
      </c>
      <c r="T11" s="59">
        <f t="shared" si="10"/>
        <v>-11.797899999999998</v>
      </c>
      <c r="U11" s="14"/>
      <c r="V11" s="27" t="str">
        <f t="shared" si="11"/>
        <v>平衡</v>
      </c>
      <c r="W11" s="59">
        <f>'M1'!B9*1</f>
        <v>66.964399999999998</v>
      </c>
      <c r="X11" s="59">
        <f>'M1'!C9*1</f>
        <v>7.1149199999999997</v>
      </c>
      <c r="Y11" s="59">
        <f>'M1'!D9*1</f>
        <v>10.6249</v>
      </c>
      <c r="Z11" s="59">
        <f>'M1'!E9*1</f>
        <v>50</v>
      </c>
      <c r="AA11" s="59">
        <f>'M1'!F9*1</f>
        <v>56.384</v>
      </c>
      <c r="AB11" s="59">
        <f>'M1'!G9*1</f>
        <v>100</v>
      </c>
      <c r="AC11" s="59">
        <f>'M1'!H9*1</f>
        <v>85.475300000000004</v>
      </c>
      <c r="AE11" s="27" t="str">
        <f t="shared" si="12"/>
        <v>平衡</v>
      </c>
      <c r="AF11" s="59">
        <f>'M2'!B9*1</f>
        <v>60.2744</v>
      </c>
      <c r="AG11" s="59">
        <f>'M2'!C9*1</f>
        <v>5.8682699999999999</v>
      </c>
      <c r="AH11" s="59">
        <f>'M2'!D9*1</f>
        <v>9.7359100000000005</v>
      </c>
      <c r="AI11" s="59">
        <f>'M2'!E9*1</f>
        <v>50</v>
      </c>
      <c r="AJ11" s="59">
        <f>'M2'!F9*1</f>
        <v>45.867400000000004</v>
      </c>
      <c r="AK11" s="59">
        <f>'M2'!G9*1</f>
        <v>100</v>
      </c>
      <c r="AL11" s="59">
        <f>'M2'!H9*1</f>
        <v>73.677400000000006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9.0071799999999982</v>
      </c>
      <c r="D12" s="51">
        <f>N13</f>
        <v>1.4526000000000003</v>
      </c>
      <c r="E12" s="53">
        <f>T13</f>
        <v>-0.34430000000000049</v>
      </c>
      <c r="F12" s="53">
        <f>P13</f>
        <v>-19.615299999999998</v>
      </c>
      <c r="G12" s="73" t="str">
        <f>CONCATENATE(M14,"
(50 ~ 100)")</f>
        <v>自我调节
(50 ~ 100)</v>
      </c>
      <c r="H12" s="24">
        <f>R14</f>
        <v>-5.570999999999998</v>
      </c>
      <c r="I12" s="52">
        <f>N14</f>
        <v>-3.9849000000000103</v>
      </c>
      <c r="J12" s="24">
        <f>T14</f>
        <v>-9.8503000000000043</v>
      </c>
      <c r="K12" s="25">
        <f>P14</f>
        <v>-1.3526299999999996</v>
      </c>
      <c r="L12" s="4"/>
      <c r="M12" s="27" t="str">
        <f>lang!B19</f>
        <v>自信</v>
      </c>
      <c r="N12" s="59">
        <f t="shared" si="4"/>
        <v>-3.9495000000000005</v>
      </c>
      <c r="O12" s="59">
        <f t="shared" si="5"/>
        <v>-0.77790999999999988</v>
      </c>
      <c r="P12" s="59">
        <f t="shared" si="6"/>
        <v>-0.81703999999999999</v>
      </c>
      <c r="Q12" s="59">
        <f t="shared" si="7"/>
        <v>0</v>
      </c>
      <c r="R12" s="59">
        <f t="shared" si="8"/>
        <v>-1.4578999999999951</v>
      </c>
      <c r="S12" s="59">
        <f t="shared" si="9"/>
        <v>0</v>
      </c>
      <c r="T12" s="59">
        <f t="shared" si="10"/>
        <v>-3.0478999999999985</v>
      </c>
      <c r="U12" s="15"/>
      <c r="V12" s="27" t="str">
        <f t="shared" si="11"/>
        <v>自信</v>
      </c>
      <c r="W12" s="59">
        <f>'M1'!B10*1</f>
        <v>80.876000000000005</v>
      </c>
      <c r="X12" s="59">
        <f>'M1'!C10*1</f>
        <v>3.0591200000000001</v>
      </c>
      <c r="Y12" s="59">
        <f>'M1'!D10*1</f>
        <v>3.7824800000000001</v>
      </c>
      <c r="Z12" s="59">
        <f>'M1'!E10*1</f>
        <v>40</v>
      </c>
      <c r="AA12" s="59">
        <f>'M1'!F10*1</f>
        <v>71.344899999999996</v>
      </c>
      <c r="AB12" s="59">
        <f>'M1'!G10*1</f>
        <v>100</v>
      </c>
      <c r="AC12" s="59">
        <f>'M1'!H10*1</f>
        <v>85.116299999999995</v>
      </c>
      <c r="AE12" s="27" t="str">
        <f t="shared" si="12"/>
        <v>自信</v>
      </c>
      <c r="AF12" s="59">
        <f>'M2'!B10*1</f>
        <v>76.926500000000004</v>
      </c>
      <c r="AG12" s="59">
        <f>'M2'!C10*1</f>
        <v>2.2812100000000002</v>
      </c>
      <c r="AH12" s="59">
        <f>'M2'!D10*1</f>
        <v>2.9654400000000001</v>
      </c>
      <c r="AI12" s="59">
        <f>'M2'!E10*1</f>
        <v>40</v>
      </c>
      <c r="AJ12" s="59">
        <f>'M2'!F10*1</f>
        <v>69.887</v>
      </c>
      <c r="AK12" s="59">
        <f>'M2'!G10*1</f>
        <v>100</v>
      </c>
      <c r="AL12" s="59">
        <f>'M2'!H10*1</f>
        <v>82.068399999999997</v>
      </c>
    </row>
    <row r="13" spans="2:38" ht="25.5" customHeight="1" thickBot="1">
      <c r="B13" s="72" t="str">
        <f>CONCATENATE(M15,"
(10 ~ 25)")</f>
        <v>抑郁
(10 ~ 25)</v>
      </c>
      <c r="C13" s="54">
        <f>R15</f>
        <v>6.0900000000000176E-2</v>
      </c>
      <c r="D13" s="55">
        <f>N15</f>
        <v>9.690000000000154E-2</v>
      </c>
      <c r="E13" s="56">
        <f>T15</f>
        <v>-7.4282000000000004</v>
      </c>
      <c r="F13" s="56">
        <f>P15</f>
        <v>-9.3124999999999982</v>
      </c>
      <c r="G13" s="74" t="str">
        <f>CONCATENATE(M16,"
(10 ~ 50)")</f>
        <v>神经质
(10 ~ 50)</v>
      </c>
      <c r="H13" s="54">
        <f>R16</f>
        <v>1.9643599999999999</v>
      </c>
      <c r="I13" s="55">
        <f>N16</f>
        <v>-16.208100000000002</v>
      </c>
      <c r="J13" s="56">
        <f>T16</f>
        <v>-9.869099999999996</v>
      </c>
      <c r="K13" s="57">
        <f>P16</f>
        <v>23.837600000000002</v>
      </c>
      <c r="M13" s="27" t="str">
        <f>lang!B20</f>
        <v>活力</v>
      </c>
      <c r="N13" s="59">
        <f t="shared" si="4"/>
        <v>1.4526000000000003</v>
      </c>
      <c r="O13" s="59">
        <f t="shared" si="5"/>
        <v>-2.6825200000000002</v>
      </c>
      <c r="P13" s="59">
        <f t="shared" si="6"/>
        <v>-19.615299999999998</v>
      </c>
      <c r="Q13" s="59">
        <f t="shared" si="7"/>
        <v>0</v>
      </c>
      <c r="R13" s="59">
        <f t="shared" si="8"/>
        <v>9.0071799999999982</v>
      </c>
      <c r="S13" s="59">
        <f t="shared" si="9"/>
        <v>0</v>
      </c>
      <c r="T13" s="59">
        <f t="shared" si="10"/>
        <v>-0.34430000000000049</v>
      </c>
      <c r="U13" s="14"/>
      <c r="V13" s="27" t="str">
        <f t="shared" si="11"/>
        <v>活力</v>
      </c>
      <c r="W13" s="59">
        <f>'M1'!B11*1</f>
        <v>14.4794</v>
      </c>
      <c r="X13" s="59">
        <f>'M1'!C11*1</f>
        <v>4.4119000000000002</v>
      </c>
      <c r="Y13" s="59">
        <f>'M1'!D11*1</f>
        <v>30.470099999999999</v>
      </c>
      <c r="Z13" s="59">
        <f>'M1'!E11*1</f>
        <v>10</v>
      </c>
      <c r="AA13" s="59">
        <f>'M1'!F11*1</f>
        <v>4.2561200000000001</v>
      </c>
      <c r="AB13" s="59">
        <f>'M1'!G11*1</f>
        <v>50</v>
      </c>
      <c r="AC13" s="59">
        <f>'M1'!H11*1</f>
        <v>19.750299999999999</v>
      </c>
      <c r="AE13" s="27" t="str">
        <f t="shared" si="12"/>
        <v>活力</v>
      </c>
      <c r="AF13" s="59">
        <f>'M2'!B11*1</f>
        <v>15.932</v>
      </c>
      <c r="AG13" s="59">
        <f>'M2'!C11*1</f>
        <v>1.7293799999999999</v>
      </c>
      <c r="AH13" s="59">
        <f>'M2'!D11*1</f>
        <v>10.854799999999999</v>
      </c>
      <c r="AI13" s="59">
        <f>'M2'!E11*1</f>
        <v>10</v>
      </c>
      <c r="AJ13" s="59">
        <f>'M2'!F11*1</f>
        <v>13.263299999999999</v>
      </c>
      <c r="AK13" s="59">
        <f>'M2'!G11*1</f>
        <v>50</v>
      </c>
      <c r="AL13" s="59">
        <f>'M2'!H11*1</f>
        <v>19.405999999999999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-3.9849000000000103</v>
      </c>
      <c r="O14" s="59">
        <f t="shared" si="5"/>
        <v>-1.1520099999999998</v>
      </c>
      <c r="P14" s="59">
        <f t="shared" si="6"/>
        <v>-1.3526299999999996</v>
      </c>
      <c r="Q14" s="59">
        <f t="shared" si="7"/>
        <v>0</v>
      </c>
      <c r="R14" s="59">
        <f t="shared" si="8"/>
        <v>-5.570999999999998</v>
      </c>
      <c r="S14" s="59">
        <f t="shared" si="9"/>
        <v>0</v>
      </c>
      <c r="T14" s="59">
        <f t="shared" si="10"/>
        <v>-9.8503000000000043</v>
      </c>
      <c r="U14" s="14"/>
      <c r="V14" s="27" t="str">
        <f t="shared" si="11"/>
        <v>自我调节</v>
      </c>
      <c r="W14" s="59">
        <f>'M1'!B12*1</f>
        <v>72.727000000000004</v>
      </c>
      <c r="X14" s="59">
        <f>'M1'!C12*1</f>
        <v>4.0551899999999996</v>
      </c>
      <c r="Y14" s="59">
        <f>'M1'!D12*1</f>
        <v>5.57592</v>
      </c>
      <c r="Z14" s="59">
        <f>'M1'!E12*1</f>
        <v>50</v>
      </c>
      <c r="AA14" s="59">
        <f>'M1'!F12*1</f>
        <v>66.628399999999999</v>
      </c>
      <c r="AB14" s="59">
        <f>'M1'!G12*1</f>
        <v>100</v>
      </c>
      <c r="AC14" s="59">
        <f>'M1'!H12*1</f>
        <v>84.003200000000007</v>
      </c>
      <c r="AE14" s="27" t="str">
        <f t="shared" si="12"/>
        <v>自我调节</v>
      </c>
      <c r="AF14" s="59">
        <f>'M2'!B12*1</f>
        <v>68.742099999999994</v>
      </c>
      <c r="AG14" s="59">
        <f>'M2'!C12*1</f>
        <v>2.9031799999999999</v>
      </c>
      <c r="AH14" s="59">
        <f>'M2'!D12*1</f>
        <v>4.2232900000000004</v>
      </c>
      <c r="AI14" s="59">
        <f>'M2'!E12*1</f>
        <v>50</v>
      </c>
      <c r="AJ14" s="59">
        <f>'M2'!F12*1</f>
        <v>61.057400000000001</v>
      </c>
      <c r="AK14" s="59">
        <f>'M2'!G12*1</f>
        <v>100</v>
      </c>
      <c r="AL14" s="59">
        <f>'M2'!H12*1</f>
        <v>74.152900000000002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9.690000000000154E-2</v>
      </c>
      <c r="O15" s="59">
        <f t="shared" si="5"/>
        <v>-1.6208100000000001</v>
      </c>
      <c r="P15" s="59">
        <f t="shared" si="6"/>
        <v>-9.3124999999999982</v>
      </c>
      <c r="Q15" s="59">
        <f t="shared" si="7"/>
        <v>0</v>
      </c>
      <c r="R15" s="59">
        <f t="shared" si="8"/>
        <v>6.0900000000000176E-2</v>
      </c>
      <c r="S15" s="59">
        <f t="shared" si="9"/>
        <v>0</v>
      </c>
      <c r="T15" s="59">
        <f t="shared" si="10"/>
        <v>-7.4282000000000004</v>
      </c>
      <c r="U15" s="14"/>
      <c r="V15" s="27" t="str">
        <f t="shared" si="11"/>
        <v>抑郁</v>
      </c>
      <c r="W15" s="59">
        <f>'M1'!B13*1</f>
        <v>17.535</v>
      </c>
      <c r="X15" s="59">
        <f>'M1'!C13*1</f>
        <v>3.8316400000000002</v>
      </c>
      <c r="Y15" s="59">
        <f>'M1'!D13*1</f>
        <v>21.851299999999998</v>
      </c>
      <c r="Z15" s="59">
        <f>'M1'!E13*1</f>
        <v>10</v>
      </c>
      <c r="AA15" s="59">
        <f>'M1'!F13*1</f>
        <v>13.222</v>
      </c>
      <c r="AB15" s="59">
        <f>'M1'!G13*1</f>
        <v>25</v>
      </c>
      <c r="AC15" s="59">
        <f>'M1'!H13*1</f>
        <v>30.192599999999999</v>
      </c>
      <c r="AE15" s="27" t="str">
        <f t="shared" si="12"/>
        <v>抑郁</v>
      </c>
      <c r="AF15" s="59">
        <f>'M2'!B13*1</f>
        <v>17.631900000000002</v>
      </c>
      <c r="AG15" s="59">
        <f>'M2'!C13*1</f>
        <v>2.2108300000000001</v>
      </c>
      <c r="AH15" s="59">
        <f>'M2'!D13*1</f>
        <v>12.5388</v>
      </c>
      <c r="AI15" s="59">
        <f>'M2'!E13*1</f>
        <v>10</v>
      </c>
      <c r="AJ15" s="59">
        <f>'M2'!F13*1</f>
        <v>13.2829</v>
      </c>
      <c r="AK15" s="59">
        <f>'M2'!G13*1</f>
        <v>25</v>
      </c>
      <c r="AL15" s="59">
        <f>'M2'!H13*1</f>
        <v>22.764399999999998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-16.208100000000002</v>
      </c>
      <c r="O16" s="59">
        <f t="shared" si="5"/>
        <v>-0.31590000000000096</v>
      </c>
      <c r="P16" s="59">
        <f t="shared" si="6"/>
        <v>23.837600000000002</v>
      </c>
      <c r="Q16" s="59">
        <f t="shared" si="7"/>
        <v>0</v>
      </c>
      <c r="R16" s="59">
        <f t="shared" si="8"/>
        <v>1.9643599999999999</v>
      </c>
      <c r="S16" s="59">
        <f t="shared" si="9"/>
        <v>0</v>
      </c>
      <c r="T16" s="59">
        <f t="shared" si="10"/>
        <v>-9.869099999999996</v>
      </c>
      <c r="U16" s="15"/>
      <c r="V16" s="27" t="str">
        <f t="shared" si="11"/>
        <v>神经质</v>
      </c>
      <c r="W16" s="59">
        <f>'M1'!B14*1</f>
        <v>38.316400000000002</v>
      </c>
      <c r="X16" s="59">
        <f>'M1'!C14*1</f>
        <v>13.205500000000001</v>
      </c>
      <c r="Y16" s="59">
        <f>'M1'!D14*1</f>
        <v>34.464399999999998</v>
      </c>
      <c r="Z16" s="59">
        <f>'M1'!E14*1</f>
        <v>10</v>
      </c>
      <c r="AA16" s="59">
        <f>'M1'!F14*1</f>
        <v>1.1362099999999999</v>
      </c>
      <c r="AB16" s="59">
        <f>'M1'!G14*1</f>
        <v>50</v>
      </c>
      <c r="AC16" s="59">
        <f>'M1'!H14*1</f>
        <v>48.073399999999999</v>
      </c>
      <c r="AE16" s="27" t="str">
        <f t="shared" si="12"/>
        <v>神经质</v>
      </c>
      <c r="AF16" s="59">
        <f>'M2'!B14*1</f>
        <v>22.1083</v>
      </c>
      <c r="AG16" s="59">
        <f>'M2'!C14*1</f>
        <v>12.8896</v>
      </c>
      <c r="AH16" s="59">
        <f>'M2'!D14*1</f>
        <v>58.302</v>
      </c>
      <c r="AI16" s="59">
        <f>'M2'!E14*1</f>
        <v>10</v>
      </c>
      <c r="AJ16" s="59">
        <f>'M2'!F14*1</f>
        <v>3.1005699999999998</v>
      </c>
      <c r="AK16" s="59">
        <f>'M2'!G14*1</f>
        <v>50</v>
      </c>
      <c r="AL16" s="59">
        <f>'M2'!H14*1</f>
        <v>38.204300000000003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-3.292950000000002</v>
      </c>
      <c r="O17" s="22">
        <f>N17/(N17+N18+N19)</f>
        <v>0.29178074908955592</v>
      </c>
      <c r="P17" s="65">
        <f>SUM(P11:P14)/4</f>
        <v>-5.6684899999999985</v>
      </c>
      <c r="Q17" s="22">
        <f>P17/(P17+P18+P19)</f>
        <v>0.71592882883195796</v>
      </c>
      <c r="R17" s="14"/>
      <c r="S17" s="14"/>
      <c r="T17" s="14"/>
      <c r="U17" s="14"/>
      <c r="V17" s="21" t="str">
        <f>M17</f>
        <v>Positive</v>
      </c>
      <c r="W17" s="65">
        <f>SUM(W11:W14)/4</f>
        <v>58.761699999999998</v>
      </c>
      <c r="X17" s="22">
        <f>W17/(W17+W18+W19)</f>
        <v>0.50386095006253062</v>
      </c>
      <c r="Y17" s="65">
        <f>SUM(Y11:Y14)/4</f>
        <v>12.613350000000001</v>
      </c>
      <c r="Z17" s="22">
        <f>Y17/(Y17+Y18+Y19)</f>
        <v>0.20090861117911593</v>
      </c>
      <c r="AA17" s="14"/>
      <c r="AB17" s="14"/>
      <c r="AC17" s="14"/>
      <c r="AE17" s="21" t="str">
        <f>V17</f>
        <v>Positive</v>
      </c>
      <c r="AF17" s="65">
        <f>SUM(AF11:AF14)/4</f>
        <v>55.468749999999993</v>
      </c>
      <c r="AG17" s="22">
        <f>AF17/(AF17+AF18+AF19)</f>
        <v>0.52658297666113052</v>
      </c>
      <c r="AH17" s="65">
        <f>SUM(AH11:AH14)/4</f>
        <v>6.9448600000000003</v>
      </c>
      <c r="AI17" s="22">
        <f>AH17/(AH17+AH18+AH19)</f>
        <v>0.12658351629759174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6.2850000000000072E-2</v>
      </c>
      <c r="O18" s="22">
        <f>N18/(N17+N18+N19)</f>
        <v>-5.5689943911321465E-3</v>
      </c>
      <c r="P18" s="18">
        <f>SUM(P7:P10)/4</f>
        <v>-9.5117325000000008</v>
      </c>
      <c r="Q18" s="22">
        <f>P18/(P17+P18+P19)</f>
        <v>1.2013293679424104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29.935449999999999</v>
      </c>
      <c r="X18" s="22">
        <f>W18/(W17+W18+W19)</f>
        <v>0.25668597534702675</v>
      </c>
      <c r="Y18" s="18">
        <f>SUM(Y7:Y10)/4</f>
        <v>22.010329999999996</v>
      </c>
      <c r="Z18" s="22">
        <f>Y18/(Y17+Y18+Y19)</f>
        <v>0.35058607205017145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29.998299999999997</v>
      </c>
      <c r="AG18" s="22">
        <f>AF18/(AF17+AF18+AF19)</f>
        <v>0.28478366843986191</v>
      </c>
      <c r="AH18" s="18">
        <f>SUM(AH7:AH10)/4</f>
        <v>12.498597500000001</v>
      </c>
      <c r="AI18" s="22">
        <f>AH18/(AH17+AH18+AH19)</f>
        <v>0.22781113231055619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-8.0556000000000001</v>
      </c>
      <c r="O19" s="22">
        <f>N19/(N17+N18+N19)</f>
        <v>0.71378824530157625</v>
      </c>
      <c r="P19" s="18">
        <f>(P15+P16)/2</f>
        <v>7.2625500000000018</v>
      </c>
      <c r="Q19" s="22">
        <f>P19/(P17+P18+P19)</f>
        <v>-0.91725819677436826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27.925699999999999</v>
      </c>
      <c r="X19" s="22">
        <f>W19/(W17+W18+W19)</f>
        <v>0.2394530745904426</v>
      </c>
      <c r="Y19" s="18">
        <f>(Y15+Y16)/2</f>
        <v>28.157849999999996</v>
      </c>
      <c r="Z19" s="22">
        <f>Y19/(Y17+Y18+Y19)</f>
        <v>0.4485053167707127</v>
      </c>
      <c r="AA19" s="14"/>
      <c r="AB19" s="14"/>
      <c r="AC19" s="14"/>
      <c r="AE19" s="21" t="str">
        <f t="shared" si="14"/>
        <v>Physiological</v>
      </c>
      <c r="AF19" s="18">
        <f>(AF15+AF16)/2</f>
        <v>19.870100000000001</v>
      </c>
      <c r="AG19" s="22">
        <f>AF19/(AF17+AF18+AF19)</f>
        <v>0.18863335489900765</v>
      </c>
      <c r="AH19" s="18">
        <f>(AH15+AH16)/2</f>
        <v>35.420400000000001</v>
      </c>
      <c r="AI19" s="22">
        <f>AH19/(AH17+AH18+AH19)</f>
        <v>0.64560535139185204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1.22/1.3</v>
      </c>
      <c r="D24" s="44" t="str">
        <f>lang!B11</f>
        <v>频率方差</v>
      </c>
      <c r="E24" s="182" t="str">
        <f ca="1">CONCATENATE(ROUND('FH1'!L3,2),"/",ROUND('FH2'!L3,2))</f>
        <v>0.61/0.52</v>
      </c>
      <c r="F24" s="183"/>
      <c r="G24" s="174" t="str">
        <f>lang!B12</f>
        <v>生理变化率</v>
      </c>
      <c r="H24" s="175"/>
      <c r="I24" s="62" t="str">
        <f ca="1">CONCATENATE(info!M7,"-",info!M8)</f>
        <v>36.3-69.2</v>
      </c>
      <c r="J24" s="42" t="str">
        <f>lang!B13</f>
        <v>千卡l/分钟</v>
      </c>
      <c r="K24" s="41" t="str">
        <f ca="1">CONCATENATE(info!M5,"-",info!M6)</f>
        <v>1.4-3.1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-6.1397999999999957</v>
      </c>
      <c r="F27" s="121"/>
      <c r="G27" s="135" t="str">
        <f>lang!B33</f>
        <v>稳定性</v>
      </c>
      <c r="H27" s="136"/>
      <c r="I27" s="137"/>
      <c r="J27" s="138">
        <f>dM!B19*100</f>
        <v>10.047899999999998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-0.97616144915227465</v>
      </c>
      <c r="C2">
        <f t="array" aca="1" ref="C2" ca="1">CORREL(FT_E02,FT_PH02)</f>
        <v>-0.93608110370594011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1.3846700000000001</v>
      </c>
      <c r="G2" s="61">
        <f>IF(FT!B2&lt;&gt;"",FT!B2*100,"")</f>
        <v>69.248800000000003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1.42703</v>
      </c>
      <c r="G3" s="61">
        <f>IF(FT!B3&lt;&gt;"",FT!B3*100,"")</f>
        <v>68.552500000000009</v>
      </c>
      <c r="H3" s="61">
        <f t="shared" ref="H3:H66" si="1">(IF(F3&lt;&gt;"",1,""))</f>
        <v>1</v>
      </c>
      <c r="I3" t="str">
        <f>IF(FT!B3&lt;&gt;"",FT!E3,"")</f>
        <v>1 [0.404078]</v>
      </c>
      <c r="J3">
        <f>IF(FT!B3&lt;&gt;"",FT!C3,"")</f>
        <v>0.40407799999999999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0.45049112162162164</v>
      </c>
      <c r="V3">
        <f ca="1">AVERAGE(OFFSET(FT!B2,info!$L$3/2,0,info!$L$3/2,1))</f>
        <v>0.46619827027027033</v>
      </c>
      <c r="W3">
        <f ca="1">AVERAGE(OFFSET(FT!A2,0,0,info!$L$3/2,1))</f>
        <v>0.25788624324324311</v>
      </c>
      <c r="X3">
        <f ca="1">AVERAGE(OFFSET(FT!A2,info!$L$3/2,0,info!$L$3/2,1))</f>
        <v>0.26812186486486489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1.4749499999999998</v>
      </c>
      <c r="G4" s="61">
        <f>IF(FT!B4&lt;&gt;"",FT!B4*100,"")</f>
        <v>67.555099999999996</v>
      </c>
      <c r="H4" s="61">
        <f t="shared" si="1"/>
        <v>1</v>
      </c>
      <c r="I4" t="str">
        <f>IF(FT!B4&lt;&gt;"",FT!E4,"")</f>
        <v>1 [0.808022]</v>
      </c>
      <c r="J4">
        <f>IF(FT!B4&lt;&gt;"",FT!C4,"")</f>
        <v>0.80802200000000002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14.941475000000001</v>
      </c>
      <c r="V4">
        <f>U4*3</f>
        <v>44.824425000000005</v>
      </c>
      <c r="W4">
        <f>U4</f>
        <v>14.941475000000001</v>
      </c>
      <c r="X4">
        <f>V4</f>
        <v>44.824425000000005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1.5291399999999999</v>
      </c>
      <c r="G5" s="61">
        <f>IF(FT!B5&lt;&gt;"",FT!B5*100,"")</f>
        <v>66.272599999999997</v>
      </c>
      <c r="H5" s="61">
        <f t="shared" si="1"/>
        <v>1</v>
      </c>
      <c r="I5" t="str">
        <f>IF(FT!B5&lt;&gt;"",FT!E5,"")</f>
        <v>1 [1.215667]</v>
      </c>
      <c r="J5">
        <f>IF(FT!B5&lt;&gt;"",FT!C5,"")</f>
        <v>1.21567</v>
      </c>
      <c r="K5" t="s">
        <v>53</v>
      </c>
      <c r="L5" s="63">
        <f ca="1">MIN(FT_E)</f>
        <v>1.3846700000000001</v>
      </c>
      <c r="M5" s="63">
        <f ca="1">ROUND(L5,1)</f>
        <v>1.4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45.04911216216216</v>
      </c>
      <c r="V5">
        <f ca="1">V3*100</f>
        <v>46.619827027027036</v>
      </c>
      <c r="W5">
        <f ca="1">W3*10</f>
        <v>2.5788624324324312</v>
      </c>
      <c r="X5">
        <f ca="1">X3*10</f>
        <v>2.6812186486486489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1.58416</v>
      </c>
      <c r="G6" s="61">
        <f>IF(FT!B6&lt;&gt;"",FT!B6*100,"")</f>
        <v>64.854100000000003</v>
      </c>
      <c r="H6" s="61">
        <f t="shared" si="1"/>
        <v>1</v>
      </c>
      <c r="I6" t="str">
        <f>IF(FT!B6&lt;&gt;"",FT!E6,"")</f>
        <v>1 [1.625465]</v>
      </c>
      <c r="J6">
        <f>IF(FT!B6&lt;&gt;"",FT!C6,"")</f>
        <v>1.6254599999999999</v>
      </c>
      <c r="K6" t="s">
        <v>54</v>
      </c>
      <c r="L6" s="63">
        <f ca="1">MAX(FT_E)</f>
        <v>3.11666</v>
      </c>
      <c r="M6" s="63">
        <f ca="1">ROUND(L6,1)</f>
        <v>3.1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1.6417999999999999</v>
      </c>
      <c r="G7" s="61">
        <f>IF(FT!B7&lt;&gt;"",FT!B7*100,"")</f>
        <v>63.165300000000002</v>
      </c>
      <c r="H7" s="61">
        <f t="shared" si="1"/>
        <v>1</v>
      </c>
      <c r="I7" t="str">
        <f>IF(FT!B7&lt;&gt;"",FT!E7,"")</f>
        <v>1 [2.030851]</v>
      </c>
      <c r="J7">
        <f>IF(FT!B7&lt;&gt;"",FT!C7,"")</f>
        <v>2.03085</v>
      </c>
      <c r="K7" t="s">
        <v>55</v>
      </c>
      <c r="L7" s="63">
        <f ca="1">MIN(FT_PH)</f>
        <v>36.313099999999999</v>
      </c>
      <c r="M7" s="63">
        <f ca="1">ROUND(L7,1)</f>
        <v>36.299999999999997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9001</v>
      </c>
      <c r="D8" s="61">
        <f>FH!B8*1</f>
        <v>9001</v>
      </c>
      <c r="E8">
        <f t="shared" si="3"/>
        <v>6</v>
      </c>
      <c r="F8" s="61">
        <f>IF(FT!A8&lt;&gt;"",FT!A8*10,"")</f>
        <v>1.6993100000000001</v>
      </c>
      <c r="G8" s="61">
        <f>IF(FT!B8&lt;&gt;"",FT!B8*100,"")</f>
        <v>61.429400000000001</v>
      </c>
      <c r="H8" s="61">
        <f t="shared" si="1"/>
        <v>1</v>
      </c>
      <c r="I8" t="str">
        <f>IF(FT!B8&lt;&gt;"",FT!E8,"")</f>
        <v>1 [2.435717]</v>
      </c>
      <c r="J8">
        <f>IF(FT!B8&lt;&gt;"",FT!C8,"")</f>
        <v>2.4357199999999999</v>
      </c>
      <c r="K8" t="s">
        <v>56</v>
      </c>
      <c r="L8" s="63">
        <f ca="1">MAX(FT_PH)</f>
        <v>69.248800000000003</v>
      </c>
      <c r="M8" s="63">
        <f ca="1">ROUND(L8,1)</f>
        <v>69.2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1.75589</v>
      </c>
      <c r="G9" s="61">
        <f>IF(FT!B9&lt;&gt;"",FT!B9*100,"")</f>
        <v>59.870199999999997</v>
      </c>
      <c r="H9" s="61">
        <f t="shared" si="1"/>
        <v>1</v>
      </c>
      <c r="I9" t="str">
        <f>IF(FT!B9&lt;&gt;"",FT!E9,"")</f>
        <v>1 [2.840673]</v>
      </c>
      <c r="J9">
        <f>IF(FT!B9&lt;&gt;"",FT!C9,"")</f>
        <v>2.8406699999999998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14249</v>
      </c>
      <c r="D10" s="61">
        <f>FH!B10*1</f>
        <v>14249</v>
      </c>
      <c r="E10">
        <f t="shared" si="3"/>
        <v>8</v>
      </c>
      <c r="F10" s="61">
        <f>IF(FT!A10&lt;&gt;"",FT!A10*10,"")</f>
        <v>1.8146100000000001</v>
      </c>
      <c r="G10" s="61">
        <f>IF(FT!B10&lt;&gt;"",FT!B10*100,"")</f>
        <v>58.291899999999998</v>
      </c>
      <c r="H10" s="61">
        <f t="shared" si="1"/>
        <v>1</v>
      </c>
      <c r="I10" t="str">
        <f>IF(FT!B10&lt;&gt;"",FT!E10,"")</f>
        <v>1 [3.247281]</v>
      </c>
      <c r="J10">
        <f>IF(FT!B10&lt;&gt;"",FT!C10,"")</f>
        <v>3.2472799999999999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1.87751</v>
      </c>
      <c r="G11" s="61">
        <f>IF(FT!B11&lt;&gt;"",FT!B11*100,"")</f>
        <v>56.592600000000004</v>
      </c>
      <c r="H11" s="61">
        <f t="shared" si="1"/>
        <v>1</v>
      </c>
      <c r="I11" t="str">
        <f>IF(FT!B11&lt;&gt;"",FT!E11,"")</f>
        <v>1 [3.653301]</v>
      </c>
      <c r="J11">
        <f>IF(FT!B11&lt;&gt;"",FT!C11,"")</f>
        <v>3.6533000000000002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1.94218</v>
      </c>
      <c r="G12" s="61">
        <f>IF(FT!B12&lt;&gt;"",FT!B12*100,"")</f>
        <v>55.003700000000002</v>
      </c>
      <c r="H12" s="61">
        <f t="shared" si="1"/>
        <v>1</v>
      </c>
      <c r="I12" t="str">
        <f>IF(FT!B12&lt;&gt;"",FT!E12,"")</f>
        <v>1 [4.064745]</v>
      </c>
      <c r="J12">
        <f>IF(FT!B12&lt;&gt;"",FT!C12,"")</f>
        <v>4.0647399999999996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19021</v>
      </c>
      <c r="D13" s="61">
        <f>FH!B13*1</f>
        <v>19021</v>
      </c>
      <c r="E13">
        <f t="shared" si="3"/>
        <v>11</v>
      </c>
      <c r="F13" s="61">
        <f>IF(FT!A13&lt;&gt;"",FT!A13*10,"")</f>
        <v>2.01152</v>
      </c>
      <c r="G13" s="61">
        <f>IF(FT!B13&lt;&gt;"",FT!B13*100,"")</f>
        <v>53.323799999999999</v>
      </c>
      <c r="H13" s="61">
        <f t="shared" si="1"/>
        <v>1</v>
      </c>
      <c r="I13" t="str">
        <f>IF(FT!B13&lt;&gt;"",FT!E13,"")</f>
        <v>1 [4.467133]</v>
      </c>
      <c r="J13">
        <f>IF(FT!B13&lt;&gt;"",FT!C13,"")</f>
        <v>4.46713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2.0799699999999999</v>
      </c>
      <c r="G14" s="61">
        <f>IF(FT!B14&lt;&gt;"",FT!B14*100,"")</f>
        <v>51.790300000000002</v>
      </c>
      <c r="H14" s="61">
        <f t="shared" si="1"/>
        <v>1</v>
      </c>
      <c r="I14" t="str">
        <f>IF(FT!B14&lt;&gt;"",FT!E14,"")</f>
        <v>1 [4.872440]</v>
      </c>
      <c r="J14">
        <f>IF(FT!B14&lt;&gt;"",FT!C14,"")</f>
        <v>4.8724400000000001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31419</v>
      </c>
      <c r="D15" s="61">
        <f>FH!B15*1</f>
        <v>31419</v>
      </c>
      <c r="E15">
        <f t="shared" si="3"/>
        <v>13</v>
      </c>
      <c r="F15" s="61">
        <f>IF(FT!A15&lt;&gt;"",FT!A15*10,"")</f>
        <v>2.1527400000000001</v>
      </c>
      <c r="G15" s="61">
        <f>IF(FT!B15&lt;&gt;"",FT!B15*100,"")</f>
        <v>50.054299999999998</v>
      </c>
      <c r="H15" s="61">
        <f t="shared" si="1"/>
        <v>1</v>
      </c>
      <c r="I15" t="str">
        <f>IF(FT!B15&lt;&gt;"",FT!E15,"")</f>
        <v>1 [5.276619]</v>
      </c>
      <c r="J15">
        <f>IF(FT!B15&lt;&gt;"",FT!C15,"")</f>
        <v>5.2766200000000003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2.22729</v>
      </c>
      <c r="G16" s="61">
        <f>IF(FT!B16&lt;&gt;"",FT!B16*100,"")</f>
        <v>48.352800000000002</v>
      </c>
      <c r="H16" s="61">
        <f t="shared" si="1"/>
        <v>1</v>
      </c>
      <c r="I16" t="str">
        <f>IF(FT!B16&lt;&gt;"",FT!E16,"")</f>
        <v>1 [5.685847]</v>
      </c>
      <c r="J16">
        <f>IF(FT!B16&lt;&gt;"",FT!C16,"")</f>
        <v>5.6858500000000003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2.2971400000000002</v>
      </c>
      <c r="G17" s="61">
        <f>IF(FT!B17&lt;&gt;"",FT!B17*100,"")</f>
        <v>46.805999999999997</v>
      </c>
      <c r="H17" s="61">
        <f t="shared" si="1"/>
        <v>1</v>
      </c>
      <c r="I17" t="str">
        <f>IF(FT!B17&lt;&gt;"",FT!E17,"")</f>
        <v>1 [6.096479]</v>
      </c>
      <c r="J17">
        <f>IF(FT!B17&lt;&gt;"",FT!C17,"")</f>
        <v>6.0964799999999997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44715</v>
      </c>
      <c r="D18" s="61">
        <f>FH!B18*1</f>
        <v>44715</v>
      </c>
      <c r="E18">
        <f t="shared" si="3"/>
        <v>16</v>
      </c>
      <c r="F18" s="61">
        <f>IF(FT!A18&lt;&gt;"",FT!A18*10,"")</f>
        <v>2.3560400000000001</v>
      </c>
      <c r="G18" s="61">
        <f>IF(FT!B18&lt;&gt;"",FT!B18*100,"")</f>
        <v>45.530500000000004</v>
      </c>
      <c r="H18" s="61">
        <f t="shared" si="1"/>
        <v>1</v>
      </c>
      <c r="I18" t="str">
        <f>IF(FT!B18&lt;&gt;"",FT!E18,"")</f>
        <v>1 [6.499170]</v>
      </c>
      <c r="J18">
        <f>IF(FT!B18&lt;&gt;"",FT!C18,"")</f>
        <v>6.4991700000000003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2.41499</v>
      </c>
      <c r="G19" s="61">
        <f>IF(FT!B19&lt;&gt;"",FT!B19*100,"")</f>
        <v>44.2485</v>
      </c>
      <c r="H19" s="61">
        <f t="shared" si="1"/>
        <v>1</v>
      </c>
      <c r="I19" t="str">
        <f>IF(FT!B19&lt;&gt;"",FT!E19,"")</f>
        <v>1 [6.902470]</v>
      </c>
      <c r="J19">
        <f>IF(FT!B19&lt;&gt;"",FT!C19,"")</f>
        <v>6.9024700000000001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2.4747699999999999</v>
      </c>
      <c r="G20" s="61">
        <f>IF(FT!B20&lt;&gt;"",FT!B20*100,"")</f>
        <v>43.021999999999998</v>
      </c>
      <c r="H20" s="61">
        <f t="shared" si="1"/>
        <v>1</v>
      </c>
      <c r="I20" t="str">
        <f>IF(FT!B20&lt;&gt;"",FT!E20,"")</f>
        <v>1 [7.308459]</v>
      </c>
      <c r="J20">
        <f>IF(FT!B20&lt;&gt;"",FT!C20,"")</f>
        <v>7.3084600000000002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49023</v>
      </c>
      <c r="D21" s="61">
        <f>FH!B21*1</f>
        <v>49023</v>
      </c>
      <c r="E21">
        <f t="shared" si="3"/>
        <v>19</v>
      </c>
      <c r="F21" s="61">
        <f>IF(FT!A21&lt;&gt;"",FT!A21*10,"")</f>
        <v>2.5340699999999998</v>
      </c>
      <c r="G21" s="61">
        <f>IF(FT!B21&lt;&gt;"",FT!B21*100,"")</f>
        <v>41.925800000000002</v>
      </c>
      <c r="H21" s="61">
        <f t="shared" si="1"/>
        <v>1</v>
      </c>
      <c r="I21" t="str">
        <f>IF(FT!B21&lt;&gt;"",FT!E21,"")</f>
        <v>1 [7.718366]</v>
      </c>
      <c r="J21">
        <f>IF(FT!B21&lt;&gt;"",FT!C21,"")</f>
        <v>7.7183700000000002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2.5898300000000001</v>
      </c>
      <c r="G22" s="61">
        <f>IF(FT!B22&lt;&gt;"",FT!B22*100,"")</f>
        <v>41.000399999999999</v>
      </c>
      <c r="H22" s="61">
        <f t="shared" si="1"/>
        <v>1</v>
      </c>
      <c r="I22" t="str">
        <f>IF(FT!B22&lt;&gt;"",FT!E22,"")</f>
        <v>1 [8.124138]</v>
      </c>
      <c r="J22">
        <f>IF(FT!B22&lt;&gt;"",FT!C22,"")</f>
        <v>8.1241400000000006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69086</v>
      </c>
      <c r="D23" s="61">
        <f>FH!B23*1</f>
        <v>69086</v>
      </c>
      <c r="E23">
        <f t="shared" si="3"/>
        <v>21</v>
      </c>
      <c r="F23" s="61">
        <f>IF(FT!A23&lt;&gt;"",FT!A23*10,"")</f>
        <v>2.6434299999999999</v>
      </c>
      <c r="G23" s="61">
        <f>IF(FT!B23&lt;&gt;"",FT!B23*100,"")</f>
        <v>40.302300000000002</v>
      </c>
      <c r="H23" s="61">
        <f t="shared" si="1"/>
        <v>1</v>
      </c>
      <c r="I23" t="str">
        <f>IF(FT!B23&lt;&gt;"",FT!E23,"")</f>
        <v>1 [8.527169]</v>
      </c>
      <c r="J23">
        <f>IF(FT!B23&lt;&gt;"",FT!C23,"")</f>
        <v>8.5271699999999999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2.6944800000000004</v>
      </c>
      <c r="G24" s="61">
        <f>IF(FT!B24&lt;&gt;"",FT!B24*100,"")</f>
        <v>39.727800000000002</v>
      </c>
      <c r="H24" s="61">
        <f t="shared" si="1"/>
        <v>1</v>
      </c>
      <c r="I24" t="str">
        <f>IF(FT!B24&lt;&gt;"",FT!E24,"")</f>
        <v>1 [8.934746]</v>
      </c>
      <c r="J24">
        <f>IF(FT!B24&lt;&gt;"",FT!C24,"")</f>
        <v>8.9347499999999993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2.74499</v>
      </c>
      <c r="G25" s="61">
        <f>IF(FT!B25&lt;&gt;"",FT!B25*100,"")</f>
        <v>39.182899999999997</v>
      </c>
      <c r="H25" s="61">
        <f t="shared" si="1"/>
        <v>1</v>
      </c>
      <c r="I25" t="str">
        <f>IF(FT!B25&lt;&gt;"",FT!E25,"")</f>
        <v>1 [9.339732]</v>
      </c>
      <c r="J25">
        <f>IF(FT!B25&lt;&gt;"",FT!C25,"")</f>
        <v>9.3397299999999994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69323</v>
      </c>
      <c r="D26" s="61">
        <f>FH!B26*1</f>
        <v>69323</v>
      </c>
      <c r="E26">
        <f t="shared" si="3"/>
        <v>24</v>
      </c>
      <c r="F26" s="61">
        <f>IF(FT!A26&lt;&gt;"",FT!A26*10,"")</f>
        <v>2.7944799999999996</v>
      </c>
      <c r="G26" s="61">
        <f>IF(FT!B26&lt;&gt;"",FT!B26*100,"")</f>
        <v>38.703299999999999</v>
      </c>
      <c r="H26" s="61">
        <f t="shared" si="1"/>
        <v>1</v>
      </c>
      <c r="I26" t="str">
        <f>IF(FT!B26&lt;&gt;"",FT!E26,"")</f>
        <v>1 [9.749695]</v>
      </c>
      <c r="J26">
        <f>IF(FT!B26&lt;&gt;"",FT!C26,"")</f>
        <v>9.7497000000000007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2.8428500000000003</v>
      </c>
      <c r="G27" s="61">
        <f>IF(FT!B27&lt;&gt;"",FT!B27*100,"")</f>
        <v>38.346499999999999</v>
      </c>
      <c r="H27" s="61">
        <f t="shared" si="1"/>
        <v>1</v>
      </c>
      <c r="I27" t="str">
        <f>IF(FT!B27&lt;&gt;"",FT!E27,"")</f>
        <v>1 [10.157383]</v>
      </c>
      <c r="J27">
        <f>IF(FT!B27&lt;&gt;"",FT!C27,"")</f>
        <v>10.157400000000001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82997</v>
      </c>
      <c r="D28" s="61">
        <f>FH!B28*1</f>
        <v>82997</v>
      </c>
      <c r="E28">
        <f t="shared" si="3"/>
        <v>26</v>
      </c>
      <c r="F28" s="61">
        <f>IF(FT!A28&lt;&gt;"",FT!A28*10,"")</f>
        <v>2.8898299999999999</v>
      </c>
      <c r="G28" s="61">
        <f>IF(FT!B28&lt;&gt;"",FT!B28*100,"")</f>
        <v>38.096000000000004</v>
      </c>
      <c r="H28" s="61">
        <f t="shared" si="1"/>
        <v>1</v>
      </c>
      <c r="I28" t="str">
        <f>IF(FT!B28&lt;&gt;"",FT!E28,"")</f>
        <v>1 [10.562007]</v>
      </c>
      <c r="J28">
        <f>IF(FT!B28&lt;&gt;"",FT!C28,"")</f>
        <v>10.561999999999999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2.9342699999999997</v>
      </c>
      <c r="G29" s="61">
        <f>IF(FT!B29&lt;&gt;"",FT!B29*100,"")</f>
        <v>37.811299999999996</v>
      </c>
      <c r="H29" s="61">
        <f t="shared" si="1"/>
        <v>1</v>
      </c>
      <c r="I29" t="str">
        <f>IF(FT!B29&lt;&gt;"",FT!E29,"")</f>
        <v>1 [10.966385]</v>
      </c>
      <c r="J29">
        <f>IF(FT!B29&lt;&gt;"",FT!C29,"")</f>
        <v>10.9664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2.9751699999999999</v>
      </c>
      <c r="G30" s="61">
        <f>IF(FT!B30&lt;&gt;"",FT!B30*100,"")</f>
        <v>37.520600000000002</v>
      </c>
      <c r="H30" s="61">
        <f t="shared" si="1"/>
        <v>1</v>
      </c>
      <c r="I30" t="str">
        <f>IF(FT!B30&lt;&gt;"",FT!E30,"")</f>
        <v>1 [11.372089]</v>
      </c>
      <c r="J30">
        <f>IF(FT!B30&lt;&gt;"",FT!C30,"")</f>
        <v>11.3721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99399</v>
      </c>
      <c r="D31" s="61">
        <f>FH!B31*1</f>
        <v>99399</v>
      </c>
      <c r="E31">
        <f t="shared" si="3"/>
        <v>29</v>
      </c>
      <c r="F31" s="61">
        <f>IF(FT!A31&lt;&gt;"",FT!A31*10,"")</f>
        <v>3.0127600000000001</v>
      </c>
      <c r="G31" s="61">
        <f>IF(FT!B31&lt;&gt;"",FT!B31*100,"")</f>
        <v>37.302800000000005</v>
      </c>
      <c r="H31" s="61">
        <f t="shared" si="1"/>
        <v>1</v>
      </c>
      <c r="I31" t="str">
        <f>IF(FT!B31&lt;&gt;"",FT!E31,"")</f>
        <v>1 [11.782548]</v>
      </c>
      <c r="J31">
        <f>IF(FT!B31&lt;&gt;"",FT!C31,"")</f>
        <v>11.782500000000001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3.0432600000000001</v>
      </c>
      <c r="G32" s="61">
        <f>IF(FT!B32&lt;&gt;"",FT!B32*100,"")</f>
        <v>37.099399999999996</v>
      </c>
      <c r="H32" s="61">
        <f t="shared" si="1"/>
        <v>1</v>
      </c>
      <c r="I32" t="str">
        <f>IF(FT!B32&lt;&gt;"",FT!E32,"")</f>
        <v>1 [12.186726]</v>
      </c>
      <c r="J32">
        <f>IF(FT!B32&lt;&gt;"",FT!C32,"")</f>
        <v>12.1867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109028</v>
      </c>
      <c r="D33" s="61">
        <f>FH!B33*1</f>
        <v>109028</v>
      </c>
      <c r="E33">
        <f t="shared" si="3"/>
        <v>31</v>
      </c>
      <c r="F33" s="61">
        <f>IF(FT!A33&lt;&gt;"",FT!A33*10,"")</f>
        <v>3.06697</v>
      </c>
      <c r="G33" s="61">
        <f>IF(FT!B33&lt;&gt;"",FT!B33*100,"")</f>
        <v>36.932299999999998</v>
      </c>
      <c r="H33" s="61">
        <f t="shared" si="1"/>
        <v>1</v>
      </c>
      <c r="I33" t="str">
        <f>IF(FT!B33&lt;&gt;"",FT!E33,"")</f>
        <v>1 [12.593290]</v>
      </c>
      <c r="J33">
        <f>IF(FT!B33&lt;&gt;"",FT!C33,"")</f>
        <v>12.593299999999999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3.0878299999999999</v>
      </c>
      <c r="G34" s="61">
        <f>IF(FT!B34&lt;&gt;"",FT!B34*100,"")</f>
        <v>36.813600000000001</v>
      </c>
      <c r="H34" s="61">
        <f t="shared" si="1"/>
        <v>1</v>
      </c>
      <c r="I34" t="str">
        <f>IF(FT!B34&lt;&gt;"",FT!E34,"")</f>
        <v>1 [12.997251]</v>
      </c>
      <c r="J34">
        <f>IF(FT!B34&lt;&gt;"",FT!C34,"")</f>
        <v>12.997299999999999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3.1017200000000003</v>
      </c>
      <c r="G35" s="61">
        <f>IF(FT!B35&lt;&gt;"",FT!B35*100,"")</f>
        <v>36.725999999999999</v>
      </c>
      <c r="H35" s="61">
        <f t="shared" si="1"/>
        <v>1</v>
      </c>
      <c r="I35" t="str">
        <f>IF(FT!B35&lt;&gt;"",FT!E35,"")</f>
        <v>1 [13.402727]</v>
      </c>
      <c r="J35">
        <f>IF(FT!B35&lt;&gt;"",FT!C35,"")</f>
        <v>13.402699999999999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112289</v>
      </c>
      <c r="D36" s="61">
        <f>FH!B36*1</f>
        <v>112289</v>
      </c>
      <c r="E36">
        <f t="shared" si="3"/>
        <v>34</v>
      </c>
      <c r="F36" s="61">
        <f>IF(FT!A36&lt;&gt;"",FT!A36*10,"")</f>
        <v>3.1105800000000001</v>
      </c>
      <c r="G36" s="61">
        <f>IF(FT!B36&lt;&gt;"",FT!B36*100,"")</f>
        <v>36.610799999999998</v>
      </c>
      <c r="H36" s="61">
        <f t="shared" si="1"/>
        <v>1</v>
      </c>
      <c r="I36" t="str">
        <f>IF(FT!B36&lt;&gt;"",FT!E36,"")</f>
        <v>1 [13.809814]</v>
      </c>
      <c r="J36">
        <f>IF(FT!B36&lt;&gt;"",FT!C36,"")</f>
        <v>13.809799999999999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3.1163699999999999</v>
      </c>
      <c r="G37" s="61">
        <f>IF(FT!B37&lt;&gt;"",FT!B37*100,"")</f>
        <v>36.485700000000001</v>
      </c>
      <c r="H37" s="61">
        <f t="shared" si="1"/>
        <v>1</v>
      </c>
      <c r="I37" t="str">
        <f>IF(FT!B37&lt;&gt;"",FT!E37,"")</f>
        <v>1 [14.214100]</v>
      </c>
      <c r="J37">
        <f>IF(FT!B37&lt;&gt;"",FT!C37,"")</f>
        <v>14.2141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3.11666</v>
      </c>
      <c r="G38" s="61">
        <f>IF(FT!B38&lt;&gt;"",FT!B38*100,"")</f>
        <v>36.374200000000002</v>
      </c>
      <c r="H38" s="61">
        <f t="shared" si="1"/>
        <v>1</v>
      </c>
      <c r="I38" t="str">
        <f>IF(FT!B38&lt;&gt;"",FT!E38,"")</f>
        <v>1 [14.620470]</v>
      </c>
      <c r="J38">
        <f>IF(FT!B38&lt;&gt;"",FT!C38,"")</f>
        <v>14.6205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101692</v>
      </c>
      <c r="D39" s="61">
        <f>FH!B39*1</f>
        <v>101692</v>
      </c>
      <c r="E39">
        <f t="shared" si="3"/>
        <v>37</v>
      </c>
      <c r="F39" s="61">
        <f>IF(FT!A39&lt;&gt;"",FT!A39*10,"")</f>
        <v>3.1129600000000002</v>
      </c>
      <c r="G39" s="61">
        <f>IF(FT!B39&lt;&gt;"",FT!B39*100,"")</f>
        <v>36.316199999999995</v>
      </c>
      <c r="H39" s="61">
        <f t="shared" si="1"/>
        <v>1</v>
      </c>
      <c r="I39" t="str">
        <f>IF(FT!B39&lt;&gt;"",FT!E39,"")</f>
        <v>1 [15.031069]</v>
      </c>
      <c r="J39">
        <f>IF(FT!B39&lt;&gt;"",FT!C39,"")</f>
        <v>15.0311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3.0999300000000001</v>
      </c>
      <c r="G40" s="61">
        <f>IF(FT!B40&lt;&gt;"",FT!B40*100,"")</f>
        <v>36.313099999999999</v>
      </c>
      <c r="H40" s="61">
        <f t="shared" si="1"/>
        <v>1</v>
      </c>
      <c r="I40" t="str">
        <f>IF(FT!B40&lt;&gt;"",FT!E40,"")</f>
        <v>1 [15.437318]</v>
      </c>
      <c r="J40">
        <f>IF(FT!B40&lt;&gt;"",FT!C40,"")</f>
        <v>15.4373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102549</v>
      </c>
      <c r="D41" s="61">
        <f>FH!B41*1</f>
        <v>102549</v>
      </c>
      <c r="E41">
        <f t="shared" si="3"/>
        <v>39</v>
      </c>
      <c r="F41" s="61">
        <f>IF(FT!A41&lt;&gt;"",FT!A41*10,"")</f>
        <v>3.0806</v>
      </c>
      <c r="G41" s="61">
        <f>IF(FT!B41&lt;&gt;"",FT!B41*100,"")</f>
        <v>36.363500000000002</v>
      </c>
      <c r="H41" s="61">
        <f t="shared" si="1"/>
        <v>1</v>
      </c>
      <c r="I41" t="str">
        <f>IF(FT!B41&lt;&gt;"",FT!E41,"")</f>
        <v>1 [15.846476]</v>
      </c>
      <c r="J41">
        <f>IF(FT!B41&lt;&gt;"",FT!C41,"")</f>
        <v>15.846500000000001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3.05952</v>
      </c>
      <c r="G42" s="61">
        <f>IF(FT!B42&lt;&gt;"",FT!B42*100,"")</f>
        <v>36.569400000000002</v>
      </c>
      <c r="H42" s="61">
        <f t="shared" si="1"/>
        <v>1</v>
      </c>
      <c r="I42" t="str">
        <f>IF(FT!B42&lt;&gt;"",FT!E42,"")</f>
        <v>1 [16.245264]</v>
      </c>
      <c r="J42">
        <f>IF(FT!B42&lt;&gt;"",FT!C42,"")</f>
        <v>16.2453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3.0335800000000002</v>
      </c>
      <c r="G43" s="61">
        <f>IF(FT!B43&lt;&gt;"",FT!B43*100,"")</f>
        <v>36.928400000000003</v>
      </c>
      <c r="H43" s="61">
        <f t="shared" si="1"/>
        <v>1</v>
      </c>
      <c r="I43" t="str">
        <f>IF(FT!B43&lt;&gt;"",FT!E43,"")</f>
        <v>1 [16.655225]</v>
      </c>
      <c r="J43">
        <f>IF(FT!B43&lt;&gt;"",FT!C43,"")</f>
        <v>16.655200000000001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104269</v>
      </c>
      <c r="D44" s="61">
        <f>FH!B44*1</f>
        <v>104269</v>
      </c>
      <c r="E44">
        <f t="shared" si="3"/>
        <v>42</v>
      </c>
      <c r="F44" s="61">
        <f>IF(FT!A44&lt;&gt;"",FT!A44*10,"")</f>
        <v>3.0048399999999997</v>
      </c>
      <c r="G44" s="61">
        <f>IF(FT!B44&lt;&gt;"",FT!B44*100,"")</f>
        <v>37.369599999999998</v>
      </c>
      <c r="H44" s="61">
        <f t="shared" si="1"/>
        <v>1</v>
      </c>
      <c r="I44" t="str">
        <f>IF(FT!B44&lt;&gt;"",FT!E44,"")</f>
        <v>1 [17.065280]</v>
      </c>
      <c r="J44">
        <f>IF(FT!B44&lt;&gt;"",FT!C44,"")</f>
        <v>17.065300000000001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2.9742200000000003</v>
      </c>
      <c r="G45" s="61">
        <f>IF(FT!B45&lt;&gt;"",FT!B45*100,"")</f>
        <v>37.845600000000005</v>
      </c>
      <c r="H45" s="61">
        <f t="shared" si="1"/>
        <v>1</v>
      </c>
      <c r="I45" t="str">
        <f>IF(FT!B45&lt;&gt;"",FT!E45,"")</f>
        <v>1 [17.468492]</v>
      </c>
      <c r="J45">
        <f>IF(FT!B45&lt;&gt;"",FT!C45,"")</f>
        <v>17.468499999999999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101871</v>
      </c>
      <c r="D46" s="61">
        <f>FH!B46*1</f>
        <v>101871</v>
      </c>
      <c r="E46">
        <f t="shared" si="3"/>
        <v>44</v>
      </c>
      <c r="F46" s="61">
        <f>IF(FT!A46&lt;&gt;"",FT!A46*10,"")</f>
        <v>2.9417</v>
      </c>
      <c r="G46" s="61">
        <f>IF(FT!B46&lt;&gt;"",FT!B46*100,"")</f>
        <v>38.351800000000004</v>
      </c>
      <c r="H46" s="61">
        <f t="shared" si="1"/>
        <v>1</v>
      </c>
      <c r="I46" t="str">
        <f>IF(FT!B46&lt;&gt;"",FT!E46,"")</f>
        <v>1 [17.872534]</v>
      </c>
      <c r="J46">
        <f>IF(FT!B46&lt;&gt;"",FT!C46,"")</f>
        <v>17.872499999999999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2.9086800000000004</v>
      </c>
      <c r="G47" s="61">
        <f>IF(FT!B47&lt;&gt;"",FT!B47*100,"")</f>
        <v>38.878599999999999</v>
      </c>
      <c r="H47" s="61">
        <f t="shared" si="1"/>
        <v>1</v>
      </c>
      <c r="I47" t="str">
        <f>IF(FT!B47&lt;&gt;"",FT!E47,"")</f>
        <v>1 [18.277819]</v>
      </c>
      <c r="J47">
        <f>IF(FT!B47&lt;&gt;"",FT!C47,"")</f>
        <v>18.277799999999999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2.8770800000000003</v>
      </c>
      <c r="G48" s="61">
        <f>IF(FT!B48&lt;&gt;"",FT!B48*100,"")</f>
        <v>39.398800000000001</v>
      </c>
      <c r="H48" s="61">
        <f t="shared" si="1"/>
        <v>1</v>
      </c>
      <c r="I48" t="str">
        <f>IF(FT!B48&lt;&gt;"",FT!E48,"")</f>
        <v>1 [18.683834]</v>
      </c>
      <c r="J48">
        <f>IF(FT!B48&lt;&gt;"",FT!C48,"")</f>
        <v>18.683800000000002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100870</v>
      </c>
      <c r="D49" s="61">
        <f>FH!B49*1</f>
        <v>100870</v>
      </c>
      <c r="E49">
        <f t="shared" si="3"/>
        <v>47</v>
      </c>
      <c r="F49" s="61">
        <f>IF(FT!A49&lt;&gt;"",FT!A49*10,"")</f>
        <v>2.8471600000000001</v>
      </c>
      <c r="G49" s="61">
        <f>IF(FT!B49&lt;&gt;"",FT!B49*100,"")</f>
        <v>39.916699999999999</v>
      </c>
      <c r="H49" s="61">
        <f t="shared" si="1"/>
        <v>1</v>
      </c>
      <c r="I49" t="str">
        <f>IF(FT!B49&lt;&gt;"",FT!E49,"")</f>
        <v>1 [19.093808]</v>
      </c>
      <c r="J49">
        <f>IF(FT!B49&lt;&gt;"",FT!C49,"")</f>
        <v>19.093800000000002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2.8176000000000001</v>
      </c>
      <c r="G50" s="61">
        <f>IF(FT!B50&lt;&gt;"",FT!B50*100,"")</f>
        <v>40.490500000000004</v>
      </c>
      <c r="H50" s="61">
        <f t="shared" si="1"/>
        <v>1</v>
      </c>
      <c r="I50" t="str">
        <f>IF(FT!B50&lt;&gt;"",FT!E50,"")</f>
        <v>1 [19.499951]</v>
      </c>
      <c r="J50">
        <f>IF(FT!B50&lt;&gt;"",FT!C50,"")</f>
        <v>19.5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116106</v>
      </c>
      <c r="D51" s="61">
        <f>FH!B51*1</f>
        <v>116106</v>
      </c>
      <c r="E51">
        <f t="shared" si="3"/>
        <v>49</v>
      </c>
      <c r="F51" s="61">
        <f>IF(FT!A51&lt;&gt;"",FT!A51*10,"")</f>
        <v>2.7879100000000001</v>
      </c>
      <c r="G51" s="61">
        <f>IF(FT!B51&lt;&gt;"",FT!B51*100,"")</f>
        <v>41.092099999999995</v>
      </c>
      <c r="H51" s="61">
        <f t="shared" si="1"/>
        <v>1</v>
      </c>
      <c r="I51" t="str">
        <f>IF(FT!B51&lt;&gt;"",FT!E51,"")</f>
        <v>1 [19.906161]</v>
      </c>
      <c r="J51">
        <f>IF(FT!B51&lt;&gt;"",FT!C51,"")</f>
        <v>19.906199999999998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2.7648800000000002</v>
      </c>
      <c r="G52" s="61">
        <f>IF(FT!B52&lt;&gt;"",FT!B52*100,"")</f>
        <v>41.623199999999997</v>
      </c>
      <c r="H52" s="61">
        <f t="shared" si="1"/>
        <v>1</v>
      </c>
      <c r="I52" t="str">
        <f>IF(FT!B52&lt;&gt;"",FT!E52,"")</f>
        <v>1 [20.309326]</v>
      </c>
      <c r="J52">
        <f>IF(FT!B52&lt;&gt;"",FT!C52,"")</f>
        <v>20.3093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2.7353699999999996</v>
      </c>
      <c r="G53" s="61">
        <f>IF(FT!B53&lt;&gt;"",FT!B53*100,"")</f>
        <v>42.210599999999999</v>
      </c>
      <c r="H53" s="61">
        <f t="shared" si="1"/>
        <v>1</v>
      </c>
      <c r="I53" t="str">
        <f>IF(FT!B53&lt;&gt;"",FT!E53,"")</f>
        <v>1 [20.713564]</v>
      </c>
      <c r="J53">
        <f>IF(FT!B53&lt;&gt;"",FT!C53,"")</f>
        <v>20.7136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128564</v>
      </c>
      <c r="D54" s="61">
        <f>FH!B54*1</f>
        <v>128564</v>
      </c>
      <c r="E54">
        <f t="shared" si="3"/>
        <v>52</v>
      </c>
      <c r="F54" s="61">
        <f>IF(FT!A54&lt;&gt;"",FT!A54*10,"")</f>
        <v>2.7051799999999999</v>
      </c>
      <c r="G54" s="61">
        <f>IF(FT!B54&lt;&gt;"",FT!B54*100,"")</f>
        <v>42.861900000000006</v>
      </c>
      <c r="H54" s="61">
        <f t="shared" si="1"/>
        <v>1</v>
      </c>
      <c r="I54" t="str">
        <f>IF(FT!B54&lt;&gt;"",FT!E54,"")</f>
        <v>1 [21.125153]</v>
      </c>
      <c r="J54">
        <f>IF(FT!B54&lt;&gt;"",FT!C54,"")</f>
        <v>21.1252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2.6720199999999998</v>
      </c>
      <c r="G55" s="61">
        <f>IF(FT!B55&lt;&gt;"",FT!B55*100,"")</f>
        <v>43.622499999999995</v>
      </c>
      <c r="H55" s="61">
        <f t="shared" si="1"/>
        <v>1</v>
      </c>
      <c r="I55" t="str">
        <f>IF(FT!B55&lt;&gt;"",FT!E55,"")</f>
        <v>1 [21.530207]</v>
      </c>
      <c r="J55">
        <f>IF(FT!B55&lt;&gt;"",FT!C55,"")</f>
        <v>21.530200000000001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2.64453</v>
      </c>
      <c r="G56" s="61">
        <f>IF(FT!B56&lt;&gt;"",FT!B56*100,"")</f>
        <v>44.256299999999996</v>
      </c>
      <c r="H56" s="61">
        <f t="shared" si="1"/>
        <v>1</v>
      </c>
      <c r="I56" t="str">
        <f>IF(FT!B56&lt;&gt;"",FT!E56,"")</f>
        <v>1 [21.938310]</v>
      </c>
      <c r="J56">
        <f>IF(FT!B56&lt;&gt;"",FT!C56,"")</f>
        <v>21.938300000000002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145283</v>
      </c>
      <c r="D57" s="61">
        <f>FH!B57*1</f>
        <v>145283</v>
      </c>
      <c r="E57">
        <f t="shared" si="3"/>
        <v>55</v>
      </c>
      <c r="F57" s="61">
        <f>IF(FT!A57&lt;&gt;"",FT!A57*10,"")</f>
        <v>2.6213100000000003</v>
      </c>
      <c r="G57" s="61">
        <f>IF(FT!B57&lt;&gt;"",FT!B57*100,"")</f>
        <v>44.776700000000005</v>
      </c>
      <c r="H57" s="61">
        <f t="shared" si="1"/>
        <v>1</v>
      </c>
      <c r="I57" t="str">
        <f>IF(FT!B57&lt;&gt;"",FT!E57,"")</f>
        <v>1 [22.342988]</v>
      </c>
      <c r="J57">
        <f>IF(FT!B57&lt;&gt;"",FT!C57,"")</f>
        <v>22.343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2.6030100000000003</v>
      </c>
      <c r="G58" s="61">
        <f>IF(FT!B58&lt;&gt;"",FT!B58*100,"")</f>
        <v>45.208999999999996</v>
      </c>
      <c r="H58" s="61">
        <f t="shared" si="1"/>
        <v>1</v>
      </c>
      <c r="I58" t="str">
        <f>IF(FT!B58&lt;&gt;"",FT!E58,"")</f>
        <v>1 [22.748100]</v>
      </c>
      <c r="J58">
        <f>IF(FT!B58&lt;&gt;"",FT!C58,"")</f>
        <v>22.748100000000001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153674</v>
      </c>
      <c r="D59" s="61">
        <f>FH!B59*1</f>
        <v>153674</v>
      </c>
      <c r="E59">
        <f t="shared" si="3"/>
        <v>57</v>
      </c>
      <c r="F59" s="61">
        <f>IF(FT!A59&lt;&gt;"",FT!A59*10,"")</f>
        <v>2.5895700000000001</v>
      </c>
      <c r="G59" s="61">
        <f>IF(FT!B59&lt;&gt;"",FT!B59*100,"")</f>
        <v>45.598399999999998</v>
      </c>
      <c r="H59" s="61">
        <f t="shared" si="1"/>
        <v>1</v>
      </c>
      <c r="I59" t="str">
        <f>IF(FT!B59&lt;&gt;"",FT!E59,"")</f>
        <v>1 [23.154899]</v>
      </c>
      <c r="J59">
        <f>IF(FT!B59&lt;&gt;"",FT!C59,"")</f>
        <v>23.154900000000001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2.5789200000000001</v>
      </c>
      <c r="G60" s="61">
        <f>IF(FT!B60&lt;&gt;"",FT!B60*100,"")</f>
        <v>45.8932</v>
      </c>
      <c r="H60" s="61">
        <f t="shared" si="1"/>
        <v>1</v>
      </c>
      <c r="I60" t="str">
        <f>IF(FT!B60&lt;&gt;"",FT!E60,"")</f>
        <v>1 [23.559325]</v>
      </c>
      <c r="J60">
        <f>IF(FT!B60&lt;&gt;"",FT!C60,"")</f>
        <v>23.5593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2.5789299999999997</v>
      </c>
      <c r="G61" s="61">
        <f>IF(FT!B61&lt;&gt;"",FT!B61*100,"")</f>
        <v>46.111899999999999</v>
      </c>
      <c r="H61" s="61">
        <f t="shared" si="1"/>
        <v>1</v>
      </c>
      <c r="I61" t="str">
        <f>IF(FT!B61&lt;&gt;"",FT!E61,"")</f>
        <v>1 [23.967558]</v>
      </c>
      <c r="J61">
        <f>IF(FT!B61&lt;&gt;"",FT!C61,"")</f>
        <v>23.967600000000001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164178</v>
      </c>
      <c r="D62" s="61">
        <f>FH!B62*1</f>
        <v>164178</v>
      </c>
      <c r="E62">
        <f t="shared" si="3"/>
        <v>60</v>
      </c>
      <c r="F62" s="61">
        <f>IF(FT!A62&lt;&gt;"",FT!A62*10,"")</f>
        <v>2.5710899999999999</v>
      </c>
      <c r="G62" s="61">
        <f>IF(FT!B62&lt;&gt;"",FT!B62*100,"")</f>
        <v>46.363500000000002</v>
      </c>
      <c r="H62" s="61">
        <f t="shared" si="1"/>
        <v>1</v>
      </c>
      <c r="I62" t="str">
        <f>IF(FT!B62&lt;&gt;"",FT!E62,"")</f>
        <v>1 [24.372451]</v>
      </c>
      <c r="J62">
        <f>IF(FT!B62&lt;&gt;"",FT!C62,"")</f>
        <v>24.372499999999999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2.5769799999999998</v>
      </c>
      <c r="G63" s="61">
        <f>IF(FT!B63&lt;&gt;"",FT!B63*100,"")</f>
        <v>46.3401</v>
      </c>
      <c r="H63" s="61">
        <f t="shared" si="1"/>
        <v>1</v>
      </c>
      <c r="I63" t="str">
        <f>IF(FT!B63&lt;&gt;"",FT!E63,"")</f>
        <v>1 [24.782852]</v>
      </c>
      <c r="J63">
        <f>IF(FT!B63&lt;&gt;"",FT!C63,"")</f>
        <v>24.782900000000001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160188</v>
      </c>
      <c r="D64" s="61">
        <f>FH!B64*1</f>
        <v>160188</v>
      </c>
      <c r="E64">
        <f t="shared" si="3"/>
        <v>62</v>
      </c>
      <c r="F64" s="61">
        <f>IF(FT!A64&lt;&gt;"",FT!A64*10,"")</f>
        <v>2.57531</v>
      </c>
      <c r="G64" s="61">
        <f>IF(FT!B64&lt;&gt;"",FT!B64*100,"")</f>
        <v>46.380700000000004</v>
      </c>
      <c r="H64" s="61">
        <f t="shared" si="1"/>
        <v>1</v>
      </c>
      <c r="I64" t="str">
        <f>IF(FT!B64&lt;&gt;"",FT!E64,"")</f>
        <v>1 [25.184088]</v>
      </c>
      <c r="J64">
        <f>IF(FT!B64&lt;&gt;"",FT!C64,"")</f>
        <v>25.184100000000001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2.58839</v>
      </c>
      <c r="G65" s="61">
        <f>IF(FT!B65&lt;&gt;"",FT!B65*100,"")</f>
        <v>46.174300000000002</v>
      </c>
      <c r="H65" s="61">
        <f t="shared" si="1"/>
        <v>1</v>
      </c>
      <c r="I65" t="str">
        <f>IF(FT!B65&lt;&gt;"",FT!E65,"")</f>
        <v>1 [25.593653]</v>
      </c>
      <c r="J65">
        <f>IF(FT!B65&lt;&gt;"",FT!C65,"")</f>
        <v>25.593699999999998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2.6063700000000001</v>
      </c>
      <c r="G66" s="61">
        <f>IF(FT!B66&lt;&gt;"",FT!B66*100,"")</f>
        <v>45.889299999999999</v>
      </c>
      <c r="H66" s="61">
        <f t="shared" si="1"/>
        <v>1</v>
      </c>
      <c r="I66" t="str">
        <f>IF(FT!B66&lt;&gt;"",FT!E66,"")</f>
        <v>1 [25.998078]</v>
      </c>
      <c r="J66">
        <f>IF(FT!B66&lt;&gt;"",FT!C66,"")</f>
        <v>25.998100000000001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156191</v>
      </c>
      <c r="D67" s="61">
        <f>FH!B67*1</f>
        <v>156191</v>
      </c>
      <c r="E67">
        <f t="shared" si="3"/>
        <v>65</v>
      </c>
      <c r="F67" s="61">
        <f>IF(FT!A67&lt;&gt;"",FT!A67*10,"")</f>
        <v>2.63733</v>
      </c>
      <c r="G67" s="61">
        <f>IF(FT!B67&lt;&gt;"",FT!B67*100,"")</f>
        <v>45.408000000000001</v>
      </c>
      <c r="H67" s="61">
        <f t="shared" ref="H67:H130" si="9">(IF(F67&lt;&gt;"",1,""))</f>
        <v>1</v>
      </c>
      <c r="I67" t="str">
        <f>IF(FT!B67&lt;&gt;"",FT!E67,"")</f>
        <v>1 [26.405882]</v>
      </c>
      <c r="J67">
        <f>IF(FT!B67&lt;&gt;"",FT!C67,"")</f>
        <v>26.405899999999999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2.6489000000000003</v>
      </c>
      <c r="G68" s="61">
        <f>IF(FT!B68&lt;&gt;"",FT!B68*100,"")</f>
        <v>45.2196</v>
      </c>
      <c r="H68" s="61">
        <f t="shared" si="9"/>
        <v>1</v>
      </c>
      <c r="I68" t="str">
        <f>IF(FT!B68&lt;&gt;"",FT!E68,"")</f>
        <v>1 [26.808586]</v>
      </c>
      <c r="J68">
        <f>IF(FT!B68&lt;&gt;"",FT!C68,"")</f>
        <v>26.808599999999998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157597</v>
      </c>
      <c r="D69" s="61">
        <f>FH!B69*1</f>
        <v>157597</v>
      </c>
      <c r="E69">
        <f t="shared" si="11"/>
        <v>67</v>
      </c>
      <c r="F69" s="61">
        <f>IF(FT!A69&lt;&gt;"",FT!A69*10,"")</f>
        <v>2.6688499999999999</v>
      </c>
      <c r="G69" s="61">
        <f>IF(FT!B69&lt;&gt;"",FT!B69*100,"")</f>
        <v>44.997399999999999</v>
      </c>
      <c r="H69" s="61">
        <f t="shared" si="9"/>
        <v>1</v>
      </c>
      <c r="I69" t="str">
        <f>IF(FT!B69&lt;&gt;"",FT!E69,"")</f>
        <v>1 [27.218171]</v>
      </c>
      <c r="J69">
        <f>IF(FT!B69&lt;&gt;"",FT!C69,"")</f>
        <v>27.2182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2.6903600000000001</v>
      </c>
      <c r="G70" s="61">
        <f>IF(FT!B70&lt;&gt;"",FT!B70*100,"")</f>
        <v>44.814300000000003</v>
      </c>
      <c r="H70" s="61">
        <f t="shared" si="9"/>
        <v>1</v>
      </c>
      <c r="I70" t="str">
        <f>IF(FT!B70&lt;&gt;"",FT!E70,"")</f>
        <v>1 [27.625284]</v>
      </c>
      <c r="J70">
        <f>IF(FT!B70&lt;&gt;"",FT!C70,"")</f>
        <v>27.625299999999999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2.7186700000000004</v>
      </c>
      <c r="G71" s="61">
        <f>IF(FT!B71&lt;&gt;"",FT!B71*100,"")</f>
        <v>44.698</v>
      </c>
      <c r="H71" s="61">
        <f t="shared" si="9"/>
        <v>1</v>
      </c>
      <c r="I71" t="str">
        <f>IF(FT!B71&lt;&gt;"",FT!E71,"")</f>
        <v>1 [28.033418]</v>
      </c>
      <c r="J71">
        <f>IF(FT!B71&lt;&gt;"",FT!C71,"")</f>
        <v>28.0334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156506</v>
      </c>
      <c r="D72" s="61">
        <f>FH!B72*1</f>
        <v>156506</v>
      </c>
      <c r="E72">
        <f t="shared" si="11"/>
        <v>70</v>
      </c>
      <c r="F72" s="61">
        <f>IF(FT!A72&lt;&gt;"",FT!A72*10,"")</f>
        <v>2.7405600000000003</v>
      </c>
      <c r="G72" s="61">
        <f>IF(FT!B72&lt;&gt;"",FT!B72*100,"")</f>
        <v>44.612899999999996</v>
      </c>
      <c r="H72" s="61">
        <f t="shared" si="9"/>
        <v>1</v>
      </c>
      <c r="I72" t="str">
        <f>IF(FT!B72&lt;&gt;"",FT!E72,"")</f>
        <v>1 [28.438977]</v>
      </c>
      <c r="J72">
        <f>IF(FT!B72&lt;&gt;"",FT!C72,"")</f>
        <v>28.439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2.7611300000000001</v>
      </c>
      <c r="G73" s="61">
        <f>IF(FT!B73&lt;&gt;"",FT!B73*100,"")</f>
        <v>44.579800000000006</v>
      </c>
      <c r="H73" s="61">
        <f t="shared" si="9"/>
        <v>1</v>
      </c>
      <c r="I73" t="str">
        <f>IF(FT!B73&lt;&gt;"",FT!E73,"")</f>
        <v>1 [28.841229]</v>
      </c>
      <c r="J73">
        <f>IF(FT!B73&lt;&gt;"",FT!C73,"")</f>
        <v>28.841200000000001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2.7761499999999999</v>
      </c>
      <c r="G74" s="61">
        <f>IF(FT!B74&lt;&gt;"",FT!B74*100,"")</f>
        <v>44.556200000000004</v>
      </c>
      <c r="H74" s="61">
        <f t="shared" si="9"/>
        <v>1</v>
      </c>
      <c r="I74" t="str">
        <f>IF(FT!B74&lt;&gt;"",FT!E74,"")</f>
        <v>1 [29.245879]</v>
      </c>
      <c r="J74">
        <f>IF(FT!B74&lt;&gt;"",FT!C74,"")</f>
        <v>29.245899999999999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152128</v>
      </c>
      <c r="D75" s="61">
        <f>FH!B75*1</f>
        <v>152128</v>
      </c>
      <c r="E75">
        <f t="shared" si="11"/>
        <v>73</v>
      </c>
      <c r="F75" s="61">
        <f>IF(FT!A75&lt;&gt;"",FT!A75*10,"")</f>
        <v>2.7909699999999997</v>
      </c>
      <c r="G75" s="61">
        <f>IF(FT!B75&lt;&gt;"",FT!B75*100,"")</f>
        <v>44.676100000000005</v>
      </c>
      <c r="H75" s="61">
        <f t="shared" si="9"/>
        <v>1</v>
      </c>
      <c r="I75" t="str">
        <f>IF(FT!B75&lt;&gt;"",FT!E75,"")</f>
        <v>1 [29.653689]</v>
      </c>
      <c r="J75">
        <f>IF(FT!B75&lt;&gt;"",FT!C75,"")</f>
        <v>29.653700000000001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2.8045900000000001</v>
      </c>
      <c r="G76" s="61">
        <f>IF(FT!B76&lt;&gt;"",FT!B76*100,"")</f>
        <v>44.885999999999996</v>
      </c>
      <c r="H76" s="61">
        <f t="shared" si="9"/>
        <v>1</v>
      </c>
      <c r="I76" t="str">
        <f>IF(FT!B76&lt;&gt;"",FT!E76,"")</f>
        <v>2 [30.062913]</v>
      </c>
      <c r="J76">
        <f>IF(FT!B76&lt;&gt;"",FT!C76,"")</f>
        <v>30.062899999999999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151899</v>
      </c>
      <c r="D77" s="61">
        <f>FH!B77*1</f>
        <v>151899</v>
      </c>
      <c r="E77">
        <f t="shared" si="11"/>
        <v>75</v>
      </c>
      <c r="F77" s="61">
        <f>IF(FT!A77&lt;&gt;"",FT!A77*10,"")</f>
        <v>2.8157100000000002</v>
      </c>
      <c r="G77" s="61">
        <f>IF(FT!B77&lt;&gt;"",FT!B77*100,"")</f>
        <v>45.285399999999996</v>
      </c>
      <c r="H77" s="61">
        <f t="shared" si="9"/>
        <v>1</v>
      </c>
      <c r="I77" t="str">
        <f>IF(FT!B77&lt;&gt;"",FT!E77,"")</f>
        <v>2 [30.528734]</v>
      </c>
      <c r="J77">
        <f>IF(FT!B77&lt;&gt;"",FT!C77,"")</f>
        <v>30.528700000000001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2.8211599999999999</v>
      </c>
      <c r="G78" s="61">
        <f>IF(FT!B78&lt;&gt;"",FT!B78*100,"")</f>
        <v>45.570100000000004</v>
      </c>
      <c r="H78" s="61">
        <f t="shared" si="9"/>
        <v>1</v>
      </c>
      <c r="I78" t="str">
        <f>IF(FT!B78&lt;&gt;"",FT!E78,"")</f>
        <v>2 [30.933524]</v>
      </c>
      <c r="J78">
        <f>IF(FT!B78&lt;&gt;"",FT!C78,"")</f>
        <v>30.933499999999999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2.8223599999999998</v>
      </c>
      <c r="G79" s="61">
        <f>IF(FT!B79&lt;&gt;"",FT!B79*100,"")</f>
        <v>45.811300000000003</v>
      </c>
      <c r="H79" s="61">
        <f t="shared" si="9"/>
        <v>1</v>
      </c>
      <c r="I79" t="str">
        <f>IF(FT!B79&lt;&gt;"",FT!E79,"")</f>
        <v>2 [31.328799]</v>
      </c>
      <c r="J79">
        <f>IF(FT!B79&lt;&gt;"",FT!C79,"")</f>
        <v>31.328800000000001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138667</v>
      </c>
      <c r="D80" s="61">
        <f>FH!B80*1</f>
        <v>138667</v>
      </c>
      <c r="E80">
        <f t="shared" si="11"/>
        <v>78</v>
      </c>
      <c r="F80" s="61">
        <f>IF(FT!A80&lt;&gt;"",FT!A80*10,"")</f>
        <v>2.8218199999999998</v>
      </c>
      <c r="G80" s="61">
        <f>IF(FT!B80&lt;&gt;"",FT!B80*100,"")</f>
        <v>46.040199999999999</v>
      </c>
      <c r="H80" s="61">
        <f t="shared" si="9"/>
        <v>1</v>
      </c>
      <c r="I80" t="str">
        <f>IF(FT!B80&lt;&gt;"",FT!E80,"")</f>
        <v>2 [31.732519]</v>
      </c>
      <c r="J80">
        <f>IF(FT!B80&lt;&gt;"",FT!C80,"")</f>
        <v>31.732500000000002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2.8207599999999999</v>
      </c>
      <c r="G81" s="61">
        <f>IF(FT!B81&lt;&gt;"",FT!B81*100,"")</f>
        <v>46.312999999999995</v>
      </c>
      <c r="H81" s="61">
        <f t="shared" si="9"/>
        <v>1</v>
      </c>
      <c r="I81" t="str">
        <f>IF(FT!B81&lt;&gt;"",FT!E81,"")</f>
        <v>2 [32.139442]</v>
      </c>
      <c r="J81">
        <f>IF(FT!B81&lt;&gt;"",FT!C81,"")</f>
        <v>32.139400000000002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129536</v>
      </c>
      <c r="D82" s="61">
        <f>FH!B82*1</f>
        <v>129536</v>
      </c>
      <c r="E82">
        <f t="shared" si="11"/>
        <v>80</v>
      </c>
      <c r="F82" s="61">
        <f>IF(FT!A82&lt;&gt;"",FT!A82*10,"")</f>
        <v>2.8179400000000001</v>
      </c>
      <c r="G82" s="61">
        <f>IF(FT!B82&lt;&gt;"",FT!B82*100,"")</f>
        <v>46.593000000000004</v>
      </c>
      <c r="H82" s="61">
        <f t="shared" si="9"/>
        <v>1</v>
      </c>
      <c r="I82" t="str">
        <f>IF(FT!B82&lt;&gt;"",FT!E82,"")</f>
        <v>2 [32.543030]</v>
      </c>
      <c r="J82">
        <f>IF(FT!B82&lt;&gt;"",FT!C82,"")</f>
        <v>32.542999999999999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2.8111299999999999</v>
      </c>
      <c r="G83" s="61">
        <f>IF(FT!B83&lt;&gt;"",FT!B83*100,"")</f>
        <v>46.840199999999996</v>
      </c>
      <c r="H83" s="61">
        <f t="shared" si="9"/>
        <v>1</v>
      </c>
      <c r="I83" t="str">
        <f>IF(FT!B83&lt;&gt;"",FT!E83,"")</f>
        <v>2 [32.949248]</v>
      </c>
      <c r="J83">
        <f>IF(FT!B83&lt;&gt;"",FT!C83,"")</f>
        <v>32.949199999999998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2.7987500000000001</v>
      </c>
      <c r="G84" s="61">
        <f>IF(FT!B84&lt;&gt;"",FT!B84*100,"")</f>
        <v>47.033799999999999</v>
      </c>
      <c r="H84" s="61">
        <f t="shared" si="9"/>
        <v>1</v>
      </c>
      <c r="I84" t="str">
        <f>IF(FT!B84&lt;&gt;"",FT!E84,"")</f>
        <v>2 [33.354565]</v>
      </c>
      <c r="J84">
        <f>IF(FT!B84&lt;&gt;"",FT!C84,"")</f>
        <v>33.354599999999998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119761</v>
      </c>
      <c r="D85" s="61">
        <f>FH!B85*1</f>
        <v>119761</v>
      </c>
      <c r="E85">
        <f t="shared" si="11"/>
        <v>83</v>
      </c>
      <c r="F85" s="61">
        <f>IF(FT!A85&lt;&gt;"",FT!A85*10,"")</f>
        <v>2.7839199999999997</v>
      </c>
      <c r="G85" s="61">
        <f>IF(FT!B85&lt;&gt;"",FT!B85*100,"")</f>
        <v>47.182299999999998</v>
      </c>
      <c r="H85" s="61">
        <f t="shared" si="9"/>
        <v>1</v>
      </c>
      <c r="I85" t="str">
        <f>IF(FT!B85&lt;&gt;"",FT!E85,"")</f>
        <v>2 [33.763350]</v>
      </c>
      <c r="J85">
        <f>IF(FT!B85&lt;&gt;"",FT!C85,"")</f>
        <v>33.763300000000001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2.7647200000000001</v>
      </c>
      <c r="G86" s="61">
        <f>IF(FT!B86&lt;&gt;"",FT!B86*100,"")</f>
        <v>47.3172</v>
      </c>
      <c r="H86" s="61">
        <f t="shared" si="9"/>
        <v>1</v>
      </c>
      <c r="I86" t="str">
        <f>IF(FT!B86&lt;&gt;"",FT!E86,"")</f>
        <v>2 [34.174373]</v>
      </c>
      <c r="J86">
        <f>IF(FT!B86&lt;&gt;"",FT!C86,"")</f>
        <v>34.174399999999999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2.7446100000000002</v>
      </c>
      <c r="G87" s="61">
        <f>IF(FT!B87&lt;&gt;"",FT!B87*100,"")</f>
        <v>47.491399999999999</v>
      </c>
      <c r="H87" s="61">
        <f t="shared" si="9"/>
        <v>1</v>
      </c>
      <c r="I87" t="str">
        <f>IF(FT!B87&lt;&gt;"",FT!E87,"")</f>
        <v>2 [34.578260]</v>
      </c>
      <c r="J87">
        <f>IF(FT!B87&lt;&gt;"",FT!C87,"")</f>
        <v>34.578299999999999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106472</v>
      </c>
      <c r="D88" s="61">
        <f>FH!B88*1</f>
        <v>106472</v>
      </c>
      <c r="E88">
        <f t="shared" si="11"/>
        <v>86</v>
      </c>
      <c r="F88" s="61">
        <f>IF(FT!A88&lt;&gt;"",FT!A88*10,"")</f>
        <v>2.7207699999999999</v>
      </c>
      <c r="G88" s="61">
        <f>IF(FT!B88&lt;&gt;"",FT!B88*100,"")</f>
        <v>47.730899999999998</v>
      </c>
      <c r="H88" s="61">
        <f t="shared" si="9"/>
        <v>1</v>
      </c>
      <c r="I88" t="str">
        <f>IF(FT!B88&lt;&gt;"",FT!E88,"")</f>
        <v>2 [34.981430]</v>
      </c>
      <c r="J88">
        <f>IF(FT!B88&lt;&gt;"",FT!C88,"")</f>
        <v>34.981400000000001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2.69259</v>
      </c>
      <c r="G89" s="61">
        <f>IF(FT!B89&lt;&gt;"",FT!B89*100,"")</f>
        <v>48.020800000000001</v>
      </c>
      <c r="H89" s="61">
        <f t="shared" si="9"/>
        <v>1</v>
      </c>
      <c r="I89" t="str">
        <f>IF(FT!B89&lt;&gt;"",FT!E89,"")</f>
        <v>2 [35.387580]</v>
      </c>
      <c r="J89">
        <f>IF(FT!B89&lt;&gt;"",FT!C89,"")</f>
        <v>35.387599999999999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100111</v>
      </c>
      <c r="D90" s="61">
        <f>FH!B90*1</f>
        <v>100111</v>
      </c>
      <c r="E90">
        <f t="shared" si="11"/>
        <v>88</v>
      </c>
      <c r="F90" s="61">
        <f>IF(FT!A90&lt;&gt;"",FT!A90*10,"")</f>
        <v>2.6622600000000003</v>
      </c>
      <c r="G90" s="61">
        <f>IF(FT!B90&lt;&gt;"",FT!B90*100,"")</f>
        <v>48.378900000000002</v>
      </c>
      <c r="H90" s="61">
        <f t="shared" si="9"/>
        <v>1</v>
      </c>
      <c r="I90" t="str">
        <f>IF(FT!B90&lt;&gt;"",FT!E90,"")</f>
        <v>2 [35.792957]</v>
      </c>
      <c r="J90">
        <f>IF(FT!B90&lt;&gt;"",FT!C90,"")</f>
        <v>35.792999999999999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2.6299399999999999</v>
      </c>
      <c r="G91" s="61">
        <f>IF(FT!B91&lt;&gt;"",FT!B91*100,"")</f>
        <v>48.856200000000001</v>
      </c>
      <c r="H91" s="61">
        <f t="shared" si="9"/>
        <v>1</v>
      </c>
      <c r="I91" t="str">
        <f>IF(FT!B91&lt;&gt;"",FT!E91,"")</f>
        <v>2 [36.204318]</v>
      </c>
      <c r="J91">
        <f>IF(FT!B91&lt;&gt;"",FT!C91,"")</f>
        <v>36.204300000000003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2.5973099999999998</v>
      </c>
      <c r="G92" s="61">
        <f>IF(FT!B92&lt;&gt;"",FT!B92*100,"")</f>
        <v>49.391800000000003</v>
      </c>
      <c r="H92" s="61">
        <f t="shared" si="9"/>
        <v>1</v>
      </c>
      <c r="I92" t="str">
        <f>IF(FT!B92&lt;&gt;"",FT!E92,"")</f>
        <v>2 [36.608688]</v>
      </c>
      <c r="J92">
        <f>IF(FT!B92&lt;&gt;"",FT!C92,"")</f>
        <v>36.608699999999999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95846</v>
      </c>
      <c r="D93" s="61">
        <f>FH!B93*1</f>
        <v>95846</v>
      </c>
      <c r="E93">
        <f t="shared" si="11"/>
        <v>91</v>
      </c>
      <c r="F93" s="61">
        <f>IF(FT!A93&lt;&gt;"",FT!A93*10,"")</f>
        <v>2.5701700000000001</v>
      </c>
      <c r="G93" s="61">
        <f>IF(FT!B93&lt;&gt;"",FT!B93*100,"")</f>
        <v>49.834099999999999</v>
      </c>
      <c r="H93" s="61">
        <f t="shared" si="9"/>
        <v>1</v>
      </c>
      <c r="I93" t="str">
        <f>IF(FT!B93&lt;&gt;"",FT!E93,"")</f>
        <v>2 [37.013357]</v>
      </c>
      <c r="J93">
        <f>IF(FT!B93&lt;&gt;"",FT!C93,"")</f>
        <v>37.013399999999997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2.5440299999999998</v>
      </c>
      <c r="G94" s="61">
        <f>IF(FT!B94&lt;&gt;"",FT!B94*100,"")</f>
        <v>50.266900000000007</v>
      </c>
      <c r="H94" s="61">
        <f t="shared" si="9"/>
        <v>1</v>
      </c>
      <c r="I94" t="str">
        <f>IF(FT!B94&lt;&gt;"",FT!E94,"")</f>
        <v>2 [37.418646]</v>
      </c>
      <c r="J94">
        <f>IF(FT!B94&lt;&gt;"",FT!C94,"")</f>
        <v>37.418599999999998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85171</v>
      </c>
      <c r="D95" s="61">
        <f>FH!B95*1</f>
        <v>85171</v>
      </c>
      <c r="E95">
        <f t="shared" si="11"/>
        <v>93</v>
      </c>
      <c r="F95" s="61">
        <f>IF(FT!A95&lt;&gt;"",FT!A95*10,"")</f>
        <v>2.5171700000000001</v>
      </c>
      <c r="G95" s="61">
        <f>IF(FT!B95&lt;&gt;"",FT!B95*100,"")</f>
        <v>50.714599999999997</v>
      </c>
      <c r="H95" s="61">
        <f t="shared" si="9"/>
        <v>1</v>
      </c>
      <c r="I95" t="str">
        <f>IF(FT!B95&lt;&gt;"",FT!E95,"")</f>
        <v>2 [37.829478]</v>
      </c>
      <c r="J95">
        <f>IF(FT!B95&lt;&gt;"",FT!C95,"")</f>
        <v>37.829500000000003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2.49133</v>
      </c>
      <c r="G96" s="61">
        <f>IF(FT!B96&lt;&gt;"",FT!B96*100,"")</f>
        <v>51.181699999999999</v>
      </c>
      <c r="H96" s="61">
        <f t="shared" si="9"/>
        <v>1</v>
      </c>
      <c r="I96" t="str">
        <f>IF(FT!B96&lt;&gt;"",FT!E96,"")</f>
        <v>2 [38.234322]</v>
      </c>
      <c r="J96">
        <f>IF(FT!B96&lt;&gt;"",FT!C96,"")</f>
        <v>38.234299999999998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2.4672200000000002</v>
      </c>
      <c r="G97" s="61">
        <f>IF(FT!B97&lt;&gt;"",FT!B97*100,"")</f>
        <v>51.656800000000004</v>
      </c>
      <c r="H97" s="61">
        <f t="shared" si="9"/>
        <v>1</v>
      </c>
      <c r="I97" t="str">
        <f>IF(FT!B97&lt;&gt;"",FT!E97,"")</f>
        <v>2 [38.639872]</v>
      </c>
      <c r="J97">
        <f>IF(FT!B97&lt;&gt;"",FT!C97,"")</f>
        <v>38.639899999999997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69281</v>
      </c>
      <c r="D98" s="61">
        <f>FH!B98*1</f>
        <v>69281</v>
      </c>
      <c r="E98">
        <f t="shared" si="11"/>
        <v>96</v>
      </c>
      <c r="F98" s="61">
        <f>IF(FT!A98&lt;&gt;"",FT!A98*10,"")</f>
        <v>2.4448500000000002</v>
      </c>
      <c r="G98" s="61">
        <f>IF(FT!B98&lt;&gt;"",FT!B98*100,"")</f>
        <v>52.107300000000002</v>
      </c>
      <c r="H98" s="61">
        <f t="shared" si="9"/>
        <v>1</v>
      </c>
      <c r="I98" t="str">
        <f>IF(FT!B98&lt;&gt;"",FT!E98,"")</f>
        <v>2 [39.043672]</v>
      </c>
      <c r="J98">
        <f>IF(FT!B98&lt;&gt;"",FT!C98,"")</f>
        <v>39.043700000000001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2.4281299999999999</v>
      </c>
      <c r="G99" s="61">
        <f>IF(FT!B99&lt;&gt;"",FT!B99*100,"")</f>
        <v>52.450600000000001</v>
      </c>
      <c r="H99" s="61">
        <f t="shared" si="9"/>
        <v>1</v>
      </c>
      <c r="I99" t="str">
        <f>IF(FT!B99&lt;&gt;"",FT!E99,"")</f>
        <v>2 [39.449875]</v>
      </c>
      <c r="J99">
        <f>IF(FT!B99&lt;&gt;"",FT!C99,"")</f>
        <v>39.4499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62009</v>
      </c>
      <c r="D100" s="61">
        <f>FH!B100*1</f>
        <v>62009</v>
      </c>
      <c r="E100">
        <f t="shared" si="11"/>
        <v>98</v>
      </c>
      <c r="F100" s="61">
        <f>IF(FT!A100&lt;&gt;"",FT!A100*10,"")</f>
        <v>2.4146899999999998</v>
      </c>
      <c r="G100" s="61">
        <f>IF(FT!B100&lt;&gt;"",FT!B100*100,"")</f>
        <v>52.639100000000006</v>
      </c>
      <c r="H100" s="61">
        <f t="shared" si="9"/>
        <v>1</v>
      </c>
      <c r="I100" t="str">
        <f>IF(FT!B100&lt;&gt;"",FT!E100,"")</f>
        <v>2 [39.858619]</v>
      </c>
      <c r="J100">
        <f>IF(FT!B100&lt;&gt;"",FT!C100,"")</f>
        <v>39.858600000000003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2.4025799999999999</v>
      </c>
      <c r="G101" s="61">
        <f>IF(FT!B101&lt;&gt;"",FT!B101*100,"")</f>
        <v>52.748799999999996</v>
      </c>
      <c r="H101" s="61">
        <f t="shared" si="9"/>
        <v>1</v>
      </c>
      <c r="I101" t="str">
        <f>IF(FT!B101&lt;&gt;"",FT!E101,"")</f>
        <v>2 [40.266077]</v>
      </c>
      <c r="J101">
        <f>IF(FT!B101&lt;&gt;"",FT!C101,"")</f>
        <v>40.266100000000002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2.39411</v>
      </c>
      <c r="G102" s="61">
        <f>IF(FT!B102&lt;&gt;"",FT!B102*100,"")</f>
        <v>52.764500000000005</v>
      </c>
      <c r="H102" s="61">
        <f t="shared" si="9"/>
        <v>1</v>
      </c>
      <c r="I102" t="str">
        <f>IF(FT!B102&lt;&gt;"",FT!E102,"")</f>
        <v>2 [40.672333]</v>
      </c>
      <c r="J102">
        <f>IF(FT!B102&lt;&gt;"",FT!C102,"")</f>
        <v>40.6723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56937</v>
      </c>
      <c r="D103" s="61">
        <f>FH!B103*1</f>
        <v>56937</v>
      </c>
      <c r="E103">
        <f t="shared" si="11"/>
        <v>101</v>
      </c>
      <c r="F103" s="61">
        <f>IF(FT!A103&lt;&gt;"",FT!A103*10,"")</f>
        <v>2.3903400000000001</v>
      </c>
      <c r="G103" s="61">
        <f>IF(FT!B103&lt;&gt;"",FT!B103*100,"")</f>
        <v>52.677799999999998</v>
      </c>
      <c r="H103" s="61">
        <f t="shared" si="9"/>
        <v>1</v>
      </c>
      <c r="I103" t="str">
        <f>IF(FT!B103&lt;&gt;"",FT!E103,"")</f>
        <v>2 [41.073625]</v>
      </c>
      <c r="J103">
        <f>IF(FT!B103&lt;&gt;"",FT!C103,"")</f>
        <v>41.073599999999999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2.3890799999999999</v>
      </c>
      <c r="G104" s="61">
        <f>IF(FT!B104&lt;&gt;"",FT!B104*100,"")</f>
        <v>52.5595</v>
      </c>
      <c r="H104" s="61">
        <f t="shared" si="9"/>
        <v>1</v>
      </c>
      <c r="I104" t="str">
        <f>IF(FT!B104&lt;&gt;"",FT!E104,"")</f>
        <v>2 [41.481270]</v>
      </c>
      <c r="J104">
        <f>IF(FT!B104&lt;&gt;"",FT!C104,"")</f>
        <v>41.481299999999997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2.3925900000000002</v>
      </c>
      <c r="G105" s="61">
        <f>IF(FT!B105&lt;&gt;"",FT!B105*100,"")</f>
        <v>52.351800000000004</v>
      </c>
      <c r="H105" s="61">
        <f t="shared" si="9"/>
        <v>1</v>
      </c>
      <c r="I105" t="str">
        <f>IF(FT!B105&lt;&gt;"",FT!E105,"")</f>
        <v>2 [41.891556]</v>
      </c>
      <c r="J105">
        <f>IF(FT!B105&lt;&gt;"",FT!C105,"")</f>
        <v>41.891599999999997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41173</v>
      </c>
      <c r="D106" s="61">
        <f>FH!B106*1</f>
        <v>41173</v>
      </c>
      <c r="E106">
        <f t="shared" si="11"/>
        <v>104</v>
      </c>
      <c r="F106" s="61">
        <f>IF(FT!A106&lt;&gt;"",FT!A106*10,"")</f>
        <v>2.3992900000000001</v>
      </c>
      <c r="G106" s="61">
        <f>IF(FT!B106&lt;&gt;"",FT!B106*100,"")</f>
        <v>52.027699999999996</v>
      </c>
      <c r="H106" s="61">
        <f t="shared" si="9"/>
        <v>1</v>
      </c>
      <c r="I106" t="str">
        <f>IF(FT!B106&lt;&gt;"",FT!E106,"")</f>
        <v>2 [42.294341]</v>
      </c>
      <c r="J106">
        <f>IF(FT!B106&lt;&gt;"",FT!C106,"")</f>
        <v>42.2943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2.40862</v>
      </c>
      <c r="G107" s="61">
        <f>IF(FT!B107&lt;&gt;"",FT!B107*100,"")</f>
        <v>51.637900000000002</v>
      </c>
      <c r="H107" s="61">
        <f t="shared" si="9"/>
        <v>1</v>
      </c>
      <c r="I107" t="str">
        <f>IF(FT!B107&lt;&gt;"",FT!E107,"")</f>
        <v>2 [42.701584]</v>
      </c>
      <c r="J107">
        <f>IF(FT!B107&lt;&gt;"",FT!C107,"")</f>
        <v>42.701599999999999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40410</v>
      </c>
      <c r="D108" s="61">
        <f>FH!B108*1</f>
        <v>40410</v>
      </c>
      <c r="E108">
        <f t="shared" si="11"/>
        <v>106</v>
      </c>
      <c r="F108" s="61">
        <f>IF(FT!A108&lt;&gt;"",FT!A108*10,"")</f>
        <v>2.42069</v>
      </c>
      <c r="G108" s="61">
        <f>IF(FT!B108&lt;&gt;"",FT!B108*100,"")</f>
        <v>51.1768</v>
      </c>
      <c r="H108" s="61">
        <f t="shared" si="9"/>
        <v>1</v>
      </c>
      <c r="I108" t="str">
        <f>IF(FT!B108&lt;&gt;"",FT!E108,"")</f>
        <v>2 [43.108498]</v>
      </c>
      <c r="J108">
        <f>IF(FT!B108&lt;&gt;"",FT!C108,"")</f>
        <v>43.108499999999999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2.4344700000000001</v>
      </c>
      <c r="G109" s="61">
        <f>IF(FT!B109&lt;&gt;"",FT!B109*100,"")</f>
        <v>50.736899999999999</v>
      </c>
      <c r="H109" s="61">
        <f t="shared" si="9"/>
        <v>1</v>
      </c>
      <c r="I109" t="str">
        <f>IF(FT!B109&lt;&gt;"",FT!E109,"")</f>
        <v>2 [43.511716]</v>
      </c>
      <c r="J109">
        <f>IF(FT!B109&lt;&gt;"",FT!C109,"")</f>
        <v>43.511699999999998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2.45017</v>
      </c>
      <c r="G110" s="61">
        <f>IF(FT!B110&lt;&gt;"",FT!B110*100,"")</f>
        <v>50.269699999999993</v>
      </c>
      <c r="H110" s="61">
        <f t="shared" si="9"/>
        <v>1</v>
      </c>
      <c r="I110" t="str">
        <f>IF(FT!B110&lt;&gt;"",FT!E110,"")</f>
        <v>2 [43.919756]</v>
      </c>
      <c r="J110">
        <f>IF(FT!B110&lt;&gt;"",FT!C110,"")</f>
        <v>43.919800000000002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33337</v>
      </c>
      <c r="D111" s="61">
        <f>FH!B111*1</f>
        <v>33337</v>
      </c>
      <c r="E111">
        <f t="shared" si="11"/>
        <v>109</v>
      </c>
      <c r="F111" s="61">
        <f>IF(FT!A111&lt;&gt;"",FT!A111*10,"")</f>
        <v>2.4704300000000003</v>
      </c>
      <c r="G111" s="61">
        <f>IF(FT!B111&lt;&gt;"",FT!B111*100,"")</f>
        <v>49.739800000000002</v>
      </c>
      <c r="H111" s="61">
        <f t="shared" si="9"/>
        <v>1</v>
      </c>
      <c r="I111" t="str">
        <f>IF(FT!B111&lt;&gt;"",FT!E111,"")</f>
        <v>2 [44.327729]</v>
      </c>
      <c r="J111">
        <f>IF(FT!B111&lt;&gt;"",FT!C111,"")</f>
        <v>44.3277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2.4914200000000002</v>
      </c>
      <c r="G112" s="61">
        <f>IF(FT!B112&lt;&gt;"",FT!B112*100,"")</f>
        <v>49.233399999999996</v>
      </c>
      <c r="H112" s="61">
        <f t="shared" si="9"/>
        <v>1</v>
      </c>
      <c r="I112" t="str">
        <f>IF(FT!B112&lt;&gt;"",FT!E112,"")</f>
        <v>2 [44.734493]</v>
      </c>
      <c r="J112">
        <f>IF(FT!B112&lt;&gt;"",FT!C112,"")</f>
        <v>44.734499999999997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29045</v>
      </c>
      <c r="D113" s="61">
        <f>FH!B113*1</f>
        <v>29045</v>
      </c>
      <c r="E113">
        <f t="shared" si="11"/>
        <v>111</v>
      </c>
      <c r="F113" s="61">
        <f>IF(FT!A113&lt;&gt;"",FT!A113*10,"")</f>
        <v>2.5146699999999997</v>
      </c>
      <c r="G113" s="61">
        <f>IF(FT!B113&lt;&gt;"",FT!B113*100,"")</f>
        <v>48.749199999999995</v>
      </c>
      <c r="H113" s="61">
        <f t="shared" si="9"/>
        <v>1</v>
      </c>
      <c r="I113" t="str">
        <f>IF(FT!B113&lt;&gt;"",FT!E113,"")</f>
        <v>2 [45.141404]</v>
      </c>
      <c r="J113">
        <f>IF(FT!B113&lt;&gt;"",FT!C113,"")</f>
        <v>45.141399999999997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2.5366300000000002</v>
      </c>
      <c r="G114" s="61">
        <f>IF(FT!B114&lt;&gt;"",FT!B114*100,"")</f>
        <v>48.364800000000002</v>
      </c>
      <c r="H114" s="61">
        <f t="shared" si="9"/>
        <v>1</v>
      </c>
      <c r="I114" t="str">
        <f>IF(FT!B114&lt;&gt;"",FT!E114,"")</f>
        <v>2 [45.546689]</v>
      </c>
      <c r="J114">
        <f>IF(FT!B114&lt;&gt;"",FT!C114,"")</f>
        <v>45.546700000000001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2.5548100000000002</v>
      </c>
      <c r="G115" s="61">
        <f>IF(FT!B115&lt;&gt;"",FT!B115*100,"")</f>
        <v>48.056100000000001</v>
      </c>
      <c r="H115" s="61">
        <f t="shared" si="9"/>
        <v>1</v>
      </c>
      <c r="I115" t="str">
        <f>IF(FT!B115&lt;&gt;"",FT!E115,"")</f>
        <v>2 [45.950802]</v>
      </c>
      <c r="J115">
        <f>IF(FT!B115&lt;&gt;"",FT!C115,"")</f>
        <v>45.950800000000001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30175</v>
      </c>
      <c r="D116" s="61">
        <f>FH!B116*1</f>
        <v>30175</v>
      </c>
      <c r="E116">
        <f t="shared" si="11"/>
        <v>114</v>
      </c>
      <c r="F116" s="61">
        <f>IF(FT!A116&lt;&gt;"",FT!A116*10,"")</f>
        <v>2.5712299999999999</v>
      </c>
      <c r="G116" s="61">
        <f>IF(FT!B116&lt;&gt;"",FT!B116*100,"")</f>
        <v>47.714800000000004</v>
      </c>
      <c r="H116" s="61">
        <f t="shared" si="9"/>
        <v>1</v>
      </c>
      <c r="I116" t="str">
        <f>IF(FT!B116&lt;&gt;"",FT!E116,"")</f>
        <v>2 [46.356349]</v>
      </c>
      <c r="J116">
        <f>IF(FT!B116&lt;&gt;"",FT!C116,"")</f>
        <v>46.356299999999997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2.5884800000000001</v>
      </c>
      <c r="G117" s="61">
        <f>IF(FT!B117&lt;&gt;"",FT!B117*100,"")</f>
        <v>47.3673</v>
      </c>
      <c r="H117" s="61">
        <f t="shared" si="9"/>
        <v>1</v>
      </c>
      <c r="I117" t="str">
        <f>IF(FT!B117&lt;&gt;"",FT!E117,"")</f>
        <v>2 [46.764643]</v>
      </c>
      <c r="J117">
        <f>IF(FT!B117&lt;&gt;"",FT!C117,"")</f>
        <v>46.764600000000002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25738</v>
      </c>
      <c r="D118" s="61">
        <f>FH!B118*1</f>
        <v>25738</v>
      </c>
      <c r="E118">
        <f t="shared" si="11"/>
        <v>116</v>
      </c>
      <c r="F118" s="61">
        <f>IF(FT!A118&lt;&gt;"",FT!A118*10,"")</f>
        <v>2.6055099999999998</v>
      </c>
      <c r="G118" s="61">
        <f>IF(FT!B118&lt;&gt;"",FT!B118*100,"")</f>
        <v>47.0625</v>
      </c>
      <c r="H118" s="61">
        <f t="shared" si="9"/>
        <v>1</v>
      </c>
      <c r="I118" t="str">
        <f>IF(FT!B118&lt;&gt;"",FT!E118,"")</f>
        <v>2 [47.169841]</v>
      </c>
      <c r="J118">
        <f>IF(FT!B118&lt;&gt;"",FT!C118,"")</f>
        <v>47.169800000000002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2.6233</v>
      </c>
      <c r="G119" s="61">
        <f>IF(FT!B119&lt;&gt;"",FT!B119*100,"")</f>
        <v>46.787800000000004</v>
      </c>
      <c r="H119" s="61">
        <f t="shared" si="9"/>
        <v>1</v>
      </c>
      <c r="I119" t="str">
        <f>IF(FT!B119&lt;&gt;"",FT!E119,"")</f>
        <v>2 [47.575042]</v>
      </c>
      <c r="J119">
        <f>IF(FT!B119&lt;&gt;"",FT!C119,"")</f>
        <v>47.575000000000003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2.6418699999999999</v>
      </c>
      <c r="G120" s="61">
        <f>IF(FT!B120&lt;&gt;"",FT!B120*100,"")</f>
        <v>46.506799999999998</v>
      </c>
      <c r="H120" s="61">
        <f t="shared" si="9"/>
        <v>1</v>
      </c>
      <c r="I120" t="str">
        <f>IF(FT!B120&lt;&gt;"",FT!E120,"")</f>
        <v>2 [47.980796]</v>
      </c>
      <c r="J120">
        <f>IF(FT!B120&lt;&gt;"",FT!C120,"")</f>
        <v>47.980800000000002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23366</v>
      </c>
      <c r="D121" s="61">
        <f>FH!B121*1</f>
        <v>23366</v>
      </c>
      <c r="E121">
        <f t="shared" si="11"/>
        <v>119</v>
      </c>
      <c r="F121" s="61">
        <f>IF(FT!A121&lt;&gt;"",FT!A121*10,"")</f>
        <v>2.6618199999999996</v>
      </c>
      <c r="G121" s="61">
        <f>IF(FT!B121&lt;&gt;"",FT!B121*100,"")</f>
        <v>46.17</v>
      </c>
      <c r="H121" s="61">
        <f t="shared" si="9"/>
        <v>1</v>
      </c>
      <c r="I121" t="str">
        <f>IF(FT!B121&lt;&gt;"",FT!E121,"")</f>
        <v>2 [48.388020]</v>
      </c>
      <c r="J121">
        <f>IF(FT!B121&lt;&gt;"",FT!C121,"")</f>
        <v>48.387999999999998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2.68147</v>
      </c>
      <c r="G122" s="61">
        <f>IF(FT!B122&lt;&gt;"",FT!B122*100,"")</f>
        <v>45.817600000000006</v>
      </c>
      <c r="H122" s="61">
        <f t="shared" si="9"/>
        <v>1</v>
      </c>
      <c r="I122" t="str">
        <f>IF(FT!B122&lt;&gt;"",FT!E122,"")</f>
        <v>2 [48.795415]</v>
      </c>
      <c r="J122">
        <f>IF(FT!B122&lt;&gt;"",FT!C122,"")</f>
        <v>48.795400000000001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2.7036300000000004</v>
      </c>
      <c r="G123" s="61">
        <f>IF(FT!B123&lt;&gt;"",FT!B123*100,"")</f>
        <v>45.393799999999999</v>
      </c>
      <c r="H123" s="61">
        <f t="shared" si="9"/>
        <v>1</v>
      </c>
      <c r="I123" t="str">
        <f>IF(FT!B123&lt;&gt;"",FT!E123,"")</f>
        <v>2 [49.203471]</v>
      </c>
      <c r="J123">
        <f>IF(FT!B123&lt;&gt;"",FT!C123,"")</f>
        <v>49.203499999999998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16657</v>
      </c>
      <c r="D124" s="61">
        <f>FH!B124*1</f>
        <v>16657</v>
      </c>
      <c r="E124">
        <f t="shared" si="11"/>
        <v>122</v>
      </c>
      <c r="F124" s="61">
        <f>IF(FT!A124&lt;&gt;"",FT!A124*10,"")</f>
        <v>2.7245499999999998</v>
      </c>
      <c r="G124" s="61">
        <f>IF(FT!B124&lt;&gt;"",FT!B124*100,"")</f>
        <v>44.930199999999999</v>
      </c>
      <c r="H124" s="61">
        <f t="shared" si="9"/>
        <v>1</v>
      </c>
      <c r="I124" t="str">
        <f>IF(FT!B124&lt;&gt;"",FT!E124,"")</f>
        <v>2 [49.607907]</v>
      </c>
      <c r="J124">
        <f>IF(FT!B124&lt;&gt;"",FT!C124,"")</f>
        <v>49.607900000000001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2.7434599999999998</v>
      </c>
      <c r="G125" s="61">
        <f>IF(FT!B125&lt;&gt;"",FT!B125*100,"")</f>
        <v>44.5809</v>
      </c>
      <c r="H125" s="61">
        <f t="shared" si="9"/>
        <v>1</v>
      </c>
      <c r="I125" t="str">
        <f>IF(FT!B125&lt;&gt;"",FT!E125,"")</f>
        <v>2 [50.012468]</v>
      </c>
      <c r="J125">
        <f>IF(FT!B125&lt;&gt;"",FT!C125,"")</f>
        <v>50.012500000000003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17523</v>
      </c>
      <c r="D126" s="61">
        <f>FH!B126*1</f>
        <v>17523</v>
      </c>
      <c r="E126">
        <f t="shared" si="11"/>
        <v>124</v>
      </c>
      <c r="F126" s="61">
        <f>IF(FT!A126&lt;&gt;"",FT!A126*10,"")</f>
        <v>2.7513300000000003</v>
      </c>
      <c r="G126" s="61">
        <f>IF(FT!B126&lt;&gt;"",FT!B126*100,"")</f>
        <v>44.425699999999999</v>
      </c>
      <c r="H126" s="61">
        <f t="shared" si="9"/>
        <v>1</v>
      </c>
      <c r="I126" t="str">
        <f>IF(FT!B126&lt;&gt;"",FT!E126,"")</f>
        <v>2 [50.421884]</v>
      </c>
      <c r="J126">
        <f>IF(FT!B126&lt;&gt;"",FT!C126,"")</f>
        <v>50.421900000000001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2.7584799999999996</v>
      </c>
      <c r="G127" s="61">
        <f>IF(FT!B127&lt;&gt;"",FT!B127*100,"")</f>
        <v>44.2547</v>
      </c>
      <c r="H127" s="61">
        <f t="shared" si="9"/>
        <v>1</v>
      </c>
      <c r="I127" t="str">
        <f>IF(FT!B127&lt;&gt;"",FT!E127,"")</f>
        <v>2 [50.828590]</v>
      </c>
      <c r="J127">
        <f>IF(FT!B127&lt;&gt;"",FT!C127,"")</f>
        <v>50.828600000000002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2.7670699999999999</v>
      </c>
      <c r="G128" s="61">
        <f>IF(FT!B128&lt;&gt;"",FT!B128*100,"")</f>
        <v>44.0762</v>
      </c>
      <c r="H128" s="61">
        <f t="shared" si="9"/>
        <v>1</v>
      </c>
      <c r="I128" t="str">
        <f>IF(FT!B128&lt;&gt;"",FT!E128,"")</f>
        <v>2 [51.230649]</v>
      </c>
      <c r="J128">
        <f>IF(FT!B128&lt;&gt;"",FT!C128,"")</f>
        <v>51.230600000000003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17695</v>
      </c>
      <c r="D129" s="61">
        <f>FH!B129*1</f>
        <v>17695</v>
      </c>
      <c r="E129">
        <f t="shared" si="11"/>
        <v>127</v>
      </c>
      <c r="F129" s="61">
        <f>IF(FT!A129&lt;&gt;"",FT!A129*10,"")</f>
        <v>2.7780700000000005</v>
      </c>
      <c r="G129" s="61">
        <f>IF(FT!B129&lt;&gt;"",FT!B129*100,"")</f>
        <v>43.872</v>
      </c>
      <c r="H129" s="61">
        <f t="shared" si="9"/>
        <v>1</v>
      </c>
      <c r="I129" t="str">
        <f>IF(FT!B129&lt;&gt;"",FT!E129,"")</f>
        <v>2 [51.647703]</v>
      </c>
      <c r="J129">
        <f>IF(FT!B129&lt;&gt;"",FT!C129,"")</f>
        <v>51.6477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2.7866600000000004</v>
      </c>
      <c r="G130" s="61">
        <f>IF(FT!B130&lt;&gt;"",FT!B130*100,"")</f>
        <v>43.623800000000003</v>
      </c>
      <c r="H130" s="61">
        <f t="shared" si="9"/>
        <v>1</v>
      </c>
      <c r="I130" t="str">
        <f>IF(FT!B130&lt;&gt;"",FT!E130,"")</f>
        <v>2 [52.044400]</v>
      </c>
      <c r="J130">
        <f>IF(FT!B130&lt;&gt;"",FT!C130,"")</f>
        <v>52.044400000000003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15391</v>
      </c>
      <c r="D131" s="61">
        <f>FH!B131*1</f>
        <v>15391</v>
      </c>
      <c r="E131">
        <f t="shared" si="11"/>
        <v>129</v>
      </c>
      <c r="F131" s="61">
        <f>IF(FT!A131&lt;&gt;"",FT!A131*10,"")</f>
        <v>2.7929500000000003</v>
      </c>
      <c r="G131" s="61">
        <f>IF(FT!B131&lt;&gt;"",FT!B131*100,"")</f>
        <v>43.388599999999997</v>
      </c>
      <c r="H131" s="61">
        <f t="shared" ref="H131:H194" si="13">(IF(F131&lt;&gt;"",1,""))</f>
        <v>1</v>
      </c>
      <c r="I131" t="str">
        <f>IF(FT!B131&lt;&gt;"",FT!E131,"")</f>
        <v>2 [52.454748]</v>
      </c>
      <c r="J131">
        <f>IF(FT!B131&lt;&gt;"",FT!C131,"")</f>
        <v>52.454700000000003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2.7979900000000004</v>
      </c>
      <c r="G132" s="61">
        <f>IF(FT!B132&lt;&gt;"",FT!B132*100,"")</f>
        <v>43.150300000000001</v>
      </c>
      <c r="H132" s="61">
        <f t="shared" si="13"/>
        <v>1</v>
      </c>
      <c r="I132" t="str">
        <f>IF(FT!B132&lt;&gt;"",FT!E132,"")</f>
        <v>2 [52.857371]</v>
      </c>
      <c r="J132">
        <f>IF(FT!B132&lt;&gt;"",FT!C132,"")</f>
        <v>52.857399999999998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2.8046199999999999</v>
      </c>
      <c r="G133" s="61">
        <f>IF(FT!B133&lt;&gt;"",FT!B133*100,"")</f>
        <v>42.964599999999997</v>
      </c>
      <c r="H133" s="61">
        <f t="shared" si="13"/>
        <v>1</v>
      </c>
      <c r="I133" t="str">
        <f>IF(FT!B133&lt;&gt;"",FT!E133,"")</f>
        <v>2 [53.262727]</v>
      </c>
      <c r="J133">
        <f>IF(FT!B133&lt;&gt;"",FT!C133,"")</f>
        <v>53.262700000000002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18228</v>
      </c>
      <c r="D134" s="61">
        <f>FH!B134*1</f>
        <v>18228</v>
      </c>
      <c r="E134">
        <f t="shared" si="15"/>
        <v>132</v>
      </c>
      <c r="F134" s="61">
        <f>IF(FT!A134&lt;&gt;"",FT!A134*10,"")</f>
        <v>2.8135700000000003</v>
      </c>
      <c r="G134" s="61">
        <f>IF(FT!B134&lt;&gt;"",FT!B134*100,"")</f>
        <v>42.767699999999998</v>
      </c>
      <c r="H134" s="61">
        <f t="shared" si="13"/>
        <v>1</v>
      </c>
      <c r="I134" t="str">
        <f>IF(FT!B134&lt;&gt;"",FT!E134,"")</f>
        <v>2 [53.668435]</v>
      </c>
      <c r="J134">
        <f>IF(FT!B134&lt;&gt;"",FT!C134,"")</f>
        <v>53.668399999999998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2.8212900000000003</v>
      </c>
      <c r="G135" s="61">
        <f>IF(FT!B135&lt;&gt;"",FT!B135*100,"")</f>
        <v>42.582099999999997</v>
      </c>
      <c r="H135" s="61">
        <f t="shared" si="13"/>
        <v>1</v>
      </c>
      <c r="I135" t="str">
        <f>IF(FT!B135&lt;&gt;"",FT!E135,"")</f>
        <v>2 [54.077796]</v>
      </c>
      <c r="J135">
        <f>IF(FT!B135&lt;&gt;"",FT!C135,"")</f>
        <v>54.077800000000003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15356</v>
      </c>
      <c r="D136" s="61">
        <f>FH!B136*1</f>
        <v>15356</v>
      </c>
      <c r="E136">
        <f t="shared" si="15"/>
        <v>134</v>
      </c>
      <c r="F136" s="61">
        <f>IF(FT!A136&lt;&gt;"",FT!A136*10,"")</f>
        <v>2.8237399999999999</v>
      </c>
      <c r="G136" s="61">
        <f>IF(FT!B136&lt;&gt;"",FT!B136*100,"")</f>
        <v>42.446400000000004</v>
      </c>
      <c r="H136" s="61">
        <f t="shared" si="13"/>
        <v>1</v>
      </c>
      <c r="I136" t="str">
        <f>IF(FT!B136&lt;&gt;"",FT!E136,"")</f>
        <v>2 [54.482817]</v>
      </c>
      <c r="J136">
        <f>IF(FT!B136&lt;&gt;"",FT!C136,"")</f>
        <v>54.482799999999997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2.82626</v>
      </c>
      <c r="G137" s="61">
        <f>IF(FT!B137&lt;&gt;"",FT!B137*100,"")</f>
        <v>42.289200000000001</v>
      </c>
      <c r="H137" s="61">
        <f t="shared" si="13"/>
        <v>1</v>
      </c>
      <c r="I137" t="str">
        <f>IF(FT!B137&lt;&gt;"",FT!E137,"")</f>
        <v>2 [54.887176]</v>
      </c>
      <c r="J137">
        <f>IF(FT!B137&lt;&gt;"",FT!C137,"")</f>
        <v>54.8872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2.82646</v>
      </c>
      <c r="G138" s="61">
        <f>IF(FT!B138&lt;&gt;"",FT!B138*100,"")</f>
        <v>42.112000000000002</v>
      </c>
      <c r="H138" s="61">
        <f t="shared" si="13"/>
        <v>1</v>
      </c>
      <c r="I138" t="str">
        <f>IF(FT!B138&lt;&gt;"",FT!E138,"")</f>
        <v>2 [55.292534]</v>
      </c>
      <c r="J138">
        <f>IF(FT!B138&lt;&gt;"",FT!C138,"")</f>
        <v>55.292499999999997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16595</v>
      </c>
      <c r="D139" s="61">
        <f>FH!B139*1</f>
        <v>16595</v>
      </c>
      <c r="E139">
        <f t="shared" si="15"/>
        <v>137</v>
      </c>
      <c r="F139" s="61">
        <f>IF(FT!A139&lt;&gt;"",FT!A139*10,"")</f>
        <v>2.8300599999999996</v>
      </c>
      <c r="G139" s="61">
        <f>IF(FT!B139&lt;&gt;"",FT!B139*100,"")</f>
        <v>41.856700000000004</v>
      </c>
      <c r="H139" s="61">
        <f t="shared" si="13"/>
        <v>1</v>
      </c>
      <c r="I139" t="str">
        <f>IF(FT!B139&lt;&gt;"",FT!E139,"")</f>
        <v>2 [55.700251]</v>
      </c>
      <c r="J139">
        <f>IF(FT!B139&lt;&gt;"",FT!C139,"")</f>
        <v>55.700299999999999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2.8414699999999997</v>
      </c>
      <c r="G140" s="61">
        <f>IF(FT!B140&lt;&gt;"",FT!B140*100,"")</f>
        <v>41.580800000000004</v>
      </c>
      <c r="H140" s="61">
        <f t="shared" si="13"/>
        <v>1</v>
      </c>
      <c r="I140" t="str">
        <f>IF(FT!B140&lt;&gt;"",FT!E140,"")</f>
        <v>2 [56.108683]</v>
      </c>
      <c r="J140">
        <f>IF(FT!B140&lt;&gt;"",FT!C140,"")</f>
        <v>56.108699999999999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2.8595600000000001</v>
      </c>
      <c r="G141" s="61">
        <f>IF(FT!B141&lt;&gt;"",FT!B141*100,"")</f>
        <v>41.453899999999997</v>
      </c>
      <c r="H141" s="61">
        <f t="shared" si="13"/>
        <v>1</v>
      </c>
      <c r="I141" t="str">
        <f>IF(FT!B141&lt;&gt;"",FT!E141,"")</f>
        <v>2 [56.513860]</v>
      </c>
      <c r="J141">
        <f>IF(FT!B141&lt;&gt;"",FT!C141,"")</f>
        <v>56.5139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15139</v>
      </c>
      <c r="D142" s="61">
        <f>FH!B142*1</f>
        <v>15139</v>
      </c>
      <c r="E142">
        <f t="shared" si="15"/>
        <v>140</v>
      </c>
      <c r="F142" s="61">
        <f>IF(FT!A142&lt;&gt;"",FT!A142*10,"")</f>
        <v>2.8745500000000002</v>
      </c>
      <c r="G142" s="61">
        <f>IF(FT!B142&lt;&gt;"",FT!B142*100,"")</f>
        <v>41.402000000000001</v>
      </c>
      <c r="H142" s="61">
        <f t="shared" si="13"/>
        <v>1</v>
      </c>
      <c r="I142" t="str">
        <f>IF(FT!B142&lt;&gt;"",FT!E142,"")</f>
        <v>2 [56.917528]</v>
      </c>
      <c r="J142">
        <f>IF(FT!B142&lt;&gt;"",FT!C142,"")</f>
        <v>56.917499999999997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2.8887099999999997</v>
      </c>
      <c r="G143" s="61">
        <f>IF(FT!B143&lt;&gt;"",FT!B143*100,"")</f>
        <v>41.305599999999998</v>
      </c>
      <c r="H143" s="61">
        <f t="shared" si="13"/>
        <v>1</v>
      </c>
      <c r="I143" t="str">
        <f>IF(FT!B143&lt;&gt;"",FT!E143,"")</f>
        <v>2 [57.324477]</v>
      </c>
      <c r="J143">
        <f>IF(FT!B143&lt;&gt;"",FT!C143,"")</f>
        <v>57.3245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15729</v>
      </c>
      <c r="D144" s="61">
        <f>FH!B144*1</f>
        <v>15729</v>
      </c>
      <c r="E144">
        <f t="shared" si="15"/>
        <v>142</v>
      </c>
      <c r="F144" s="61">
        <f>IF(FT!A144&lt;&gt;"",FT!A144*10,"")</f>
        <v>2.9069699999999998</v>
      </c>
      <c r="G144" s="61">
        <f>IF(FT!B144&lt;&gt;"",FT!B144*100,"")</f>
        <v>41.070499999999996</v>
      </c>
      <c r="H144" s="61">
        <f t="shared" si="13"/>
        <v>1</v>
      </c>
      <c r="I144" t="str">
        <f>IF(FT!B144&lt;&gt;"",FT!E144,"")</f>
        <v>2 [57.734026]</v>
      </c>
      <c r="J144">
        <f>IF(FT!B144&lt;&gt;"",FT!C144,"")</f>
        <v>57.734000000000002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2.9304100000000002</v>
      </c>
      <c r="G145" s="61">
        <f>IF(FT!B145&lt;&gt;"",FT!B145*100,"")</f>
        <v>40.784999999999997</v>
      </c>
      <c r="H145" s="61">
        <f t="shared" si="13"/>
        <v>1</v>
      </c>
      <c r="I145" t="str">
        <f>IF(FT!B145&lt;&gt;"",FT!E145,"")</f>
        <v>2 [58.142927]</v>
      </c>
      <c r="J145">
        <f>IF(FT!B145&lt;&gt;"",FT!C145,"")</f>
        <v>58.142899999999997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2.9539800000000001</v>
      </c>
      <c r="G146" s="61">
        <f>IF(FT!B146&lt;&gt;"",FT!B146*100,"")</f>
        <v>40.613100000000003</v>
      </c>
      <c r="H146" s="61">
        <f t="shared" si="13"/>
        <v>1</v>
      </c>
      <c r="I146" t="str">
        <f>IF(FT!B146&lt;&gt;"",FT!E146,"")</f>
        <v>2 [58.546222]</v>
      </c>
      <c r="J146">
        <f>IF(FT!B146&lt;&gt;"",FT!C146,"")</f>
        <v>58.546199999999999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11408</v>
      </c>
      <c r="D147" s="61">
        <f>FH!B147*1</f>
        <v>11408</v>
      </c>
      <c r="E147">
        <f t="shared" si="15"/>
        <v>145</v>
      </c>
      <c r="F147" s="61">
        <f>IF(FT!A147&lt;&gt;"",FT!A147*10,"")</f>
        <v>2.9847600000000001</v>
      </c>
      <c r="G147" s="61">
        <f>IF(FT!B147&lt;&gt;"",FT!B147*100,"")</f>
        <v>40.485100000000003</v>
      </c>
      <c r="H147" s="61">
        <f t="shared" si="13"/>
        <v>1</v>
      </c>
      <c r="I147" t="str">
        <f>IF(FT!B147&lt;&gt;"",FT!E147,"")</f>
        <v>2 [58.950833]</v>
      </c>
      <c r="J147">
        <f>IF(FT!B147&lt;&gt;"",FT!C147,"")</f>
        <v>58.950800000000001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2.99831</v>
      </c>
      <c r="G148" s="61">
        <f>IF(FT!B148&lt;&gt;"",FT!B148*100,"")</f>
        <v>40.7515</v>
      </c>
      <c r="H148" s="61">
        <f t="shared" si="13"/>
        <v>1</v>
      </c>
      <c r="I148" t="str">
        <f>IF(FT!B148&lt;&gt;"",FT!E148,"")</f>
        <v>2 [59.355534]</v>
      </c>
      <c r="J148">
        <f>IF(FT!B148&lt;&gt;"",FT!C148,"")</f>
        <v>59.355499999999999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10440</v>
      </c>
      <c r="D149" s="61">
        <f>FH!B149*1</f>
        <v>10440</v>
      </c>
      <c r="E149">
        <f t="shared" si="15"/>
        <v>147</v>
      </c>
      <c r="F149" s="61">
        <f>IF(FT!A149&lt;&gt;"",FT!A149*10,"")</f>
        <v>2.9897600000000004</v>
      </c>
      <c r="G149" s="61">
        <f>IF(FT!B149&lt;&gt;"",FT!B149*100,"")</f>
        <v>41.589700000000001</v>
      </c>
      <c r="H149" s="61">
        <f t="shared" si="13"/>
        <v>1</v>
      </c>
      <c r="I149" t="str">
        <f>IF(FT!B149&lt;&gt;"",FT!E149,"")</f>
        <v>2 [59.765903]</v>
      </c>
      <c r="J149">
        <f>IF(FT!B149&lt;&gt;"",FT!C149,"")</f>
        <v>59.765900000000002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8232</v>
      </c>
      <c r="D152" s="61">
        <f>FH!B152*1</f>
        <v>8232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7984</v>
      </c>
      <c r="D154" s="61">
        <f>FH!B154*1</f>
        <v>7984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5214</v>
      </c>
      <c r="D157" s="61">
        <f>FH!B157*1</f>
        <v>5214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5925</v>
      </c>
      <c r="D160" s="61">
        <f>FH!B160*1</f>
        <v>5925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4417</v>
      </c>
      <c r="D162" s="61">
        <f>FH!B162*1</f>
        <v>4417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1722</v>
      </c>
      <c r="D165" s="61">
        <f>FH!B165*1</f>
        <v>1722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1176</v>
      </c>
      <c r="D167" s="61">
        <f>FH!B167*1</f>
        <v>1176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409</v>
      </c>
      <c r="D170" s="61">
        <f>FH!B170*1</f>
        <v>409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92</v>
      </c>
      <c r="D173" s="61">
        <f>FH!B173*1</f>
        <v>92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139</v>
      </c>
      <c r="D175" s="61">
        <f>FH!B175*1</f>
        <v>139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33.273099999999999</v>
      </c>
      <c r="C5" s="66">
        <v>8.7170100000000001</v>
      </c>
      <c r="D5" s="66">
        <v>26.198399999999999</v>
      </c>
      <c r="E5" s="66">
        <v>20</v>
      </c>
      <c r="F5" s="66">
        <v>8.2564200000000003</v>
      </c>
      <c r="G5" s="66">
        <v>50</v>
      </c>
      <c r="H5" s="66">
        <v>45.5092</v>
      </c>
    </row>
    <row r="6" spans="1:8">
      <c r="A6" s="58" t="s">
        <v>303</v>
      </c>
      <c r="B6" s="66">
        <v>25.334199999999999</v>
      </c>
      <c r="C6" s="66">
        <v>1.8964099999999999</v>
      </c>
      <c r="D6" s="66">
        <v>7.4855799999999997</v>
      </c>
      <c r="E6" s="66">
        <v>20</v>
      </c>
      <c r="F6" s="66">
        <v>22.0381</v>
      </c>
      <c r="G6" s="66">
        <v>40</v>
      </c>
      <c r="H6" s="66">
        <v>32.685099999999998</v>
      </c>
    </row>
    <row r="7" spans="1:8">
      <c r="A7" s="58" t="s">
        <v>304</v>
      </c>
      <c r="B7" s="66">
        <v>33.588999999999999</v>
      </c>
      <c r="C7" s="66">
        <v>9.6455699999999993</v>
      </c>
      <c r="D7" s="66">
        <v>28.7165</v>
      </c>
      <c r="E7" s="66">
        <v>15</v>
      </c>
      <c r="F7" s="66">
        <v>2.5480499999999999</v>
      </c>
      <c r="G7" s="66">
        <v>40</v>
      </c>
      <c r="H7" s="66">
        <v>50.180100000000003</v>
      </c>
    </row>
    <row r="8" spans="1:8">
      <c r="A8" s="58" t="s">
        <v>305</v>
      </c>
      <c r="B8" s="66">
        <v>29.2499</v>
      </c>
      <c r="C8" s="66">
        <v>3.1169199999999999</v>
      </c>
      <c r="D8" s="66">
        <v>10.6562</v>
      </c>
      <c r="E8" s="66">
        <v>20</v>
      </c>
      <c r="F8" s="66">
        <v>23.414899999999999</v>
      </c>
      <c r="G8" s="66">
        <v>50</v>
      </c>
      <c r="H8" s="66">
        <v>37.078699999999998</v>
      </c>
    </row>
    <row r="9" spans="1:8">
      <c r="A9" s="58" t="s">
        <v>306</v>
      </c>
      <c r="B9" s="66">
        <v>62.261499999999998</v>
      </c>
      <c r="C9" s="66">
        <v>7.4020099999999998</v>
      </c>
      <c r="D9" s="66">
        <v>11.8886</v>
      </c>
      <c r="E9" s="66">
        <v>50</v>
      </c>
      <c r="F9" s="66">
        <v>45.867400000000004</v>
      </c>
      <c r="G9" s="66">
        <v>100</v>
      </c>
      <c r="H9" s="66">
        <v>85.475300000000004</v>
      </c>
    </row>
    <row r="10" spans="1:8">
      <c r="A10" s="58" t="s">
        <v>307</v>
      </c>
      <c r="B10" s="66">
        <v>77.490799999999993</v>
      </c>
      <c r="C10" s="66">
        <v>3.0396200000000002</v>
      </c>
      <c r="D10" s="66">
        <v>3.9225599999999998</v>
      </c>
      <c r="E10" s="66">
        <v>40</v>
      </c>
      <c r="F10" s="66">
        <v>69.887</v>
      </c>
      <c r="G10" s="66">
        <v>100</v>
      </c>
      <c r="H10" s="66">
        <v>85.116299999999995</v>
      </c>
    </row>
    <row r="11" spans="1:8">
      <c r="A11" s="58" t="s">
        <v>308</v>
      </c>
      <c r="B11" s="66">
        <v>15.726000000000001</v>
      </c>
      <c r="C11" s="66">
        <v>3.5162200000000001</v>
      </c>
      <c r="D11" s="66">
        <v>22.359200000000001</v>
      </c>
      <c r="E11" s="66">
        <v>10</v>
      </c>
      <c r="F11" s="66">
        <v>4.2561200000000001</v>
      </c>
      <c r="G11" s="66">
        <v>50</v>
      </c>
      <c r="H11" s="66">
        <v>19.750299999999999</v>
      </c>
    </row>
    <row r="12" spans="1:8">
      <c r="A12" s="58" t="s">
        <v>309</v>
      </c>
      <c r="B12" s="66">
        <v>70.907799999999995</v>
      </c>
      <c r="C12" s="66">
        <v>4.27555</v>
      </c>
      <c r="D12" s="66">
        <v>6.0297299999999998</v>
      </c>
      <c r="E12" s="66">
        <v>50</v>
      </c>
      <c r="F12" s="66">
        <v>61.057400000000001</v>
      </c>
      <c r="G12" s="66">
        <v>100</v>
      </c>
      <c r="H12" s="66">
        <v>84.003200000000007</v>
      </c>
    </row>
    <row r="13" spans="1:8">
      <c r="A13" s="58" t="s">
        <v>310</v>
      </c>
      <c r="B13" s="66">
        <v>17.584099999999999</v>
      </c>
      <c r="C13" s="66">
        <v>3.1459899999999998</v>
      </c>
      <c r="D13" s="66">
        <v>17.890999999999998</v>
      </c>
      <c r="E13" s="66">
        <v>10</v>
      </c>
      <c r="F13" s="66">
        <v>13.222</v>
      </c>
      <c r="G13" s="66">
        <v>25</v>
      </c>
      <c r="H13" s="66">
        <v>30.192599999999999</v>
      </c>
    </row>
    <row r="14" spans="1:8">
      <c r="A14" s="58" t="s">
        <v>311</v>
      </c>
      <c r="B14" s="66">
        <v>31.459900000000001</v>
      </c>
      <c r="C14" s="66">
        <v>13.0533</v>
      </c>
      <c r="D14" s="66">
        <v>41.491799999999998</v>
      </c>
      <c r="E14" s="66">
        <v>10</v>
      </c>
      <c r="F14" s="66">
        <v>1.1362099999999999</v>
      </c>
      <c r="G14" s="66">
        <v>50</v>
      </c>
      <c r="H14" s="66">
        <v>48.073399999999999</v>
      </c>
    </row>
    <row r="15" spans="1:8">
      <c r="A15" s="58" t="s">
        <v>312</v>
      </c>
      <c r="B15" s="66">
        <v>3.9852100000000001E-2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5.4481700000000001E-2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17.664000000000001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0.520841</v>
      </c>
      <c r="C18" s="66">
        <v>4.9491599999999997E-2</v>
      </c>
      <c r="D18" s="66">
        <v>9.5022599999999999E-2</v>
      </c>
      <c r="E18" s="66">
        <v>0</v>
      </c>
      <c r="F18" s="66">
        <v>0.47134900000000002</v>
      </c>
      <c r="G18" s="66">
        <v>0</v>
      </c>
      <c r="H18" s="66">
        <v>0.57033299999999998</v>
      </c>
    </row>
    <row r="19" spans="1:8">
      <c r="A19" s="58" t="s">
        <v>316</v>
      </c>
      <c r="B19" s="66">
        <v>0.76500199999999996</v>
      </c>
      <c r="C19" s="66">
        <v>8.3037700000000006E-2</v>
      </c>
      <c r="D19" s="66">
        <v>0.108546</v>
      </c>
      <c r="E19" s="66">
        <v>0</v>
      </c>
      <c r="F19" s="66">
        <v>0.68196400000000001</v>
      </c>
      <c r="G19" s="66">
        <v>0</v>
      </c>
      <c r="H19" s="66">
        <v>0.84803899999999999</v>
      </c>
    </row>
    <row r="20" spans="1:8">
      <c r="A20" s="58" t="s">
        <v>317</v>
      </c>
      <c r="B20" s="66">
        <v>5.7156500000000001E-4</v>
      </c>
      <c r="C20" s="66">
        <v>5.05969E-2</v>
      </c>
      <c r="D20" s="66">
        <v>88.523399999999995</v>
      </c>
      <c r="E20" s="66">
        <v>0</v>
      </c>
      <c r="F20" s="66">
        <v>0</v>
      </c>
      <c r="G20" s="66">
        <v>0</v>
      </c>
      <c r="H20" s="66">
        <v>0.50700699999999999</v>
      </c>
    </row>
    <row r="21" spans="1:8">
      <c r="A21" s="58" t="s">
        <v>318</v>
      </c>
      <c r="B21" s="66">
        <v>7.7597899999999997E-2</v>
      </c>
      <c r="C21" s="66">
        <v>0.628826</v>
      </c>
      <c r="D21" s="66">
        <v>8.10365</v>
      </c>
      <c r="E21" s="66">
        <v>0</v>
      </c>
      <c r="F21" s="196">
        <v>7.1423100000000004E-5</v>
      </c>
      <c r="G21" s="66">
        <v>0</v>
      </c>
      <c r="H21" s="66">
        <v>4.98224</v>
      </c>
    </row>
    <row r="22" spans="1:8">
      <c r="A22" s="58" t="s">
        <v>319</v>
      </c>
      <c r="B22" s="66">
        <v>37.993099999999998</v>
      </c>
      <c r="C22" s="66">
        <v>13.151999999999999</v>
      </c>
      <c r="D22" s="66">
        <v>0.346169</v>
      </c>
      <c r="E22" s="66">
        <v>0</v>
      </c>
      <c r="F22" s="66">
        <v>16.258299999999998</v>
      </c>
      <c r="G22" s="66">
        <v>0</v>
      </c>
      <c r="H22" s="66">
        <v>93.078000000000003</v>
      </c>
    </row>
    <row r="23" spans="1:8">
      <c r="A23" s="58" t="s">
        <v>320</v>
      </c>
      <c r="B23" s="66">
        <v>14.6778</v>
      </c>
      <c r="C23" s="66">
        <v>3.0872999999999999</v>
      </c>
      <c r="D23" s="66">
        <v>0.210338</v>
      </c>
      <c r="E23" s="66">
        <v>0</v>
      </c>
      <c r="F23" s="66">
        <v>4.8161500000000004</v>
      </c>
      <c r="G23" s="66">
        <v>0</v>
      </c>
      <c r="H23" s="66">
        <v>19.137799999999999</v>
      </c>
    </row>
    <row r="24" spans="1:8">
      <c r="A24" s="58" t="s">
        <v>321</v>
      </c>
      <c r="B24" s="66">
        <v>2.1584899999999999E-3</v>
      </c>
      <c r="C24" s="66">
        <v>4.4572399999999998E-2</v>
      </c>
      <c r="D24" s="66">
        <v>20.649799999999999</v>
      </c>
      <c r="E24" s="66">
        <v>0</v>
      </c>
      <c r="F24" s="196">
        <v>2.4998500000000001E-5</v>
      </c>
      <c r="G24" s="66">
        <v>0</v>
      </c>
      <c r="H24" s="66">
        <v>0.471275</v>
      </c>
    </row>
    <row r="25" spans="1:8">
      <c r="A25" s="58" t="s">
        <v>322</v>
      </c>
      <c r="B25" s="66">
        <v>0.111501</v>
      </c>
      <c r="C25" s="66">
        <v>0.42760799999999999</v>
      </c>
      <c r="D25" s="66">
        <v>3.83501</v>
      </c>
      <c r="E25" s="66">
        <v>0</v>
      </c>
      <c r="F25" s="66">
        <v>1.39074E-2</v>
      </c>
      <c r="G25" s="66">
        <v>0</v>
      </c>
      <c r="H25" s="66">
        <v>1.9483200000000001</v>
      </c>
    </row>
    <row r="26" spans="1:8">
      <c r="A26" s="58" t="s">
        <v>323</v>
      </c>
      <c r="B26" s="66">
        <v>1.8710600000000001E-4</v>
      </c>
      <c r="C26" s="66">
        <v>5.6334100000000002E-3</v>
      </c>
      <c r="D26" s="66">
        <v>30.1081</v>
      </c>
      <c r="E26" s="66">
        <v>0</v>
      </c>
      <c r="F26" s="66">
        <v>0</v>
      </c>
      <c r="G26" s="66">
        <v>0</v>
      </c>
      <c r="H26" s="66">
        <v>5.3318699999999997E-2</v>
      </c>
    </row>
    <row r="27" spans="1:8">
      <c r="A27" s="58" t="s">
        <v>324</v>
      </c>
      <c r="B27" s="196">
        <v>-3.2825599999999999E-6</v>
      </c>
      <c r="C27" s="66">
        <v>1.9849799999999999E-3</v>
      </c>
      <c r="D27" s="66">
        <v>-604.70600000000002</v>
      </c>
      <c r="E27" s="66">
        <v>0</v>
      </c>
      <c r="F27" s="66">
        <v>-2.5768099999999999E-2</v>
      </c>
      <c r="G27" s="66">
        <v>0</v>
      </c>
      <c r="H27" s="66">
        <v>2.7655599999999999E-2</v>
      </c>
    </row>
    <row r="28" spans="1:8">
      <c r="A28" s="58" t="s">
        <v>325</v>
      </c>
      <c r="B28" s="66">
        <v>1.0567999999999999E-2</v>
      </c>
      <c r="C28" s="66">
        <v>3.7101099999999998E-2</v>
      </c>
      <c r="D28" s="66">
        <v>3.5106899999999999</v>
      </c>
      <c r="E28" s="66">
        <v>0</v>
      </c>
      <c r="F28" s="196">
        <v>1.6276000000000001E-5</v>
      </c>
      <c r="G28" s="66">
        <v>0</v>
      </c>
      <c r="H28" s="66">
        <v>0.241475</v>
      </c>
    </row>
    <row r="29" spans="1:8">
      <c r="A29" s="58" t="s">
        <v>326</v>
      </c>
      <c r="B29" s="66">
        <v>67.384299999999996</v>
      </c>
      <c r="C29" s="66">
        <v>9.5690899999999992</v>
      </c>
      <c r="D29" s="66">
        <v>0.142008</v>
      </c>
      <c r="E29" s="66">
        <v>0</v>
      </c>
      <c r="F29" s="66">
        <v>45.463000000000001</v>
      </c>
      <c r="G29" s="66">
        <v>0</v>
      </c>
      <c r="H29" s="66">
        <v>96.475399999999993</v>
      </c>
    </row>
    <row r="30" spans="1:8">
      <c r="A30" s="58" t="s">
        <v>327</v>
      </c>
      <c r="B30" s="66">
        <v>17.644400000000001</v>
      </c>
      <c r="C30" s="66">
        <v>3.1492900000000001</v>
      </c>
      <c r="D30" s="66">
        <v>0.17848600000000001</v>
      </c>
      <c r="E30" s="66">
        <v>0</v>
      </c>
      <c r="F30" s="66">
        <v>7.2522599999999997</v>
      </c>
      <c r="G30" s="66">
        <v>0</v>
      </c>
      <c r="H30" s="66">
        <v>22.195499999999999</v>
      </c>
    </row>
    <row r="31" spans="1:8">
      <c r="A31" s="58" t="s">
        <v>328</v>
      </c>
      <c r="B31" s="66">
        <v>144.821</v>
      </c>
      <c r="C31" s="66">
        <v>39.715899999999998</v>
      </c>
      <c r="D31" s="66">
        <v>0.27424100000000001</v>
      </c>
      <c r="E31" s="66">
        <v>0</v>
      </c>
      <c r="F31" s="66">
        <v>14.1632</v>
      </c>
      <c r="G31" s="66">
        <v>0</v>
      </c>
      <c r="H31" s="66">
        <v>182.447</v>
      </c>
    </row>
    <row r="32" spans="1:8">
      <c r="A32" s="58" t="s">
        <v>329</v>
      </c>
      <c r="B32" s="66">
        <v>0.33589000000000002</v>
      </c>
      <c r="C32" s="66">
        <v>9.6455700000000005E-2</v>
      </c>
      <c r="D32" s="66">
        <v>0.287165</v>
      </c>
      <c r="E32" s="66">
        <v>0.15</v>
      </c>
      <c r="F32" s="66">
        <v>2.54805E-2</v>
      </c>
      <c r="G32" s="66">
        <v>0.4</v>
      </c>
      <c r="H32" s="66">
        <v>0.50180100000000005</v>
      </c>
    </row>
    <row r="33" spans="1:8">
      <c r="A33" s="58" t="s">
        <v>330</v>
      </c>
      <c r="B33" s="66">
        <v>0.23316100000000001</v>
      </c>
      <c r="C33" s="66">
        <v>5.3766700000000001E-2</v>
      </c>
      <c r="D33" s="66">
        <v>0.230599</v>
      </c>
      <c r="E33" s="66">
        <v>0</v>
      </c>
      <c r="F33" s="66">
        <v>0.149589</v>
      </c>
      <c r="G33" s="66">
        <v>0</v>
      </c>
      <c r="H33" s="66">
        <v>0.41522599999999998</v>
      </c>
    </row>
    <row r="34" spans="1:8">
      <c r="A34" s="58" t="s">
        <v>331</v>
      </c>
      <c r="B34" s="66">
        <v>0.175841</v>
      </c>
      <c r="C34" s="66">
        <v>3.1459899999999999E-2</v>
      </c>
      <c r="D34" s="66">
        <v>0.17891000000000001</v>
      </c>
      <c r="E34" s="66">
        <v>0.1</v>
      </c>
      <c r="F34" s="66">
        <v>0.13222</v>
      </c>
      <c r="G34" s="66">
        <v>0.25</v>
      </c>
      <c r="H34" s="66">
        <v>0.30192600000000003</v>
      </c>
    </row>
    <row r="35" spans="1:8">
      <c r="A35" s="58" t="s">
        <v>332</v>
      </c>
      <c r="B35" s="66">
        <v>7.6277200000000003E-2</v>
      </c>
      <c r="C35" s="66">
        <v>2.47812E-2</v>
      </c>
      <c r="D35" s="66">
        <v>0.32488299999999998</v>
      </c>
      <c r="E35" s="66">
        <v>0</v>
      </c>
      <c r="F35" s="66">
        <v>1.4012999999999999E-2</v>
      </c>
      <c r="G35" s="66">
        <v>0</v>
      </c>
      <c r="H35" s="66">
        <v>0.14677799999999999</v>
      </c>
    </row>
    <row r="36" spans="1:8">
      <c r="A36" s="58" t="s">
        <v>333</v>
      </c>
      <c r="B36" s="66">
        <v>0.15573300000000001</v>
      </c>
      <c r="C36" s="66">
        <v>8.6531200000000003E-2</v>
      </c>
      <c r="D36" s="66">
        <v>0.55564000000000002</v>
      </c>
      <c r="E36" s="66">
        <v>0</v>
      </c>
      <c r="F36" s="66">
        <v>3.8778899999999998E-2</v>
      </c>
      <c r="G36" s="66">
        <v>0</v>
      </c>
      <c r="H36" s="66">
        <v>0.56131500000000001</v>
      </c>
    </row>
    <row r="37" spans="1:8">
      <c r="A37" s="58" t="s">
        <v>334</v>
      </c>
      <c r="B37" s="66">
        <v>0.31459900000000002</v>
      </c>
      <c r="C37" s="66">
        <v>0.13053300000000001</v>
      </c>
      <c r="D37" s="66">
        <v>0.41491800000000001</v>
      </c>
      <c r="E37" s="66">
        <v>0.1</v>
      </c>
      <c r="F37" s="66">
        <v>1.13621E-2</v>
      </c>
      <c r="G37" s="66">
        <v>0.5</v>
      </c>
      <c r="H37" s="66">
        <v>0.48073399999999999</v>
      </c>
    </row>
    <row r="38" spans="1:8">
      <c r="A38" s="58" t="s">
        <v>335</v>
      </c>
      <c r="B38" s="66">
        <v>-20.612400000000001</v>
      </c>
      <c r="C38" s="66">
        <v>43.620399999999997</v>
      </c>
      <c r="D38" s="66">
        <v>-2.1162200000000002</v>
      </c>
      <c r="E38" s="66">
        <v>0</v>
      </c>
      <c r="F38" s="66">
        <v>-230.166</v>
      </c>
      <c r="G38" s="66">
        <v>0</v>
      </c>
      <c r="H38" s="66">
        <v>139.673</v>
      </c>
    </row>
    <row r="39" spans="1:8">
      <c r="A39" s="58" t="s">
        <v>336</v>
      </c>
      <c r="B39" s="66">
        <v>-7.1725599999999998</v>
      </c>
      <c r="C39" s="66">
        <v>4.5146800000000002</v>
      </c>
      <c r="D39" s="66">
        <v>-0.62943800000000005</v>
      </c>
      <c r="E39" s="66">
        <v>0</v>
      </c>
      <c r="F39" s="66">
        <v>-18.051500000000001</v>
      </c>
      <c r="G39" s="66">
        <v>0</v>
      </c>
      <c r="H39" s="66">
        <v>6.6832399999999996</v>
      </c>
    </row>
    <row r="40" spans="1:8">
      <c r="A40" s="58" t="s">
        <v>337</v>
      </c>
      <c r="B40" s="66">
        <v>-2.2957399999999999</v>
      </c>
      <c r="C40" s="66">
        <v>1.03661</v>
      </c>
      <c r="D40" s="66">
        <v>-0.45153599999999999</v>
      </c>
      <c r="E40" s="66">
        <v>0</v>
      </c>
      <c r="F40" s="66">
        <v>-3.4182000000000001</v>
      </c>
      <c r="G40" s="66">
        <v>0</v>
      </c>
      <c r="H40" s="66">
        <v>-8.0359E-2</v>
      </c>
    </row>
    <row r="41" spans="1:8">
      <c r="A41" s="58" t="s">
        <v>338</v>
      </c>
      <c r="B41" s="66">
        <v>-0.13053600000000001</v>
      </c>
      <c r="C41" s="66">
        <v>0.31734899999999999</v>
      </c>
      <c r="D41" s="66">
        <v>-2.4311199999999999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-0.17865300000000001</v>
      </c>
      <c r="C42" s="66">
        <v>7.1741399999999997E-2</v>
      </c>
      <c r="D42" s="66">
        <v>-0.40156900000000001</v>
      </c>
      <c r="E42" s="66">
        <v>0</v>
      </c>
      <c r="F42" s="66">
        <v>-0.32903199999999999</v>
      </c>
      <c r="G42" s="66">
        <v>0</v>
      </c>
      <c r="H42" s="66">
        <v>0.19958100000000001</v>
      </c>
    </row>
    <row r="43" spans="1:8">
      <c r="A43" s="58" t="s">
        <v>340</v>
      </c>
      <c r="B43" s="66">
        <v>-6.8475900000000006E-2</v>
      </c>
      <c r="C43" s="66">
        <v>9.8538700000000007E-2</v>
      </c>
      <c r="D43" s="66">
        <v>-1.43903</v>
      </c>
      <c r="E43" s="66">
        <v>0</v>
      </c>
      <c r="F43" s="66">
        <v>-0.27345000000000003</v>
      </c>
      <c r="G43" s="66">
        <v>0</v>
      </c>
      <c r="H43" s="66">
        <v>7.1065799999999998E-2</v>
      </c>
    </row>
    <row r="44" spans="1:8">
      <c r="A44" s="58" t="s">
        <v>341</v>
      </c>
      <c r="B44" s="66">
        <v>-28.4971</v>
      </c>
      <c r="C44" s="66">
        <v>12.917199999999999</v>
      </c>
      <c r="D44" s="66">
        <v>-0.45328000000000002</v>
      </c>
      <c r="E44" s="66">
        <v>0</v>
      </c>
      <c r="F44" s="66">
        <v>-63.759799999999998</v>
      </c>
      <c r="G44" s="66">
        <v>0</v>
      </c>
      <c r="H44" s="66">
        <v>-1.83799</v>
      </c>
    </row>
    <row r="45" spans="1:8">
      <c r="A45" s="58" t="s">
        <v>342</v>
      </c>
      <c r="B45" s="66">
        <v>52.838700000000003</v>
      </c>
      <c r="C45" s="66">
        <v>8.1832499999999992</v>
      </c>
      <c r="D45" s="66">
        <v>0.15487200000000001</v>
      </c>
      <c r="E45" s="66">
        <v>0</v>
      </c>
      <c r="F45" s="66">
        <v>33.878300000000003</v>
      </c>
      <c r="G45" s="66">
        <v>0</v>
      </c>
      <c r="H45" s="66">
        <v>75.069299999999998</v>
      </c>
    </row>
    <row r="46" spans="1:8">
      <c r="A46" s="58" t="s">
        <v>343</v>
      </c>
      <c r="B46" s="66">
        <v>25.154399999999999</v>
      </c>
      <c r="C46" s="66">
        <v>6.70364</v>
      </c>
      <c r="D46" s="66">
        <v>0.26650000000000001</v>
      </c>
      <c r="E46" s="66">
        <v>0</v>
      </c>
      <c r="F46" s="66">
        <v>6.7453200000000004</v>
      </c>
      <c r="G46" s="66">
        <v>0</v>
      </c>
      <c r="H46" s="66">
        <v>36.395499999999998</v>
      </c>
    </row>
    <row r="47" spans="1:8">
      <c r="A47" s="58" t="s">
        <v>344</v>
      </c>
      <c r="B47" s="66">
        <v>0.98180100000000003</v>
      </c>
      <c r="C47" s="66">
        <v>0.485323</v>
      </c>
      <c r="D47" s="66">
        <v>0.49431900000000001</v>
      </c>
      <c r="E47" s="66">
        <v>0</v>
      </c>
      <c r="F47" s="66">
        <v>0.33564300000000002</v>
      </c>
      <c r="G47" s="66">
        <v>0</v>
      </c>
      <c r="H47" s="66">
        <v>3.5281699999999998</v>
      </c>
    </row>
    <row r="48" spans="1:8">
      <c r="A48" s="58" t="s">
        <v>345</v>
      </c>
      <c r="B48" s="66">
        <v>0.66117499999999996</v>
      </c>
      <c r="C48" s="66">
        <v>0.15762499999999999</v>
      </c>
      <c r="D48" s="66">
        <v>0.238402</v>
      </c>
      <c r="E48" s="66">
        <v>0</v>
      </c>
      <c r="F48" s="66">
        <v>0.42441699999999999</v>
      </c>
      <c r="G48" s="66">
        <v>0</v>
      </c>
      <c r="H48" s="66">
        <v>1.23698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1.7334000000000032</v>
      </c>
      <c r="C5" s="66">
        <f>'M2'!C5-'M1'!C5</f>
        <v>-7.961310000000001</v>
      </c>
      <c r="D5" s="66">
        <f>'M2'!D5-'M1'!D5</f>
        <v>-25.207100000000001</v>
      </c>
      <c r="E5" s="66">
        <f>'M2'!E5-'M1'!E5</f>
        <v>0</v>
      </c>
      <c r="F5" s="66">
        <f>'M2'!F5-'M1'!F5</f>
        <v>19.580379999999998</v>
      </c>
      <c r="G5" s="66">
        <f>'M2'!G5-'M1'!G5</f>
        <v>0</v>
      </c>
      <c r="H5" s="66">
        <f>'M2'!H5-'M1'!H5</f>
        <v>-2.4686999999999983</v>
      </c>
    </row>
    <row r="6" spans="1:8">
      <c r="A6" s="66" t="s">
        <v>244</v>
      </c>
      <c r="B6" s="66">
        <f>'M2'!B6-'M1'!B6</f>
        <v>0.86229999999999762</v>
      </c>
      <c r="C6" s="66">
        <f>'M2'!C6-'M1'!C6</f>
        <v>0.32690000000000019</v>
      </c>
      <c r="D6" s="66">
        <f>'M2'!D6-'M1'!D6</f>
        <v>1.0556999999999999</v>
      </c>
      <c r="E6" s="66">
        <f>'M2'!E6-'M1'!E6</f>
        <v>0</v>
      </c>
      <c r="F6" s="66">
        <f>'M2'!F6-'M1'!F6</f>
        <v>0.92680000000000007</v>
      </c>
      <c r="G6" s="66">
        <f>'M2'!G6-'M1'!G6</f>
        <v>0</v>
      </c>
      <c r="H6" s="66">
        <f>'M2'!H6-'M1'!H6</f>
        <v>2.2389999999999972</v>
      </c>
    </row>
    <row r="7" spans="1:8">
      <c r="A7" s="66" t="s">
        <v>245</v>
      </c>
      <c r="B7" s="66">
        <f>'M2'!B7-'M1'!B7</f>
        <v>-3.5592000000000006</v>
      </c>
      <c r="C7" s="66">
        <f>'M2'!C7-'M1'!C7</f>
        <v>-4.2784499999999994</v>
      </c>
      <c r="D7" s="66">
        <f>'M2'!D7-'M1'!D7</f>
        <v>-9.9731999999999985</v>
      </c>
      <c r="E7" s="66">
        <f>'M2'!E7-'M1'!E7</f>
        <v>0</v>
      </c>
      <c r="F7" s="66">
        <f>'M2'!F7-'M1'!F7</f>
        <v>8.6134500000000003</v>
      </c>
      <c r="G7" s="66">
        <f>'M2'!G7-'M1'!G7</f>
        <v>0</v>
      </c>
      <c r="H7" s="66">
        <f>'M2'!H7-'M1'!H7</f>
        <v>-4.0763000000000034</v>
      </c>
    </row>
    <row r="8" spans="1:8">
      <c r="A8" s="66" t="s">
        <v>246</v>
      </c>
      <c r="B8" s="66">
        <f>'M2'!B8-'M1'!B8</f>
        <v>1.2149000000000001</v>
      </c>
      <c r="C8" s="66">
        <f>'M2'!C8-'M1'!C8</f>
        <v>-1.00712</v>
      </c>
      <c r="D8" s="66">
        <f>'M2'!D8-'M1'!D8</f>
        <v>-3.9223299999999988</v>
      </c>
      <c r="E8" s="66">
        <f>'M2'!E8-'M1'!E8</f>
        <v>0</v>
      </c>
      <c r="F8" s="66">
        <f>'M2'!F8-'M1'!F8</f>
        <v>1.622399999999999</v>
      </c>
      <c r="G8" s="66">
        <f>'M2'!G8-'M1'!G8</f>
        <v>0</v>
      </c>
      <c r="H8" s="66">
        <f>'M2'!H8-'M1'!H8</f>
        <v>2.0193999999999974</v>
      </c>
    </row>
    <row r="9" spans="1:8">
      <c r="A9" s="66" t="s">
        <v>247</v>
      </c>
      <c r="B9" s="66">
        <f>'M2'!B9-'M1'!B9</f>
        <v>-6.6899999999999977</v>
      </c>
      <c r="C9" s="66">
        <f>'M2'!C9-'M1'!C9</f>
        <v>-1.2466499999999998</v>
      </c>
      <c r="D9" s="66">
        <f>'M2'!D9-'M1'!D9</f>
        <v>-0.88898999999999972</v>
      </c>
      <c r="E9" s="66">
        <f>'M2'!E9-'M1'!E9</f>
        <v>0</v>
      </c>
      <c r="F9" s="66">
        <f>'M2'!F9-'M1'!F9</f>
        <v>-10.516599999999997</v>
      </c>
      <c r="G9" s="66">
        <f>'M2'!G9-'M1'!G9</f>
        <v>0</v>
      </c>
      <c r="H9" s="66">
        <f>'M2'!H9-'M1'!H9</f>
        <v>-11.797899999999998</v>
      </c>
    </row>
    <row r="10" spans="1:8">
      <c r="A10" s="66" t="s">
        <v>248</v>
      </c>
      <c r="B10" s="66">
        <f>'M2'!B10-'M1'!B10</f>
        <v>-3.9495000000000005</v>
      </c>
      <c r="C10" s="66">
        <f>'M2'!C10-'M1'!C10</f>
        <v>-0.77790999999999988</v>
      </c>
      <c r="D10" s="66">
        <f>'M2'!D10-'M1'!D10</f>
        <v>-0.81703999999999999</v>
      </c>
      <c r="E10" s="66">
        <f>'M2'!E10-'M1'!E10</f>
        <v>0</v>
      </c>
      <c r="F10" s="66">
        <f>'M2'!F10-'M1'!F10</f>
        <v>-1.4578999999999951</v>
      </c>
      <c r="G10" s="66">
        <f>'M2'!G10-'M1'!G10</f>
        <v>0</v>
      </c>
      <c r="H10" s="66">
        <f>'M2'!H10-'M1'!H10</f>
        <v>-3.0478999999999985</v>
      </c>
    </row>
    <row r="11" spans="1:8">
      <c r="A11" s="66" t="s">
        <v>249</v>
      </c>
      <c r="B11" s="66">
        <f>'M2'!B11-'M1'!B11</f>
        <v>1.4526000000000003</v>
      </c>
      <c r="C11" s="66">
        <f>'M2'!C11-'M1'!C11</f>
        <v>-2.6825200000000002</v>
      </c>
      <c r="D11" s="66">
        <f>'M2'!D11-'M1'!D11</f>
        <v>-19.615299999999998</v>
      </c>
      <c r="E11" s="66">
        <f>'M2'!E11-'M1'!E11</f>
        <v>0</v>
      </c>
      <c r="F11" s="66">
        <f>'M2'!F11-'M1'!F11</f>
        <v>9.0071799999999982</v>
      </c>
      <c r="G11" s="66">
        <f>'M2'!G11-'M1'!G11</f>
        <v>0</v>
      </c>
      <c r="H11" s="66">
        <f>'M2'!H11-'M1'!H11</f>
        <v>-0.34430000000000049</v>
      </c>
    </row>
    <row r="12" spans="1:8">
      <c r="A12" s="66" t="s">
        <v>250</v>
      </c>
      <c r="B12" s="66">
        <f>'M2'!B12-'M1'!B12</f>
        <v>-3.9849000000000103</v>
      </c>
      <c r="C12" s="66">
        <f>'M2'!C12-'M1'!C12</f>
        <v>-1.1520099999999998</v>
      </c>
      <c r="D12" s="66">
        <f>'M2'!D12-'M1'!D12</f>
        <v>-1.3526299999999996</v>
      </c>
      <c r="E12" s="66">
        <f>'M2'!E12-'M1'!E12</f>
        <v>0</v>
      </c>
      <c r="F12" s="66">
        <f>'M2'!F12-'M1'!F12</f>
        <v>-5.570999999999998</v>
      </c>
      <c r="G12" s="66">
        <f>'M2'!G12-'M1'!G12</f>
        <v>0</v>
      </c>
      <c r="H12" s="66">
        <f>'M2'!H12-'M1'!H12</f>
        <v>-9.8503000000000043</v>
      </c>
    </row>
    <row r="13" spans="1:8">
      <c r="A13" s="66" t="s">
        <v>251</v>
      </c>
      <c r="B13" s="66">
        <f>'M2'!B13-'M1'!B13</f>
        <v>9.690000000000154E-2</v>
      </c>
      <c r="C13" s="66">
        <f>'M2'!C13-'M1'!C13</f>
        <v>-1.6208100000000001</v>
      </c>
      <c r="D13" s="66">
        <f>'M2'!D13-'M1'!D13</f>
        <v>-9.3124999999999982</v>
      </c>
      <c r="E13" s="66">
        <f>'M2'!E13-'M1'!E13</f>
        <v>0</v>
      </c>
      <c r="F13" s="66">
        <f>'M2'!F13-'M1'!F13</f>
        <v>6.0900000000000176E-2</v>
      </c>
      <c r="G13" s="66">
        <f>'M2'!G13-'M1'!G13</f>
        <v>0</v>
      </c>
      <c r="H13" s="66">
        <f>'M2'!H13-'M1'!H13</f>
        <v>-7.4282000000000004</v>
      </c>
    </row>
    <row r="14" spans="1:8">
      <c r="A14" s="66" t="s">
        <v>252</v>
      </c>
      <c r="B14" s="66">
        <f>'M2'!B14-'M1'!B14</f>
        <v>-16.208100000000002</v>
      </c>
      <c r="C14" s="66">
        <f>'M2'!C14-'M1'!C14</f>
        <v>-0.31590000000000096</v>
      </c>
      <c r="D14" s="66">
        <f>'M2'!D14-'M1'!D14</f>
        <v>23.837600000000002</v>
      </c>
      <c r="E14" s="66">
        <f>'M2'!E14-'M1'!E14</f>
        <v>0</v>
      </c>
      <c r="F14" s="66">
        <f>'M2'!F14-'M1'!F14</f>
        <v>1.9643599999999999</v>
      </c>
      <c r="G14" s="66">
        <f>'M2'!G14-'M1'!G14</f>
        <v>0</v>
      </c>
      <c r="H14" s="66">
        <f>'M2'!H14-'M1'!H14</f>
        <v>-9.869099999999996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-6.1397999999999953E-2</v>
      </c>
      <c r="C18" s="66">
        <f>'M2'!C18-'M1'!C18</f>
        <v>4.9491599999999997E-2</v>
      </c>
      <c r="D18" s="66">
        <f>'M2'!D18-'M1'!D18</f>
        <v>9.5022599999999999E-2</v>
      </c>
      <c r="E18" s="66">
        <f>'M2'!E18-'M1'!E18</f>
        <v>0</v>
      </c>
      <c r="F18" s="66">
        <f>'M2'!F18-'M1'!F18</f>
        <v>0.47134900000000002</v>
      </c>
      <c r="G18" s="66">
        <f>'M2'!G18-'M1'!G18</f>
        <v>0</v>
      </c>
      <c r="H18" s="66">
        <f>'M2'!H18-'M1'!H18</f>
        <v>0.57033299999999998</v>
      </c>
    </row>
    <row r="19" spans="1:8">
      <c r="A19" s="66" t="s">
        <v>256</v>
      </c>
      <c r="B19" s="66">
        <f>'M2'!B19-'M1'!B19</f>
        <v>0.10047899999999998</v>
      </c>
      <c r="C19" s="66">
        <f>'M2'!C19-'M1'!C19</f>
        <v>8.3037700000000006E-2</v>
      </c>
      <c r="D19" s="66">
        <f>'M2'!D19-'M1'!D19</f>
        <v>0.108546</v>
      </c>
      <c r="E19" s="66">
        <f>'M2'!E19-'M1'!E19</f>
        <v>0</v>
      </c>
      <c r="F19" s="66">
        <f>'M2'!F19-'M1'!F19</f>
        <v>0.68196400000000001</v>
      </c>
      <c r="G19" s="66">
        <f>'M2'!G19-'M1'!G19</f>
        <v>0</v>
      </c>
      <c r="H19" s="66">
        <f>'M2'!H19-'M1'!H19</f>
        <v>0.84803899999999999</v>
      </c>
    </row>
    <row r="20" spans="1:8">
      <c r="A20" s="66" t="s">
        <v>63</v>
      </c>
      <c r="B20" s="66">
        <f>'M2'!B20-'M1'!B20</f>
        <v>-1.5326400000000007E-4</v>
      </c>
      <c r="C20" s="66">
        <f>'M2'!C20-'M1'!C20</f>
        <v>-1.6403300000000003E-2</v>
      </c>
      <c r="D20" s="66">
        <f>'M2'!D20-'M1'!D20</f>
        <v>-5.7600999999999942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-0.11339699999999997</v>
      </c>
    </row>
    <row r="21" spans="1:8">
      <c r="A21" s="66" t="s">
        <v>64</v>
      </c>
      <c r="B21" s="66">
        <f>'M2'!B21-'M1'!B21</f>
        <v>-2.46807E-2</v>
      </c>
      <c r="C21" s="66">
        <f>'M2'!C21-'M1'!C21</f>
        <v>-5.8537000000000061E-2</v>
      </c>
      <c r="D21" s="66">
        <f>'M2'!D21-'M1'!D21</f>
        <v>1.7838899999999995</v>
      </c>
      <c r="E21" s="66">
        <f>'M2'!E21-'M1'!E21</f>
        <v>0</v>
      </c>
      <c r="F21" s="66">
        <f>'M2'!F21-'M1'!F21</f>
        <v>-1.3773999999999994E-5</v>
      </c>
      <c r="G21" s="66">
        <f>'M2'!G21-'M1'!G21</f>
        <v>0</v>
      </c>
      <c r="H21" s="66">
        <f>'M2'!H21-'M1'!H21</f>
        <v>-0.61425000000000018</v>
      </c>
    </row>
    <row r="22" spans="1:8">
      <c r="A22" s="66" t="s">
        <v>65</v>
      </c>
      <c r="B22" s="66">
        <f>'M2'!B22-'M1'!B22</f>
        <v>-3.3166000000000011</v>
      </c>
      <c r="C22" s="66">
        <f>'M2'!C22-'M1'!C22</f>
        <v>2.6437999999999988</v>
      </c>
      <c r="D22" s="66">
        <f>'M2'!D22-'M1'!D22</f>
        <v>0.10145899999999997</v>
      </c>
      <c r="E22" s="66">
        <f>'M2'!E22-'M1'!E22</f>
        <v>0</v>
      </c>
      <c r="F22" s="66">
        <f>'M2'!F22-'M1'!F22</f>
        <v>-8.0746000000000002</v>
      </c>
      <c r="G22" s="66">
        <f>'M2'!G22-'M1'!G22</f>
        <v>0</v>
      </c>
      <c r="H22" s="66">
        <f>'M2'!H22-'M1'!H22</f>
        <v>4.8795000000000073</v>
      </c>
    </row>
    <row r="23" spans="1:8">
      <c r="A23" s="66" t="s">
        <v>66</v>
      </c>
      <c r="B23" s="66">
        <f>'M2'!B23-'M1'!B23</f>
        <v>3.1644000000000005</v>
      </c>
      <c r="C23" s="66">
        <f>'M2'!C23-'M1'!C23</f>
        <v>-1.3462399999999999</v>
      </c>
      <c r="D23" s="66">
        <f>'M2'!D23-'M1'!D23</f>
        <v>-0.1251689</v>
      </c>
      <c r="E23" s="66">
        <f>'M2'!E23-'M1'!E23</f>
        <v>0</v>
      </c>
      <c r="F23" s="66">
        <f>'M2'!F23-'M1'!F23</f>
        <v>6.4101499999999998</v>
      </c>
      <c r="G23" s="66">
        <f>'M2'!G23-'M1'!G23</f>
        <v>0</v>
      </c>
      <c r="H23" s="66">
        <f>'M2'!H23-'M1'!H23</f>
        <v>4.2841999999999985</v>
      </c>
    </row>
    <row r="24" spans="1:8">
      <c r="A24" s="66" t="s">
        <v>67</v>
      </c>
      <c r="B24" s="66">
        <f>'M2'!B24-'M1'!B24</f>
        <v>-6.5123999999999998E-4</v>
      </c>
      <c r="C24" s="66">
        <f>'M2'!C24-'M1'!C24</f>
        <v>-1.8184599999999995E-2</v>
      </c>
      <c r="D24" s="66">
        <f>'M2'!D24-'M1'!D24</f>
        <v>-2.442499999999999</v>
      </c>
      <c r="E24" s="66">
        <f>'M2'!E24-'M1'!E24</f>
        <v>0</v>
      </c>
      <c r="F24" s="66">
        <f>'M2'!F24-'M1'!F24</f>
        <v>1.1232799999999999E-5</v>
      </c>
      <c r="G24" s="66">
        <f>'M2'!G24-'M1'!G24</f>
        <v>0</v>
      </c>
      <c r="H24" s="66">
        <f>'M2'!H24-'M1'!H24</f>
        <v>-0.19950400000000001</v>
      </c>
    </row>
    <row r="25" spans="1:8">
      <c r="A25" s="66" t="s">
        <v>68</v>
      </c>
      <c r="B25" s="66">
        <f>'M2'!B25-'M1'!B25</f>
        <v>-3.3000000000005247E-5</v>
      </c>
      <c r="C25" s="66">
        <f>'M2'!C25-'M1'!C25</f>
        <v>3.8090000000000013E-2</v>
      </c>
      <c r="D25" s="66">
        <f>'M2'!D25-'M1'!D25</f>
        <v>0.34255000000000013</v>
      </c>
      <c r="E25" s="66">
        <f>'M2'!E25-'M1'!E25</f>
        <v>0</v>
      </c>
      <c r="F25" s="66">
        <f>'M2'!F25-'M1'!F25</f>
        <v>-2.3571399999999999E-2</v>
      </c>
      <c r="G25" s="66">
        <f>'M2'!G25-'M1'!G25</f>
        <v>0</v>
      </c>
      <c r="H25" s="66">
        <f>'M2'!H25-'M1'!H25</f>
        <v>1.2750000000000039E-2</v>
      </c>
    </row>
    <row r="26" spans="1:8">
      <c r="A26" s="66" t="s">
        <v>69</v>
      </c>
      <c r="B26" s="66">
        <f>'M2'!B26-'M1'!B26</f>
        <v>-5.4161999999999987E-5</v>
      </c>
      <c r="C26" s="66">
        <f>'M2'!C26-'M1'!C26</f>
        <v>-1.1968700000000001E-3</v>
      </c>
      <c r="D26" s="66">
        <f>'M2'!D26-'M1'!D26</f>
        <v>2.179199999999998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-7.9306999999999989E-3</v>
      </c>
    </row>
    <row r="27" spans="1:8">
      <c r="A27" s="66" t="s">
        <v>70</v>
      </c>
      <c r="B27" s="66">
        <f>'M2'!B27-'M1'!B27</f>
        <v>0</v>
      </c>
      <c r="C27" s="66">
        <f>'M2'!C27-'M1'!C27</f>
        <v>1.01217E-3</v>
      </c>
      <c r="D27" s="66">
        <f>'M2'!D27-'M1'!D27</f>
        <v>-308.34999999999997</v>
      </c>
      <c r="E27" s="66">
        <f>'M2'!E27-'M1'!E27</f>
        <v>0</v>
      </c>
      <c r="F27" s="66">
        <f>'M2'!F27-'M1'!F27</f>
        <v>-1.7348329999999999E-2</v>
      </c>
      <c r="G27" s="66">
        <f>'M2'!G27-'M1'!G27</f>
        <v>0</v>
      </c>
      <c r="H27" s="66">
        <f>'M2'!H27-'M1'!H27</f>
        <v>1.812304E-2</v>
      </c>
    </row>
    <row r="28" spans="1:8">
      <c r="A28" s="66" t="s">
        <v>71</v>
      </c>
      <c r="B28" s="66">
        <f>'M2'!B28-'M1'!B28</f>
        <v>-3.0321999999999988E-3</v>
      </c>
      <c r="C28" s="66">
        <f>'M2'!C28-'M1'!C28</f>
        <v>2.1264000000000005E-3</v>
      </c>
      <c r="D28" s="66">
        <f>'M2'!D28-'M1'!D28</f>
        <v>1.2256299999999998</v>
      </c>
      <c r="E28" s="66">
        <f>'M2'!E28-'M1'!E28</f>
        <v>0</v>
      </c>
      <c r="F28" s="66">
        <f>'M2'!F28-'M1'!F28</f>
        <v>-2.2786499999999999E-5</v>
      </c>
      <c r="G28" s="66">
        <f>'M2'!G28-'M1'!G28</f>
        <v>0</v>
      </c>
      <c r="H28" s="66">
        <f>'M2'!H28-'M1'!H28</f>
        <v>-1.7881000000000008E-2</v>
      </c>
    </row>
    <row r="29" spans="1:8">
      <c r="A29" s="66" t="s">
        <v>72</v>
      </c>
      <c r="B29" s="66">
        <f>'M2'!B29-'M1'!B29</f>
        <v>-4.3575000000000017</v>
      </c>
      <c r="C29" s="66">
        <f>'M2'!C29-'M1'!C29</f>
        <v>1.1741900000000012</v>
      </c>
      <c r="D29" s="66">
        <f>'M2'!D29-'M1'!D29</f>
        <v>2.6487000000000011E-2</v>
      </c>
      <c r="E29" s="66">
        <f>'M2'!E29-'M1'!E29</f>
        <v>0</v>
      </c>
      <c r="F29" s="66">
        <f>'M2'!F29-'M1'!F29</f>
        <v>-2.3044999999999973</v>
      </c>
      <c r="G29" s="66">
        <f>'M2'!G29-'M1'!G29</f>
        <v>0</v>
      </c>
      <c r="H29" s="66">
        <f>'M2'!H29-'M1'!H29</f>
        <v>2.1393999999999949</v>
      </c>
    </row>
    <row r="30" spans="1:8">
      <c r="A30" s="66" t="s">
        <v>73</v>
      </c>
      <c r="B30" s="66">
        <f>'M2'!B30-'M1'!B30</f>
        <v>3.4202000000000012</v>
      </c>
      <c r="C30" s="66">
        <f>'M2'!C30-'M1'!C30</f>
        <v>-1.5158</v>
      </c>
      <c r="D30" s="66">
        <f>'M2'!D30-'M1'!D30</f>
        <v>-0.1103169</v>
      </c>
      <c r="E30" s="66">
        <f>'M2'!E30-'M1'!E30</f>
        <v>0</v>
      </c>
      <c r="F30" s="66">
        <f>'M2'!F30-'M1'!F30</f>
        <v>7.6256400000000006</v>
      </c>
      <c r="G30" s="66">
        <f>'M2'!G30-'M1'!G30</f>
        <v>0</v>
      </c>
      <c r="H30" s="66">
        <f>'M2'!H30-'M1'!H30</f>
        <v>0.59819999999999851</v>
      </c>
    </row>
    <row r="31" spans="1:8">
      <c r="A31" s="66" t="s">
        <v>74</v>
      </c>
      <c r="B31" s="66">
        <f>'M2'!B31-'M1'!B31</f>
        <v>1.8269999999999982</v>
      </c>
      <c r="C31" s="66">
        <f>'M2'!C31-'M1'!C31</f>
        <v>-38.734200000000001</v>
      </c>
      <c r="D31" s="66">
        <f>'M2'!D31-'M1'!D31</f>
        <v>-0.27186330000000003</v>
      </c>
      <c r="E31" s="66">
        <f>'M2'!E31-'M1'!E31</f>
        <v>0</v>
      </c>
      <c r="F31" s="66">
        <f>'M2'!F31-'M1'!F31</f>
        <v>109.31179999999999</v>
      </c>
      <c r="G31" s="66">
        <f>'M2'!G31-'M1'!G31</f>
        <v>0</v>
      </c>
      <c r="H31" s="66">
        <f>'M2'!H31-'M1'!H31</f>
        <v>2.8029999999999973</v>
      </c>
    </row>
    <row r="32" spans="1:8">
      <c r="A32" s="66" t="s">
        <v>75</v>
      </c>
      <c r="B32" s="66">
        <f>'M2'!B32-'M1'!B32</f>
        <v>-3.5592000000000013E-2</v>
      </c>
      <c r="C32" s="66">
        <f>'M2'!C32-'M1'!C32</f>
        <v>-4.2784500000000003E-2</v>
      </c>
      <c r="D32" s="66">
        <f>'M2'!D32-'M1'!D32</f>
        <v>-9.9732000000000015E-2</v>
      </c>
      <c r="E32" s="66">
        <f>'M2'!E32-'M1'!E32</f>
        <v>0</v>
      </c>
      <c r="F32" s="66">
        <f>'M2'!F32-'M1'!F32</f>
        <v>8.6134500000000003E-2</v>
      </c>
      <c r="G32" s="66">
        <f>'M2'!G32-'M1'!G32</f>
        <v>0</v>
      </c>
      <c r="H32" s="66">
        <f>'M2'!H32-'M1'!H32</f>
        <v>-4.0763000000000049E-2</v>
      </c>
    </row>
    <row r="33" spans="1:8">
      <c r="A33" s="66" t="s">
        <v>76</v>
      </c>
      <c r="B33" s="66">
        <f>'M2'!B33-'M1'!B33</f>
        <v>-6.8357000000000001E-2</v>
      </c>
      <c r="C33" s="66">
        <f>'M2'!C33-'M1'!C33</f>
        <v>-3.2503799999999999E-2</v>
      </c>
      <c r="D33" s="66">
        <f>'M2'!D33-'M1'!D33</f>
        <v>-9.2861000000000013E-2</v>
      </c>
      <c r="E33" s="66">
        <f>'M2'!E33-'M1'!E33</f>
        <v>0</v>
      </c>
      <c r="F33" s="66">
        <f>'M2'!F33-'M1'!F33</f>
        <v>3.0144000000000004E-2</v>
      </c>
      <c r="G33" s="66">
        <f>'M2'!G33-'M1'!G33</f>
        <v>0</v>
      </c>
      <c r="H33" s="66">
        <f>'M2'!H33-'M1'!H33</f>
        <v>-0.11340299999999998</v>
      </c>
    </row>
    <row r="34" spans="1:8">
      <c r="A34" s="66" t="s">
        <v>77</v>
      </c>
      <c r="B34" s="66">
        <f>'M2'!B34-'M1'!B34</f>
        <v>9.6899999999999764E-4</v>
      </c>
      <c r="C34" s="66">
        <f>'M2'!C34-'M1'!C34</f>
        <v>-1.62081E-2</v>
      </c>
      <c r="D34" s="66">
        <f>'M2'!D34-'M1'!D34</f>
        <v>-9.3125000000000013E-2</v>
      </c>
      <c r="E34" s="66">
        <f>'M2'!E34-'M1'!E34</f>
        <v>0</v>
      </c>
      <c r="F34" s="66">
        <f>'M2'!F34-'M1'!F34</f>
        <v>6.0899999999999843E-4</v>
      </c>
      <c r="G34" s="66">
        <f>'M2'!G34-'M1'!G34</f>
        <v>0</v>
      </c>
      <c r="H34" s="66">
        <f>'M2'!H34-'M1'!H34</f>
        <v>-7.4282000000000015E-2</v>
      </c>
    </row>
    <row r="35" spans="1:8">
      <c r="A35" s="66" t="s">
        <v>78</v>
      </c>
      <c r="B35" s="66">
        <f>'M2'!B35-'M1'!B35</f>
        <v>3.7557999999999897E-3</v>
      </c>
      <c r="C35" s="66">
        <f>'M2'!C35-'M1'!C35</f>
        <v>-8.804300000000001E-3</v>
      </c>
      <c r="D35" s="66">
        <f>'M2'!D35-'M1'!D35</f>
        <v>-0.13188800000000001</v>
      </c>
      <c r="E35" s="66">
        <f>'M2'!E35-'M1'!E35</f>
        <v>0</v>
      </c>
      <c r="F35" s="66">
        <f>'M2'!F35-'M1'!F35</f>
        <v>2.4410600000000005E-2</v>
      </c>
      <c r="G35" s="66">
        <f>'M2'!G35-'M1'!G35</f>
        <v>0</v>
      </c>
      <c r="H35" s="66">
        <f>'M2'!H35-'M1'!H35</f>
        <v>-2.3261999999999991E-2</v>
      </c>
    </row>
    <row r="36" spans="1:8">
      <c r="A36" s="66" t="s">
        <v>79</v>
      </c>
      <c r="B36" s="66">
        <f>'M2'!B36-'M1'!B36</f>
        <v>-6.6130000000000078E-3</v>
      </c>
      <c r="C36" s="66">
        <f>'M2'!C36-'M1'!C36</f>
        <v>-4.5560000000000045E-3</v>
      </c>
      <c r="D36" s="66">
        <f>'M2'!D36-'M1'!D36</f>
        <v>-5.4869999999999086E-3</v>
      </c>
      <c r="E36" s="66">
        <f>'M2'!E36-'M1'!E36</f>
        <v>0</v>
      </c>
      <c r="F36" s="66">
        <f>'M2'!F36-'M1'!F36</f>
        <v>-9.9829999999999988E-3</v>
      </c>
      <c r="G36" s="66">
        <f>'M2'!G36-'M1'!G36</f>
        <v>0</v>
      </c>
      <c r="H36" s="66">
        <f>'M2'!H36-'M1'!H36</f>
        <v>-8.6724999999999997E-2</v>
      </c>
    </row>
    <row r="37" spans="1:8">
      <c r="A37" s="66" t="s">
        <v>80</v>
      </c>
      <c r="B37" s="66">
        <f>'M2'!B37-'M1'!B37</f>
        <v>-0.162081</v>
      </c>
      <c r="C37" s="66">
        <f>'M2'!C37-'M1'!C37</f>
        <v>-3.1589999999999951E-3</v>
      </c>
      <c r="D37" s="66">
        <f>'M2'!D37-'M1'!D37</f>
        <v>0.23837599999999998</v>
      </c>
      <c r="E37" s="66">
        <f>'M2'!E37-'M1'!E37</f>
        <v>0</v>
      </c>
      <c r="F37" s="66">
        <f>'M2'!F37-'M1'!F37</f>
        <v>1.9643600000000001E-2</v>
      </c>
      <c r="G37" s="66">
        <f>'M2'!G37-'M1'!G37</f>
        <v>0</v>
      </c>
      <c r="H37" s="66">
        <f>'M2'!H37-'M1'!H37</f>
        <v>-9.8690999999999973E-2</v>
      </c>
    </row>
    <row r="38" spans="1:8">
      <c r="A38" s="66" t="s">
        <v>81</v>
      </c>
      <c r="B38" s="66">
        <f>'M2'!B38-'M1'!B38</f>
        <v>-3.2397999999999989</v>
      </c>
      <c r="C38" s="66">
        <f>'M2'!C38-'M1'!C38</f>
        <v>-8.3796999999999997</v>
      </c>
      <c r="D38" s="66">
        <f>'M2'!D38-'M1'!D38</f>
        <v>0.78603999999999985</v>
      </c>
      <c r="E38" s="66">
        <f>'M2'!E38-'M1'!E38</f>
        <v>0</v>
      </c>
      <c r="F38" s="66">
        <f>'M2'!F38-'M1'!F38</f>
        <v>-33.007000000000005</v>
      </c>
      <c r="G38" s="66">
        <f>'M2'!G38-'M1'!G38</f>
        <v>0</v>
      </c>
      <c r="H38" s="66">
        <f>'M2'!H38-'M1'!H38</f>
        <v>-77.795700000000011</v>
      </c>
    </row>
    <row r="39" spans="1:8">
      <c r="A39" s="66" t="s">
        <v>82</v>
      </c>
      <c r="B39" s="66">
        <f>'M2'!B39-'M1'!B39</f>
        <v>1.04643</v>
      </c>
      <c r="C39" s="66">
        <f>'M2'!C39-'M1'!C39</f>
        <v>-1.1115999999999997</v>
      </c>
      <c r="D39" s="66">
        <f>'M2'!D39-'M1'!D39</f>
        <v>6.5068000000000015E-2</v>
      </c>
      <c r="E39" s="66">
        <f>'M2'!E39-'M1'!E39</f>
        <v>0</v>
      </c>
      <c r="F39" s="66">
        <f>'M2'!F39-'M1'!F39</f>
        <v>-2.1617000000000015</v>
      </c>
      <c r="G39" s="66">
        <f>'M2'!G39-'M1'!G39</f>
        <v>0</v>
      </c>
      <c r="H39" s="66">
        <f>'M2'!H39-'M1'!H39</f>
        <v>0.22639999999999993</v>
      </c>
    </row>
    <row r="40" spans="1:8">
      <c r="A40" s="66" t="s">
        <v>83</v>
      </c>
      <c r="B40" s="66">
        <f>'M2'!B40-'M1'!B40</f>
        <v>-1.1704600000000001</v>
      </c>
      <c r="C40" s="66">
        <f>'M2'!C40-'M1'!C40</f>
        <v>-0.22369299999999992</v>
      </c>
      <c r="D40" s="66">
        <f>'M2'!D40-'M1'!D40</f>
        <v>0.453206</v>
      </c>
      <c r="E40" s="66">
        <f>'M2'!E40-'M1'!E40</f>
        <v>0</v>
      </c>
      <c r="F40" s="66">
        <f>'M2'!F40-'M1'!F40</f>
        <v>0.16471999999999998</v>
      </c>
      <c r="G40" s="66">
        <f>'M2'!G40-'M1'!G40</f>
        <v>0</v>
      </c>
      <c r="H40" s="66">
        <f>'M2'!H40-'M1'!H40</f>
        <v>-0.118435</v>
      </c>
    </row>
    <row r="41" spans="1:8">
      <c r="A41" s="66" t="s">
        <v>84</v>
      </c>
      <c r="B41" s="66">
        <f>'M2'!B41-'M1'!B41</f>
        <v>-1.6452999999999995E-2</v>
      </c>
      <c r="C41" s="66">
        <f>'M2'!C41-'M1'!C41</f>
        <v>-6.5387000000000028E-2</v>
      </c>
      <c r="D41" s="66">
        <f>'M2'!D41-'M1'!D41</f>
        <v>0.78886999999999996</v>
      </c>
      <c r="E41" s="66">
        <f>'M2'!E41-'M1'!E41</f>
        <v>0</v>
      </c>
      <c r="F41" s="66">
        <f>'M2'!F41-'M1'!F41</f>
        <v>-8.333299999999999E-2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2.2766999999999982E-2</v>
      </c>
      <c r="C42" s="66">
        <f>'M2'!C42-'M1'!C42</f>
        <v>-2.0945600000000009E-2</v>
      </c>
      <c r="D42" s="66">
        <f>'M2'!D42-'M1'!D42</f>
        <v>6.627700000000003E-2</v>
      </c>
      <c r="E42" s="66">
        <f>'M2'!E42-'M1'!E42</f>
        <v>0</v>
      </c>
      <c r="F42" s="66">
        <f>'M2'!F42-'M1'!F42</f>
        <v>1.7449999999999966E-2</v>
      </c>
      <c r="G42" s="66">
        <f>'M2'!G42-'M1'!G42</f>
        <v>0</v>
      </c>
      <c r="H42" s="66">
        <f>'M2'!H42-'M1'!H42</f>
        <v>0.14023760000000002</v>
      </c>
    </row>
    <row r="43" spans="1:8">
      <c r="A43" s="66" t="s">
        <v>86</v>
      </c>
      <c r="B43" s="66">
        <f>'M2'!B43-'M1'!B43</f>
        <v>9.759459999999999E-2</v>
      </c>
      <c r="C43" s="66">
        <f>'M2'!C43-'M1'!C43</f>
        <v>-5.9670300000000009E-2</v>
      </c>
      <c r="D43" s="66">
        <f>'M2'!D43-'M1'!D43</f>
        <v>-0.21879899999999997</v>
      </c>
      <c r="E43" s="66">
        <f>'M2'!E43-'M1'!E43</f>
        <v>0</v>
      </c>
      <c r="F43" s="66">
        <f>'M2'!F43-'M1'!F43</f>
        <v>5.9840000000000032E-2</v>
      </c>
      <c r="G43" s="66">
        <f>'M2'!G43-'M1'!G43</f>
        <v>0</v>
      </c>
      <c r="H43" s="66">
        <f>'M2'!H43-'M1'!H43</f>
        <v>-1.3773899999999999E-2</v>
      </c>
    </row>
    <row r="44" spans="1:8">
      <c r="A44" s="66" t="s">
        <v>87</v>
      </c>
      <c r="B44" s="66">
        <f>'M2'!B44-'M1'!B44</f>
        <v>-12.716700000000003</v>
      </c>
      <c r="C44" s="66">
        <f>'M2'!C44-'M1'!C44</f>
        <v>1.5997000000000003</v>
      </c>
      <c r="D44" s="66">
        <f>'M2'!D44-'M1'!D44</f>
        <v>0.10743400000000003</v>
      </c>
      <c r="E44" s="66">
        <f>'M2'!E44-'M1'!E44</f>
        <v>0</v>
      </c>
      <c r="F44" s="66">
        <f>'M2'!F44-'M1'!F44</f>
        <v>-13.169499999999999</v>
      </c>
      <c r="G44" s="66">
        <f>'M2'!G44-'M1'!G44</f>
        <v>0</v>
      </c>
      <c r="H44" s="66">
        <f>'M2'!H44-'M1'!H44</f>
        <v>-13.41541</v>
      </c>
    </row>
    <row r="45" spans="1:8">
      <c r="A45" s="66" t="s">
        <v>88</v>
      </c>
      <c r="B45" s="66">
        <f>'M2'!B45-'M1'!B45</f>
        <v>0.99150000000000205</v>
      </c>
      <c r="C45" s="66">
        <f>'M2'!C45-'M1'!C45</f>
        <v>-0.39449000000000023</v>
      </c>
      <c r="D45" s="66">
        <f>'M2'!D45-'M1'!D45</f>
        <v>-1.0375000000000023E-2</v>
      </c>
      <c r="E45" s="66">
        <f>'M2'!E45-'M1'!E45</f>
        <v>0</v>
      </c>
      <c r="F45" s="66">
        <f>'M2'!F45-'M1'!F45</f>
        <v>0.36969999999999459</v>
      </c>
      <c r="G45" s="66">
        <f>'M2'!G45-'M1'!G45</f>
        <v>0</v>
      </c>
      <c r="H45" s="66">
        <f>'M2'!H45-'M1'!H45</f>
        <v>-4.2005000000000052</v>
      </c>
    </row>
    <row r="46" spans="1:8">
      <c r="A46" s="66" t="s">
        <v>89</v>
      </c>
      <c r="B46" s="66">
        <f>'M2'!B46-'M1'!B46</f>
        <v>0.45780000000000243</v>
      </c>
      <c r="C46" s="66">
        <f>'M2'!C46-'M1'!C46</f>
        <v>-5.6021099999999997</v>
      </c>
      <c r="D46" s="66">
        <f>'M2'!D46-'M1'!D46</f>
        <v>-0.22898599999999997</v>
      </c>
      <c r="E46" s="66">
        <f>'M2'!E46-'M1'!E46</f>
        <v>0</v>
      </c>
      <c r="F46" s="66">
        <f>'M2'!F46-'M1'!F46</f>
        <v>13.238379999999999</v>
      </c>
      <c r="G46" s="66">
        <f>'M2'!G46-'M1'!G46</f>
        <v>0</v>
      </c>
      <c r="H46" s="66">
        <f>'M2'!H46-'M1'!H46</f>
        <v>-2.5176999999999978</v>
      </c>
    </row>
    <row r="47" spans="1:8">
      <c r="A47" s="66" t="s">
        <v>90</v>
      </c>
      <c r="B47" s="66">
        <f>'M2'!B47-'M1'!B47</f>
        <v>-0.14598999999999995</v>
      </c>
      <c r="C47" s="66">
        <f>'M2'!C47-'M1'!C47</f>
        <v>0.24832499999999996</v>
      </c>
      <c r="D47" s="66">
        <f>'M2'!D47-'M1'!D47</f>
        <v>0.33760100000000004</v>
      </c>
      <c r="E47" s="66">
        <f>'M2'!E47-'M1'!E47</f>
        <v>0</v>
      </c>
      <c r="F47" s="66">
        <f>'M2'!F47-'M1'!F47</f>
        <v>-0.27565399999999995</v>
      </c>
      <c r="G47" s="66">
        <f>'M2'!G47-'M1'!G47</f>
        <v>0</v>
      </c>
      <c r="H47" s="66">
        <f>'M2'!H47-'M1'!H47</f>
        <v>0.99652999999999992</v>
      </c>
    </row>
    <row r="48" spans="1:8">
      <c r="A48" s="66" t="s">
        <v>91</v>
      </c>
      <c r="B48" s="66">
        <f>'M2'!B48-'M1'!B48</f>
        <v>-0.19331100000000001</v>
      </c>
      <c r="C48" s="66">
        <f>'M2'!C48-'M1'!C48</f>
        <v>-6.9101999999999983E-2</v>
      </c>
      <c r="D48" s="66">
        <f>'M2'!D48-'M1'!D48</f>
        <v>-5.6751999999999997E-2</v>
      </c>
      <c r="E48" s="66">
        <f>'M2'!E48-'M1'!E48</f>
        <v>0</v>
      </c>
      <c r="F48" s="66">
        <f>'M2'!F48-'M1'!F48</f>
        <v>-0.12510800000000005</v>
      </c>
      <c r="G48" s="66">
        <f>'M2'!G48-'M1'!G48</f>
        <v>0</v>
      </c>
      <c r="H48" s="66">
        <f>'M2'!H48-'M1'!H48</f>
        <v>-0.52936299999999992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32.297899999999998</v>
      </c>
      <c r="C5" s="66">
        <v>11.496700000000001</v>
      </c>
      <c r="D5" s="66">
        <v>35.595700000000001</v>
      </c>
      <c r="E5" s="66">
        <v>20</v>
      </c>
      <c r="F5" s="66">
        <v>8.2564200000000003</v>
      </c>
      <c r="G5" s="66">
        <v>50</v>
      </c>
      <c r="H5" s="66">
        <v>45.5092</v>
      </c>
    </row>
    <row r="6" spans="1:8">
      <c r="A6" s="66" t="s">
        <v>358</v>
      </c>
      <c r="B6" s="66">
        <v>24.636700000000001</v>
      </c>
      <c r="C6" s="66">
        <v>1.6491199999999999</v>
      </c>
      <c r="D6" s="66">
        <v>6.6937199999999999</v>
      </c>
      <c r="E6" s="66">
        <v>20</v>
      </c>
      <c r="F6" s="66">
        <v>22.0381</v>
      </c>
      <c r="G6" s="66">
        <v>40</v>
      </c>
      <c r="H6" s="66">
        <v>28.622900000000001</v>
      </c>
    </row>
    <row r="7" spans="1:8">
      <c r="A7" s="66" t="s">
        <v>359</v>
      </c>
      <c r="B7" s="66">
        <v>34.5291</v>
      </c>
      <c r="C7" s="66">
        <v>11.5428</v>
      </c>
      <c r="D7" s="66">
        <v>33.429299999999998</v>
      </c>
      <c r="E7" s="66">
        <v>15</v>
      </c>
      <c r="F7" s="66">
        <v>2.5480499999999999</v>
      </c>
      <c r="G7" s="66">
        <v>40</v>
      </c>
      <c r="H7" s="66">
        <v>50.180100000000003</v>
      </c>
    </row>
    <row r="8" spans="1:8">
      <c r="A8" s="66" t="s">
        <v>360</v>
      </c>
      <c r="B8" s="66">
        <v>28.278099999999998</v>
      </c>
      <c r="C8" s="66">
        <v>3.48461</v>
      </c>
      <c r="D8" s="66">
        <v>12.3226</v>
      </c>
      <c r="E8" s="66">
        <v>20</v>
      </c>
      <c r="F8" s="66">
        <v>23.414899999999999</v>
      </c>
      <c r="G8" s="66">
        <v>50</v>
      </c>
      <c r="H8" s="66">
        <v>34.8964</v>
      </c>
    </row>
    <row r="9" spans="1:8">
      <c r="A9" s="66" t="s">
        <v>361</v>
      </c>
      <c r="B9" s="66">
        <v>66.964399999999998</v>
      </c>
      <c r="C9" s="66">
        <v>7.1149199999999997</v>
      </c>
      <c r="D9" s="66">
        <v>10.6249</v>
      </c>
      <c r="E9" s="66">
        <v>50</v>
      </c>
      <c r="F9" s="66">
        <v>56.384</v>
      </c>
      <c r="G9" s="66">
        <v>100</v>
      </c>
      <c r="H9" s="66">
        <v>85.475300000000004</v>
      </c>
    </row>
    <row r="10" spans="1:8">
      <c r="A10" s="66" t="s">
        <v>362</v>
      </c>
      <c r="B10" s="66">
        <v>80.876000000000005</v>
      </c>
      <c r="C10" s="66">
        <v>3.0591200000000001</v>
      </c>
      <c r="D10" s="66">
        <v>3.7824800000000001</v>
      </c>
      <c r="E10" s="66">
        <v>40</v>
      </c>
      <c r="F10" s="66">
        <v>71.344899999999996</v>
      </c>
      <c r="G10" s="66">
        <v>100</v>
      </c>
      <c r="H10" s="66">
        <v>85.116299999999995</v>
      </c>
    </row>
    <row r="11" spans="1:8">
      <c r="A11" s="66" t="s">
        <v>363</v>
      </c>
      <c r="B11" s="66">
        <v>14.4794</v>
      </c>
      <c r="C11" s="66">
        <v>4.4119000000000002</v>
      </c>
      <c r="D11" s="66">
        <v>30.470099999999999</v>
      </c>
      <c r="E11" s="66">
        <v>10</v>
      </c>
      <c r="F11" s="66">
        <v>4.2561200000000001</v>
      </c>
      <c r="G11" s="66">
        <v>50</v>
      </c>
      <c r="H11" s="66">
        <v>19.750299999999999</v>
      </c>
    </row>
    <row r="12" spans="1:8">
      <c r="A12" s="66" t="s">
        <v>364</v>
      </c>
      <c r="B12" s="66">
        <v>72.727000000000004</v>
      </c>
      <c r="C12" s="66">
        <v>4.0551899999999996</v>
      </c>
      <c r="D12" s="66">
        <v>5.57592</v>
      </c>
      <c r="E12" s="66">
        <v>50</v>
      </c>
      <c r="F12" s="66">
        <v>66.628399999999999</v>
      </c>
      <c r="G12" s="66">
        <v>100</v>
      </c>
      <c r="H12" s="66">
        <v>84.003200000000007</v>
      </c>
    </row>
    <row r="13" spans="1:8">
      <c r="A13" s="66" t="s">
        <v>365</v>
      </c>
      <c r="B13" s="66">
        <v>17.535</v>
      </c>
      <c r="C13" s="66">
        <v>3.8316400000000002</v>
      </c>
      <c r="D13" s="66">
        <v>21.851299999999998</v>
      </c>
      <c r="E13" s="66">
        <v>10</v>
      </c>
      <c r="F13" s="66">
        <v>13.222</v>
      </c>
      <c r="G13" s="66">
        <v>25</v>
      </c>
      <c r="H13" s="66">
        <v>30.192599999999999</v>
      </c>
    </row>
    <row r="14" spans="1:8">
      <c r="A14" s="66" t="s">
        <v>366</v>
      </c>
      <c r="B14" s="66">
        <v>38.316400000000002</v>
      </c>
      <c r="C14" s="66">
        <v>13.205500000000001</v>
      </c>
      <c r="D14" s="66">
        <v>34.464399999999998</v>
      </c>
      <c r="E14" s="66">
        <v>10</v>
      </c>
      <c r="F14" s="66">
        <v>1.1362099999999999</v>
      </c>
      <c r="G14" s="66">
        <v>50</v>
      </c>
      <c r="H14" s="66">
        <v>48.073399999999999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0.58223899999999995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0.66452299999999997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6.6145600000000004E-4</v>
      </c>
      <c r="C20" s="66">
        <v>5.8160200000000002E-2</v>
      </c>
      <c r="D20" s="66">
        <v>87.927599999999998</v>
      </c>
      <c r="E20" s="66">
        <v>0</v>
      </c>
      <c r="F20" s="66">
        <v>0</v>
      </c>
      <c r="G20" s="66">
        <v>0</v>
      </c>
      <c r="H20" s="66">
        <v>0.50700699999999999</v>
      </c>
    </row>
    <row r="21" spans="1:8">
      <c r="A21" s="66" t="s">
        <v>373</v>
      </c>
      <c r="B21" s="66">
        <v>9.1440599999999997E-2</v>
      </c>
      <c r="C21" s="66">
        <v>0.65810500000000005</v>
      </c>
      <c r="D21" s="66">
        <v>7.1970700000000001</v>
      </c>
      <c r="E21" s="66">
        <v>0</v>
      </c>
      <c r="F21" s="196">
        <v>8.5197099999999998E-5</v>
      </c>
      <c r="G21" s="66">
        <v>0</v>
      </c>
      <c r="H21" s="66">
        <v>4.98224</v>
      </c>
    </row>
    <row r="22" spans="1:8">
      <c r="A22" s="66" t="s">
        <v>374</v>
      </c>
      <c r="B22" s="66">
        <v>39.173299999999998</v>
      </c>
      <c r="C22" s="66">
        <v>11.742900000000001</v>
      </c>
      <c r="D22" s="66">
        <v>0.29976900000000001</v>
      </c>
      <c r="E22" s="66">
        <v>0</v>
      </c>
      <c r="F22" s="66">
        <v>24.332899999999999</v>
      </c>
      <c r="G22" s="66">
        <v>0</v>
      </c>
      <c r="H22" s="66">
        <v>88.198499999999996</v>
      </c>
    </row>
    <row r="23" spans="1:8">
      <c r="A23" s="66" t="s">
        <v>375</v>
      </c>
      <c r="B23" s="66">
        <v>13.226900000000001</v>
      </c>
      <c r="C23" s="66">
        <v>2.94875</v>
      </c>
      <c r="D23" s="66">
        <v>0.22293499999999999</v>
      </c>
      <c r="E23" s="66">
        <v>0</v>
      </c>
      <c r="F23" s="66">
        <v>4.8161500000000004</v>
      </c>
      <c r="G23" s="66">
        <v>0</v>
      </c>
      <c r="H23" s="66">
        <v>14.8536</v>
      </c>
    </row>
    <row r="24" spans="1:8">
      <c r="A24" s="66" t="s">
        <v>376</v>
      </c>
      <c r="B24" s="66">
        <v>2.52418E-3</v>
      </c>
      <c r="C24" s="66">
        <v>5.2751699999999999E-2</v>
      </c>
      <c r="D24" s="66">
        <v>20.898599999999998</v>
      </c>
      <c r="E24" s="66">
        <v>0</v>
      </c>
      <c r="F24" s="196">
        <v>2.4998500000000001E-5</v>
      </c>
      <c r="G24" s="66">
        <v>0</v>
      </c>
      <c r="H24" s="66">
        <v>0.471275</v>
      </c>
    </row>
    <row r="25" spans="1:8">
      <c r="A25" s="66" t="s">
        <v>377</v>
      </c>
      <c r="B25" s="66">
        <v>0.111581</v>
      </c>
      <c r="C25" s="66">
        <v>0.40856100000000001</v>
      </c>
      <c r="D25" s="66">
        <v>3.6615500000000001</v>
      </c>
      <c r="E25" s="66">
        <v>0</v>
      </c>
      <c r="F25" s="66">
        <v>3.74788E-2</v>
      </c>
      <c r="G25" s="66">
        <v>0</v>
      </c>
      <c r="H25" s="66">
        <v>1.93557</v>
      </c>
    </row>
    <row r="26" spans="1:8">
      <c r="A26" s="66" t="s">
        <v>378</v>
      </c>
      <c r="B26" s="66">
        <v>2.1664899999999999E-4</v>
      </c>
      <c r="C26" s="66">
        <v>6.2038400000000004E-3</v>
      </c>
      <c r="D26" s="66">
        <v>28.635400000000001</v>
      </c>
      <c r="E26" s="66">
        <v>0</v>
      </c>
      <c r="F26" s="66">
        <v>0</v>
      </c>
      <c r="G26" s="66">
        <v>0</v>
      </c>
      <c r="H26" s="66">
        <v>5.3318699999999997E-2</v>
      </c>
    </row>
    <row r="27" spans="1:8">
      <c r="A27" s="66" t="s">
        <v>379</v>
      </c>
      <c r="B27" s="196">
        <v>-3.2825599999999999E-6</v>
      </c>
      <c r="C27" s="66">
        <v>1.4152500000000001E-3</v>
      </c>
      <c r="D27" s="66">
        <v>-431.14100000000002</v>
      </c>
      <c r="E27" s="66">
        <v>0</v>
      </c>
      <c r="F27" s="66">
        <v>-8.41977E-3</v>
      </c>
      <c r="G27" s="66">
        <v>0</v>
      </c>
      <c r="H27" s="66">
        <v>9.5325600000000007E-3</v>
      </c>
    </row>
    <row r="28" spans="1:8">
      <c r="A28" s="66" t="s">
        <v>380</v>
      </c>
      <c r="B28" s="66">
        <v>1.2123999999999999E-2</v>
      </c>
      <c r="C28" s="66">
        <v>3.6052599999999997E-2</v>
      </c>
      <c r="D28" s="66">
        <v>2.9736500000000001</v>
      </c>
      <c r="E28" s="66">
        <v>0</v>
      </c>
      <c r="F28" s="196">
        <v>3.9062500000000001E-5</v>
      </c>
      <c r="G28" s="66">
        <v>0</v>
      </c>
      <c r="H28" s="66">
        <v>0.241475</v>
      </c>
    </row>
    <row r="29" spans="1:8">
      <c r="A29" s="66" t="s">
        <v>381</v>
      </c>
      <c r="B29" s="66">
        <v>69.642300000000006</v>
      </c>
      <c r="C29" s="66">
        <v>8.8697099999999995</v>
      </c>
      <c r="D29" s="66">
        <v>0.127361</v>
      </c>
      <c r="E29" s="66">
        <v>0</v>
      </c>
      <c r="F29" s="66">
        <v>47.767499999999998</v>
      </c>
      <c r="G29" s="66">
        <v>0</v>
      </c>
      <c r="H29" s="66">
        <v>94.335999999999999</v>
      </c>
    </row>
    <row r="30" spans="1:8">
      <c r="A30" s="66" t="s">
        <v>382</v>
      </c>
      <c r="B30" s="66">
        <v>16.261299999999999</v>
      </c>
      <c r="C30" s="66">
        <v>3.1160700000000001</v>
      </c>
      <c r="D30" s="66">
        <v>0.19162499999999999</v>
      </c>
      <c r="E30" s="66">
        <v>0</v>
      </c>
      <c r="F30" s="66">
        <v>7.2522599999999997</v>
      </c>
      <c r="G30" s="66">
        <v>0</v>
      </c>
      <c r="H30" s="66">
        <v>21.597300000000001</v>
      </c>
    </row>
    <row r="31" spans="1:8">
      <c r="A31" s="66" t="s">
        <v>383</v>
      </c>
      <c r="B31" s="66">
        <v>143.07</v>
      </c>
      <c r="C31" s="66">
        <v>51.536700000000003</v>
      </c>
      <c r="D31" s="66">
        <v>0.36021900000000001</v>
      </c>
      <c r="E31" s="66">
        <v>0</v>
      </c>
      <c r="F31" s="66">
        <v>14.1632</v>
      </c>
      <c r="G31" s="66">
        <v>0</v>
      </c>
      <c r="H31" s="66">
        <v>179.64400000000001</v>
      </c>
    </row>
    <row r="32" spans="1:8">
      <c r="A32" s="66" t="s">
        <v>384</v>
      </c>
      <c r="B32" s="66">
        <v>0.34529100000000001</v>
      </c>
      <c r="C32" s="66">
        <v>0.115428</v>
      </c>
      <c r="D32" s="66">
        <v>0.33429300000000001</v>
      </c>
      <c r="E32" s="66">
        <v>0.15</v>
      </c>
      <c r="F32" s="66">
        <v>2.54805E-2</v>
      </c>
      <c r="G32" s="66">
        <v>0.4</v>
      </c>
      <c r="H32" s="66">
        <v>0.50180100000000005</v>
      </c>
    </row>
    <row r="33" spans="1:8">
      <c r="A33" s="66" t="s">
        <v>385</v>
      </c>
      <c r="B33" s="66">
        <v>0.26952300000000001</v>
      </c>
      <c r="C33" s="66">
        <v>5.4503299999999998E-2</v>
      </c>
      <c r="D33" s="66">
        <v>0.20222100000000001</v>
      </c>
      <c r="E33" s="66">
        <v>0</v>
      </c>
      <c r="F33" s="66">
        <v>0.149589</v>
      </c>
      <c r="G33" s="66">
        <v>0</v>
      </c>
      <c r="H33" s="66">
        <v>0.41522599999999998</v>
      </c>
    </row>
    <row r="34" spans="1:8">
      <c r="A34" s="66" t="s">
        <v>386</v>
      </c>
      <c r="B34" s="66">
        <v>0.17535000000000001</v>
      </c>
      <c r="C34" s="66">
        <v>3.83164E-2</v>
      </c>
      <c r="D34" s="66">
        <v>0.21851300000000001</v>
      </c>
      <c r="E34" s="66">
        <v>0.1</v>
      </c>
      <c r="F34" s="66">
        <v>0.13222</v>
      </c>
      <c r="G34" s="66">
        <v>0.25</v>
      </c>
      <c r="H34" s="66">
        <v>0.30192600000000003</v>
      </c>
    </row>
    <row r="35" spans="1:8">
      <c r="A35" s="66" t="s">
        <v>387</v>
      </c>
      <c r="B35" s="66">
        <v>7.4079000000000006E-2</v>
      </c>
      <c r="C35" s="66">
        <v>2.8820800000000001E-2</v>
      </c>
      <c r="D35" s="66">
        <v>0.38905499999999998</v>
      </c>
      <c r="E35" s="66">
        <v>0</v>
      </c>
      <c r="F35" s="66">
        <v>1.4012999999999999E-2</v>
      </c>
      <c r="G35" s="66">
        <v>0</v>
      </c>
      <c r="H35" s="66">
        <v>0.14677799999999999</v>
      </c>
    </row>
    <row r="36" spans="1:8">
      <c r="A36" s="66" t="s">
        <v>388</v>
      </c>
      <c r="B36" s="66">
        <v>0.157025</v>
      </c>
      <c r="C36" s="66">
        <v>8.8582300000000003E-2</v>
      </c>
      <c r="D36" s="66">
        <v>0.56412799999999996</v>
      </c>
      <c r="E36" s="66">
        <v>0</v>
      </c>
      <c r="F36" s="66">
        <v>4.8761899999999997E-2</v>
      </c>
      <c r="G36" s="66">
        <v>0</v>
      </c>
      <c r="H36" s="66">
        <v>0.56131500000000001</v>
      </c>
    </row>
    <row r="37" spans="1:8">
      <c r="A37" s="66" t="s">
        <v>389</v>
      </c>
      <c r="B37" s="66">
        <v>0.383164</v>
      </c>
      <c r="C37" s="66">
        <v>0.13205500000000001</v>
      </c>
      <c r="D37" s="66">
        <v>0.34464400000000001</v>
      </c>
      <c r="E37" s="66">
        <v>0.1</v>
      </c>
      <c r="F37" s="66">
        <v>1.13621E-2</v>
      </c>
      <c r="G37" s="66">
        <v>0.5</v>
      </c>
      <c r="H37" s="66">
        <v>0.48073399999999999</v>
      </c>
    </row>
    <row r="38" spans="1:8">
      <c r="A38" s="66" t="s">
        <v>390</v>
      </c>
      <c r="B38" s="66">
        <v>-18.187100000000001</v>
      </c>
      <c r="C38" s="66">
        <v>47.506700000000002</v>
      </c>
      <c r="D38" s="66">
        <v>-2.6121099999999999</v>
      </c>
      <c r="E38" s="66">
        <v>0</v>
      </c>
      <c r="F38" s="66">
        <v>-197.15899999999999</v>
      </c>
      <c r="G38" s="66">
        <v>0</v>
      </c>
      <c r="H38" s="66">
        <v>139.673</v>
      </c>
    </row>
    <row r="39" spans="1:8">
      <c r="A39" s="66" t="s">
        <v>391</v>
      </c>
      <c r="B39" s="66">
        <v>-7.9809400000000004</v>
      </c>
      <c r="C39" s="66">
        <v>5.0366499999999998</v>
      </c>
      <c r="D39" s="66">
        <v>-0.63108500000000001</v>
      </c>
      <c r="E39" s="66">
        <v>0</v>
      </c>
      <c r="F39" s="66">
        <v>-15.889799999999999</v>
      </c>
      <c r="G39" s="66">
        <v>0</v>
      </c>
      <c r="H39" s="66">
        <v>6.4568399999999997</v>
      </c>
    </row>
    <row r="40" spans="1:8">
      <c r="A40" s="66" t="s">
        <v>392</v>
      </c>
      <c r="B40" s="66">
        <v>-1.3426899999999999</v>
      </c>
      <c r="C40" s="66">
        <v>1.0499799999999999</v>
      </c>
      <c r="D40" s="66">
        <v>-0.78199099999999999</v>
      </c>
      <c r="E40" s="66">
        <v>0</v>
      </c>
      <c r="F40" s="66">
        <v>-3.4182000000000001</v>
      </c>
      <c r="G40" s="66">
        <v>0</v>
      </c>
      <c r="H40" s="66">
        <v>-8.0359E-2</v>
      </c>
    </row>
    <row r="41" spans="1:8">
      <c r="A41" s="66" t="s">
        <v>393</v>
      </c>
      <c r="B41" s="66">
        <v>-0.124418</v>
      </c>
      <c r="C41" s="66">
        <v>0.34590300000000002</v>
      </c>
      <c r="D41" s="66">
        <v>-2.78016</v>
      </c>
      <c r="E41" s="66">
        <v>0</v>
      </c>
      <c r="F41" s="66">
        <v>-0.91666700000000001</v>
      </c>
      <c r="G41" s="66">
        <v>0</v>
      </c>
      <c r="H41" s="66">
        <v>1</v>
      </c>
    </row>
    <row r="42" spans="1:8">
      <c r="A42" s="66" t="s">
        <v>394</v>
      </c>
      <c r="B42" s="66">
        <v>-0.19703399999999999</v>
      </c>
      <c r="C42" s="66">
        <v>8.1312400000000007E-2</v>
      </c>
      <c r="D42" s="66">
        <v>-0.41268100000000002</v>
      </c>
      <c r="E42" s="66">
        <v>0</v>
      </c>
      <c r="F42" s="66">
        <v>-0.32903199999999999</v>
      </c>
      <c r="G42" s="66">
        <v>0</v>
      </c>
      <c r="H42" s="66">
        <v>5.9343399999999998E-2</v>
      </c>
    </row>
    <row r="43" spans="1:8">
      <c r="A43" s="66" t="s">
        <v>395</v>
      </c>
      <c r="B43" s="66">
        <v>-0.16225999999999999</v>
      </c>
      <c r="C43" s="66">
        <v>0.12273100000000001</v>
      </c>
      <c r="D43" s="66">
        <v>-0.756386</v>
      </c>
      <c r="E43" s="66">
        <v>0</v>
      </c>
      <c r="F43" s="66">
        <v>-0.27345000000000003</v>
      </c>
      <c r="G43" s="66">
        <v>0</v>
      </c>
      <c r="H43" s="66">
        <v>7.1065799999999998E-2</v>
      </c>
    </row>
    <row r="44" spans="1:8">
      <c r="A44" s="66" t="s">
        <v>396</v>
      </c>
      <c r="B44" s="66">
        <v>-24.226900000000001</v>
      </c>
      <c r="C44" s="66">
        <v>10.609</v>
      </c>
      <c r="D44" s="66">
        <v>-0.43790200000000001</v>
      </c>
      <c r="E44" s="66">
        <v>0</v>
      </c>
      <c r="F44" s="66">
        <v>-50.590299999999999</v>
      </c>
      <c r="G44" s="66">
        <v>0</v>
      </c>
      <c r="H44" s="66">
        <v>-1.83799</v>
      </c>
    </row>
    <row r="45" spans="1:8">
      <c r="A45" s="66" t="s">
        <v>397</v>
      </c>
      <c r="B45" s="66">
        <v>52.3369</v>
      </c>
      <c r="C45" s="66">
        <v>8.3816500000000005</v>
      </c>
      <c r="D45" s="66">
        <v>0.16014800000000001</v>
      </c>
      <c r="E45" s="66">
        <v>0</v>
      </c>
      <c r="F45" s="66">
        <v>33.878300000000003</v>
      </c>
      <c r="G45" s="66">
        <v>0</v>
      </c>
      <c r="H45" s="66">
        <v>75.069299999999998</v>
      </c>
    </row>
    <row r="46" spans="1:8">
      <c r="A46" s="66" t="s">
        <v>398</v>
      </c>
      <c r="B46" s="66">
        <v>24.722899999999999</v>
      </c>
      <c r="C46" s="66">
        <v>8.8513099999999998</v>
      </c>
      <c r="D46" s="66">
        <v>0.35802099999999998</v>
      </c>
      <c r="E46" s="66">
        <v>0</v>
      </c>
      <c r="F46" s="66">
        <v>6.7453200000000004</v>
      </c>
      <c r="G46" s="66">
        <v>0</v>
      </c>
      <c r="H46" s="66">
        <v>36.395499999999998</v>
      </c>
    </row>
    <row r="47" spans="1:8">
      <c r="A47" s="66" t="s">
        <v>399</v>
      </c>
      <c r="B47" s="66">
        <v>1.02691</v>
      </c>
      <c r="C47" s="66">
        <v>0.34521099999999999</v>
      </c>
      <c r="D47" s="66">
        <v>0.33616699999999999</v>
      </c>
      <c r="E47" s="66">
        <v>0</v>
      </c>
      <c r="F47" s="66">
        <v>0.61129699999999998</v>
      </c>
      <c r="G47" s="66">
        <v>0</v>
      </c>
      <c r="H47" s="66">
        <v>2.5316399999999999</v>
      </c>
    </row>
    <row r="48" spans="1:8">
      <c r="A48" s="66" t="s">
        <v>400</v>
      </c>
      <c r="B48" s="66">
        <v>0.76139699999999999</v>
      </c>
      <c r="C48" s="66">
        <v>0.14519099999999999</v>
      </c>
      <c r="D48" s="66">
        <v>0.190691</v>
      </c>
      <c r="E48" s="66">
        <v>0</v>
      </c>
      <c r="F48" s="66">
        <v>0.54952500000000004</v>
      </c>
      <c r="G48" s="66">
        <v>0</v>
      </c>
      <c r="H48" s="66">
        <v>1.23698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34.031300000000002</v>
      </c>
      <c r="C5" s="66">
        <v>3.53539</v>
      </c>
      <c r="D5" s="66">
        <v>10.3886</v>
      </c>
      <c r="E5" s="66">
        <v>20</v>
      </c>
      <c r="F5" s="66">
        <v>27.8368</v>
      </c>
      <c r="G5" s="66">
        <v>50</v>
      </c>
      <c r="H5" s="66">
        <v>43.040500000000002</v>
      </c>
    </row>
    <row r="6" spans="1:8">
      <c r="A6" s="66" t="s">
        <v>358</v>
      </c>
      <c r="B6" s="66">
        <v>25.498999999999999</v>
      </c>
      <c r="C6" s="66">
        <v>1.9760200000000001</v>
      </c>
      <c r="D6" s="66">
        <v>7.7494199999999998</v>
      </c>
      <c r="E6" s="66">
        <v>20</v>
      </c>
      <c r="F6" s="66">
        <v>22.9649</v>
      </c>
      <c r="G6" s="66">
        <v>40</v>
      </c>
      <c r="H6" s="66">
        <v>30.861899999999999</v>
      </c>
    </row>
    <row r="7" spans="1:8">
      <c r="A7" s="66" t="s">
        <v>359</v>
      </c>
      <c r="B7" s="66">
        <v>30.969899999999999</v>
      </c>
      <c r="C7" s="66">
        <v>7.2643500000000003</v>
      </c>
      <c r="D7" s="66">
        <v>23.456099999999999</v>
      </c>
      <c r="E7" s="66">
        <v>15</v>
      </c>
      <c r="F7" s="66">
        <v>11.1615</v>
      </c>
      <c r="G7" s="66">
        <v>40</v>
      </c>
      <c r="H7" s="66">
        <v>46.1038</v>
      </c>
    </row>
    <row r="8" spans="1:8">
      <c r="A8" s="66" t="s">
        <v>360</v>
      </c>
      <c r="B8" s="66">
        <v>29.492999999999999</v>
      </c>
      <c r="C8" s="66">
        <v>2.47749</v>
      </c>
      <c r="D8" s="66">
        <v>8.4002700000000008</v>
      </c>
      <c r="E8" s="66">
        <v>20</v>
      </c>
      <c r="F8" s="66">
        <v>25.037299999999998</v>
      </c>
      <c r="G8" s="66">
        <v>50</v>
      </c>
      <c r="H8" s="66">
        <v>36.915799999999997</v>
      </c>
    </row>
    <row r="9" spans="1:8">
      <c r="A9" s="66" t="s">
        <v>361</v>
      </c>
      <c r="B9" s="66">
        <v>60.2744</v>
      </c>
      <c r="C9" s="66">
        <v>5.8682699999999999</v>
      </c>
      <c r="D9" s="66">
        <v>9.7359100000000005</v>
      </c>
      <c r="E9" s="66">
        <v>50</v>
      </c>
      <c r="F9" s="66">
        <v>45.867400000000004</v>
      </c>
      <c r="G9" s="66">
        <v>100</v>
      </c>
      <c r="H9" s="66">
        <v>73.677400000000006</v>
      </c>
    </row>
    <row r="10" spans="1:8">
      <c r="A10" s="66" t="s">
        <v>362</v>
      </c>
      <c r="B10" s="66">
        <v>76.926500000000004</v>
      </c>
      <c r="C10" s="66">
        <v>2.2812100000000002</v>
      </c>
      <c r="D10" s="66">
        <v>2.9654400000000001</v>
      </c>
      <c r="E10" s="66">
        <v>40</v>
      </c>
      <c r="F10" s="66">
        <v>69.887</v>
      </c>
      <c r="G10" s="66">
        <v>100</v>
      </c>
      <c r="H10" s="66">
        <v>82.068399999999997</v>
      </c>
    </row>
    <row r="11" spans="1:8">
      <c r="A11" s="66" t="s">
        <v>363</v>
      </c>
      <c r="B11" s="66">
        <v>15.932</v>
      </c>
      <c r="C11" s="66">
        <v>1.7293799999999999</v>
      </c>
      <c r="D11" s="66">
        <v>10.854799999999999</v>
      </c>
      <c r="E11" s="66">
        <v>10</v>
      </c>
      <c r="F11" s="66">
        <v>13.263299999999999</v>
      </c>
      <c r="G11" s="66">
        <v>50</v>
      </c>
      <c r="H11" s="66">
        <v>19.405999999999999</v>
      </c>
    </row>
    <row r="12" spans="1:8">
      <c r="A12" s="66" t="s">
        <v>364</v>
      </c>
      <c r="B12" s="66">
        <v>68.742099999999994</v>
      </c>
      <c r="C12" s="66">
        <v>2.9031799999999999</v>
      </c>
      <c r="D12" s="66">
        <v>4.2232900000000004</v>
      </c>
      <c r="E12" s="66">
        <v>50</v>
      </c>
      <c r="F12" s="66">
        <v>61.057400000000001</v>
      </c>
      <c r="G12" s="66">
        <v>100</v>
      </c>
      <c r="H12" s="66">
        <v>74.152900000000002</v>
      </c>
    </row>
    <row r="13" spans="1:8">
      <c r="A13" s="66" t="s">
        <v>365</v>
      </c>
      <c r="B13" s="66">
        <v>17.631900000000002</v>
      </c>
      <c r="C13" s="66">
        <v>2.2108300000000001</v>
      </c>
      <c r="D13" s="66">
        <v>12.5388</v>
      </c>
      <c r="E13" s="66">
        <v>10</v>
      </c>
      <c r="F13" s="66">
        <v>13.2829</v>
      </c>
      <c r="G13" s="66">
        <v>25</v>
      </c>
      <c r="H13" s="66">
        <v>22.764399999999998</v>
      </c>
    </row>
    <row r="14" spans="1:8">
      <c r="A14" s="66" t="s">
        <v>366</v>
      </c>
      <c r="B14" s="66">
        <v>22.1083</v>
      </c>
      <c r="C14" s="66">
        <v>12.8896</v>
      </c>
      <c r="D14" s="66">
        <v>58.302</v>
      </c>
      <c r="E14" s="66">
        <v>10</v>
      </c>
      <c r="F14" s="66">
        <v>3.1005699999999998</v>
      </c>
      <c r="G14" s="66">
        <v>50</v>
      </c>
      <c r="H14" s="66">
        <v>38.204300000000003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0.520841</v>
      </c>
      <c r="C18" s="66">
        <v>4.9491599999999997E-2</v>
      </c>
      <c r="D18" s="66">
        <v>9.5022599999999999E-2</v>
      </c>
      <c r="E18" s="66">
        <v>0</v>
      </c>
      <c r="F18" s="66">
        <v>0.47134900000000002</v>
      </c>
      <c r="G18" s="66">
        <v>0</v>
      </c>
      <c r="H18" s="66">
        <v>0.57033299999999998</v>
      </c>
    </row>
    <row r="19" spans="1:8">
      <c r="A19" s="66" t="s">
        <v>371</v>
      </c>
      <c r="B19" s="66">
        <v>0.76500199999999996</v>
      </c>
      <c r="C19" s="66">
        <v>8.3037700000000006E-2</v>
      </c>
      <c r="D19" s="66">
        <v>0.108546</v>
      </c>
      <c r="E19" s="66">
        <v>0</v>
      </c>
      <c r="F19" s="66">
        <v>0.68196400000000001</v>
      </c>
      <c r="G19" s="66">
        <v>0</v>
      </c>
      <c r="H19" s="66">
        <v>0.84803899999999999</v>
      </c>
    </row>
    <row r="20" spans="1:8">
      <c r="A20" s="66" t="s">
        <v>372</v>
      </c>
      <c r="B20" s="66">
        <v>5.0819199999999998E-4</v>
      </c>
      <c r="C20" s="66">
        <v>4.17569E-2</v>
      </c>
      <c r="D20" s="66">
        <v>82.167500000000004</v>
      </c>
      <c r="E20" s="66">
        <v>0</v>
      </c>
      <c r="F20" s="66">
        <v>0</v>
      </c>
      <c r="G20" s="66">
        <v>0</v>
      </c>
      <c r="H20" s="66">
        <v>0.39361000000000002</v>
      </c>
    </row>
    <row r="21" spans="1:8">
      <c r="A21" s="66" t="s">
        <v>373</v>
      </c>
      <c r="B21" s="66">
        <v>6.6759899999999997E-2</v>
      </c>
      <c r="C21" s="66">
        <v>0.59956799999999999</v>
      </c>
      <c r="D21" s="66">
        <v>8.9809599999999996</v>
      </c>
      <c r="E21" s="66">
        <v>0</v>
      </c>
      <c r="F21" s="196">
        <v>7.1423100000000004E-5</v>
      </c>
      <c r="G21" s="66">
        <v>0</v>
      </c>
      <c r="H21" s="66">
        <v>4.3679899999999998</v>
      </c>
    </row>
    <row r="22" spans="1:8">
      <c r="A22" s="66" t="s">
        <v>374</v>
      </c>
      <c r="B22" s="66">
        <v>35.856699999999996</v>
      </c>
      <c r="C22" s="66">
        <v>14.386699999999999</v>
      </c>
      <c r="D22" s="66">
        <v>0.40122799999999997</v>
      </c>
      <c r="E22" s="66">
        <v>0</v>
      </c>
      <c r="F22" s="66">
        <v>16.258299999999998</v>
      </c>
      <c r="G22" s="66">
        <v>0</v>
      </c>
      <c r="H22" s="66">
        <v>93.078000000000003</v>
      </c>
    </row>
    <row r="23" spans="1:8">
      <c r="A23" s="66" t="s">
        <v>375</v>
      </c>
      <c r="B23" s="66">
        <v>16.391300000000001</v>
      </c>
      <c r="C23" s="66">
        <v>1.6025100000000001</v>
      </c>
      <c r="D23" s="66">
        <v>9.7766099999999995E-2</v>
      </c>
      <c r="E23" s="66">
        <v>0</v>
      </c>
      <c r="F23" s="66">
        <v>11.2263</v>
      </c>
      <c r="G23" s="66">
        <v>0</v>
      </c>
      <c r="H23" s="66">
        <v>19.137799999999999</v>
      </c>
    </row>
    <row r="24" spans="1:8">
      <c r="A24" s="66" t="s">
        <v>376</v>
      </c>
      <c r="B24" s="66">
        <v>1.87294E-3</v>
      </c>
      <c r="C24" s="66">
        <v>3.4567100000000003E-2</v>
      </c>
      <c r="D24" s="66">
        <v>18.456099999999999</v>
      </c>
      <c r="E24" s="66">
        <v>0</v>
      </c>
      <c r="F24" s="196">
        <v>3.62313E-5</v>
      </c>
      <c r="G24" s="66">
        <v>0</v>
      </c>
      <c r="H24" s="66">
        <v>0.27177099999999998</v>
      </c>
    </row>
    <row r="25" spans="1:8">
      <c r="A25" s="66" t="s">
        <v>377</v>
      </c>
      <c r="B25" s="66">
        <v>0.11154799999999999</v>
      </c>
      <c r="C25" s="66">
        <v>0.44665100000000002</v>
      </c>
      <c r="D25" s="66">
        <v>4.0041000000000002</v>
      </c>
      <c r="E25" s="66">
        <v>0</v>
      </c>
      <c r="F25" s="66">
        <v>1.39074E-2</v>
      </c>
      <c r="G25" s="66">
        <v>0</v>
      </c>
      <c r="H25" s="66">
        <v>1.9483200000000001</v>
      </c>
    </row>
    <row r="26" spans="1:8">
      <c r="A26" s="66" t="s">
        <v>378</v>
      </c>
      <c r="B26" s="66">
        <v>1.62487E-4</v>
      </c>
      <c r="C26" s="66">
        <v>5.0069700000000003E-3</v>
      </c>
      <c r="D26" s="66">
        <v>30.814599999999999</v>
      </c>
      <c r="E26" s="66">
        <v>0</v>
      </c>
      <c r="F26" s="66">
        <v>0</v>
      </c>
      <c r="G26" s="66">
        <v>0</v>
      </c>
      <c r="H26" s="66">
        <v>4.5387999999999998E-2</v>
      </c>
    </row>
    <row r="27" spans="1:8">
      <c r="A27" s="66" t="s">
        <v>379</v>
      </c>
      <c r="B27" s="196">
        <v>-3.2825599999999999E-6</v>
      </c>
      <c r="C27" s="66">
        <v>2.42742E-3</v>
      </c>
      <c r="D27" s="66">
        <v>-739.49099999999999</v>
      </c>
      <c r="E27" s="66">
        <v>0</v>
      </c>
      <c r="F27" s="66">
        <v>-2.5768099999999999E-2</v>
      </c>
      <c r="G27" s="66">
        <v>0</v>
      </c>
      <c r="H27" s="66">
        <v>2.7655599999999999E-2</v>
      </c>
    </row>
    <row r="28" spans="1:8">
      <c r="A28" s="66" t="s">
        <v>380</v>
      </c>
      <c r="B28" s="66">
        <v>9.0918000000000006E-3</v>
      </c>
      <c r="C28" s="66">
        <v>3.8178999999999998E-2</v>
      </c>
      <c r="D28" s="66">
        <v>4.1992799999999999</v>
      </c>
      <c r="E28" s="66">
        <v>0</v>
      </c>
      <c r="F28" s="196">
        <v>1.6276000000000001E-5</v>
      </c>
      <c r="G28" s="66">
        <v>0</v>
      </c>
      <c r="H28" s="66">
        <v>0.22359399999999999</v>
      </c>
    </row>
    <row r="29" spans="1:8">
      <c r="A29" s="66" t="s">
        <v>381</v>
      </c>
      <c r="B29" s="66">
        <v>65.284800000000004</v>
      </c>
      <c r="C29" s="66">
        <v>10.043900000000001</v>
      </c>
      <c r="D29" s="66">
        <v>0.15384800000000001</v>
      </c>
      <c r="E29" s="66">
        <v>0</v>
      </c>
      <c r="F29" s="66">
        <v>45.463000000000001</v>
      </c>
      <c r="G29" s="66">
        <v>0</v>
      </c>
      <c r="H29" s="66">
        <v>96.475399999999993</v>
      </c>
    </row>
    <row r="30" spans="1:8">
      <c r="A30" s="66" t="s">
        <v>382</v>
      </c>
      <c r="B30" s="66">
        <v>19.6815</v>
      </c>
      <c r="C30" s="66">
        <v>1.6002700000000001</v>
      </c>
      <c r="D30" s="66">
        <v>8.1308099999999994E-2</v>
      </c>
      <c r="E30" s="66">
        <v>0</v>
      </c>
      <c r="F30" s="66">
        <v>14.8779</v>
      </c>
      <c r="G30" s="66">
        <v>0</v>
      </c>
      <c r="H30" s="66">
        <v>22.195499999999999</v>
      </c>
    </row>
    <row r="31" spans="1:8">
      <c r="A31" s="66" t="s">
        <v>383</v>
      </c>
      <c r="B31" s="66">
        <v>144.89699999999999</v>
      </c>
      <c r="C31" s="66">
        <v>12.8025</v>
      </c>
      <c r="D31" s="66">
        <v>8.8355699999999995E-2</v>
      </c>
      <c r="E31" s="66">
        <v>0</v>
      </c>
      <c r="F31" s="66">
        <v>123.47499999999999</v>
      </c>
      <c r="G31" s="66">
        <v>0</v>
      </c>
      <c r="H31" s="66">
        <v>182.447</v>
      </c>
    </row>
    <row r="32" spans="1:8">
      <c r="A32" s="66" t="s">
        <v>384</v>
      </c>
      <c r="B32" s="66">
        <v>0.309699</v>
      </c>
      <c r="C32" s="66">
        <v>7.26435E-2</v>
      </c>
      <c r="D32" s="66">
        <v>0.23456099999999999</v>
      </c>
      <c r="E32" s="66">
        <v>0.15</v>
      </c>
      <c r="F32" s="66">
        <v>0.11161500000000001</v>
      </c>
      <c r="G32" s="66">
        <v>0.4</v>
      </c>
      <c r="H32" s="66">
        <v>0.461038</v>
      </c>
    </row>
    <row r="33" spans="1:8">
      <c r="A33" s="66" t="s">
        <v>385</v>
      </c>
      <c r="B33" s="66">
        <v>0.20116600000000001</v>
      </c>
      <c r="C33" s="66">
        <v>2.1999500000000002E-2</v>
      </c>
      <c r="D33" s="66">
        <v>0.10936</v>
      </c>
      <c r="E33" s="66">
        <v>0</v>
      </c>
      <c r="F33" s="66">
        <v>0.179733</v>
      </c>
      <c r="G33" s="66">
        <v>0</v>
      </c>
      <c r="H33" s="66">
        <v>0.30182300000000001</v>
      </c>
    </row>
    <row r="34" spans="1:8">
      <c r="A34" s="66" t="s">
        <v>386</v>
      </c>
      <c r="B34" s="66">
        <v>0.176319</v>
      </c>
      <c r="C34" s="66">
        <v>2.2108300000000001E-2</v>
      </c>
      <c r="D34" s="66">
        <v>0.125388</v>
      </c>
      <c r="E34" s="66">
        <v>0.1</v>
      </c>
      <c r="F34" s="66">
        <v>0.132829</v>
      </c>
      <c r="G34" s="66">
        <v>0.25</v>
      </c>
      <c r="H34" s="66">
        <v>0.22764400000000001</v>
      </c>
    </row>
    <row r="35" spans="1:8">
      <c r="A35" s="66" t="s">
        <v>387</v>
      </c>
      <c r="B35" s="66">
        <v>7.7834799999999996E-2</v>
      </c>
      <c r="C35" s="66">
        <v>2.00165E-2</v>
      </c>
      <c r="D35" s="66">
        <v>0.25716699999999998</v>
      </c>
      <c r="E35" s="66">
        <v>0</v>
      </c>
      <c r="F35" s="66">
        <v>3.8423600000000002E-2</v>
      </c>
      <c r="G35" s="66">
        <v>0</v>
      </c>
      <c r="H35" s="66">
        <v>0.123516</v>
      </c>
    </row>
    <row r="36" spans="1:8">
      <c r="A36" s="66" t="s">
        <v>388</v>
      </c>
      <c r="B36" s="66">
        <v>0.15041199999999999</v>
      </c>
      <c r="C36" s="66">
        <v>8.4026299999999998E-2</v>
      </c>
      <c r="D36" s="66">
        <v>0.55864100000000005</v>
      </c>
      <c r="E36" s="66">
        <v>0</v>
      </c>
      <c r="F36" s="66">
        <v>3.8778899999999998E-2</v>
      </c>
      <c r="G36" s="66">
        <v>0</v>
      </c>
      <c r="H36" s="66">
        <v>0.47459000000000001</v>
      </c>
    </row>
    <row r="37" spans="1:8">
      <c r="A37" s="66" t="s">
        <v>389</v>
      </c>
      <c r="B37" s="66">
        <v>0.221083</v>
      </c>
      <c r="C37" s="66">
        <v>0.12889600000000001</v>
      </c>
      <c r="D37" s="66">
        <v>0.58301999999999998</v>
      </c>
      <c r="E37" s="66">
        <v>0.1</v>
      </c>
      <c r="F37" s="66">
        <v>3.1005700000000001E-2</v>
      </c>
      <c r="G37" s="66">
        <v>0.5</v>
      </c>
      <c r="H37" s="66">
        <v>0.38204300000000002</v>
      </c>
    </row>
    <row r="38" spans="1:8">
      <c r="A38" s="66" t="s">
        <v>390</v>
      </c>
      <c r="B38" s="66">
        <v>-21.4269</v>
      </c>
      <c r="C38" s="66">
        <v>39.127000000000002</v>
      </c>
      <c r="D38" s="66">
        <v>-1.8260700000000001</v>
      </c>
      <c r="E38" s="66">
        <v>0</v>
      </c>
      <c r="F38" s="66">
        <v>-230.166</v>
      </c>
      <c r="G38" s="66">
        <v>0</v>
      </c>
      <c r="H38" s="66">
        <v>61.877299999999998</v>
      </c>
    </row>
    <row r="39" spans="1:8">
      <c r="A39" s="66" t="s">
        <v>391</v>
      </c>
      <c r="B39" s="66">
        <v>-6.9345100000000004</v>
      </c>
      <c r="C39" s="66">
        <v>3.9250500000000001</v>
      </c>
      <c r="D39" s="66">
        <v>-0.56601699999999999</v>
      </c>
      <c r="E39" s="66">
        <v>0</v>
      </c>
      <c r="F39" s="66">
        <v>-18.051500000000001</v>
      </c>
      <c r="G39" s="66">
        <v>0</v>
      </c>
      <c r="H39" s="66">
        <v>6.6832399999999996</v>
      </c>
    </row>
    <row r="40" spans="1:8">
      <c r="A40" s="66" t="s">
        <v>392</v>
      </c>
      <c r="B40" s="66">
        <v>-2.51315</v>
      </c>
      <c r="C40" s="66">
        <v>0.82628699999999999</v>
      </c>
      <c r="D40" s="66">
        <v>-0.32878499999999999</v>
      </c>
      <c r="E40" s="66">
        <v>0</v>
      </c>
      <c r="F40" s="66">
        <v>-3.2534800000000001</v>
      </c>
      <c r="G40" s="66">
        <v>0</v>
      </c>
      <c r="H40" s="66">
        <v>-0.198794</v>
      </c>
    </row>
    <row r="41" spans="1:8">
      <c r="A41" s="66" t="s">
        <v>393</v>
      </c>
      <c r="B41" s="66">
        <v>-0.140871</v>
      </c>
      <c r="C41" s="66">
        <v>0.28051599999999999</v>
      </c>
      <c r="D41" s="66">
        <v>-1.99129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-0.17426700000000001</v>
      </c>
      <c r="C42" s="66">
        <v>6.0366799999999998E-2</v>
      </c>
      <c r="D42" s="66">
        <v>-0.34640399999999999</v>
      </c>
      <c r="E42" s="66">
        <v>0</v>
      </c>
      <c r="F42" s="66">
        <v>-0.31158200000000003</v>
      </c>
      <c r="G42" s="66">
        <v>0</v>
      </c>
      <c r="H42" s="66">
        <v>0.19958100000000001</v>
      </c>
    </row>
    <row r="43" spans="1:8">
      <c r="A43" s="66" t="s">
        <v>395</v>
      </c>
      <c r="B43" s="66">
        <v>-6.4665399999999998E-2</v>
      </c>
      <c r="C43" s="66">
        <v>6.3060699999999997E-2</v>
      </c>
      <c r="D43" s="66">
        <v>-0.97518499999999997</v>
      </c>
      <c r="E43" s="66">
        <v>0</v>
      </c>
      <c r="F43" s="66">
        <v>-0.21360999999999999</v>
      </c>
      <c r="G43" s="66">
        <v>0</v>
      </c>
      <c r="H43" s="66">
        <v>5.72919E-2</v>
      </c>
    </row>
    <row r="44" spans="1:8">
      <c r="A44" s="66" t="s">
        <v>396</v>
      </c>
      <c r="B44" s="66">
        <v>-36.943600000000004</v>
      </c>
      <c r="C44" s="66">
        <v>12.2087</v>
      </c>
      <c r="D44" s="66">
        <v>-0.33046799999999998</v>
      </c>
      <c r="E44" s="66">
        <v>0</v>
      </c>
      <c r="F44" s="66">
        <v>-63.759799999999998</v>
      </c>
      <c r="G44" s="66">
        <v>0</v>
      </c>
      <c r="H44" s="66">
        <v>-15.253399999999999</v>
      </c>
    </row>
    <row r="45" spans="1:8">
      <c r="A45" s="66" t="s">
        <v>397</v>
      </c>
      <c r="B45" s="66">
        <v>53.328400000000002</v>
      </c>
      <c r="C45" s="66">
        <v>7.9871600000000003</v>
      </c>
      <c r="D45" s="66">
        <v>0.14977299999999999</v>
      </c>
      <c r="E45" s="66">
        <v>0</v>
      </c>
      <c r="F45" s="66">
        <v>34.247999999999998</v>
      </c>
      <c r="G45" s="66">
        <v>0</v>
      </c>
      <c r="H45" s="66">
        <v>70.868799999999993</v>
      </c>
    </row>
    <row r="46" spans="1:8">
      <c r="A46" s="66" t="s">
        <v>398</v>
      </c>
      <c r="B46" s="66">
        <v>25.180700000000002</v>
      </c>
      <c r="C46" s="66">
        <v>3.2492000000000001</v>
      </c>
      <c r="D46" s="66">
        <v>0.12903500000000001</v>
      </c>
      <c r="E46" s="66">
        <v>0</v>
      </c>
      <c r="F46" s="66">
        <v>19.983699999999999</v>
      </c>
      <c r="G46" s="66">
        <v>0</v>
      </c>
      <c r="H46" s="66">
        <v>33.877800000000001</v>
      </c>
    </row>
    <row r="47" spans="1:8">
      <c r="A47" s="66" t="s">
        <v>399</v>
      </c>
      <c r="B47" s="66">
        <v>0.88092000000000004</v>
      </c>
      <c r="C47" s="66">
        <v>0.59353599999999995</v>
      </c>
      <c r="D47" s="66">
        <v>0.67376800000000003</v>
      </c>
      <c r="E47" s="66">
        <v>0</v>
      </c>
      <c r="F47" s="66">
        <v>0.33564300000000002</v>
      </c>
      <c r="G47" s="66">
        <v>0</v>
      </c>
      <c r="H47" s="66">
        <v>3.5281699999999998</v>
      </c>
    </row>
    <row r="48" spans="1:8">
      <c r="A48" s="66" t="s">
        <v>400</v>
      </c>
      <c r="B48" s="66">
        <v>0.56808599999999998</v>
      </c>
      <c r="C48" s="66">
        <v>7.6089000000000004E-2</v>
      </c>
      <c r="D48" s="66">
        <v>0.133939</v>
      </c>
      <c r="E48" s="66">
        <v>0</v>
      </c>
      <c r="F48" s="66">
        <v>0.42441699999999999</v>
      </c>
      <c r="G48" s="66">
        <v>0</v>
      </c>
      <c r="H48" s="66">
        <v>0.70761700000000005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401</v>
      </c>
      <c r="B1" s="60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65.62070306542806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1.2669710810955259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0.56556822461059042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9001</v>
      </c>
      <c r="B8" s="66">
        <v>9001</v>
      </c>
      <c r="D8">
        <f t="shared" si="0"/>
        <v>5.4824641547588593E-2</v>
      </c>
      <c r="E8">
        <f t="shared" si="0"/>
        <v>5.4824641547588593E-2</v>
      </c>
      <c r="G8">
        <f t="shared" ca="1" si="1"/>
        <v>6</v>
      </c>
      <c r="H8">
        <f t="shared" ca="1" si="2"/>
        <v>0.32894784928553156</v>
      </c>
      <c r="I8">
        <f t="shared" ca="1" si="3"/>
        <v>194.88121876486193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14249</v>
      </c>
      <c r="B10" s="66">
        <v>14249</v>
      </c>
      <c r="D10">
        <f t="shared" si="0"/>
        <v>8.6789947496010433E-2</v>
      </c>
      <c r="E10">
        <f t="shared" si="0"/>
        <v>8.6789947496010433E-2</v>
      </c>
      <c r="G10">
        <f t="shared" ca="1" si="1"/>
        <v>8</v>
      </c>
      <c r="H10">
        <f t="shared" ca="1" si="2"/>
        <v>0.69431957996808347</v>
      </c>
      <c r="I10">
        <f t="shared" ca="1" si="3"/>
        <v>288.15524683316909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19021</v>
      </c>
      <c r="B13" s="66">
        <v>19021</v>
      </c>
      <c r="D13">
        <f t="shared" si="0"/>
        <v>0.11585596121282998</v>
      </c>
      <c r="E13">
        <f t="shared" si="0"/>
        <v>0.11585596121282998</v>
      </c>
      <c r="G13">
        <f t="shared" ca="1" si="1"/>
        <v>11</v>
      </c>
      <c r="H13">
        <f t="shared" ca="1" si="2"/>
        <v>1.2744155733411298</v>
      </c>
      <c r="I13">
        <f t="shared" ca="1" si="3"/>
        <v>345.6471312182033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31419</v>
      </c>
      <c r="B15" s="66">
        <v>31419</v>
      </c>
      <c r="D15">
        <f t="shared" si="0"/>
        <v>0.19137156013595</v>
      </c>
      <c r="E15">
        <f t="shared" si="0"/>
        <v>0.19137156013595</v>
      </c>
      <c r="G15">
        <f t="shared" ca="1" si="1"/>
        <v>13</v>
      </c>
      <c r="H15">
        <f t="shared" ca="1" si="2"/>
        <v>2.4878302817673501</v>
      </c>
      <c r="I15">
        <f t="shared" ca="1" si="3"/>
        <v>529.89605982512467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44715</v>
      </c>
      <c r="B18" s="66">
        <v>44715</v>
      </c>
      <c r="D18">
        <f t="shared" si="0"/>
        <v>0.27235683221868945</v>
      </c>
      <c r="E18">
        <f t="shared" si="0"/>
        <v>0.27235683221868945</v>
      </c>
      <c r="G18">
        <f t="shared" ca="1" si="1"/>
        <v>16</v>
      </c>
      <c r="H18">
        <f t="shared" ca="1" si="2"/>
        <v>4.3577093154990312</v>
      </c>
      <c r="I18">
        <f t="shared" ca="1" si="3"/>
        <v>670.60085232254357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49023</v>
      </c>
      <c r="B21" s="66">
        <v>49023</v>
      </c>
      <c r="D21">
        <f t="shared" si="0"/>
        <v>0.29859664510470341</v>
      </c>
      <c r="E21">
        <f t="shared" si="0"/>
        <v>0.29859664510470341</v>
      </c>
      <c r="G21">
        <f t="shared" ca="1" si="1"/>
        <v>19</v>
      </c>
      <c r="H21">
        <f t="shared" ca="1" si="2"/>
        <v>5.6733362569893648</v>
      </c>
      <c r="I21">
        <f t="shared" ca="1" si="3"/>
        <v>648.99680852717836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69086</v>
      </c>
      <c r="B23" s="66">
        <v>69086</v>
      </c>
      <c r="D23">
        <f t="shared" si="0"/>
        <v>0.42079937628671321</v>
      </c>
      <c r="E23">
        <f t="shared" si="0"/>
        <v>0.42079937628671321</v>
      </c>
      <c r="G23">
        <f t="shared" ca="1" si="1"/>
        <v>21</v>
      </c>
      <c r="H23">
        <f t="shared" ca="1" si="2"/>
        <v>8.8367869020209771</v>
      </c>
      <c r="I23">
        <f t="shared" ca="1" si="3"/>
        <v>837.81456355833632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69323</v>
      </c>
      <c r="B26" s="66">
        <v>69323</v>
      </c>
      <c r="D26">
        <f t="shared" si="0"/>
        <v>0.42224293145244796</v>
      </c>
      <c r="E26">
        <f t="shared" si="0"/>
        <v>0.42224293145244796</v>
      </c>
      <c r="G26">
        <f t="shared" ca="1" si="1"/>
        <v>24</v>
      </c>
      <c r="H26">
        <f t="shared" ca="1" si="2"/>
        <v>10.133830354858752</v>
      </c>
      <c r="I26">
        <f t="shared" ca="1" si="3"/>
        <v>731.44421979144045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82997</v>
      </c>
      <c r="B28" s="66">
        <v>82997</v>
      </c>
      <c r="D28">
        <f t="shared" si="0"/>
        <v>0.50553058266028339</v>
      </c>
      <c r="E28">
        <f t="shared" si="0"/>
        <v>0.50553058266028339</v>
      </c>
      <c r="G28">
        <f t="shared" ca="1" si="1"/>
        <v>26</v>
      </c>
      <c r="H28">
        <f t="shared" ca="1" si="2"/>
        <v>13.143795149167367</v>
      </c>
      <c r="I28">
        <f t="shared" ca="1" si="3"/>
        <v>793.58196497562346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99399</v>
      </c>
      <c r="B31" s="66">
        <v>99399</v>
      </c>
      <c r="D31">
        <f t="shared" si="0"/>
        <v>0.60543434564923437</v>
      </c>
      <c r="E31">
        <f t="shared" si="0"/>
        <v>0.60543434564923437</v>
      </c>
      <c r="G31">
        <f t="shared" ca="1" si="1"/>
        <v>29</v>
      </c>
      <c r="H31">
        <f t="shared" ca="1" si="2"/>
        <v>17.557596023827799</v>
      </c>
      <c r="I31">
        <f t="shared" ca="1" si="3"/>
        <v>811.93340574820286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109028</v>
      </c>
      <c r="B33" s="66">
        <v>109028</v>
      </c>
      <c r="D33">
        <f t="shared" si="0"/>
        <v>0.66408410383851668</v>
      </c>
      <c r="E33">
        <f t="shared" si="0"/>
        <v>0.66408410383851668</v>
      </c>
      <c r="G33">
        <f t="shared" ca="1" si="1"/>
        <v>31</v>
      </c>
      <c r="H33">
        <f t="shared" ca="1" si="2"/>
        <v>20.586607218994018</v>
      </c>
      <c r="I33">
        <f t="shared" ca="1" si="3"/>
        <v>795.96661189328472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112289</v>
      </c>
      <c r="B36" s="66">
        <v>112289</v>
      </c>
      <c r="D36">
        <f t="shared" si="0"/>
        <v>0.6839466920050189</v>
      </c>
      <c r="E36">
        <f t="shared" si="0"/>
        <v>0.6839466920050189</v>
      </c>
      <c r="G36">
        <f t="shared" ca="1" si="1"/>
        <v>34</v>
      </c>
      <c r="H36">
        <f t="shared" ca="1" si="2"/>
        <v>23.254187528170643</v>
      </c>
      <c r="I36">
        <f t="shared" ca="1" si="3"/>
        <v>683.8570008444525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101692</v>
      </c>
      <c r="B39" s="66">
        <v>101692</v>
      </c>
      <c r="D39">
        <f t="shared" si="0"/>
        <v>0.61940089415146971</v>
      </c>
      <c r="E39">
        <f t="shared" si="0"/>
        <v>0.61940089415146971</v>
      </c>
      <c r="G39">
        <f t="shared" ca="1" si="1"/>
        <v>37</v>
      </c>
      <c r="H39">
        <f t="shared" ca="1" si="2"/>
        <v>22.917833083604378</v>
      </c>
      <c r="I39">
        <f t="shared" ca="1" si="3"/>
        <v>507.37892490784162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102549</v>
      </c>
      <c r="B41" s="66">
        <v>102549</v>
      </c>
      <c r="D41">
        <f t="shared" si="0"/>
        <v>0.62462083835836713</v>
      </c>
      <c r="E41">
        <f t="shared" si="0"/>
        <v>0.62462083835836713</v>
      </c>
      <c r="G41">
        <f t="shared" ca="1" si="1"/>
        <v>39</v>
      </c>
      <c r="H41">
        <f t="shared" ca="1" si="2"/>
        <v>24.360212695976319</v>
      </c>
      <c r="I41">
        <f t="shared" ca="1" si="3"/>
        <v>442.64494742758774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104269</v>
      </c>
      <c r="B44" s="66">
        <v>104269</v>
      </c>
      <c r="D44">
        <f t="shared" si="0"/>
        <v>0.63509727247256031</v>
      </c>
      <c r="E44">
        <f t="shared" si="0"/>
        <v>0.63509727247256031</v>
      </c>
      <c r="G44">
        <f t="shared" ca="1" si="1"/>
        <v>42</v>
      </c>
      <c r="H44">
        <f t="shared" ca="1" si="2"/>
        <v>26.674085443847535</v>
      </c>
      <c r="I44">
        <f t="shared" ca="1" si="3"/>
        <v>354.34465641993341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101871</v>
      </c>
      <c r="B46" s="66">
        <v>101871</v>
      </c>
      <c r="D46">
        <f t="shared" si="0"/>
        <v>0.62049117421335376</v>
      </c>
      <c r="E46">
        <f t="shared" si="0"/>
        <v>0.62049117421335376</v>
      </c>
      <c r="G46">
        <f t="shared" ca="1" si="1"/>
        <v>44</v>
      </c>
      <c r="H46">
        <f t="shared" ca="1" si="2"/>
        <v>27.301611665387565</v>
      </c>
      <c r="I46">
        <f t="shared" ca="1" si="3"/>
        <v>290.05157839109535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100870</v>
      </c>
      <c r="B49" s="66">
        <v>100870</v>
      </c>
      <c r="D49">
        <f t="shared" si="0"/>
        <v>0.61439413319689606</v>
      </c>
      <c r="E49">
        <f t="shared" si="0"/>
        <v>0.61439413319689606</v>
      </c>
      <c r="G49">
        <f t="shared" ca="1" si="1"/>
        <v>47</v>
      </c>
      <c r="H49">
        <f t="shared" ca="1" si="2"/>
        <v>28.876524260254115</v>
      </c>
      <c r="I49">
        <f t="shared" ca="1" si="3"/>
        <v>213.02923578061876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116106</v>
      </c>
      <c r="B51" s="66">
        <v>116106</v>
      </c>
      <c r="D51">
        <f t="shared" si="0"/>
        <v>0.70719584840843475</v>
      </c>
      <c r="E51">
        <f t="shared" si="0"/>
        <v>0.70719584840843475</v>
      </c>
      <c r="G51">
        <f t="shared" ca="1" si="1"/>
        <v>49</v>
      </c>
      <c r="H51">
        <f t="shared" ca="1" si="2"/>
        <v>34.652596572013302</v>
      </c>
      <c r="I51">
        <f t="shared" ca="1" si="3"/>
        <v>195.36127635127906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128564</v>
      </c>
      <c r="B54" s="66">
        <v>128564</v>
      </c>
      <c r="D54">
        <f t="shared" si="0"/>
        <v>0.78307690433553823</v>
      </c>
      <c r="E54">
        <f t="shared" si="0"/>
        <v>0.78307690433553823</v>
      </c>
      <c r="G54">
        <f t="shared" ca="1" si="1"/>
        <v>52</v>
      </c>
      <c r="H54">
        <f t="shared" ca="1" si="2"/>
        <v>40.71999902544799</v>
      </c>
      <c r="I54">
        <f t="shared" ca="1" si="3"/>
        <v>145.27920877880052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145283</v>
      </c>
      <c r="B57" s="66">
        <v>145283</v>
      </c>
      <c r="D57">
        <f t="shared" si="0"/>
        <v>0.8849114984955353</v>
      </c>
      <c r="E57">
        <f t="shared" si="0"/>
        <v>0.8849114984955353</v>
      </c>
      <c r="G57">
        <f t="shared" ca="1" si="1"/>
        <v>55</v>
      </c>
      <c r="H57">
        <f t="shared" ca="1" si="2"/>
        <v>48.670132417254443</v>
      </c>
      <c r="I57">
        <f t="shared" ca="1" si="3"/>
        <v>99.817427328807227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153674</v>
      </c>
      <c r="B59" s="66">
        <v>153674</v>
      </c>
      <c r="D59">
        <f t="shared" si="0"/>
        <v>0.93602066050262522</v>
      </c>
      <c r="E59">
        <f t="shared" si="0"/>
        <v>0.93602066050262522</v>
      </c>
      <c r="G59">
        <f t="shared" ca="1" si="1"/>
        <v>57</v>
      </c>
      <c r="H59">
        <f t="shared" ca="1" si="2"/>
        <v>53.353177648649641</v>
      </c>
      <c r="I59">
        <f t="shared" ca="1" si="3"/>
        <v>69.561799393059076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164178</v>
      </c>
      <c r="B62" s="66">
        <v>164178</v>
      </c>
      <c r="D62">
        <f t="shared" si="0"/>
        <v>1</v>
      </c>
      <c r="E62">
        <f t="shared" si="0"/>
        <v>1</v>
      </c>
      <c r="G62">
        <f t="shared" ca="1" si="1"/>
        <v>60</v>
      </c>
      <c r="H62">
        <f t="shared" ca="1" si="2"/>
        <v>60</v>
      </c>
      <c r="I62">
        <f t="shared" ca="1" si="3"/>
        <v>31.592302949712391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160188</v>
      </c>
      <c r="B64" s="66">
        <v>160188</v>
      </c>
      <c r="D64">
        <f t="shared" si="0"/>
        <v>0.97569710923509845</v>
      </c>
      <c r="E64">
        <f t="shared" si="0"/>
        <v>0.97569710923509845</v>
      </c>
      <c r="G64">
        <f t="shared" ca="1" si="1"/>
        <v>62</v>
      </c>
      <c r="H64">
        <f t="shared" ca="1" si="2"/>
        <v>60.493220772576102</v>
      </c>
      <c r="I64">
        <f t="shared" ca="1" si="3"/>
        <v>12.790892167826188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156191</v>
      </c>
      <c r="B67" s="66">
        <v>156191</v>
      </c>
      <c r="D67">
        <f t="shared" ref="D67:E130" si="4">IFERROR( A67/MAX(A$2:A$257), 0 )</f>
        <v>0.95135158181973223</v>
      </c>
      <c r="E67">
        <f t="shared" si="4"/>
        <v>0.95135158181973223</v>
      </c>
      <c r="G67">
        <f t="shared" ref="G67:G130" ca="1" si="5">CELL("row",D67)-2</f>
        <v>65</v>
      </c>
      <c r="H67">
        <f t="shared" ref="H67:H130" ca="1" si="6">D67*G67</f>
        <v>61.837852818282592</v>
      </c>
      <c r="I67">
        <f t="shared" ref="I67:I130" ca="1" si="7">D67*((G67-$L$1)^2)</f>
        <v>0.36652940769035325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157597</v>
      </c>
      <c r="B69" s="66">
        <v>157597</v>
      </c>
      <c r="D69">
        <f t="shared" si="4"/>
        <v>0.9599154576130785</v>
      </c>
      <c r="E69">
        <f t="shared" si="4"/>
        <v>0.9599154576130785</v>
      </c>
      <c r="G69">
        <f t="shared" ca="1" si="5"/>
        <v>67</v>
      </c>
      <c r="H69">
        <f t="shared" ca="1" si="6"/>
        <v>64.314335660076253</v>
      </c>
      <c r="I69">
        <f t="shared" ca="1" si="7"/>
        <v>1.826200793858495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156506</v>
      </c>
      <c r="B72" s="66">
        <v>156506</v>
      </c>
      <c r="D72">
        <f t="shared" si="4"/>
        <v>0.95327023109064557</v>
      </c>
      <c r="E72">
        <f t="shared" si="4"/>
        <v>0.95327023109064557</v>
      </c>
      <c r="G72">
        <f t="shared" ca="1" si="5"/>
        <v>70</v>
      </c>
      <c r="H72">
        <f t="shared" ca="1" si="6"/>
        <v>66.728916176345194</v>
      </c>
      <c r="I72">
        <f t="shared" ca="1" si="7"/>
        <v>18.282046841172434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152128</v>
      </c>
      <c r="B75" s="66">
        <v>152128</v>
      </c>
      <c r="D75">
        <f t="shared" si="4"/>
        <v>0.92660405169998417</v>
      </c>
      <c r="E75">
        <f t="shared" si="4"/>
        <v>0.92660405169998417</v>
      </c>
      <c r="G75">
        <f t="shared" ca="1" si="5"/>
        <v>73</v>
      </c>
      <c r="H75">
        <f t="shared" ca="1" si="6"/>
        <v>67.642095774098848</v>
      </c>
      <c r="I75">
        <f t="shared" ca="1" si="7"/>
        <v>50.457318573501986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151899</v>
      </c>
      <c r="B77" s="66">
        <v>151899</v>
      </c>
      <c r="D77">
        <f t="shared" si="4"/>
        <v>0.92520922413478057</v>
      </c>
      <c r="E77">
        <f t="shared" si="4"/>
        <v>0.92520922413478057</v>
      </c>
      <c r="G77">
        <f t="shared" ca="1" si="5"/>
        <v>75</v>
      </c>
      <c r="H77">
        <f t="shared" ca="1" si="6"/>
        <v>69.390691810108549</v>
      </c>
      <c r="I77">
        <f t="shared" ca="1" si="7"/>
        <v>81.391775863359626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138667</v>
      </c>
      <c r="B80" s="66">
        <v>138667</v>
      </c>
      <c r="D80">
        <f t="shared" si="4"/>
        <v>0.84461377285629013</v>
      </c>
      <c r="E80">
        <f t="shared" si="4"/>
        <v>0.84461377285629013</v>
      </c>
      <c r="G80">
        <f t="shared" ca="1" si="5"/>
        <v>78</v>
      </c>
      <c r="H80">
        <f t="shared" ca="1" si="6"/>
        <v>65.879874282790624</v>
      </c>
      <c r="I80">
        <f t="shared" ca="1" si="7"/>
        <v>129.43452059395358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129536</v>
      </c>
      <c r="B82" s="66">
        <v>129536</v>
      </c>
      <c r="D82">
        <f t="shared" si="4"/>
        <v>0.7889973078000706</v>
      </c>
      <c r="E82">
        <f t="shared" si="4"/>
        <v>0.7889973078000706</v>
      </c>
      <c r="G82">
        <f t="shared" ca="1" si="5"/>
        <v>80</v>
      </c>
      <c r="H82">
        <f t="shared" ca="1" si="6"/>
        <v>63.119784624005646</v>
      </c>
      <c r="I82">
        <f t="shared" ca="1" si="7"/>
        <v>163.13638163190183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119761</v>
      </c>
      <c r="B85" s="66">
        <v>119761</v>
      </c>
      <c r="D85">
        <f t="shared" si="4"/>
        <v>0.72945827090109516</v>
      </c>
      <c r="E85">
        <f t="shared" si="4"/>
        <v>0.72945827090109516</v>
      </c>
      <c r="G85">
        <f t="shared" ca="1" si="5"/>
        <v>83</v>
      </c>
      <c r="H85">
        <f t="shared" ca="1" si="6"/>
        <v>60.545036484790899</v>
      </c>
      <c r="I85">
        <f t="shared" ca="1" si="7"/>
        <v>220.32554837980075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106472</v>
      </c>
      <c r="B88" s="66">
        <v>106472</v>
      </c>
      <c r="D88">
        <f t="shared" si="4"/>
        <v>0.64851563546882041</v>
      </c>
      <c r="E88">
        <f t="shared" si="4"/>
        <v>0.64851563546882041</v>
      </c>
      <c r="G88">
        <f t="shared" ca="1" si="5"/>
        <v>86</v>
      </c>
      <c r="H88">
        <f t="shared" ca="1" si="6"/>
        <v>55.772344650318558</v>
      </c>
      <c r="I88">
        <f t="shared" ca="1" si="7"/>
        <v>269.3387533468823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100111</v>
      </c>
      <c r="B90" s="66">
        <v>100111</v>
      </c>
      <c r="D90">
        <f t="shared" si="4"/>
        <v>0.60977110209650498</v>
      </c>
      <c r="E90">
        <f t="shared" si="4"/>
        <v>0.60977110209650498</v>
      </c>
      <c r="G90">
        <f t="shared" ca="1" si="5"/>
        <v>88</v>
      </c>
      <c r="H90">
        <f t="shared" ca="1" si="6"/>
        <v>53.659856984492436</v>
      </c>
      <c r="I90">
        <f t="shared" ca="1" si="7"/>
        <v>305.39344847632947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95846</v>
      </c>
      <c r="B93" s="66">
        <v>95846</v>
      </c>
      <c r="D93">
        <f t="shared" si="4"/>
        <v>0.5837932000633459</v>
      </c>
      <c r="E93">
        <f t="shared" si="4"/>
        <v>0.5837932000633459</v>
      </c>
      <c r="G93">
        <f t="shared" ca="1" si="5"/>
        <v>91</v>
      </c>
      <c r="H93">
        <f t="shared" ca="1" si="6"/>
        <v>53.125181205764477</v>
      </c>
      <c r="I93">
        <f t="shared" ca="1" si="7"/>
        <v>376.02628668858819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85171</v>
      </c>
      <c r="B95" s="66">
        <v>85171</v>
      </c>
      <c r="D95">
        <f t="shared" si="4"/>
        <v>0.51877230810461816</v>
      </c>
      <c r="E95">
        <f t="shared" si="4"/>
        <v>0.51877230810461816</v>
      </c>
      <c r="G95">
        <f t="shared" ca="1" si="5"/>
        <v>93</v>
      </c>
      <c r="H95">
        <f t="shared" ca="1" si="6"/>
        <v>48.245824653729493</v>
      </c>
      <c r="I95">
        <f t="shared" ca="1" si="7"/>
        <v>388.88515868558591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69281</v>
      </c>
      <c r="B98" s="66">
        <v>69281</v>
      </c>
      <c r="D98">
        <f t="shared" si="4"/>
        <v>0.42198711154965951</v>
      </c>
      <c r="E98">
        <f t="shared" si="4"/>
        <v>0.42198711154965951</v>
      </c>
      <c r="G98">
        <f t="shared" ca="1" si="5"/>
        <v>96</v>
      </c>
      <c r="H98">
        <f t="shared" ca="1" si="6"/>
        <v>40.510762708767317</v>
      </c>
      <c r="I98">
        <f t="shared" ca="1" si="7"/>
        <v>389.45261513231173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62009</v>
      </c>
      <c r="B100" s="66">
        <v>62009</v>
      </c>
      <c r="D100">
        <f t="shared" si="4"/>
        <v>0.37769372266686158</v>
      </c>
      <c r="E100">
        <f t="shared" si="4"/>
        <v>0.37769372266686158</v>
      </c>
      <c r="G100">
        <f t="shared" ca="1" si="5"/>
        <v>98</v>
      </c>
      <c r="H100">
        <f t="shared" ca="1" si="6"/>
        <v>37.013984821352437</v>
      </c>
      <c r="I100">
        <f t="shared" ca="1" si="7"/>
        <v>395.98122591586537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56937</v>
      </c>
      <c r="B103" s="66">
        <v>56937</v>
      </c>
      <c r="D103">
        <f t="shared" si="4"/>
        <v>0.34680042393012461</v>
      </c>
      <c r="E103">
        <f t="shared" si="4"/>
        <v>0.34680042393012461</v>
      </c>
      <c r="G103">
        <f t="shared" ca="1" si="5"/>
        <v>101</v>
      </c>
      <c r="H103">
        <f t="shared" ca="1" si="6"/>
        <v>35.026842816942583</v>
      </c>
      <c r="I103">
        <f t="shared" ca="1" si="7"/>
        <v>434.08823580061284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41173</v>
      </c>
      <c r="B106" s="66">
        <v>41173</v>
      </c>
      <c r="D106">
        <f t="shared" si="4"/>
        <v>0.2507826870835313</v>
      </c>
      <c r="E106">
        <f t="shared" si="4"/>
        <v>0.2507826870835313</v>
      </c>
      <c r="G106">
        <f t="shared" ca="1" si="5"/>
        <v>104</v>
      </c>
      <c r="H106">
        <f t="shared" ca="1" si="6"/>
        <v>26.081399456687254</v>
      </c>
      <c r="I106">
        <f t="shared" ca="1" si="7"/>
        <v>369.39548323049371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40410</v>
      </c>
      <c r="B108" s="66">
        <v>40410</v>
      </c>
      <c r="D108">
        <f t="shared" si="4"/>
        <v>0.24613529218287469</v>
      </c>
      <c r="E108">
        <f t="shared" si="4"/>
        <v>0.24613529218287469</v>
      </c>
      <c r="G108">
        <f t="shared" ca="1" si="5"/>
        <v>106</v>
      </c>
      <c r="H108">
        <f t="shared" ca="1" si="6"/>
        <v>26.090340971384716</v>
      </c>
      <c r="I108">
        <f t="shared" ca="1" si="7"/>
        <v>401.32054697824725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33337</v>
      </c>
      <c r="B111" s="66">
        <v>33337</v>
      </c>
      <c r="D111">
        <f t="shared" si="4"/>
        <v>0.20305400236328863</v>
      </c>
      <c r="E111">
        <f t="shared" si="4"/>
        <v>0.20305400236328863</v>
      </c>
      <c r="G111">
        <f t="shared" ca="1" si="5"/>
        <v>109</v>
      </c>
      <c r="H111">
        <f t="shared" ca="1" si="6"/>
        <v>22.132886257598461</v>
      </c>
      <c r="I111">
        <f t="shared" ca="1" si="7"/>
        <v>382.09959038605285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29045</v>
      </c>
      <c r="B113" s="66">
        <v>29045</v>
      </c>
      <c r="D113">
        <f t="shared" si="4"/>
        <v>0.17691164467833692</v>
      </c>
      <c r="E113">
        <f t="shared" si="4"/>
        <v>0.17691164467833692</v>
      </c>
      <c r="G113">
        <f t="shared" ca="1" si="5"/>
        <v>111</v>
      </c>
      <c r="H113">
        <f t="shared" ca="1" si="6"/>
        <v>19.6371925592954</v>
      </c>
      <c r="I113">
        <f t="shared" ca="1" si="7"/>
        <v>364.31071607991248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30175</v>
      </c>
      <c r="B116" s="66">
        <v>30175</v>
      </c>
      <c r="D116">
        <f t="shared" si="4"/>
        <v>0.18379441825335915</v>
      </c>
      <c r="E116">
        <f t="shared" si="4"/>
        <v>0.18379441825335915</v>
      </c>
      <c r="G116">
        <f t="shared" ca="1" si="5"/>
        <v>114</v>
      </c>
      <c r="H116">
        <f t="shared" ca="1" si="6"/>
        <v>20.952563680882943</v>
      </c>
      <c r="I116">
        <f t="shared" ca="1" si="7"/>
        <v>430.18119675951749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25738</v>
      </c>
      <c r="B118" s="66">
        <v>25738</v>
      </c>
      <c r="D118">
        <f t="shared" si="4"/>
        <v>0.15676887280878071</v>
      </c>
      <c r="E118">
        <f t="shared" si="4"/>
        <v>0.15676887280878071</v>
      </c>
      <c r="G118">
        <f t="shared" ca="1" si="5"/>
        <v>116</v>
      </c>
      <c r="H118">
        <f t="shared" ca="1" si="6"/>
        <v>18.185189245818563</v>
      </c>
      <c r="I118">
        <f t="shared" ca="1" si="7"/>
        <v>397.89093104767448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23366</v>
      </c>
      <c r="B121" s="66">
        <v>23366</v>
      </c>
      <c r="D121">
        <f t="shared" si="4"/>
        <v>0.14232113925130041</v>
      </c>
      <c r="E121">
        <f t="shared" si="4"/>
        <v>0.14232113925130041</v>
      </c>
      <c r="G121">
        <f t="shared" ca="1" si="5"/>
        <v>119</v>
      </c>
      <c r="H121">
        <f t="shared" ca="1" si="6"/>
        <v>16.93621557090475</v>
      </c>
      <c r="I121">
        <f t="shared" ca="1" si="7"/>
        <v>405.52264436868228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16657</v>
      </c>
      <c r="B124" s="66">
        <v>16657</v>
      </c>
      <c r="D124">
        <f t="shared" si="4"/>
        <v>0.10145695525588082</v>
      </c>
      <c r="E124">
        <f t="shared" si="4"/>
        <v>0.10145695525588082</v>
      </c>
      <c r="G124">
        <f t="shared" ca="1" si="5"/>
        <v>122</v>
      </c>
      <c r="H124">
        <f t="shared" ca="1" si="6"/>
        <v>12.377748541217461</v>
      </c>
      <c r="I124">
        <f t="shared" ca="1" si="7"/>
        <v>322.49362686285491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17523</v>
      </c>
      <c r="B126" s="66">
        <v>17523</v>
      </c>
      <c r="D126">
        <f t="shared" si="4"/>
        <v>0.10673171801337572</v>
      </c>
      <c r="E126">
        <f t="shared" si="4"/>
        <v>0.10673171801337572</v>
      </c>
      <c r="G126">
        <f t="shared" ca="1" si="5"/>
        <v>124</v>
      </c>
      <c r="H126">
        <f t="shared" ca="1" si="6"/>
        <v>13.234733033658589</v>
      </c>
      <c r="I126">
        <f t="shared" ca="1" si="7"/>
        <v>363.75688404173724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17695</v>
      </c>
      <c r="B129" s="66">
        <v>17695</v>
      </c>
      <c r="D129">
        <f t="shared" si="4"/>
        <v>0.10777936142479504</v>
      </c>
      <c r="E129">
        <f t="shared" si="4"/>
        <v>0.10777936142479504</v>
      </c>
      <c r="G129">
        <f t="shared" ca="1" si="5"/>
        <v>127</v>
      </c>
      <c r="H129">
        <f t="shared" ca="1" si="6"/>
        <v>13.68797890094897</v>
      </c>
      <c r="I129">
        <f t="shared" ca="1" si="7"/>
        <v>406.0499161956335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15391</v>
      </c>
      <c r="B131" s="66">
        <v>15391</v>
      </c>
      <c r="D131">
        <f t="shared" ref="D131:E194" si="8">IFERROR( A131/MAX(A$2:A$257), 0 )</f>
        <v>9.3745812471829351E-2</v>
      </c>
      <c r="E131">
        <f t="shared" si="8"/>
        <v>9.3745812471829351E-2</v>
      </c>
      <c r="G131">
        <f t="shared" ref="G131:G194" ca="1" si="9">CELL("row",D131)-2</f>
        <v>129</v>
      </c>
      <c r="H131">
        <f t="shared" ref="H131:H194" ca="1" si="10">D131*G131</f>
        <v>12.093209808865986</v>
      </c>
      <c r="I131">
        <f t="shared" ref="I131:I194" ca="1" si="11">D131*((G131-$L$1)^2)</f>
        <v>376.57086146291567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18228</v>
      </c>
      <c r="B134" s="66">
        <v>18228</v>
      </c>
      <c r="D134">
        <f t="shared" si="8"/>
        <v>0.11102583781018163</v>
      </c>
      <c r="E134">
        <f t="shared" si="8"/>
        <v>0.11102583781018163</v>
      </c>
      <c r="G134">
        <f t="shared" ca="1" si="9"/>
        <v>132</v>
      </c>
      <c r="H134">
        <f t="shared" ca="1" si="10"/>
        <v>14.655410590943976</v>
      </c>
      <c r="I134">
        <f t="shared" ca="1" si="11"/>
        <v>489.20327467464392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15356</v>
      </c>
      <c r="B136" s="66">
        <v>15356</v>
      </c>
      <c r="D136">
        <f t="shared" si="8"/>
        <v>9.3532629219505656E-2</v>
      </c>
      <c r="E136">
        <f t="shared" si="8"/>
        <v>9.3532629219505656E-2</v>
      </c>
      <c r="G136">
        <f t="shared" ca="1" si="9"/>
        <v>134</v>
      </c>
      <c r="H136">
        <f t="shared" ca="1" si="10"/>
        <v>12.533372315413757</v>
      </c>
      <c r="I136">
        <f t="shared" ca="1" si="11"/>
        <v>437.33315666979877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16595</v>
      </c>
      <c r="B139" s="66">
        <v>16595</v>
      </c>
      <c r="D139">
        <f t="shared" si="8"/>
        <v>0.10107931635176455</v>
      </c>
      <c r="E139">
        <f t="shared" si="8"/>
        <v>0.10107931635176455</v>
      </c>
      <c r="G139">
        <f t="shared" ca="1" si="9"/>
        <v>137</v>
      </c>
      <c r="H139">
        <f t="shared" ca="1" si="10"/>
        <v>13.847866340191743</v>
      </c>
      <c r="I139">
        <f t="shared" ca="1" si="11"/>
        <v>514.9995242502074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15139</v>
      </c>
      <c r="B142" s="66">
        <v>15139</v>
      </c>
      <c r="D142">
        <f t="shared" si="8"/>
        <v>9.2210893055098733E-2</v>
      </c>
      <c r="E142">
        <f t="shared" si="8"/>
        <v>9.2210893055098733E-2</v>
      </c>
      <c r="G142">
        <f t="shared" ca="1" si="9"/>
        <v>140</v>
      </c>
      <c r="H142">
        <f t="shared" ca="1" si="10"/>
        <v>12.909525027713823</v>
      </c>
      <c r="I142">
        <f t="shared" ca="1" si="11"/>
        <v>510.13646213958771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15729</v>
      </c>
      <c r="B144" s="66">
        <v>15729</v>
      </c>
      <c r="D144">
        <f t="shared" si="8"/>
        <v>9.5804553594269634E-2</v>
      </c>
      <c r="E144">
        <f t="shared" si="8"/>
        <v>9.5804553594269634E-2</v>
      </c>
      <c r="G144">
        <f t="shared" ca="1" si="9"/>
        <v>142</v>
      </c>
      <c r="H144">
        <f t="shared" ca="1" si="10"/>
        <v>13.604246610386289</v>
      </c>
      <c r="I144">
        <f t="shared" ca="1" si="11"/>
        <v>558.90431736561948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11408</v>
      </c>
      <c r="B147" s="66">
        <v>11408</v>
      </c>
      <c r="D147">
        <f t="shared" si="8"/>
        <v>6.9485558357392591E-2</v>
      </c>
      <c r="E147">
        <f t="shared" si="8"/>
        <v>6.9485558357392591E-2</v>
      </c>
      <c r="G147">
        <f t="shared" ca="1" si="9"/>
        <v>145</v>
      </c>
      <c r="H147">
        <f t="shared" ca="1" si="10"/>
        <v>10.075405961821925</v>
      </c>
      <c r="I147">
        <f t="shared" ca="1" si="11"/>
        <v>437.83356049581408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10440</v>
      </c>
      <c r="B149" s="66">
        <v>10440</v>
      </c>
      <c r="D149">
        <f t="shared" si="8"/>
        <v>6.3589518693125749E-2</v>
      </c>
      <c r="E149">
        <f t="shared" si="8"/>
        <v>6.3589518693125749E-2</v>
      </c>
      <c r="G149">
        <f t="shared" ca="1" si="9"/>
        <v>147</v>
      </c>
      <c r="H149">
        <f t="shared" ca="1" si="10"/>
        <v>9.3476592478894851</v>
      </c>
      <c r="I149">
        <f t="shared" ca="1" si="11"/>
        <v>421.12730866657523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8232</v>
      </c>
      <c r="B152" s="66">
        <v>8232</v>
      </c>
      <c r="D152">
        <f t="shared" si="8"/>
        <v>5.014070094653364E-2</v>
      </c>
      <c r="E152">
        <f t="shared" si="8"/>
        <v>5.014070094653364E-2</v>
      </c>
      <c r="G152">
        <f t="shared" ca="1" si="9"/>
        <v>150</v>
      </c>
      <c r="H152">
        <f t="shared" ca="1" si="10"/>
        <v>7.5211051419800459</v>
      </c>
      <c r="I152">
        <f t="shared" ca="1" si="11"/>
        <v>356.99505940901548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7984</v>
      </c>
      <c r="B154" s="66">
        <v>7984</v>
      </c>
      <c r="D154">
        <f t="shared" si="8"/>
        <v>4.8630145330068583E-2</v>
      </c>
      <c r="E154">
        <f t="shared" si="8"/>
        <v>4.8630145330068583E-2</v>
      </c>
      <c r="G154">
        <f t="shared" ca="1" si="9"/>
        <v>152</v>
      </c>
      <c r="H154">
        <f t="shared" ca="1" si="10"/>
        <v>7.391782090170425</v>
      </c>
      <c r="I154">
        <f t="shared" ca="1" si="11"/>
        <v>362.84813668253372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5214</v>
      </c>
      <c r="B157" s="66">
        <v>5214</v>
      </c>
      <c r="D157">
        <f t="shared" si="8"/>
        <v>3.1758213646164532E-2</v>
      </c>
      <c r="E157">
        <f t="shared" si="8"/>
        <v>3.1758213646164532E-2</v>
      </c>
      <c r="G157">
        <f t="shared" ca="1" si="9"/>
        <v>155</v>
      </c>
      <c r="H157">
        <f t="shared" ca="1" si="10"/>
        <v>4.9225231151555029</v>
      </c>
      <c r="I157">
        <f t="shared" ca="1" si="11"/>
        <v>253.70553039251814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5925</v>
      </c>
      <c r="B160" s="66">
        <v>5925</v>
      </c>
      <c r="D160">
        <f t="shared" si="8"/>
        <v>3.6088879143368779E-2</v>
      </c>
      <c r="E160">
        <f t="shared" si="8"/>
        <v>3.6088879143368779E-2</v>
      </c>
      <c r="G160">
        <f t="shared" ca="1" si="9"/>
        <v>158</v>
      </c>
      <c r="H160">
        <f t="shared" ca="1" si="10"/>
        <v>5.7020429046522674</v>
      </c>
      <c r="I160">
        <f t="shared" ca="1" si="11"/>
        <v>307.98013086464346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4417</v>
      </c>
      <c r="B162" s="66">
        <v>4417</v>
      </c>
      <c r="D162">
        <f t="shared" si="8"/>
        <v>2.690372644325062E-2</v>
      </c>
      <c r="E162">
        <f t="shared" si="8"/>
        <v>2.690372644325062E-2</v>
      </c>
      <c r="G162">
        <f t="shared" ca="1" si="9"/>
        <v>160</v>
      </c>
      <c r="H162">
        <f t="shared" ca="1" si="10"/>
        <v>4.3045962309200991</v>
      </c>
      <c r="I162">
        <f t="shared" ca="1" si="11"/>
        <v>239.6436435705742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1722</v>
      </c>
      <c r="B165" s="66">
        <v>1722</v>
      </c>
      <c r="D165">
        <f t="shared" si="8"/>
        <v>1.0488616014325915E-2</v>
      </c>
      <c r="E165">
        <f t="shared" si="8"/>
        <v>1.0488616014325915E-2</v>
      </c>
      <c r="G165">
        <f t="shared" ca="1" si="9"/>
        <v>163</v>
      </c>
      <c r="H165">
        <f t="shared" ca="1" si="10"/>
        <v>1.709644410335124</v>
      </c>
      <c r="I165">
        <f t="shared" ca="1" si="11"/>
        <v>99.460687216764597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1176</v>
      </c>
      <c r="B167" s="66">
        <v>1176</v>
      </c>
      <c r="D167">
        <f t="shared" si="8"/>
        <v>7.1629572780762341E-3</v>
      </c>
      <c r="E167">
        <f t="shared" si="8"/>
        <v>7.1629572780762341E-3</v>
      </c>
      <c r="G167">
        <f t="shared" ca="1" si="9"/>
        <v>165</v>
      </c>
      <c r="H167">
        <f t="shared" ca="1" si="10"/>
        <v>1.1818879508825786</v>
      </c>
      <c r="I167">
        <f t="shared" ca="1" si="11"/>
        <v>70.743118561748517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409</v>
      </c>
      <c r="B170" s="66">
        <v>409</v>
      </c>
      <c r="D170">
        <f t="shared" si="8"/>
        <v>2.4911985771540646E-3</v>
      </c>
      <c r="E170">
        <f t="shared" si="8"/>
        <v>2.4911985771540646E-3</v>
      </c>
      <c r="G170">
        <f t="shared" ca="1" si="9"/>
        <v>168</v>
      </c>
      <c r="H170">
        <f t="shared" ca="1" si="10"/>
        <v>0.41852136096188286</v>
      </c>
      <c r="I170">
        <f t="shared" ca="1" si="11"/>
        <v>26.111548808575183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92</v>
      </c>
      <c r="B173" s="66">
        <v>92</v>
      </c>
      <c r="D173">
        <f t="shared" si="8"/>
        <v>5.6036740610800474E-4</v>
      </c>
      <c r="E173">
        <f t="shared" si="8"/>
        <v>5.6036740610800474E-4</v>
      </c>
      <c r="G173">
        <f t="shared" ca="1" si="9"/>
        <v>171</v>
      </c>
      <c r="H173">
        <f t="shared" ca="1" si="10"/>
        <v>9.5822826444468809E-2</v>
      </c>
      <c r="I173">
        <f t="shared" ca="1" si="11"/>
        <v>6.2227658545180899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139</v>
      </c>
      <c r="B175" s="66">
        <v>139</v>
      </c>
      <c r="D175">
        <f t="shared" si="8"/>
        <v>8.4664205922839843E-4</v>
      </c>
      <c r="E175">
        <f t="shared" si="8"/>
        <v>8.4664205922839843E-4</v>
      </c>
      <c r="G175">
        <f t="shared" ca="1" si="9"/>
        <v>173</v>
      </c>
      <c r="H175">
        <f t="shared" ca="1" si="10"/>
        <v>0.14646907624651292</v>
      </c>
      <c r="I175">
        <f t="shared" ca="1" si="11"/>
        <v>9.7620482891291953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63.034620605432259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1.2170403193529067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0.61209935713766361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7414</v>
      </c>
      <c r="B8" s="66">
        <v>7414</v>
      </c>
      <c r="D8">
        <f t="shared" si="0"/>
        <v>11.82720224611556</v>
      </c>
      <c r="E8">
        <f t="shared" si="1"/>
        <v>11.82720224611556</v>
      </c>
      <c r="G8">
        <f t="shared" ca="1" si="2"/>
        <v>6</v>
      </c>
      <c r="H8">
        <f t="shared" ca="1" si="3"/>
        <v>70.963213476693355</v>
      </c>
      <c r="I8">
        <f t="shared" ca="1" si="4"/>
        <v>38473.27327241793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11112</v>
      </c>
      <c r="B10" s="66">
        <v>11112</v>
      </c>
      <c r="D10">
        <f t="shared" si="0"/>
        <v>17.726446096417064</v>
      </c>
      <c r="E10">
        <f t="shared" si="1"/>
        <v>17.726446096417064</v>
      </c>
      <c r="G10">
        <f t="shared" ca="1" si="2"/>
        <v>8</v>
      </c>
      <c r="H10">
        <f t="shared" ca="1" si="3"/>
        <v>141.81156877133651</v>
      </c>
      <c r="I10">
        <f t="shared" ca="1" si="4"/>
        <v>53690.027720899656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14976</v>
      </c>
      <c r="B13" s="66">
        <v>14976</v>
      </c>
      <c r="D13">
        <f t="shared" si="0"/>
        <v>23.890501866445458</v>
      </c>
      <c r="E13">
        <f t="shared" si="1"/>
        <v>23.890501866445458</v>
      </c>
      <c r="G13">
        <f t="shared" ca="1" si="2"/>
        <v>11</v>
      </c>
      <c r="H13">
        <f t="shared" ca="1" si="3"/>
        <v>262.79552053090003</v>
      </c>
      <c r="I13">
        <f t="shared" ca="1" si="4"/>
        <v>64685.964460121722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24129</v>
      </c>
      <c r="B15" s="66">
        <v>24129</v>
      </c>
      <c r="D15">
        <f t="shared" si="0"/>
        <v>38.491848259579491</v>
      </c>
      <c r="E15">
        <f t="shared" si="1"/>
        <v>38.491848259579491</v>
      </c>
      <c r="G15">
        <f t="shared" ca="1" si="2"/>
        <v>13</v>
      </c>
      <c r="H15">
        <f t="shared" ca="1" si="3"/>
        <v>500.39402737453338</v>
      </c>
      <c r="I15">
        <f t="shared" ca="1" si="4"/>
        <v>96362.92789384682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31791</v>
      </c>
      <c r="B18" s="66">
        <v>31791</v>
      </c>
      <c r="D18">
        <f t="shared" si="0"/>
        <v>50.714673132756914</v>
      </c>
      <c r="E18">
        <f t="shared" si="1"/>
        <v>50.714673132756914</v>
      </c>
      <c r="G18">
        <f t="shared" ca="1" si="2"/>
        <v>16</v>
      </c>
      <c r="H18">
        <f t="shared" ca="1" si="3"/>
        <v>811.43477012411063</v>
      </c>
      <c r="I18">
        <f t="shared" ca="1" si="4"/>
        <v>112193.81636886006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29574</v>
      </c>
      <c r="B21" s="66">
        <v>29574</v>
      </c>
      <c r="D21">
        <f t="shared" si="0"/>
        <v>47.177998277127273</v>
      </c>
      <c r="E21">
        <f t="shared" si="1"/>
        <v>47.177998277127273</v>
      </c>
      <c r="G21">
        <f t="shared" ca="1" si="2"/>
        <v>19</v>
      </c>
      <c r="H21">
        <f t="shared" ca="1" si="3"/>
        <v>896.38196726541821</v>
      </c>
      <c r="I21">
        <f t="shared" ca="1" si="4"/>
        <v>91480.394327404152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40575</v>
      </c>
      <c r="B23" s="66">
        <v>40575</v>
      </c>
      <c r="D23">
        <f t="shared" si="0"/>
        <v>64.727371342883572</v>
      </c>
      <c r="E23">
        <f t="shared" si="1"/>
        <v>64.727371342883572</v>
      </c>
      <c r="G23">
        <f t="shared" ca="1" si="2"/>
        <v>21</v>
      </c>
      <c r="H23">
        <f t="shared" ca="1" si="3"/>
        <v>1359.2747982005551</v>
      </c>
      <c r="I23">
        <f t="shared" ca="1" si="4"/>
        <v>114367.39629603853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42537</v>
      </c>
      <c r="B26" s="66">
        <v>42537</v>
      </c>
      <c r="D26">
        <f t="shared" si="0"/>
        <v>67.857256803752037</v>
      </c>
      <c r="E26">
        <f t="shared" si="1"/>
        <v>67.857256803752037</v>
      </c>
      <c r="G26">
        <f t="shared" ca="1" si="2"/>
        <v>24</v>
      </c>
      <c r="H26">
        <f t="shared" ca="1" si="3"/>
        <v>1628.574163290049</v>
      </c>
      <c r="I26">
        <f t="shared" ca="1" si="4"/>
        <v>103394.21115774101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49862</v>
      </c>
      <c r="B28" s="66">
        <v>49862</v>
      </c>
      <c r="D28">
        <f t="shared" si="0"/>
        <v>79.542481574833303</v>
      </c>
      <c r="E28">
        <f t="shared" si="1"/>
        <v>79.542481574833303</v>
      </c>
      <c r="G28">
        <f t="shared" ca="1" si="2"/>
        <v>26</v>
      </c>
      <c r="H28">
        <f t="shared" ca="1" si="3"/>
        <v>2068.1045209456661</v>
      </c>
      <c r="I28">
        <f t="shared" ca="1" si="4"/>
        <v>109097.53447083529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58623</v>
      </c>
      <c r="B31" s="66">
        <v>58623</v>
      </c>
      <c r="D31">
        <f t="shared" si="0"/>
        <v>93.518488976805031</v>
      </c>
      <c r="E31">
        <f t="shared" si="1"/>
        <v>93.518488976805031</v>
      </c>
      <c r="G31">
        <f t="shared" ca="1" si="2"/>
        <v>29</v>
      </c>
      <c r="H31">
        <f t="shared" ca="1" si="3"/>
        <v>2712.0361803273458</v>
      </c>
      <c r="I31">
        <f t="shared" ca="1" si="4"/>
        <v>108327.64668327734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62686</v>
      </c>
      <c r="B33" s="66">
        <v>62686</v>
      </c>
      <c r="D33">
        <f t="shared" si="0"/>
        <v>100</v>
      </c>
      <c r="E33">
        <f t="shared" si="1"/>
        <v>100</v>
      </c>
      <c r="G33">
        <f t="shared" ca="1" si="2"/>
        <v>31</v>
      </c>
      <c r="H33">
        <f t="shared" ca="1" si="3"/>
        <v>3100</v>
      </c>
      <c r="I33">
        <f t="shared" ca="1" si="4"/>
        <v>102621.6917333985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58457</v>
      </c>
      <c r="B36" s="66">
        <v>58457</v>
      </c>
      <c r="D36">
        <f t="shared" si="0"/>
        <v>93.253677057078136</v>
      </c>
      <c r="E36">
        <f t="shared" si="1"/>
        <v>93.253677057078136</v>
      </c>
      <c r="G36">
        <f t="shared" ca="1" si="2"/>
        <v>34</v>
      </c>
      <c r="H36">
        <f t="shared" ca="1" si="3"/>
        <v>3170.6250199406568</v>
      </c>
      <c r="I36">
        <f t="shared" ca="1" si="4"/>
        <v>78613.707105577385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48251</v>
      </c>
      <c r="B39" s="66">
        <v>48251</v>
      </c>
      <c r="D39">
        <f t="shared" si="0"/>
        <v>76.97252975145966</v>
      </c>
      <c r="E39">
        <f t="shared" si="1"/>
        <v>76.97252975145966</v>
      </c>
      <c r="G39">
        <f t="shared" ca="1" si="2"/>
        <v>37</v>
      </c>
      <c r="H39">
        <f t="shared" ca="1" si="3"/>
        <v>2847.9836008040074</v>
      </c>
      <c r="I39">
        <f t="shared" ca="1" si="4"/>
        <v>52172.093820453643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52782</v>
      </c>
      <c r="B41" s="66">
        <v>52782</v>
      </c>
      <c r="D41">
        <f t="shared" si="0"/>
        <v>84.20061895798105</v>
      </c>
      <c r="E41">
        <f t="shared" si="1"/>
        <v>84.20061895798105</v>
      </c>
      <c r="G41">
        <f t="shared" ca="1" si="2"/>
        <v>39</v>
      </c>
      <c r="H41">
        <f t="shared" ca="1" si="3"/>
        <v>3283.8241393612611</v>
      </c>
      <c r="I41">
        <f t="shared" ca="1" si="4"/>
        <v>48639.581108999766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48447</v>
      </c>
      <c r="B44" s="66">
        <v>48447</v>
      </c>
      <c r="D44">
        <f t="shared" si="0"/>
        <v>77.285199247040808</v>
      </c>
      <c r="E44">
        <f t="shared" si="1"/>
        <v>77.285199247040808</v>
      </c>
      <c r="G44">
        <f t="shared" ca="1" si="2"/>
        <v>42</v>
      </c>
      <c r="H44">
        <f t="shared" ca="1" si="3"/>
        <v>3245.9783683757141</v>
      </c>
      <c r="I44">
        <f t="shared" ca="1" si="4"/>
        <v>34195.243237260773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44698</v>
      </c>
      <c r="B46" s="66">
        <v>44698</v>
      </c>
      <c r="D46">
        <f t="shared" si="0"/>
        <v>71.304597517787059</v>
      </c>
      <c r="E46">
        <f t="shared" si="1"/>
        <v>71.304597517787059</v>
      </c>
      <c r="G46">
        <f t="shared" ca="1" si="2"/>
        <v>44</v>
      </c>
      <c r="H46">
        <f t="shared" ca="1" si="3"/>
        <v>3137.4022907826306</v>
      </c>
      <c r="I46">
        <f t="shared" ca="1" si="4"/>
        <v>25834.852285410736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44012</v>
      </c>
      <c r="B49" s="66">
        <v>44012</v>
      </c>
      <c r="D49">
        <f t="shared" si="0"/>
        <v>70.210254283253036</v>
      </c>
      <c r="E49">
        <f t="shared" si="1"/>
        <v>70.210254283253036</v>
      </c>
      <c r="G49">
        <f t="shared" ca="1" si="2"/>
        <v>47</v>
      </c>
      <c r="H49">
        <f t="shared" ca="1" si="3"/>
        <v>3299.8819513128929</v>
      </c>
      <c r="I49">
        <f t="shared" ca="1" si="4"/>
        <v>18051.692337909968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48273</v>
      </c>
      <c r="B51" s="66">
        <v>48273</v>
      </c>
      <c r="D51">
        <f t="shared" si="0"/>
        <v>77.007625307086116</v>
      </c>
      <c r="E51">
        <f t="shared" si="1"/>
        <v>77.007625307086116</v>
      </c>
      <c r="G51">
        <f t="shared" ca="1" si="2"/>
        <v>49</v>
      </c>
      <c r="H51">
        <f t="shared" ca="1" si="3"/>
        <v>3773.3736400472199</v>
      </c>
      <c r="I51">
        <f t="shared" ca="1" si="4"/>
        <v>15168.236277584039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49442</v>
      </c>
      <c r="B54" s="66">
        <v>49442</v>
      </c>
      <c r="D54">
        <f t="shared" si="0"/>
        <v>78.872475512873692</v>
      </c>
      <c r="E54">
        <f t="shared" si="1"/>
        <v>78.872475512873692</v>
      </c>
      <c r="G54">
        <f t="shared" ca="1" si="2"/>
        <v>52</v>
      </c>
      <c r="H54">
        <f t="shared" ca="1" si="3"/>
        <v>4101.3687266694324</v>
      </c>
      <c r="I54">
        <f t="shared" ca="1" si="4"/>
        <v>9603.7375553202583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52480</v>
      </c>
      <c r="B57" s="66">
        <v>52480</v>
      </c>
      <c r="D57">
        <f t="shared" si="0"/>
        <v>83.718852694381525</v>
      </c>
      <c r="E57">
        <f t="shared" si="1"/>
        <v>83.718852694381525</v>
      </c>
      <c r="G57">
        <f t="shared" ca="1" si="2"/>
        <v>55</v>
      </c>
      <c r="H57">
        <f t="shared" ca="1" si="3"/>
        <v>4604.5368981909842</v>
      </c>
      <c r="I57">
        <f t="shared" ca="1" si="4"/>
        <v>5404.4812745740028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51791</v>
      </c>
      <c r="B59" s="66">
        <v>51791</v>
      </c>
      <c r="D59">
        <f t="shared" si="0"/>
        <v>82.619723702262064</v>
      </c>
      <c r="E59">
        <f t="shared" si="1"/>
        <v>82.619723702262064</v>
      </c>
      <c r="G59">
        <f t="shared" ca="1" si="2"/>
        <v>57</v>
      </c>
      <c r="H59">
        <f t="shared" ca="1" si="3"/>
        <v>4709.3242510289374</v>
      </c>
      <c r="I59">
        <f t="shared" ca="1" si="4"/>
        <v>3008.7332184146867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50866</v>
      </c>
      <c r="B62" s="66">
        <v>50866</v>
      </c>
      <c r="D62">
        <f t="shared" si="0"/>
        <v>81.144115113422458</v>
      </c>
      <c r="E62">
        <f t="shared" si="1"/>
        <v>81.144115113422458</v>
      </c>
      <c r="G62">
        <f t="shared" ca="1" si="2"/>
        <v>60</v>
      </c>
      <c r="H62">
        <f t="shared" ca="1" si="3"/>
        <v>4868.6469068053475</v>
      </c>
      <c r="I62">
        <f t="shared" ca="1" si="4"/>
        <v>747.24984460211567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50627</v>
      </c>
      <c r="B64" s="66">
        <v>50627</v>
      </c>
      <c r="D64">
        <f t="shared" si="0"/>
        <v>80.762849759116875</v>
      </c>
      <c r="E64">
        <f t="shared" si="1"/>
        <v>80.762849759116875</v>
      </c>
      <c r="G64">
        <f t="shared" ca="1" si="2"/>
        <v>62</v>
      </c>
      <c r="H64">
        <f t="shared" ca="1" si="3"/>
        <v>5007.2966850652465</v>
      </c>
      <c r="I64">
        <f t="shared" ca="1" si="4"/>
        <v>86.451768516232889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44898</v>
      </c>
      <c r="B67" s="66">
        <v>44898</v>
      </c>
      <c r="D67">
        <f t="shared" ref="D67:D130" si="5">IFERROR( 100*A67/MAX(A$2:A$257), 0 )</f>
        <v>71.623648023482119</v>
      </c>
      <c r="E67">
        <f t="shared" ref="E67:E130" si="6">IFERROR( 100*B67/MAX(B$2:B$257), 0 )</f>
        <v>71.623648023482119</v>
      </c>
      <c r="G67">
        <f t="shared" ref="G67:G130" ca="1" si="7">CELL("row",D67)-2</f>
        <v>65</v>
      </c>
      <c r="H67">
        <f t="shared" ref="H67:H130" ca="1" si="8">D67*G67</f>
        <v>4655.5371215263376</v>
      </c>
      <c r="I67">
        <f t="shared" ref="I67:I130" ca="1" si="9">D67*((G67-$L$1)^2)</f>
        <v>276.66182298731349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45450</v>
      </c>
      <c r="B69" s="66">
        <v>45450</v>
      </c>
      <c r="D69">
        <f t="shared" si="5"/>
        <v>72.504227419200461</v>
      </c>
      <c r="E69">
        <f t="shared" si="6"/>
        <v>72.504227419200461</v>
      </c>
      <c r="G69">
        <f t="shared" ca="1" si="7"/>
        <v>67</v>
      </c>
      <c r="H69">
        <f t="shared" ca="1" si="8"/>
        <v>4857.7832370864307</v>
      </c>
      <c r="I69">
        <f t="shared" ca="1" si="9"/>
        <v>1140.0734192851628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49802</v>
      </c>
      <c r="B72" s="66">
        <v>49802</v>
      </c>
      <c r="D72">
        <f t="shared" si="5"/>
        <v>79.446766423124785</v>
      </c>
      <c r="E72">
        <f t="shared" si="6"/>
        <v>79.446766423124785</v>
      </c>
      <c r="G72">
        <f t="shared" ca="1" si="7"/>
        <v>70</v>
      </c>
      <c r="H72">
        <f t="shared" ca="1" si="8"/>
        <v>5561.2736496187354</v>
      </c>
      <c r="I72">
        <f t="shared" ca="1" si="9"/>
        <v>3854.4798463957027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48751</v>
      </c>
      <c r="B75" s="66">
        <v>48751</v>
      </c>
      <c r="D75">
        <f t="shared" si="5"/>
        <v>77.770156015697282</v>
      </c>
      <c r="E75">
        <f t="shared" si="6"/>
        <v>77.770156015697282</v>
      </c>
      <c r="G75">
        <f t="shared" ca="1" si="7"/>
        <v>73</v>
      </c>
      <c r="H75">
        <f t="shared" ca="1" si="8"/>
        <v>5677.2213891459014</v>
      </c>
      <c r="I75">
        <f t="shared" ca="1" si="9"/>
        <v>7723.2598180983778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49116</v>
      </c>
      <c r="B77" s="66">
        <v>49116</v>
      </c>
      <c r="D77">
        <f t="shared" si="5"/>
        <v>78.352423188590748</v>
      </c>
      <c r="E77">
        <f t="shared" si="6"/>
        <v>78.352423188590748</v>
      </c>
      <c r="G77">
        <f t="shared" ca="1" si="7"/>
        <v>75</v>
      </c>
      <c r="H77">
        <f t="shared" ca="1" si="8"/>
        <v>5876.4317391443064</v>
      </c>
      <c r="I77">
        <f t="shared" ca="1" si="9"/>
        <v>11217.740251430712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45681</v>
      </c>
      <c r="B80" s="66">
        <v>45681</v>
      </c>
      <c r="D80">
        <f t="shared" si="5"/>
        <v>72.872730753278248</v>
      </c>
      <c r="E80">
        <f t="shared" si="6"/>
        <v>72.872730753278248</v>
      </c>
      <c r="G80">
        <f t="shared" ca="1" si="7"/>
        <v>78</v>
      </c>
      <c r="H80">
        <f t="shared" ca="1" si="8"/>
        <v>5684.0729987557033</v>
      </c>
      <c r="I80">
        <f t="shared" ca="1" si="9"/>
        <v>16320.764822000407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42923</v>
      </c>
      <c r="B82" s="66">
        <v>42923</v>
      </c>
      <c r="D82">
        <f t="shared" si="5"/>
        <v>68.473024279743484</v>
      </c>
      <c r="E82">
        <f t="shared" si="6"/>
        <v>68.473024279743484</v>
      </c>
      <c r="G82">
        <f t="shared" ca="1" si="7"/>
        <v>80</v>
      </c>
      <c r="H82">
        <f t="shared" ca="1" si="8"/>
        <v>5477.8419423794785</v>
      </c>
      <c r="I82">
        <f t="shared" ca="1" si="9"/>
        <v>19708.186450760444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40793</v>
      </c>
      <c r="B85" s="66">
        <v>40793</v>
      </c>
      <c r="D85">
        <f t="shared" si="5"/>
        <v>65.075136394091189</v>
      </c>
      <c r="E85">
        <f t="shared" si="6"/>
        <v>65.075136394091189</v>
      </c>
      <c r="G85">
        <f t="shared" ca="1" si="7"/>
        <v>83</v>
      </c>
      <c r="H85">
        <f t="shared" ca="1" si="8"/>
        <v>5401.2363207095686</v>
      </c>
      <c r="I85">
        <f t="shared" ca="1" si="9"/>
        <v>25940.01493098275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44274</v>
      </c>
      <c r="B88" s="66">
        <v>44274</v>
      </c>
      <c r="D88">
        <f t="shared" si="5"/>
        <v>70.628210445713563</v>
      </c>
      <c r="E88">
        <f t="shared" si="6"/>
        <v>70.628210445713563</v>
      </c>
      <c r="G88">
        <f t="shared" ca="1" si="7"/>
        <v>86</v>
      </c>
      <c r="H88">
        <f t="shared" ca="1" si="8"/>
        <v>6074.0260983313665</v>
      </c>
      <c r="I88">
        <f t="shared" ca="1" si="9"/>
        <v>37249.929175102887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41438</v>
      </c>
      <c r="B90" s="66">
        <v>41438</v>
      </c>
      <c r="D90">
        <f t="shared" si="5"/>
        <v>66.104074274957725</v>
      </c>
      <c r="E90">
        <f t="shared" si="6"/>
        <v>66.104074274957725</v>
      </c>
      <c r="G90">
        <f t="shared" ca="1" si="7"/>
        <v>88</v>
      </c>
      <c r="H90">
        <f t="shared" ca="1" si="8"/>
        <v>5817.1585361962798</v>
      </c>
      <c r="I90">
        <f t="shared" ca="1" si="9"/>
        <v>41200.697499640832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41563</v>
      </c>
      <c r="B93" s="66">
        <v>41563</v>
      </c>
      <c r="D93">
        <f t="shared" si="5"/>
        <v>66.303480841017134</v>
      </c>
      <c r="E93">
        <f t="shared" si="6"/>
        <v>66.303480841017134</v>
      </c>
      <c r="G93">
        <f t="shared" ca="1" si="7"/>
        <v>91</v>
      </c>
      <c r="H93">
        <f t="shared" ca="1" si="8"/>
        <v>6033.6167565325595</v>
      </c>
      <c r="I93">
        <f t="shared" ca="1" si="9"/>
        <v>51853.462317459569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41416</v>
      </c>
      <c r="B95" s="66">
        <v>41416</v>
      </c>
      <c r="D95">
        <f t="shared" si="5"/>
        <v>66.06897871933127</v>
      </c>
      <c r="E95">
        <f t="shared" si="6"/>
        <v>66.06897871933127</v>
      </c>
      <c r="G95">
        <f t="shared" ca="1" si="7"/>
        <v>93</v>
      </c>
      <c r="H95">
        <f t="shared" ca="1" si="8"/>
        <v>6144.4150208978081</v>
      </c>
      <c r="I95">
        <f t="shared" ca="1" si="9"/>
        <v>59324.919154158983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29679</v>
      </c>
      <c r="B98" s="66">
        <v>29679</v>
      </c>
      <c r="D98">
        <f t="shared" si="5"/>
        <v>47.345499792617169</v>
      </c>
      <c r="E98">
        <f t="shared" si="6"/>
        <v>47.345499792617169</v>
      </c>
      <c r="G98">
        <f t="shared" ca="1" si="7"/>
        <v>96</v>
      </c>
      <c r="H98">
        <f t="shared" ca="1" si="8"/>
        <v>4545.167980091248</v>
      </c>
      <c r="I98">
        <f t="shared" ca="1" si="9"/>
        <v>51451.123450585808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31160</v>
      </c>
      <c r="B100" s="66">
        <v>31160</v>
      </c>
      <c r="D100">
        <f t="shared" si="5"/>
        <v>49.708068787289029</v>
      </c>
      <c r="E100">
        <f t="shared" si="6"/>
        <v>49.708068787289029</v>
      </c>
      <c r="G100">
        <f t="shared" ca="1" si="7"/>
        <v>98</v>
      </c>
      <c r="H100">
        <f t="shared" ca="1" si="8"/>
        <v>4871.390741154325</v>
      </c>
      <c r="I100">
        <f t="shared" ca="1" si="9"/>
        <v>60771.97920330042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30533</v>
      </c>
      <c r="B103" s="66">
        <v>30533</v>
      </c>
      <c r="D103">
        <f t="shared" si="5"/>
        <v>48.707845451935043</v>
      </c>
      <c r="E103">
        <f t="shared" si="6"/>
        <v>48.707845451935043</v>
      </c>
      <c r="G103">
        <f t="shared" ca="1" si="7"/>
        <v>101</v>
      </c>
      <c r="H103">
        <f t="shared" ca="1" si="8"/>
        <v>4919.4923906454396</v>
      </c>
      <c r="I103">
        <f t="shared" ca="1" si="9"/>
        <v>70206.028785639093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25587</v>
      </c>
      <c r="B106" s="66">
        <v>25587</v>
      </c>
      <c r="D106">
        <f t="shared" si="5"/>
        <v>40.817726446096415</v>
      </c>
      <c r="E106">
        <f t="shared" si="6"/>
        <v>40.817726446096415</v>
      </c>
      <c r="G106">
        <f t="shared" ca="1" si="7"/>
        <v>104</v>
      </c>
      <c r="H106">
        <f t="shared" ca="1" si="8"/>
        <v>4245.0435503940271</v>
      </c>
      <c r="I106">
        <f t="shared" ca="1" si="9"/>
        <v>68498.770058498179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24374</v>
      </c>
      <c r="B108" s="66">
        <v>24374</v>
      </c>
      <c r="D108">
        <f t="shared" si="5"/>
        <v>38.882685129055929</v>
      </c>
      <c r="E108">
        <f t="shared" si="6"/>
        <v>38.882685129055929</v>
      </c>
      <c r="G108">
        <f t="shared" ca="1" si="7"/>
        <v>106</v>
      </c>
      <c r="H108">
        <f t="shared" ca="1" si="8"/>
        <v>4121.5646236799284</v>
      </c>
      <c r="I108">
        <f t="shared" ca="1" si="9"/>
        <v>71778.363187278926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19531</v>
      </c>
      <c r="B111" s="66">
        <v>19531</v>
      </c>
      <c r="D111">
        <f t="shared" si="5"/>
        <v>31.156877133650259</v>
      </c>
      <c r="E111">
        <f t="shared" si="6"/>
        <v>31.156877133650259</v>
      </c>
      <c r="G111">
        <f t="shared" ca="1" si="7"/>
        <v>109</v>
      </c>
      <c r="H111">
        <f t="shared" ca="1" si="8"/>
        <v>3396.0996075678781</v>
      </c>
      <c r="I111">
        <f t="shared" ca="1" si="9"/>
        <v>65828.751723634079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17295</v>
      </c>
      <c r="B113" s="66">
        <v>17295</v>
      </c>
      <c r="D113">
        <f t="shared" si="5"/>
        <v>27.589892479979582</v>
      </c>
      <c r="E113">
        <f t="shared" si="6"/>
        <v>27.589892479979582</v>
      </c>
      <c r="G113">
        <f t="shared" ca="1" si="7"/>
        <v>111</v>
      </c>
      <c r="H113">
        <f t="shared" ca="1" si="8"/>
        <v>3062.4780652777335</v>
      </c>
      <c r="I113">
        <f t="shared" ca="1" si="9"/>
        <v>63475.448179719759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18828</v>
      </c>
      <c r="B116" s="66">
        <v>18828</v>
      </c>
      <c r="D116">
        <f t="shared" si="5"/>
        <v>30.03541460613215</v>
      </c>
      <c r="E116">
        <f t="shared" si="6"/>
        <v>30.03541460613215</v>
      </c>
      <c r="G116">
        <f t="shared" ca="1" si="7"/>
        <v>114</v>
      </c>
      <c r="H116">
        <f t="shared" ca="1" si="8"/>
        <v>3424.0372650990653</v>
      </c>
      <c r="I116">
        <f t="shared" ca="1" si="9"/>
        <v>78016.085278303333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15487</v>
      </c>
      <c r="B118" s="66">
        <v>15487</v>
      </c>
      <c r="D118">
        <f t="shared" si="5"/>
        <v>24.705675908496314</v>
      </c>
      <c r="E118">
        <f t="shared" si="6"/>
        <v>24.705675908496314</v>
      </c>
      <c r="G118">
        <f t="shared" ca="1" si="7"/>
        <v>116</v>
      </c>
      <c r="H118">
        <f t="shared" ca="1" si="8"/>
        <v>2865.8584053855725</v>
      </c>
      <c r="I118">
        <f t="shared" ca="1" si="9"/>
        <v>69307.608740349402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14121</v>
      </c>
      <c r="B121" s="66">
        <v>14121</v>
      </c>
      <c r="D121">
        <f t="shared" si="5"/>
        <v>22.526560954599113</v>
      </c>
      <c r="E121">
        <f t="shared" si="6"/>
        <v>22.526560954599113</v>
      </c>
      <c r="G121">
        <f t="shared" ca="1" si="7"/>
        <v>119</v>
      </c>
      <c r="H121">
        <f t="shared" ca="1" si="8"/>
        <v>2680.6607535972944</v>
      </c>
      <c r="I121">
        <f t="shared" ca="1" si="9"/>
        <v>70555.97523765247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10345</v>
      </c>
      <c r="B124" s="66">
        <v>10345</v>
      </c>
      <c r="D124">
        <f t="shared" si="5"/>
        <v>16.502887407076539</v>
      </c>
      <c r="E124">
        <f t="shared" si="6"/>
        <v>16.502887407076539</v>
      </c>
      <c r="G124">
        <f t="shared" ca="1" si="7"/>
        <v>122</v>
      </c>
      <c r="H124">
        <f t="shared" ca="1" si="8"/>
        <v>2013.3522636633377</v>
      </c>
      <c r="I124">
        <f t="shared" ca="1" si="9"/>
        <v>57379.152729665744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8898</v>
      </c>
      <c r="B126" s="66">
        <v>8898</v>
      </c>
      <c r="D126">
        <f t="shared" si="5"/>
        <v>14.194556998372843</v>
      </c>
      <c r="E126">
        <f t="shared" si="6"/>
        <v>14.194556998372843</v>
      </c>
      <c r="G126">
        <f t="shared" ca="1" si="7"/>
        <v>124</v>
      </c>
      <c r="H126">
        <f t="shared" ca="1" si="8"/>
        <v>1760.1250677982325</v>
      </c>
      <c r="I126">
        <f t="shared" ca="1" si="9"/>
        <v>52758.009857177778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9222</v>
      </c>
      <c r="B129" s="66">
        <v>9222</v>
      </c>
      <c r="D129">
        <f t="shared" si="5"/>
        <v>14.711418817598826</v>
      </c>
      <c r="E129">
        <f t="shared" si="6"/>
        <v>14.711418817598826</v>
      </c>
      <c r="G129">
        <f t="shared" ca="1" si="7"/>
        <v>127</v>
      </c>
      <c r="H129">
        <f t="shared" ca="1" si="8"/>
        <v>1868.350189835051</v>
      </c>
      <c r="I129">
        <f t="shared" ca="1" si="9"/>
        <v>60192.796376832346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7738</v>
      </c>
      <c r="B131" s="66">
        <v>7738</v>
      </c>
      <c r="D131">
        <f t="shared" ref="D131:D194" si="10">IFERROR( 100*A131/MAX(A$2:A$257), 0 )</f>
        <v>12.344064065341543</v>
      </c>
      <c r="E131">
        <f t="shared" ref="E131:E194" si="11">IFERROR( 100*B131/MAX(B$2:B$257), 0 )</f>
        <v>12.344064065341543</v>
      </c>
      <c r="G131">
        <f t="shared" ref="G131:G194" ca="1" si="12">CELL("row",D131)-2</f>
        <v>129</v>
      </c>
      <c r="H131">
        <f t="shared" ref="H131:H194" ca="1" si="13">D131*G131</f>
        <v>1592.3842644290592</v>
      </c>
      <c r="I131">
        <f t="shared" ref="I131:I194" ca="1" si="14">D131*((G131-$L$1)^2)</f>
        <v>53714.34647982446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8967</v>
      </c>
      <c r="B134" s="66">
        <v>8967</v>
      </c>
      <c r="D134">
        <f t="shared" si="10"/>
        <v>14.304629422837635</v>
      </c>
      <c r="E134">
        <f t="shared" si="11"/>
        <v>14.304629422837635</v>
      </c>
      <c r="G134">
        <f t="shared" ca="1" si="12"/>
        <v>132</v>
      </c>
      <c r="H134">
        <f t="shared" ca="1" si="13"/>
        <v>1888.2110838145679</v>
      </c>
      <c r="I134">
        <f t="shared" ca="1" si="14"/>
        <v>68036.015406970953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6605</v>
      </c>
      <c r="B136" s="66">
        <v>6605</v>
      </c>
      <c r="D136">
        <f t="shared" si="10"/>
        <v>10.536642950579077</v>
      </c>
      <c r="E136">
        <f t="shared" si="11"/>
        <v>10.536642950579077</v>
      </c>
      <c r="G136">
        <f t="shared" ca="1" si="12"/>
        <v>134</v>
      </c>
      <c r="H136">
        <f t="shared" ca="1" si="13"/>
        <v>1411.9101553775963</v>
      </c>
      <c r="I136">
        <f t="shared" ca="1" si="14"/>
        <v>53063.430278884742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6831</v>
      </c>
      <c r="B139" s="66">
        <v>6831</v>
      </c>
      <c r="D139">
        <f t="shared" si="10"/>
        <v>10.897170022014485</v>
      </c>
      <c r="E139">
        <f t="shared" si="11"/>
        <v>10.897170022014485</v>
      </c>
      <c r="G139">
        <f t="shared" ca="1" si="12"/>
        <v>137</v>
      </c>
      <c r="H139">
        <f t="shared" ca="1" si="13"/>
        <v>1492.9122930159845</v>
      </c>
      <c r="I139">
        <f t="shared" ca="1" si="14"/>
        <v>59617.080641448512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6615</v>
      </c>
      <c r="B142" s="66">
        <v>6615</v>
      </c>
      <c r="D142">
        <f t="shared" si="10"/>
        <v>10.552595475863829</v>
      </c>
      <c r="E142">
        <f t="shared" si="11"/>
        <v>10.552595475863829</v>
      </c>
      <c r="G142">
        <f t="shared" ca="1" si="12"/>
        <v>140</v>
      </c>
      <c r="H142">
        <f t="shared" ca="1" si="13"/>
        <v>1477.3633666209359</v>
      </c>
      <c r="I142">
        <f t="shared" ca="1" si="14"/>
        <v>62510.08928897779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6157</v>
      </c>
      <c r="B144" s="66">
        <v>6157</v>
      </c>
      <c r="D144">
        <f t="shared" si="10"/>
        <v>9.8219698178221613</v>
      </c>
      <c r="E144">
        <f t="shared" si="11"/>
        <v>9.8219698178221613</v>
      </c>
      <c r="G144">
        <f t="shared" ca="1" si="12"/>
        <v>142</v>
      </c>
      <c r="H144">
        <f t="shared" ca="1" si="13"/>
        <v>1394.719714130747</v>
      </c>
      <c r="I144">
        <f t="shared" ca="1" si="14"/>
        <v>61245.198683929186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4490</v>
      </c>
      <c r="B147" s="66">
        <v>4490</v>
      </c>
      <c r="D147">
        <f t="shared" si="10"/>
        <v>7.162683852853907</v>
      </c>
      <c r="E147">
        <f t="shared" si="11"/>
        <v>7.162683852853907</v>
      </c>
      <c r="G147">
        <f t="shared" ca="1" si="12"/>
        <v>145</v>
      </c>
      <c r="H147">
        <f t="shared" ca="1" si="13"/>
        <v>1038.5891586638165</v>
      </c>
      <c r="I147">
        <f t="shared" ca="1" si="14"/>
        <v>48121.226673637633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3725</v>
      </c>
      <c r="B149" s="66">
        <v>3725</v>
      </c>
      <c r="D149">
        <f t="shared" si="10"/>
        <v>5.9423156685703349</v>
      </c>
      <c r="E149">
        <f t="shared" si="11"/>
        <v>5.9423156685703349</v>
      </c>
      <c r="G149">
        <f t="shared" ca="1" si="12"/>
        <v>147</v>
      </c>
      <c r="H149">
        <f t="shared" ca="1" si="13"/>
        <v>873.52040327983923</v>
      </c>
      <c r="I149">
        <f t="shared" ca="1" si="14"/>
        <v>41894.424416703157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2044</v>
      </c>
      <c r="B152" s="66">
        <v>2044</v>
      </c>
      <c r="D152">
        <f t="shared" si="10"/>
        <v>3.2606961682034266</v>
      </c>
      <c r="E152">
        <f t="shared" si="11"/>
        <v>3.2606961682034266</v>
      </c>
      <c r="G152">
        <f t="shared" ca="1" si="12"/>
        <v>150</v>
      </c>
      <c r="H152">
        <f t="shared" ca="1" si="13"/>
        <v>489.10442523051398</v>
      </c>
      <c r="I152">
        <f t="shared" ca="1" si="14"/>
        <v>24660.570819425113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1685</v>
      </c>
      <c r="B154" s="66">
        <v>1685</v>
      </c>
      <c r="D154">
        <f t="shared" si="10"/>
        <v>2.6880005104808089</v>
      </c>
      <c r="E154">
        <f t="shared" si="11"/>
        <v>2.6880005104808089</v>
      </c>
      <c r="G154">
        <f t="shared" ca="1" si="12"/>
        <v>152</v>
      </c>
      <c r="H154">
        <f t="shared" ca="1" si="13"/>
        <v>408.57607759308297</v>
      </c>
      <c r="I154">
        <f t="shared" ca="1" si="14"/>
        <v>21275.09054881577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889</v>
      </c>
      <c r="B157" s="66">
        <v>889</v>
      </c>
      <c r="D157">
        <f t="shared" si="10"/>
        <v>1.4181794978145041</v>
      </c>
      <c r="E157">
        <f t="shared" si="11"/>
        <v>1.4181794978145041</v>
      </c>
      <c r="G157">
        <f t="shared" ca="1" si="12"/>
        <v>155</v>
      </c>
      <c r="H157">
        <f t="shared" ca="1" si="13"/>
        <v>219.81782216124813</v>
      </c>
      <c r="I157">
        <f t="shared" ca="1" si="14"/>
        <v>11994.438894472536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796</v>
      </c>
      <c r="B160" s="66">
        <v>796</v>
      </c>
      <c r="D160">
        <f t="shared" si="10"/>
        <v>1.269821012666305</v>
      </c>
      <c r="E160">
        <f t="shared" si="11"/>
        <v>1.269821012666305</v>
      </c>
      <c r="G160">
        <f t="shared" ca="1" si="12"/>
        <v>158</v>
      </c>
      <c r="H160">
        <f t="shared" ca="1" si="13"/>
        <v>200.63172000127619</v>
      </c>
      <c r="I160">
        <f t="shared" ca="1" si="14"/>
        <v>11451.78338657617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67.500187246694608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1.3032592034990145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0.52498952010273803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1587</v>
      </c>
      <c r="B8" s="66">
        <v>1587</v>
      </c>
      <c r="D8">
        <f t="shared" si="0"/>
        <v>1.384212821631051</v>
      </c>
      <c r="E8">
        <f t="shared" si="1"/>
        <v>1.384212821631051</v>
      </c>
      <c r="G8">
        <f t="shared" ca="1" si="2"/>
        <v>6</v>
      </c>
      <c r="H8">
        <f t="shared" ca="1" si="3"/>
        <v>8.3052769297863058</v>
      </c>
      <c r="I8">
        <f t="shared" ca="1" si="4"/>
        <v>5235.4708249434598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3159</v>
      </c>
      <c r="B10" s="66">
        <v>3159</v>
      </c>
      <c r="D10">
        <f t="shared" si="0"/>
        <v>2.7553423462712603</v>
      </c>
      <c r="E10">
        <f t="shared" si="1"/>
        <v>2.7553423462712603</v>
      </c>
      <c r="G10">
        <f t="shared" ca="1" si="2"/>
        <v>8</v>
      </c>
      <c r="H10">
        <f t="shared" ca="1" si="3"/>
        <v>22.042738770170082</v>
      </c>
      <c r="I10">
        <f t="shared" ca="1" si="4"/>
        <v>9754.6621370043104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4081</v>
      </c>
      <c r="B13" s="66">
        <v>4081</v>
      </c>
      <c r="D13">
        <f t="shared" si="0"/>
        <v>3.5595290013083298</v>
      </c>
      <c r="E13">
        <f t="shared" si="1"/>
        <v>3.5595290013083298</v>
      </c>
      <c r="G13">
        <f t="shared" ca="1" si="2"/>
        <v>11</v>
      </c>
      <c r="H13">
        <f t="shared" ca="1" si="3"/>
        <v>39.154819014391627</v>
      </c>
      <c r="I13">
        <f t="shared" ca="1" si="4"/>
        <v>11362.981770185821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7524</v>
      </c>
      <c r="B15" s="66">
        <v>7524</v>
      </c>
      <c r="D15">
        <f t="shared" si="0"/>
        <v>6.5625817706061929</v>
      </c>
      <c r="E15">
        <f t="shared" si="1"/>
        <v>6.5625817706061929</v>
      </c>
      <c r="G15">
        <f t="shared" ca="1" si="2"/>
        <v>13</v>
      </c>
      <c r="H15">
        <f t="shared" ca="1" si="3"/>
        <v>85.313563017880512</v>
      </c>
      <c r="I15">
        <f t="shared" ca="1" si="4"/>
        <v>19492.642445943304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13132</v>
      </c>
      <c r="B18" s="66">
        <v>13132</v>
      </c>
      <c r="D18">
        <f t="shared" si="0"/>
        <v>11.453990405582207</v>
      </c>
      <c r="E18">
        <f t="shared" si="1"/>
        <v>11.453990405582207</v>
      </c>
      <c r="G18">
        <f t="shared" ca="1" si="2"/>
        <v>16</v>
      </c>
      <c r="H18">
        <f t="shared" ca="1" si="3"/>
        <v>183.26384648931531</v>
      </c>
      <c r="I18">
        <f t="shared" ca="1" si="4"/>
        <v>30379.066959956879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19643</v>
      </c>
      <c r="B21" s="66">
        <v>19643</v>
      </c>
      <c r="D21">
        <f t="shared" si="0"/>
        <v>17.133013519406891</v>
      </c>
      <c r="E21">
        <f t="shared" si="1"/>
        <v>17.133013519406891</v>
      </c>
      <c r="G21">
        <f t="shared" ca="1" si="2"/>
        <v>19</v>
      </c>
      <c r="H21">
        <f t="shared" ca="1" si="3"/>
        <v>325.52725686873094</v>
      </c>
      <c r="I21">
        <f t="shared" ca="1" si="4"/>
        <v>40301.442237340139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28841</v>
      </c>
      <c r="B23" s="66">
        <v>28841</v>
      </c>
      <c r="D23">
        <f t="shared" si="0"/>
        <v>25.155691234191018</v>
      </c>
      <c r="E23">
        <f t="shared" si="1"/>
        <v>25.155691234191018</v>
      </c>
      <c r="G23">
        <f t="shared" ca="1" si="2"/>
        <v>21</v>
      </c>
      <c r="H23">
        <f t="shared" ca="1" si="3"/>
        <v>528.26951591801139</v>
      </c>
      <c r="I23">
        <f t="shared" ca="1" si="4"/>
        <v>54393.331431774699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27334</v>
      </c>
      <c r="B26" s="66">
        <v>27334</v>
      </c>
      <c r="D26">
        <f t="shared" si="0"/>
        <v>23.841255996511119</v>
      </c>
      <c r="E26">
        <f t="shared" si="1"/>
        <v>23.841255996511119</v>
      </c>
      <c r="G26">
        <f t="shared" ca="1" si="2"/>
        <v>24</v>
      </c>
      <c r="H26">
        <f t="shared" ca="1" si="3"/>
        <v>572.19014391626683</v>
      </c>
      <c r="I26">
        <f t="shared" ca="1" si="4"/>
        <v>45114.005045319187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33865</v>
      </c>
      <c r="B28" s="66">
        <v>33865</v>
      </c>
      <c r="D28">
        <f t="shared" si="0"/>
        <v>29.537723506323594</v>
      </c>
      <c r="E28">
        <f t="shared" si="1"/>
        <v>29.537723506323594</v>
      </c>
      <c r="G28">
        <f t="shared" ca="1" si="2"/>
        <v>26</v>
      </c>
      <c r="H28">
        <f t="shared" ca="1" si="3"/>
        <v>767.98081116441347</v>
      </c>
      <c r="I28">
        <f t="shared" ca="1" si="4"/>
        <v>50871.803369612142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41570</v>
      </c>
      <c r="B31" s="66">
        <v>41570</v>
      </c>
      <c r="D31">
        <f t="shared" si="0"/>
        <v>36.258177060619275</v>
      </c>
      <c r="E31">
        <f t="shared" si="1"/>
        <v>36.258177060619275</v>
      </c>
      <c r="G31">
        <f t="shared" ca="1" si="2"/>
        <v>29</v>
      </c>
      <c r="H31">
        <f t="shared" ca="1" si="3"/>
        <v>1051.487134757959</v>
      </c>
      <c r="I31">
        <f t="shared" ca="1" si="4"/>
        <v>53744.205719607329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47125</v>
      </c>
      <c r="B33" s="66">
        <v>47125</v>
      </c>
      <c r="D33">
        <f t="shared" si="0"/>
        <v>41.103358046227648</v>
      </c>
      <c r="E33">
        <f t="shared" si="1"/>
        <v>41.103358046227648</v>
      </c>
      <c r="G33">
        <f t="shared" ca="1" si="2"/>
        <v>31</v>
      </c>
      <c r="H33">
        <f t="shared" ca="1" si="3"/>
        <v>1274.2040994330571</v>
      </c>
      <c r="I33">
        <f t="shared" ca="1" si="4"/>
        <v>54760.510600686917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54568</v>
      </c>
      <c r="B36" s="66">
        <v>54568</v>
      </c>
      <c r="D36">
        <f t="shared" si="0"/>
        <v>47.5952900130833</v>
      </c>
      <c r="E36">
        <f t="shared" si="1"/>
        <v>47.5952900130833</v>
      </c>
      <c r="G36">
        <f t="shared" ca="1" si="2"/>
        <v>34</v>
      </c>
      <c r="H36">
        <f t="shared" ca="1" si="3"/>
        <v>1618.2398604448322</v>
      </c>
      <c r="I36">
        <f t="shared" ca="1" si="4"/>
        <v>53414.411326920657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53991</v>
      </c>
      <c r="B39" s="66">
        <v>53991</v>
      </c>
      <c r="D39">
        <f t="shared" si="0"/>
        <v>47.092019188835586</v>
      </c>
      <c r="E39">
        <f t="shared" si="1"/>
        <v>47.092019188835586</v>
      </c>
      <c r="G39">
        <f t="shared" ca="1" si="2"/>
        <v>37</v>
      </c>
      <c r="H39">
        <f t="shared" ca="1" si="3"/>
        <v>1742.4047099869167</v>
      </c>
      <c r="I39">
        <f t="shared" ca="1" si="4"/>
        <v>43807.888739386479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50389</v>
      </c>
      <c r="B41" s="66">
        <v>50389</v>
      </c>
      <c r="D41">
        <f t="shared" si="0"/>
        <v>43.950283471434801</v>
      </c>
      <c r="E41">
        <f t="shared" si="1"/>
        <v>43.950283471434801</v>
      </c>
      <c r="G41">
        <f t="shared" ca="1" si="2"/>
        <v>39</v>
      </c>
      <c r="H41">
        <f t="shared" ca="1" si="3"/>
        <v>1714.0610553859572</v>
      </c>
      <c r="I41">
        <f t="shared" ca="1" si="4"/>
        <v>35699.086835296381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56504</v>
      </c>
      <c r="B44" s="66">
        <v>56504</v>
      </c>
      <c r="D44">
        <f t="shared" si="0"/>
        <v>49.283907544701265</v>
      </c>
      <c r="E44">
        <f t="shared" si="1"/>
        <v>49.283907544701265</v>
      </c>
      <c r="G44">
        <f t="shared" ca="1" si="2"/>
        <v>42</v>
      </c>
      <c r="H44">
        <f t="shared" ca="1" si="3"/>
        <v>2069.9241168774533</v>
      </c>
      <c r="I44">
        <f t="shared" ca="1" si="4"/>
        <v>32047.331523357996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57901</v>
      </c>
      <c r="B46" s="66">
        <v>57901</v>
      </c>
      <c r="D46">
        <f t="shared" si="0"/>
        <v>50.502398604448324</v>
      </c>
      <c r="E46">
        <f t="shared" si="1"/>
        <v>50.502398604448324</v>
      </c>
      <c r="G46">
        <f t="shared" ca="1" si="2"/>
        <v>44</v>
      </c>
      <c r="H46">
        <f t="shared" ca="1" si="3"/>
        <v>2222.1055385957261</v>
      </c>
      <c r="I46">
        <f t="shared" ca="1" si="4"/>
        <v>27890.394082216066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57734</v>
      </c>
      <c r="B49" s="66">
        <v>57734</v>
      </c>
      <c r="D49">
        <f t="shared" si="0"/>
        <v>50.356737897950282</v>
      </c>
      <c r="E49">
        <f t="shared" si="1"/>
        <v>50.356737897950282</v>
      </c>
      <c r="G49">
        <f t="shared" ca="1" si="2"/>
        <v>47</v>
      </c>
      <c r="H49">
        <f t="shared" ca="1" si="3"/>
        <v>2366.7666812036632</v>
      </c>
      <c r="I49">
        <f t="shared" ca="1" si="4"/>
        <v>21162.805697820808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68889</v>
      </c>
      <c r="B51" s="66">
        <v>68889</v>
      </c>
      <c r="D51">
        <f t="shared" si="0"/>
        <v>60.086349760139555</v>
      </c>
      <c r="E51">
        <f t="shared" si="1"/>
        <v>60.086349760139555</v>
      </c>
      <c r="G51">
        <f t="shared" ca="1" si="2"/>
        <v>49</v>
      </c>
      <c r="H51">
        <f t="shared" ca="1" si="3"/>
        <v>2944.2311382468383</v>
      </c>
      <c r="I51">
        <f t="shared" ca="1" si="4"/>
        <v>20564.969493418666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80107</v>
      </c>
      <c r="B54" s="66">
        <v>80107</v>
      </c>
      <c r="D54">
        <f t="shared" si="0"/>
        <v>69.870911469690355</v>
      </c>
      <c r="E54">
        <f t="shared" si="1"/>
        <v>69.870911469690355</v>
      </c>
      <c r="G54">
        <f t="shared" ca="1" si="2"/>
        <v>52</v>
      </c>
      <c r="H54">
        <f t="shared" ca="1" si="3"/>
        <v>3633.2873964238984</v>
      </c>
      <c r="I54">
        <f t="shared" ca="1" si="4"/>
        <v>16786.892059056754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94411</v>
      </c>
      <c r="B57" s="66">
        <v>94411</v>
      </c>
      <c r="D57">
        <f t="shared" si="0"/>
        <v>82.347143480157001</v>
      </c>
      <c r="E57">
        <f t="shared" si="1"/>
        <v>82.347143480157001</v>
      </c>
      <c r="G57">
        <f t="shared" ca="1" si="2"/>
        <v>55</v>
      </c>
      <c r="H57">
        <f t="shared" ca="1" si="3"/>
        <v>4529.0928914086353</v>
      </c>
      <c r="I57">
        <f t="shared" ca="1" si="4"/>
        <v>12867.126652422408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104183</v>
      </c>
      <c r="B59" s="66">
        <v>104183</v>
      </c>
      <c r="D59">
        <f t="shared" si="0"/>
        <v>90.87047535979066</v>
      </c>
      <c r="E59">
        <f t="shared" si="1"/>
        <v>90.87047535979066</v>
      </c>
      <c r="G59">
        <f t="shared" ca="1" si="2"/>
        <v>57</v>
      </c>
      <c r="H59">
        <f t="shared" ca="1" si="3"/>
        <v>5179.6170955080679</v>
      </c>
      <c r="I59">
        <f t="shared" ca="1" si="4"/>
        <v>10018.82723072208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114650</v>
      </c>
      <c r="B62" s="66">
        <v>114650</v>
      </c>
      <c r="D62">
        <f t="shared" si="0"/>
        <v>100</v>
      </c>
      <c r="E62">
        <f t="shared" si="1"/>
        <v>100</v>
      </c>
      <c r="G62">
        <f t="shared" ca="1" si="2"/>
        <v>60</v>
      </c>
      <c r="H62">
        <f t="shared" ca="1" si="3"/>
        <v>6000</v>
      </c>
      <c r="I62">
        <f t="shared" ca="1" si="4"/>
        <v>5625.2808735480448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111251</v>
      </c>
      <c r="B64" s="66">
        <v>111251</v>
      </c>
      <c r="D64">
        <f t="shared" si="0"/>
        <v>97.035324901875271</v>
      </c>
      <c r="E64">
        <f t="shared" si="1"/>
        <v>97.035324901875271</v>
      </c>
      <c r="G64">
        <f t="shared" ca="1" si="2"/>
        <v>62</v>
      </c>
      <c r="H64">
        <f t="shared" ca="1" si="3"/>
        <v>6016.1901439162666</v>
      </c>
      <c r="I64">
        <f t="shared" ca="1" si="4"/>
        <v>2935.5184466662436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113003</v>
      </c>
      <c r="B67" s="66">
        <v>113003</v>
      </c>
      <c r="D67">
        <f t="shared" ref="D67:D130" si="5">IFERROR(100*A67/MAX(A$2:A$257), 0 )</f>
        <v>98.563453990405577</v>
      </c>
      <c r="E67">
        <f t="shared" ref="E67:E130" si="6">IFERROR(100*B67/MAX(B$2:B$257), 0 )</f>
        <v>98.563453990405577</v>
      </c>
      <c r="G67">
        <f t="shared" ref="G67:G130" ca="1" si="7">CELL("row",D67)-2</f>
        <v>65</v>
      </c>
      <c r="H67">
        <f t="shared" ref="H67:H130" ca="1" si="8">D67*G67</f>
        <v>6406.6245093763628</v>
      </c>
      <c r="I67">
        <f t="shared" ref="I67:I130" ca="1" si="9">D67*((G67-$L$1)^2)</f>
        <v>616.11386930064452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113507</v>
      </c>
      <c r="B69" s="66">
        <v>113507</v>
      </c>
      <c r="D69">
        <f t="shared" si="5"/>
        <v>99.003052769297867</v>
      </c>
      <c r="E69">
        <f t="shared" si="6"/>
        <v>99.003052769297867</v>
      </c>
      <c r="G69">
        <f t="shared" ca="1" si="7"/>
        <v>67</v>
      </c>
      <c r="H69">
        <f t="shared" ca="1" si="8"/>
        <v>6633.2045355429573</v>
      </c>
      <c r="I69">
        <f t="shared" ca="1" si="9"/>
        <v>24.769304657889816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107538</v>
      </c>
      <c r="B72" s="66">
        <v>107538</v>
      </c>
      <c r="D72">
        <f t="shared" si="5"/>
        <v>93.796772786742252</v>
      </c>
      <c r="E72">
        <f t="shared" si="6"/>
        <v>93.796772786742252</v>
      </c>
      <c r="G72">
        <f t="shared" ca="1" si="7"/>
        <v>70</v>
      </c>
      <c r="H72">
        <f t="shared" ca="1" si="8"/>
        <v>6565.7740950719581</v>
      </c>
      <c r="I72">
        <f t="shared" ca="1" si="9"/>
        <v>586.14201752743202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104449</v>
      </c>
      <c r="B75" s="66">
        <v>104449</v>
      </c>
      <c r="D75">
        <f t="shared" si="5"/>
        <v>91.102485826428264</v>
      </c>
      <c r="E75">
        <f t="shared" si="6"/>
        <v>91.102485826428264</v>
      </c>
      <c r="G75">
        <f t="shared" ca="1" si="7"/>
        <v>73</v>
      </c>
      <c r="H75">
        <f t="shared" ca="1" si="8"/>
        <v>6650.4814653292633</v>
      </c>
      <c r="I75">
        <f t="shared" ca="1" si="9"/>
        <v>2755.6625544108715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103967</v>
      </c>
      <c r="B77" s="66">
        <v>103967</v>
      </c>
      <c r="D77">
        <f t="shared" si="5"/>
        <v>90.68207588312255</v>
      </c>
      <c r="E77">
        <f t="shared" si="6"/>
        <v>90.68207588312255</v>
      </c>
      <c r="G77">
        <f t="shared" ca="1" si="7"/>
        <v>75</v>
      </c>
      <c r="H77">
        <f t="shared" ca="1" si="8"/>
        <v>6801.1556912341912</v>
      </c>
      <c r="I77">
        <f t="shared" ca="1" si="9"/>
        <v>5100.6120728205378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93790</v>
      </c>
      <c r="B80" s="66">
        <v>93790</v>
      </c>
      <c r="D80">
        <f t="shared" si="5"/>
        <v>81.805494984736157</v>
      </c>
      <c r="E80">
        <f t="shared" si="6"/>
        <v>81.805494984736157</v>
      </c>
      <c r="G80">
        <f t="shared" ca="1" si="7"/>
        <v>78</v>
      </c>
      <c r="H80">
        <f t="shared" ca="1" si="8"/>
        <v>6380.8286088094201</v>
      </c>
      <c r="I80">
        <f t="shared" ca="1" si="9"/>
        <v>9018.7341509560993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87638</v>
      </c>
      <c r="B82" s="66">
        <v>87638</v>
      </c>
      <c r="D82">
        <f t="shared" si="5"/>
        <v>76.439598778892275</v>
      </c>
      <c r="E82">
        <f t="shared" si="6"/>
        <v>76.439598778892275</v>
      </c>
      <c r="G82">
        <f t="shared" ca="1" si="7"/>
        <v>80</v>
      </c>
      <c r="H82">
        <f t="shared" ca="1" si="8"/>
        <v>6115.167902311382</v>
      </c>
      <c r="I82">
        <f t="shared" ca="1" si="9"/>
        <v>11943.329485326778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79596</v>
      </c>
      <c r="B85" s="66">
        <v>79596</v>
      </c>
      <c r="D85">
        <f t="shared" si="5"/>
        <v>69.425207152202361</v>
      </c>
      <c r="E85">
        <f t="shared" si="6"/>
        <v>69.425207152202361</v>
      </c>
      <c r="G85">
        <f t="shared" ca="1" si="7"/>
        <v>83</v>
      </c>
      <c r="H85">
        <f t="shared" ca="1" si="8"/>
        <v>5762.2921936327957</v>
      </c>
      <c r="I85">
        <f t="shared" ca="1" si="9"/>
        <v>16679.003031893342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62610</v>
      </c>
      <c r="B88" s="66">
        <v>62610</v>
      </c>
      <c r="D88">
        <f t="shared" si="5"/>
        <v>54.609681639773221</v>
      </c>
      <c r="E88">
        <f t="shared" si="6"/>
        <v>54.609681639773221</v>
      </c>
      <c r="G88">
        <f t="shared" ca="1" si="7"/>
        <v>86</v>
      </c>
      <c r="H88">
        <f t="shared" ca="1" si="8"/>
        <v>4696.4326210204972</v>
      </c>
      <c r="I88">
        <f t="shared" ca="1" si="9"/>
        <v>18689.785200278991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59105</v>
      </c>
      <c r="B90" s="66">
        <v>59105</v>
      </c>
      <c r="D90">
        <f t="shared" si="5"/>
        <v>51.552551242913211</v>
      </c>
      <c r="E90">
        <f t="shared" si="6"/>
        <v>51.552551242913211</v>
      </c>
      <c r="G90">
        <f t="shared" ca="1" si="7"/>
        <v>88</v>
      </c>
      <c r="H90">
        <f t="shared" ca="1" si="8"/>
        <v>4536.6245093763628</v>
      </c>
      <c r="I90">
        <f t="shared" ca="1" si="9"/>
        <v>21664.563886804204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54483</v>
      </c>
      <c r="B93" s="66">
        <v>54483</v>
      </c>
      <c r="D93">
        <f t="shared" si="5"/>
        <v>47.521151330135197</v>
      </c>
      <c r="E93">
        <f t="shared" si="6"/>
        <v>47.521151330135197</v>
      </c>
      <c r="G93">
        <f t="shared" ca="1" si="7"/>
        <v>91</v>
      </c>
      <c r="H93">
        <f t="shared" ca="1" si="8"/>
        <v>4324.4247710423033</v>
      </c>
      <c r="I93">
        <f t="shared" ca="1" si="9"/>
        <v>26243.137609343325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44041</v>
      </c>
      <c r="B95" s="66">
        <v>44041</v>
      </c>
      <c r="D95">
        <f t="shared" si="5"/>
        <v>38.413432184910597</v>
      </c>
      <c r="E95">
        <f t="shared" si="6"/>
        <v>38.413432184910597</v>
      </c>
      <c r="G95">
        <f t="shared" ca="1" si="7"/>
        <v>93</v>
      </c>
      <c r="H95">
        <f t="shared" ca="1" si="8"/>
        <v>3572.4491931966854</v>
      </c>
      <c r="I95">
        <f t="shared" ca="1" si="9"/>
        <v>24977.967447386476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39734</v>
      </c>
      <c r="B98" s="66">
        <v>39734</v>
      </c>
      <c r="D98">
        <f t="shared" si="5"/>
        <v>34.656781508940256</v>
      </c>
      <c r="E98">
        <f t="shared" si="6"/>
        <v>34.656781508940256</v>
      </c>
      <c r="G98">
        <f t="shared" ca="1" si="7"/>
        <v>96</v>
      </c>
      <c r="H98">
        <f t="shared" ca="1" si="8"/>
        <v>3327.0510248582646</v>
      </c>
      <c r="I98">
        <f t="shared" ca="1" si="9"/>
        <v>28149.600887888188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30911</v>
      </c>
      <c r="B100" s="66">
        <v>30911</v>
      </c>
      <c r="D100">
        <f t="shared" si="5"/>
        <v>26.961186218927171</v>
      </c>
      <c r="E100">
        <f t="shared" si="6"/>
        <v>26.961186218927171</v>
      </c>
      <c r="G100">
        <f t="shared" ca="1" si="7"/>
        <v>98</v>
      </c>
      <c r="H100">
        <f t="shared" ca="1" si="8"/>
        <v>2642.1962494548629</v>
      </c>
      <c r="I100">
        <f t="shared" ca="1" si="9"/>
        <v>25080.335529129159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26588</v>
      </c>
      <c r="B103" s="66">
        <v>26588</v>
      </c>
      <c r="D103">
        <f t="shared" si="5"/>
        <v>23.190580026166593</v>
      </c>
      <c r="E103">
        <f t="shared" si="6"/>
        <v>23.190580026166593</v>
      </c>
      <c r="G103">
        <f t="shared" ca="1" si="7"/>
        <v>101</v>
      </c>
      <c r="H103">
        <f t="shared" ca="1" si="8"/>
        <v>2342.248582642826</v>
      </c>
      <c r="I103">
        <f t="shared" ca="1" si="9"/>
        <v>26025.337497095006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15660</v>
      </c>
      <c r="B106" s="66">
        <v>15660</v>
      </c>
      <c r="D106">
        <f t="shared" si="5"/>
        <v>13.658962058438727</v>
      </c>
      <c r="E106">
        <f t="shared" si="6"/>
        <v>13.658962058438727</v>
      </c>
      <c r="G106">
        <f t="shared" ca="1" si="7"/>
        <v>104</v>
      </c>
      <c r="H106">
        <f t="shared" ca="1" si="8"/>
        <v>1420.5320540776277</v>
      </c>
      <c r="I106">
        <f t="shared" ca="1" si="9"/>
        <v>18196.965498362599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16238</v>
      </c>
      <c r="B108" s="66">
        <v>16238</v>
      </c>
      <c r="D108">
        <f t="shared" si="5"/>
        <v>14.163105102485826</v>
      </c>
      <c r="E108">
        <f t="shared" si="6"/>
        <v>14.163105102485826</v>
      </c>
      <c r="G108">
        <f t="shared" ca="1" si="7"/>
        <v>106</v>
      </c>
      <c r="H108">
        <f t="shared" ca="1" si="8"/>
        <v>1501.2891408634976</v>
      </c>
      <c r="I108">
        <f t="shared" ca="1" si="9"/>
        <v>20993.058335070775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13924</v>
      </c>
      <c r="B111" s="66">
        <v>13924</v>
      </c>
      <c r="D111">
        <f t="shared" si="5"/>
        <v>12.144788486698648</v>
      </c>
      <c r="E111">
        <f t="shared" si="6"/>
        <v>12.144788486698648</v>
      </c>
      <c r="G111">
        <f t="shared" ca="1" si="7"/>
        <v>109</v>
      </c>
      <c r="H111">
        <f t="shared" ca="1" si="8"/>
        <v>1323.7819450501527</v>
      </c>
      <c r="I111">
        <f t="shared" ca="1" si="9"/>
        <v>20916.173223707989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11947</v>
      </c>
      <c r="B113" s="66">
        <v>11947</v>
      </c>
      <c r="D113">
        <f t="shared" si="5"/>
        <v>10.420409943305714</v>
      </c>
      <c r="E113">
        <f t="shared" si="6"/>
        <v>10.420409943305714</v>
      </c>
      <c r="G113">
        <f t="shared" ca="1" si="7"/>
        <v>111</v>
      </c>
      <c r="H113">
        <f t="shared" ca="1" si="8"/>
        <v>1156.6655037069343</v>
      </c>
      <c r="I113">
        <f t="shared" ca="1" si="9"/>
        <v>19717.850962288896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11545</v>
      </c>
      <c r="B116" s="66">
        <v>11545</v>
      </c>
      <c r="D116">
        <f t="shared" si="5"/>
        <v>10.069777583951156</v>
      </c>
      <c r="E116">
        <f t="shared" si="6"/>
        <v>10.069777583951156</v>
      </c>
      <c r="G116">
        <f t="shared" ca="1" si="7"/>
        <v>114</v>
      </c>
      <c r="H116">
        <f t="shared" ca="1" si="8"/>
        <v>1147.9546445704318</v>
      </c>
      <c r="I116">
        <f t="shared" ca="1" si="9"/>
        <v>21773.20122672262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10335</v>
      </c>
      <c r="B118" s="66">
        <v>10335</v>
      </c>
      <c r="D118">
        <f t="shared" si="5"/>
        <v>9.0143916266899264</v>
      </c>
      <c r="E118">
        <f t="shared" si="6"/>
        <v>9.0143916266899264</v>
      </c>
      <c r="G118">
        <f t="shared" ca="1" si="7"/>
        <v>116</v>
      </c>
      <c r="H118">
        <f t="shared" ca="1" si="8"/>
        <v>1045.6694286960314</v>
      </c>
      <c r="I118">
        <f t="shared" ca="1" si="9"/>
        <v>21203.938976438945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9287</v>
      </c>
      <c r="B121" s="66">
        <v>9287</v>
      </c>
      <c r="D121">
        <f t="shared" si="5"/>
        <v>8.1003052769297863</v>
      </c>
      <c r="E121">
        <f t="shared" si="6"/>
        <v>8.1003052769297863</v>
      </c>
      <c r="G121">
        <f t="shared" ca="1" si="7"/>
        <v>119</v>
      </c>
      <c r="H121">
        <f t="shared" ca="1" si="8"/>
        <v>963.93632795464453</v>
      </c>
      <c r="I121">
        <f t="shared" ca="1" si="9"/>
        <v>21483.878445216025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6713</v>
      </c>
      <c r="B124" s="66">
        <v>6713</v>
      </c>
      <c r="D124">
        <f t="shared" si="5"/>
        <v>5.8552115133013523</v>
      </c>
      <c r="E124">
        <f t="shared" si="6"/>
        <v>5.8552115133013523</v>
      </c>
      <c r="G124">
        <f t="shared" ca="1" si="7"/>
        <v>122</v>
      </c>
      <c r="H124">
        <f t="shared" ca="1" si="8"/>
        <v>714.33580462276495</v>
      </c>
      <c r="I124">
        <f t="shared" ca="1" si="9"/>
        <v>17391.322493367403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8927</v>
      </c>
      <c r="B126" s="66">
        <v>8927</v>
      </c>
      <c r="D126">
        <f t="shared" si="5"/>
        <v>7.7863061491495857</v>
      </c>
      <c r="E126">
        <f t="shared" si="6"/>
        <v>7.7863061491495857</v>
      </c>
      <c r="G126">
        <f t="shared" ca="1" si="7"/>
        <v>124</v>
      </c>
      <c r="H126">
        <f t="shared" ca="1" si="8"/>
        <v>965.50196249454859</v>
      </c>
      <c r="I126">
        <f t="shared" ca="1" si="9"/>
        <v>24855.671055405634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8732</v>
      </c>
      <c r="B129" s="66">
        <v>8732</v>
      </c>
      <c r="D129">
        <f t="shared" si="5"/>
        <v>7.6162232882686434</v>
      </c>
      <c r="E129">
        <f t="shared" si="6"/>
        <v>7.6162232882686434</v>
      </c>
      <c r="G129">
        <f t="shared" ca="1" si="7"/>
        <v>127</v>
      </c>
      <c r="H129">
        <f t="shared" ca="1" si="8"/>
        <v>967.26035761011769</v>
      </c>
      <c r="I129">
        <f t="shared" ca="1" si="9"/>
        <v>26963.164789156399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7692</v>
      </c>
      <c r="B131" s="66">
        <v>7692</v>
      </c>
      <c r="D131">
        <f t="shared" ref="D131:D194" si="10">IFERROR(100*A131/MAX(A$2:A$257), 0 )</f>
        <v>6.7091146969036197</v>
      </c>
      <c r="E131">
        <f t="shared" ref="E131:E194" si="11">IFERROR(100*B131/MAX(B$2:B$257), 0 )</f>
        <v>6.7091146969036197</v>
      </c>
      <c r="G131">
        <f t="shared" ref="G131:G194" ca="1" si="12">CELL("row",D131)-2</f>
        <v>129</v>
      </c>
      <c r="H131">
        <f t="shared" ref="H131:H194" ca="1" si="13">D131*G131</f>
        <v>865.47579590056694</v>
      </c>
      <c r="I131">
        <f t="shared" ref="I131:I194" ca="1" si="14">D131*((G131-$L$1)^2)</f>
        <v>25375.394542674207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9466</v>
      </c>
      <c r="B134" s="66">
        <v>9466</v>
      </c>
      <c r="D134">
        <f t="shared" si="10"/>
        <v>8.2564326210204975</v>
      </c>
      <c r="E134">
        <f t="shared" si="11"/>
        <v>8.2564326210204975</v>
      </c>
      <c r="G134">
        <f t="shared" ca="1" si="12"/>
        <v>132</v>
      </c>
      <c r="H134">
        <f t="shared" ca="1" si="13"/>
        <v>1089.8491059747057</v>
      </c>
      <c r="I134">
        <f t="shared" ca="1" si="14"/>
        <v>34348.624379216439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8874</v>
      </c>
      <c r="B136" s="66">
        <v>8874</v>
      </c>
      <c r="D136">
        <f t="shared" si="10"/>
        <v>7.7400784997819452</v>
      </c>
      <c r="E136">
        <f t="shared" si="11"/>
        <v>7.7400784997819452</v>
      </c>
      <c r="G136">
        <f t="shared" ca="1" si="12"/>
        <v>134</v>
      </c>
      <c r="H136">
        <f t="shared" ca="1" si="13"/>
        <v>1037.1705189707807</v>
      </c>
      <c r="I136">
        <f t="shared" ca="1" si="14"/>
        <v>34228.369388484774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9848</v>
      </c>
      <c r="B139" s="66">
        <v>9848</v>
      </c>
      <c r="D139">
        <f t="shared" si="10"/>
        <v>8.5896205843872657</v>
      </c>
      <c r="E139">
        <f t="shared" si="11"/>
        <v>8.5896205843872657</v>
      </c>
      <c r="G139">
        <f t="shared" ca="1" si="12"/>
        <v>137</v>
      </c>
      <c r="H139">
        <f t="shared" ca="1" si="13"/>
        <v>1176.7780200610555</v>
      </c>
      <c r="I139">
        <f t="shared" ca="1" si="14"/>
        <v>41489.791263487088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8612</v>
      </c>
      <c r="B142" s="66">
        <v>8612</v>
      </c>
      <c r="D142">
        <f t="shared" si="10"/>
        <v>7.5115569123419101</v>
      </c>
      <c r="E142">
        <f t="shared" si="11"/>
        <v>7.5115569123419101</v>
      </c>
      <c r="G142">
        <f t="shared" ca="1" si="12"/>
        <v>140</v>
      </c>
      <c r="H142">
        <f t="shared" ca="1" si="13"/>
        <v>1051.6179677278674</v>
      </c>
      <c r="I142">
        <f t="shared" ca="1" si="14"/>
        <v>39482.417076201069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9707</v>
      </c>
      <c r="B144" s="66">
        <v>9707</v>
      </c>
      <c r="D144">
        <f t="shared" si="10"/>
        <v>8.4666375926733544</v>
      </c>
      <c r="E144">
        <f t="shared" si="11"/>
        <v>8.4666375926733544</v>
      </c>
      <c r="G144">
        <f t="shared" ca="1" si="12"/>
        <v>142</v>
      </c>
      <c r="H144">
        <f t="shared" ca="1" si="13"/>
        <v>1202.2625381596163</v>
      </c>
      <c r="I144">
        <f t="shared" ca="1" si="14"/>
        <v>46991.719081896488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7007</v>
      </c>
      <c r="B147" s="66">
        <v>7007</v>
      </c>
      <c r="D147">
        <f t="shared" si="10"/>
        <v>6.1116441343218488</v>
      </c>
      <c r="E147">
        <f t="shared" si="11"/>
        <v>6.1116441343218488</v>
      </c>
      <c r="G147">
        <f t="shared" ca="1" si="12"/>
        <v>145</v>
      </c>
      <c r="H147">
        <f t="shared" ca="1" si="13"/>
        <v>886.18839947666811</v>
      </c>
      <c r="I147">
        <f t="shared" ca="1" si="14"/>
        <v>36707.885202284655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6854</v>
      </c>
      <c r="B149" s="66">
        <v>6854</v>
      </c>
      <c r="D149">
        <f t="shared" si="10"/>
        <v>5.9781945050152636</v>
      </c>
      <c r="E149">
        <f t="shared" si="11"/>
        <v>5.9781945050152636</v>
      </c>
      <c r="G149">
        <f t="shared" ca="1" si="12"/>
        <v>147</v>
      </c>
      <c r="H149">
        <f t="shared" ca="1" si="13"/>
        <v>878.79459223724371</v>
      </c>
      <c r="I149">
        <f t="shared" ca="1" si="14"/>
        <v>37783.50583638376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6188</v>
      </c>
      <c r="B152" s="66">
        <v>6188</v>
      </c>
      <c r="D152">
        <f t="shared" si="10"/>
        <v>5.3972961186218926</v>
      </c>
      <c r="E152">
        <f t="shared" si="11"/>
        <v>5.3972961186218926</v>
      </c>
      <c r="G152">
        <f t="shared" ca="1" si="12"/>
        <v>150</v>
      </c>
      <c r="H152">
        <f t="shared" ca="1" si="13"/>
        <v>809.59441779328392</v>
      </c>
      <c r="I152">
        <f t="shared" ca="1" si="14"/>
        <v>36735.179954292915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6299</v>
      </c>
      <c r="B154" s="66">
        <v>6299</v>
      </c>
      <c r="D154">
        <f t="shared" si="10"/>
        <v>5.4941125163541216</v>
      </c>
      <c r="E154">
        <f t="shared" si="11"/>
        <v>5.4941125163541216</v>
      </c>
      <c r="G154">
        <f t="shared" ca="1" si="12"/>
        <v>152</v>
      </c>
      <c r="H154">
        <f t="shared" ca="1" si="13"/>
        <v>835.10510248582648</v>
      </c>
      <c r="I154">
        <f t="shared" ca="1" si="14"/>
        <v>39229.163035595113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4325</v>
      </c>
      <c r="B157" s="66">
        <v>4325</v>
      </c>
      <c r="D157">
        <f t="shared" si="10"/>
        <v>3.7723506323593545</v>
      </c>
      <c r="E157">
        <f t="shared" si="11"/>
        <v>3.7723506323593545</v>
      </c>
      <c r="G157">
        <f t="shared" ca="1" si="12"/>
        <v>155</v>
      </c>
      <c r="H157">
        <f t="shared" ca="1" si="13"/>
        <v>584.7143480156999</v>
      </c>
      <c r="I157">
        <f t="shared" ca="1" si="14"/>
        <v>28881.93591610088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5129</v>
      </c>
      <c r="B160" s="66">
        <v>5129</v>
      </c>
      <c r="D160">
        <f t="shared" si="10"/>
        <v>4.4736153510684691</v>
      </c>
      <c r="E160">
        <f t="shared" si="11"/>
        <v>4.4736153510684691</v>
      </c>
      <c r="G160">
        <f t="shared" ca="1" si="12"/>
        <v>158</v>
      </c>
      <c r="H160">
        <f t="shared" ca="1" si="13"/>
        <v>706.83122546881816</v>
      </c>
      <c r="I160">
        <f t="shared" ca="1" si="14"/>
        <v>36639.876511031951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4417</v>
      </c>
      <c r="B162" s="66">
        <v>4417</v>
      </c>
      <c r="D162">
        <f t="shared" si="10"/>
        <v>3.8525948539031836</v>
      </c>
      <c r="E162">
        <f t="shared" si="11"/>
        <v>3.8525948539031836</v>
      </c>
      <c r="G162">
        <f t="shared" ca="1" si="12"/>
        <v>160</v>
      </c>
      <c r="H162">
        <f t="shared" ca="1" si="13"/>
        <v>616.4151766245094</v>
      </c>
      <c r="I162">
        <f t="shared" ca="1" si="14"/>
        <v>32963.631262498566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1722</v>
      </c>
      <c r="B165" s="66">
        <v>1722</v>
      </c>
      <c r="D165">
        <f t="shared" si="10"/>
        <v>1.5019624945486263</v>
      </c>
      <c r="E165">
        <f t="shared" si="11"/>
        <v>1.5019624945486263</v>
      </c>
      <c r="G165">
        <f t="shared" ca="1" si="12"/>
        <v>163</v>
      </c>
      <c r="H165">
        <f t="shared" ca="1" si="13"/>
        <v>244.81988661142609</v>
      </c>
      <c r="I165">
        <f t="shared" ca="1" si="14"/>
        <v>13698.219724594877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1176</v>
      </c>
      <c r="B167" s="66">
        <v>1176</v>
      </c>
      <c r="D167">
        <f t="shared" si="10"/>
        <v>1.0257304840819887</v>
      </c>
      <c r="E167">
        <f t="shared" si="11"/>
        <v>1.0257304840819887</v>
      </c>
      <c r="G167">
        <f t="shared" ca="1" si="12"/>
        <v>165</v>
      </c>
      <c r="H167">
        <f t="shared" ca="1" si="13"/>
        <v>169.24552987352814</v>
      </c>
      <c r="I167">
        <f t="shared" ca="1" si="14"/>
        <v>9750.8129617350423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409</v>
      </c>
      <c r="B170" s="66">
        <v>409</v>
      </c>
      <c r="D170">
        <f t="shared" si="10"/>
        <v>0.35673789795028349</v>
      </c>
      <c r="E170">
        <f t="shared" si="11"/>
        <v>0.35673789795028349</v>
      </c>
      <c r="G170">
        <f t="shared" ca="1" si="12"/>
        <v>168</v>
      </c>
      <c r="H170">
        <f t="shared" ca="1" si="13"/>
        <v>59.931966855647623</v>
      </c>
      <c r="I170">
        <f t="shared" ca="1" si="14"/>
        <v>3603.12852738842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92</v>
      </c>
      <c r="B173" s="66">
        <v>92</v>
      </c>
      <c r="D173">
        <f t="shared" si="10"/>
        <v>8.0244221543829042E-2</v>
      </c>
      <c r="E173">
        <f t="shared" si="11"/>
        <v>8.0244221543829042E-2</v>
      </c>
      <c r="G173">
        <f t="shared" ca="1" si="12"/>
        <v>171</v>
      </c>
      <c r="H173">
        <f t="shared" ca="1" si="13"/>
        <v>13.721761883994766</v>
      </c>
      <c r="I173">
        <f t="shared" ca="1" si="14"/>
        <v>859.59305196439038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139</v>
      </c>
      <c r="B175" s="66">
        <v>139</v>
      </c>
      <c r="D175">
        <f t="shared" si="10"/>
        <v>0.12123855211513301</v>
      </c>
      <c r="E175">
        <f t="shared" si="11"/>
        <v>0.12123855211513301</v>
      </c>
      <c r="G175">
        <f t="shared" ca="1" si="12"/>
        <v>173</v>
      </c>
      <c r="H175">
        <f t="shared" ca="1" si="13"/>
        <v>20.97426951591801</v>
      </c>
      <c r="I175">
        <f t="shared" ca="1" si="14"/>
        <v>1349.4106046633819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403</v>
      </c>
      <c r="B1" s="68" t="s">
        <v>404</v>
      </c>
      <c r="C1" s="32" t="s">
        <v>405</v>
      </c>
      <c r="D1" s="32" t="s">
        <v>406</v>
      </c>
      <c r="E1" s="32" t="s">
        <v>407</v>
      </c>
    </row>
    <row r="2" spans="1:5">
      <c r="A2" s="68">
        <v>0.13846700000000001</v>
      </c>
      <c r="B2" s="68">
        <v>0.69248799999999999</v>
      </c>
      <c r="C2" s="68">
        <v>0</v>
      </c>
      <c r="D2" s="68">
        <v>1</v>
      </c>
      <c r="E2" s="68" t="s">
        <v>408</v>
      </c>
    </row>
    <row r="3" spans="1:5">
      <c r="A3" s="68">
        <v>0.142703</v>
      </c>
      <c r="B3" s="68">
        <v>0.68552500000000005</v>
      </c>
      <c r="C3" s="68">
        <v>0.40407799999999999</v>
      </c>
      <c r="D3" s="89">
        <v>1</v>
      </c>
      <c r="E3" s="68" t="s">
        <v>409</v>
      </c>
    </row>
    <row r="4" spans="1:5">
      <c r="A4" s="68">
        <v>0.14749499999999999</v>
      </c>
      <c r="B4" s="68">
        <v>0.67555100000000001</v>
      </c>
      <c r="C4" s="68">
        <v>0.80802200000000002</v>
      </c>
      <c r="D4" s="89">
        <v>1</v>
      </c>
      <c r="E4" s="68" t="s">
        <v>410</v>
      </c>
    </row>
    <row r="5" spans="1:5">
      <c r="A5" s="89">
        <v>0.15291399999999999</v>
      </c>
      <c r="B5" s="89">
        <v>0.66272600000000004</v>
      </c>
      <c r="C5" s="89">
        <v>1.21567</v>
      </c>
      <c r="D5" s="89">
        <v>1</v>
      </c>
      <c r="E5" s="68" t="s">
        <v>411</v>
      </c>
    </row>
    <row r="6" spans="1:5">
      <c r="A6" s="68">
        <v>0.158416</v>
      </c>
      <c r="B6" s="68">
        <v>0.64854100000000003</v>
      </c>
      <c r="C6" s="68">
        <v>1.6254599999999999</v>
      </c>
      <c r="D6" s="68">
        <v>1</v>
      </c>
      <c r="E6" s="68" t="s">
        <v>412</v>
      </c>
    </row>
    <row r="7" spans="1:5">
      <c r="A7" s="68">
        <v>0.16417999999999999</v>
      </c>
      <c r="B7" s="68">
        <v>0.63165300000000002</v>
      </c>
      <c r="C7" s="68">
        <v>2.03085</v>
      </c>
      <c r="D7" s="68">
        <v>1</v>
      </c>
      <c r="E7" s="68" t="s">
        <v>413</v>
      </c>
    </row>
    <row r="8" spans="1:5">
      <c r="A8" s="68">
        <v>0.169931</v>
      </c>
      <c r="B8" s="68">
        <v>0.61429400000000001</v>
      </c>
      <c r="C8" s="68">
        <v>2.4357199999999999</v>
      </c>
      <c r="D8" s="68">
        <v>1</v>
      </c>
      <c r="E8" s="68" t="s">
        <v>414</v>
      </c>
    </row>
    <row r="9" spans="1:5">
      <c r="A9" s="68">
        <v>0.175589</v>
      </c>
      <c r="B9" s="68">
        <v>0.59870199999999996</v>
      </c>
      <c r="C9" s="68">
        <v>2.8406699999999998</v>
      </c>
      <c r="D9" s="68">
        <v>1</v>
      </c>
      <c r="E9" s="68" t="s">
        <v>415</v>
      </c>
    </row>
    <row r="10" spans="1:5">
      <c r="A10" s="68">
        <v>0.18146100000000001</v>
      </c>
      <c r="B10" s="68">
        <v>0.58291899999999996</v>
      </c>
      <c r="C10" s="68">
        <v>3.2472799999999999</v>
      </c>
      <c r="D10" s="68">
        <v>1</v>
      </c>
      <c r="E10" s="68" t="s">
        <v>416</v>
      </c>
    </row>
    <row r="11" spans="1:5">
      <c r="A11" s="68">
        <v>0.187751</v>
      </c>
      <c r="B11" s="68">
        <v>0.56592600000000004</v>
      </c>
      <c r="C11" s="68">
        <v>3.6533000000000002</v>
      </c>
      <c r="D11" s="68">
        <v>1</v>
      </c>
      <c r="E11" s="68" t="s">
        <v>417</v>
      </c>
    </row>
    <row r="12" spans="1:5">
      <c r="A12" s="68">
        <v>0.194218</v>
      </c>
      <c r="B12" s="68">
        <v>0.550037</v>
      </c>
      <c r="C12" s="68">
        <v>4.0647399999999996</v>
      </c>
      <c r="D12" s="68">
        <v>1</v>
      </c>
      <c r="E12" s="68" t="s">
        <v>418</v>
      </c>
    </row>
    <row r="13" spans="1:5">
      <c r="A13" s="68">
        <v>0.201152</v>
      </c>
      <c r="B13" s="68">
        <v>0.53323799999999999</v>
      </c>
      <c r="C13" s="68">
        <v>4.46713</v>
      </c>
      <c r="D13" s="68">
        <v>1</v>
      </c>
      <c r="E13" s="68" t="s">
        <v>419</v>
      </c>
    </row>
    <row r="14" spans="1:5">
      <c r="A14" s="68">
        <v>0.20799699999999999</v>
      </c>
      <c r="B14" s="68">
        <v>0.517903</v>
      </c>
      <c r="C14" s="68">
        <v>4.8724400000000001</v>
      </c>
      <c r="D14" s="68">
        <v>1</v>
      </c>
      <c r="E14" s="68" t="s">
        <v>420</v>
      </c>
    </row>
    <row r="15" spans="1:5">
      <c r="A15" s="68">
        <v>0.21527399999999999</v>
      </c>
      <c r="B15" s="68">
        <v>0.50054299999999996</v>
      </c>
      <c r="C15" s="68">
        <v>5.2766200000000003</v>
      </c>
      <c r="D15" s="68">
        <v>1</v>
      </c>
      <c r="E15" s="68" t="s">
        <v>421</v>
      </c>
    </row>
    <row r="16" spans="1:5">
      <c r="A16" s="68">
        <v>0.22272900000000001</v>
      </c>
      <c r="B16" s="68">
        <v>0.48352800000000001</v>
      </c>
      <c r="C16" s="68">
        <v>5.6858500000000003</v>
      </c>
      <c r="D16" s="68">
        <v>1</v>
      </c>
      <c r="E16" s="68" t="s">
        <v>422</v>
      </c>
    </row>
    <row r="17" spans="1:5">
      <c r="A17" s="68">
        <v>0.229714</v>
      </c>
      <c r="B17" s="68">
        <v>0.46805999999999998</v>
      </c>
      <c r="C17" s="68">
        <v>6.0964799999999997</v>
      </c>
      <c r="D17" s="68">
        <v>1</v>
      </c>
      <c r="E17" s="68" t="s">
        <v>423</v>
      </c>
    </row>
    <row r="18" spans="1:5">
      <c r="A18" s="68">
        <v>0.23560400000000001</v>
      </c>
      <c r="B18" s="68">
        <v>0.45530500000000002</v>
      </c>
      <c r="C18" s="68">
        <v>6.4991700000000003</v>
      </c>
      <c r="D18" s="68">
        <v>1</v>
      </c>
      <c r="E18" s="68" t="s">
        <v>424</v>
      </c>
    </row>
    <row r="19" spans="1:5">
      <c r="A19" s="68">
        <v>0.24149899999999999</v>
      </c>
      <c r="B19" s="68">
        <v>0.44248500000000002</v>
      </c>
      <c r="C19" s="68">
        <v>6.9024700000000001</v>
      </c>
      <c r="D19" s="68">
        <v>1</v>
      </c>
      <c r="E19" s="68" t="s">
        <v>425</v>
      </c>
    </row>
    <row r="20" spans="1:5">
      <c r="A20" s="68">
        <v>0.247477</v>
      </c>
      <c r="B20" s="68">
        <v>0.43021999999999999</v>
      </c>
      <c r="C20" s="68">
        <v>7.3084600000000002</v>
      </c>
      <c r="D20" s="68">
        <v>1</v>
      </c>
      <c r="E20" s="68" t="s">
        <v>426</v>
      </c>
    </row>
    <row r="21" spans="1:5">
      <c r="A21" s="68">
        <v>0.25340699999999999</v>
      </c>
      <c r="B21" s="68">
        <v>0.41925800000000002</v>
      </c>
      <c r="C21" s="68">
        <v>7.7183700000000002</v>
      </c>
      <c r="D21" s="68">
        <v>1</v>
      </c>
      <c r="E21" s="68" t="s">
        <v>427</v>
      </c>
    </row>
    <row r="22" spans="1:5">
      <c r="A22" s="68">
        <v>0.25898300000000002</v>
      </c>
      <c r="B22" s="68">
        <v>0.41000399999999998</v>
      </c>
      <c r="C22" s="68">
        <v>8.1241400000000006</v>
      </c>
      <c r="D22" s="68">
        <v>1</v>
      </c>
      <c r="E22" s="68" t="s">
        <v>428</v>
      </c>
    </row>
    <row r="23" spans="1:5">
      <c r="A23" s="68">
        <v>0.26434299999999999</v>
      </c>
      <c r="B23" s="68">
        <v>0.40302300000000002</v>
      </c>
      <c r="C23" s="68">
        <v>8.5271699999999999</v>
      </c>
      <c r="D23" s="68">
        <v>1</v>
      </c>
      <c r="E23" s="68" t="s">
        <v>429</v>
      </c>
    </row>
    <row r="24" spans="1:5">
      <c r="A24" s="68">
        <v>0.26944800000000002</v>
      </c>
      <c r="B24" s="68">
        <v>0.39727800000000002</v>
      </c>
      <c r="C24" s="68">
        <v>8.9347499999999993</v>
      </c>
      <c r="D24" s="68">
        <v>1</v>
      </c>
      <c r="E24" s="68" t="s">
        <v>430</v>
      </c>
    </row>
    <row r="25" spans="1:5">
      <c r="A25" s="68">
        <v>0.27449899999999999</v>
      </c>
      <c r="B25" s="68">
        <v>0.39182899999999998</v>
      </c>
      <c r="C25" s="68">
        <v>9.3397299999999994</v>
      </c>
      <c r="D25" s="68">
        <v>1</v>
      </c>
      <c r="E25" s="68" t="s">
        <v>431</v>
      </c>
    </row>
    <row r="26" spans="1:5">
      <c r="A26" s="68">
        <v>0.27944799999999997</v>
      </c>
      <c r="B26" s="68">
        <v>0.38703300000000002</v>
      </c>
      <c r="C26" s="68">
        <v>9.7497000000000007</v>
      </c>
      <c r="D26" s="68">
        <v>1</v>
      </c>
      <c r="E26" s="68" t="s">
        <v>432</v>
      </c>
    </row>
    <row r="27" spans="1:5">
      <c r="A27" s="68">
        <v>0.28428500000000001</v>
      </c>
      <c r="B27" s="68">
        <v>0.383465</v>
      </c>
      <c r="C27" s="68">
        <v>10.157400000000001</v>
      </c>
      <c r="D27" s="68">
        <v>1</v>
      </c>
      <c r="E27" s="68" t="s">
        <v>433</v>
      </c>
    </row>
    <row r="28" spans="1:5">
      <c r="A28" s="68">
        <v>0.28898299999999999</v>
      </c>
      <c r="B28" s="68">
        <v>0.38096000000000002</v>
      </c>
      <c r="C28" s="68">
        <v>10.561999999999999</v>
      </c>
      <c r="D28" s="68">
        <v>1</v>
      </c>
      <c r="E28" s="68" t="s">
        <v>434</v>
      </c>
    </row>
    <row r="29" spans="1:5">
      <c r="A29" s="68">
        <v>0.29342699999999999</v>
      </c>
      <c r="B29" s="68">
        <v>0.37811299999999998</v>
      </c>
      <c r="C29" s="68">
        <v>10.9664</v>
      </c>
      <c r="D29" s="68">
        <v>1</v>
      </c>
      <c r="E29" s="68" t="s">
        <v>435</v>
      </c>
    </row>
    <row r="30" spans="1:5">
      <c r="A30" s="68">
        <v>0.29751699999999998</v>
      </c>
      <c r="B30" s="68">
        <v>0.37520599999999998</v>
      </c>
      <c r="C30" s="68">
        <v>11.3721</v>
      </c>
      <c r="D30" s="68">
        <v>1</v>
      </c>
      <c r="E30" s="68" t="s">
        <v>436</v>
      </c>
    </row>
    <row r="31" spans="1:5">
      <c r="A31" s="68">
        <v>0.30127599999999999</v>
      </c>
      <c r="B31" s="68">
        <v>0.37302800000000003</v>
      </c>
      <c r="C31" s="68">
        <v>11.782500000000001</v>
      </c>
      <c r="D31" s="68">
        <v>1</v>
      </c>
      <c r="E31" s="68" t="s">
        <v>437</v>
      </c>
    </row>
    <row r="32" spans="1:5">
      <c r="A32" s="68">
        <v>0.30432599999999999</v>
      </c>
      <c r="B32" s="68">
        <v>0.37099399999999999</v>
      </c>
      <c r="C32" s="68">
        <v>12.1867</v>
      </c>
      <c r="D32" s="68">
        <v>1</v>
      </c>
      <c r="E32" s="68" t="s">
        <v>438</v>
      </c>
    </row>
    <row r="33" spans="1:5">
      <c r="A33" s="68">
        <v>0.306697</v>
      </c>
      <c r="B33" s="68">
        <v>0.36932300000000001</v>
      </c>
      <c r="C33" s="68">
        <v>12.593299999999999</v>
      </c>
      <c r="D33" s="68">
        <v>1</v>
      </c>
      <c r="E33" s="68" t="s">
        <v>439</v>
      </c>
    </row>
    <row r="34" spans="1:5">
      <c r="A34" s="68">
        <v>0.30878299999999997</v>
      </c>
      <c r="B34" s="68">
        <v>0.36813600000000002</v>
      </c>
      <c r="C34" s="68">
        <v>12.997299999999999</v>
      </c>
      <c r="D34" s="68">
        <v>1</v>
      </c>
      <c r="E34" s="68" t="s">
        <v>440</v>
      </c>
    </row>
    <row r="35" spans="1:5">
      <c r="A35" s="68">
        <v>0.310172</v>
      </c>
      <c r="B35" s="68">
        <v>0.36725999999999998</v>
      </c>
      <c r="C35" s="68">
        <v>13.402699999999999</v>
      </c>
      <c r="D35" s="68">
        <v>1</v>
      </c>
      <c r="E35" s="68" t="s">
        <v>441</v>
      </c>
    </row>
    <row r="36" spans="1:5">
      <c r="A36" s="68">
        <v>0.311058</v>
      </c>
      <c r="B36" s="68">
        <v>0.36610799999999999</v>
      </c>
      <c r="C36" s="68">
        <v>13.809799999999999</v>
      </c>
      <c r="D36" s="68">
        <v>1</v>
      </c>
      <c r="E36" s="68" t="s">
        <v>442</v>
      </c>
    </row>
    <row r="37" spans="1:5">
      <c r="A37" s="68">
        <v>0.311637</v>
      </c>
      <c r="B37" s="68">
        <v>0.36485699999999999</v>
      </c>
      <c r="C37" s="68">
        <v>14.2141</v>
      </c>
      <c r="D37" s="68">
        <v>1</v>
      </c>
      <c r="E37" s="68" t="s">
        <v>443</v>
      </c>
    </row>
    <row r="38" spans="1:5">
      <c r="A38" s="68">
        <v>0.311666</v>
      </c>
      <c r="B38" s="68">
        <v>0.36374200000000001</v>
      </c>
      <c r="C38" s="68">
        <v>14.6205</v>
      </c>
      <c r="D38" s="68">
        <v>1</v>
      </c>
      <c r="E38" s="68" t="s">
        <v>444</v>
      </c>
    </row>
    <row r="39" spans="1:5">
      <c r="A39" s="68">
        <v>0.31129600000000002</v>
      </c>
      <c r="B39" s="68">
        <v>0.36316199999999998</v>
      </c>
      <c r="C39" s="68">
        <v>15.0311</v>
      </c>
      <c r="D39" s="68">
        <v>1</v>
      </c>
      <c r="E39" s="68" t="s">
        <v>445</v>
      </c>
    </row>
    <row r="40" spans="1:5">
      <c r="A40" s="68">
        <v>0.30999300000000002</v>
      </c>
      <c r="B40" s="68">
        <v>0.36313099999999998</v>
      </c>
      <c r="C40" s="68">
        <v>15.4373</v>
      </c>
      <c r="D40" s="68">
        <v>1</v>
      </c>
      <c r="E40" s="68" t="s">
        <v>446</v>
      </c>
    </row>
    <row r="41" spans="1:5">
      <c r="A41" s="68">
        <v>0.30806</v>
      </c>
      <c r="B41" s="68">
        <v>0.36363499999999999</v>
      </c>
      <c r="C41" s="68">
        <v>15.846500000000001</v>
      </c>
      <c r="D41" s="68">
        <v>1</v>
      </c>
      <c r="E41" s="68" t="s">
        <v>447</v>
      </c>
    </row>
    <row r="42" spans="1:5">
      <c r="A42" s="68">
        <v>0.305952</v>
      </c>
      <c r="B42" s="68">
        <v>0.36569400000000002</v>
      </c>
      <c r="C42" s="68">
        <v>16.2453</v>
      </c>
      <c r="D42" s="68">
        <v>1</v>
      </c>
      <c r="E42" s="68" t="s">
        <v>448</v>
      </c>
    </row>
    <row r="43" spans="1:5">
      <c r="A43" s="68">
        <v>0.30335800000000002</v>
      </c>
      <c r="B43" s="68">
        <v>0.369284</v>
      </c>
      <c r="C43" s="68">
        <v>16.655200000000001</v>
      </c>
      <c r="D43" s="68">
        <v>1</v>
      </c>
      <c r="E43" s="68" t="s">
        <v>449</v>
      </c>
    </row>
    <row r="44" spans="1:5">
      <c r="A44" s="68">
        <v>0.30048399999999997</v>
      </c>
      <c r="B44" s="68">
        <v>0.37369599999999997</v>
      </c>
      <c r="C44" s="68">
        <v>17.065300000000001</v>
      </c>
      <c r="D44" s="68">
        <v>1</v>
      </c>
      <c r="E44" s="68" t="s">
        <v>450</v>
      </c>
    </row>
    <row r="45" spans="1:5">
      <c r="A45" s="68">
        <v>0.29742200000000002</v>
      </c>
      <c r="B45" s="68">
        <v>0.37845600000000001</v>
      </c>
      <c r="C45" s="68">
        <v>17.468499999999999</v>
      </c>
      <c r="D45" s="68">
        <v>1</v>
      </c>
      <c r="E45" s="68" t="s">
        <v>451</v>
      </c>
    </row>
    <row r="46" spans="1:5">
      <c r="A46" s="68">
        <v>0.29416999999999999</v>
      </c>
      <c r="B46" s="68">
        <v>0.38351800000000003</v>
      </c>
      <c r="C46" s="68">
        <v>17.872499999999999</v>
      </c>
      <c r="D46" s="68">
        <v>1</v>
      </c>
      <c r="E46" s="68" t="s">
        <v>452</v>
      </c>
    </row>
    <row r="47" spans="1:5">
      <c r="A47" s="68">
        <v>0.29086800000000002</v>
      </c>
      <c r="B47" s="68">
        <v>0.38878600000000002</v>
      </c>
      <c r="C47" s="68">
        <v>18.277799999999999</v>
      </c>
      <c r="D47" s="68">
        <v>1</v>
      </c>
      <c r="E47" s="68" t="s">
        <v>453</v>
      </c>
    </row>
    <row r="48" spans="1:5">
      <c r="A48" s="68">
        <v>0.28770800000000002</v>
      </c>
      <c r="B48" s="68">
        <v>0.393988</v>
      </c>
      <c r="C48" s="68">
        <v>18.683800000000002</v>
      </c>
      <c r="D48" s="68">
        <v>1</v>
      </c>
      <c r="E48" s="68" t="s">
        <v>454</v>
      </c>
    </row>
    <row r="49" spans="1:5">
      <c r="A49" s="68">
        <v>0.28471600000000002</v>
      </c>
      <c r="B49" s="68">
        <v>0.39916699999999999</v>
      </c>
      <c r="C49" s="68">
        <v>19.093800000000002</v>
      </c>
      <c r="D49" s="68">
        <v>1</v>
      </c>
      <c r="E49" s="68" t="s">
        <v>455</v>
      </c>
    </row>
    <row r="50" spans="1:5">
      <c r="A50" s="68">
        <v>0.28176000000000001</v>
      </c>
      <c r="B50" s="68">
        <v>0.40490500000000001</v>
      </c>
      <c r="C50" s="68">
        <v>19.5</v>
      </c>
      <c r="D50" s="68">
        <v>1</v>
      </c>
      <c r="E50" s="68" t="s">
        <v>456</v>
      </c>
    </row>
    <row r="51" spans="1:5">
      <c r="A51" s="68">
        <v>0.27879100000000001</v>
      </c>
      <c r="B51" s="68">
        <v>0.41092099999999998</v>
      </c>
      <c r="C51" s="68">
        <v>19.906199999999998</v>
      </c>
      <c r="D51" s="68">
        <v>1</v>
      </c>
      <c r="E51" s="68" t="s">
        <v>457</v>
      </c>
    </row>
    <row r="52" spans="1:5">
      <c r="A52" s="68">
        <v>0.27648800000000001</v>
      </c>
      <c r="B52" s="68">
        <v>0.41623199999999999</v>
      </c>
      <c r="C52" s="68">
        <v>20.3093</v>
      </c>
      <c r="D52" s="68">
        <v>1</v>
      </c>
      <c r="E52" s="68" t="s">
        <v>458</v>
      </c>
    </row>
    <row r="53" spans="1:5">
      <c r="A53" s="68">
        <v>0.27353699999999997</v>
      </c>
      <c r="B53" s="68">
        <v>0.42210599999999998</v>
      </c>
      <c r="C53" s="68">
        <v>20.7136</v>
      </c>
      <c r="D53" s="68">
        <v>1</v>
      </c>
      <c r="E53" s="68" t="s">
        <v>459</v>
      </c>
    </row>
    <row r="54" spans="1:5">
      <c r="A54" s="68">
        <v>0.27051799999999998</v>
      </c>
      <c r="B54" s="68">
        <v>0.42861900000000003</v>
      </c>
      <c r="C54" s="68">
        <v>21.1252</v>
      </c>
      <c r="D54" s="68">
        <v>1</v>
      </c>
      <c r="E54" s="68" t="s">
        <v>460</v>
      </c>
    </row>
    <row r="55" spans="1:5">
      <c r="A55" s="68">
        <v>0.267202</v>
      </c>
      <c r="B55" s="68">
        <v>0.43622499999999997</v>
      </c>
      <c r="C55" s="68">
        <v>21.530200000000001</v>
      </c>
      <c r="D55" s="68">
        <v>1</v>
      </c>
      <c r="E55" s="68" t="s">
        <v>461</v>
      </c>
    </row>
    <row r="56" spans="1:5">
      <c r="A56" s="68">
        <v>0.26445299999999999</v>
      </c>
      <c r="B56" s="68">
        <v>0.44256299999999998</v>
      </c>
      <c r="C56" s="68">
        <v>21.938300000000002</v>
      </c>
      <c r="D56" s="68">
        <v>1</v>
      </c>
      <c r="E56" s="68" t="s">
        <v>462</v>
      </c>
    </row>
    <row r="57" spans="1:5">
      <c r="A57" s="68">
        <v>0.262131</v>
      </c>
      <c r="B57" s="68">
        <v>0.44776700000000003</v>
      </c>
      <c r="C57" s="68">
        <v>22.343</v>
      </c>
      <c r="D57" s="68">
        <v>1</v>
      </c>
      <c r="E57" s="68" t="s">
        <v>463</v>
      </c>
    </row>
    <row r="58" spans="1:5">
      <c r="A58" s="68">
        <v>0.260301</v>
      </c>
      <c r="B58" s="68">
        <v>0.45208999999999999</v>
      </c>
      <c r="C58" s="68">
        <v>22.748100000000001</v>
      </c>
      <c r="D58" s="68">
        <v>1</v>
      </c>
      <c r="E58" s="68" t="s">
        <v>464</v>
      </c>
    </row>
    <row r="59" spans="1:5">
      <c r="A59" s="68">
        <v>0.25895699999999999</v>
      </c>
      <c r="B59" s="68">
        <v>0.455984</v>
      </c>
      <c r="C59" s="68">
        <v>23.154900000000001</v>
      </c>
      <c r="D59" s="68">
        <v>1</v>
      </c>
      <c r="E59" s="68" t="s">
        <v>465</v>
      </c>
    </row>
    <row r="60" spans="1:5">
      <c r="A60" s="68">
        <v>0.25789200000000001</v>
      </c>
      <c r="B60" s="68">
        <v>0.45893200000000001</v>
      </c>
      <c r="C60" s="68">
        <v>23.5593</v>
      </c>
      <c r="D60" s="68">
        <v>1</v>
      </c>
      <c r="E60" s="68" t="s">
        <v>466</v>
      </c>
    </row>
    <row r="61" spans="1:5">
      <c r="A61" s="68">
        <v>0.25789299999999998</v>
      </c>
      <c r="B61" s="68">
        <v>0.461119</v>
      </c>
      <c r="C61" s="68">
        <v>23.967600000000001</v>
      </c>
      <c r="D61" s="68">
        <v>1</v>
      </c>
      <c r="E61" s="68" t="s">
        <v>467</v>
      </c>
    </row>
    <row r="62" spans="1:5">
      <c r="A62" s="68">
        <v>0.25710899999999998</v>
      </c>
      <c r="B62" s="68">
        <v>0.46363500000000002</v>
      </c>
      <c r="C62" s="68">
        <v>24.372499999999999</v>
      </c>
      <c r="D62" s="68">
        <v>1</v>
      </c>
      <c r="E62" s="68" t="s">
        <v>468</v>
      </c>
    </row>
    <row r="63" spans="1:5">
      <c r="A63" s="68">
        <v>0.25769799999999998</v>
      </c>
      <c r="B63" s="68">
        <v>0.46340100000000001</v>
      </c>
      <c r="C63" s="68">
        <v>24.782900000000001</v>
      </c>
      <c r="D63" s="68">
        <v>1</v>
      </c>
      <c r="E63" s="68" t="s">
        <v>469</v>
      </c>
    </row>
    <row r="64" spans="1:5">
      <c r="A64" s="68">
        <v>0.25753100000000001</v>
      </c>
      <c r="B64" s="68">
        <v>0.46380700000000002</v>
      </c>
      <c r="C64" s="68">
        <v>25.184100000000001</v>
      </c>
      <c r="D64" s="68">
        <v>1</v>
      </c>
      <c r="E64" s="68" t="s">
        <v>470</v>
      </c>
    </row>
    <row r="65" spans="1:5">
      <c r="A65" s="68">
        <v>0.25883899999999999</v>
      </c>
      <c r="B65" s="68">
        <v>0.46174300000000001</v>
      </c>
      <c r="C65" s="68">
        <v>25.593699999999998</v>
      </c>
      <c r="D65" s="68">
        <v>1</v>
      </c>
      <c r="E65" s="68" t="s">
        <v>471</v>
      </c>
    </row>
    <row r="66" spans="1:5">
      <c r="A66" s="68">
        <v>0.26063700000000001</v>
      </c>
      <c r="B66" s="68">
        <v>0.458893</v>
      </c>
      <c r="C66" s="68">
        <v>25.998100000000001</v>
      </c>
      <c r="D66" s="68">
        <v>1</v>
      </c>
      <c r="E66" s="68" t="s">
        <v>472</v>
      </c>
    </row>
    <row r="67" spans="1:5">
      <c r="A67" s="68">
        <v>0.263733</v>
      </c>
      <c r="B67" s="68">
        <v>0.45407999999999998</v>
      </c>
      <c r="C67" s="68">
        <v>26.405899999999999</v>
      </c>
      <c r="D67" s="68">
        <v>1</v>
      </c>
      <c r="E67" s="68" t="s">
        <v>473</v>
      </c>
    </row>
    <row r="68" spans="1:5">
      <c r="A68" s="68">
        <v>0.26489000000000001</v>
      </c>
      <c r="B68" s="68">
        <v>0.45219599999999999</v>
      </c>
      <c r="C68" s="68">
        <v>26.808599999999998</v>
      </c>
      <c r="D68" s="68">
        <v>1</v>
      </c>
      <c r="E68" s="68" t="s">
        <v>474</v>
      </c>
    </row>
    <row r="69" spans="1:5">
      <c r="A69" s="68">
        <v>0.26688499999999998</v>
      </c>
      <c r="B69" s="68">
        <v>0.44997399999999999</v>
      </c>
      <c r="C69" s="68">
        <v>27.2182</v>
      </c>
      <c r="D69" s="68">
        <v>1</v>
      </c>
      <c r="E69" s="68" t="s">
        <v>475</v>
      </c>
    </row>
    <row r="70" spans="1:5">
      <c r="A70" s="68">
        <v>0.269036</v>
      </c>
      <c r="B70" s="68">
        <v>0.44814300000000001</v>
      </c>
      <c r="C70" s="68">
        <v>27.625299999999999</v>
      </c>
      <c r="D70" s="68">
        <v>1</v>
      </c>
      <c r="E70" s="68" t="s">
        <v>476</v>
      </c>
    </row>
    <row r="71" spans="1:5">
      <c r="A71" s="68">
        <v>0.27186700000000003</v>
      </c>
      <c r="B71" s="68">
        <v>0.44697999999999999</v>
      </c>
      <c r="C71" s="68">
        <v>28.0334</v>
      </c>
      <c r="D71" s="68">
        <v>1</v>
      </c>
      <c r="E71" s="68" t="s">
        <v>477</v>
      </c>
    </row>
    <row r="72" spans="1:5">
      <c r="A72" s="68">
        <v>0.27405600000000002</v>
      </c>
      <c r="B72" s="68">
        <v>0.446129</v>
      </c>
      <c r="C72" s="68">
        <v>28.439</v>
      </c>
      <c r="D72" s="68">
        <v>1</v>
      </c>
      <c r="E72" s="68" t="s">
        <v>478</v>
      </c>
    </row>
    <row r="73" spans="1:5">
      <c r="A73" s="68">
        <v>0.276113</v>
      </c>
      <c r="B73" s="68">
        <v>0.44579800000000003</v>
      </c>
      <c r="C73" s="68">
        <v>28.841200000000001</v>
      </c>
      <c r="D73" s="68">
        <v>1</v>
      </c>
      <c r="E73" s="68" t="s">
        <v>479</v>
      </c>
    </row>
    <row r="74" spans="1:5">
      <c r="A74" s="68">
        <v>0.277615</v>
      </c>
      <c r="B74" s="68">
        <v>0.44556200000000001</v>
      </c>
      <c r="C74" s="68">
        <v>29.245899999999999</v>
      </c>
      <c r="D74" s="68">
        <v>1</v>
      </c>
      <c r="E74" s="68" t="s">
        <v>480</v>
      </c>
    </row>
    <row r="75" spans="1:5">
      <c r="A75" s="68">
        <v>0.27909699999999998</v>
      </c>
      <c r="B75" s="68">
        <v>0.44676100000000002</v>
      </c>
      <c r="C75" s="68">
        <v>29.653700000000001</v>
      </c>
      <c r="D75" s="68">
        <v>1</v>
      </c>
      <c r="E75" s="68" t="s">
        <v>481</v>
      </c>
    </row>
    <row r="76" spans="1:5">
      <c r="A76" s="68">
        <v>0.28045900000000001</v>
      </c>
      <c r="B76" s="68">
        <v>0.44885999999999998</v>
      </c>
      <c r="C76" s="68">
        <v>30.062899999999999</v>
      </c>
      <c r="D76" s="68">
        <v>2</v>
      </c>
      <c r="E76" s="68" t="s">
        <v>482</v>
      </c>
    </row>
    <row r="77" spans="1:5">
      <c r="A77" s="68">
        <v>0.28157100000000002</v>
      </c>
      <c r="B77" s="68">
        <v>0.45285399999999998</v>
      </c>
      <c r="C77" s="68">
        <v>30.528700000000001</v>
      </c>
      <c r="D77" s="68">
        <v>2</v>
      </c>
      <c r="E77" s="68" t="s">
        <v>483</v>
      </c>
    </row>
    <row r="78" spans="1:5">
      <c r="A78" s="68">
        <v>0.28211599999999998</v>
      </c>
      <c r="B78" s="68">
        <v>0.45570100000000002</v>
      </c>
      <c r="C78" s="68">
        <v>30.933499999999999</v>
      </c>
      <c r="D78" s="68">
        <v>2</v>
      </c>
      <c r="E78" s="68" t="s">
        <v>484</v>
      </c>
    </row>
    <row r="79" spans="1:5">
      <c r="A79" s="68">
        <v>0.28223599999999999</v>
      </c>
      <c r="B79" s="68">
        <v>0.45811299999999999</v>
      </c>
      <c r="C79" s="68">
        <v>31.328800000000001</v>
      </c>
      <c r="D79" s="68">
        <v>2</v>
      </c>
      <c r="E79" s="68" t="s">
        <v>485</v>
      </c>
    </row>
    <row r="80" spans="1:5">
      <c r="A80" s="68">
        <v>0.28218199999999999</v>
      </c>
      <c r="B80" s="68">
        <v>0.46040199999999998</v>
      </c>
      <c r="C80" s="68">
        <v>31.732500000000002</v>
      </c>
      <c r="D80" s="68">
        <v>2</v>
      </c>
      <c r="E80" s="68" t="s">
        <v>486</v>
      </c>
    </row>
    <row r="81" spans="1:5">
      <c r="A81" s="68">
        <v>0.28207599999999999</v>
      </c>
      <c r="B81" s="68">
        <v>0.46312999999999999</v>
      </c>
      <c r="C81" s="68">
        <v>32.139400000000002</v>
      </c>
      <c r="D81" s="68">
        <v>2</v>
      </c>
      <c r="E81" s="68" t="s">
        <v>487</v>
      </c>
    </row>
    <row r="82" spans="1:5">
      <c r="A82" s="68">
        <v>0.28179399999999999</v>
      </c>
      <c r="B82" s="68">
        <v>0.46593000000000001</v>
      </c>
      <c r="C82" s="68">
        <v>32.542999999999999</v>
      </c>
      <c r="D82" s="68">
        <v>2</v>
      </c>
      <c r="E82" s="68" t="s">
        <v>488</v>
      </c>
    </row>
    <row r="83" spans="1:5">
      <c r="A83" s="68">
        <v>0.281113</v>
      </c>
      <c r="B83" s="68">
        <v>0.46840199999999999</v>
      </c>
      <c r="C83" s="68">
        <v>32.949199999999998</v>
      </c>
      <c r="D83" s="68">
        <v>2</v>
      </c>
      <c r="E83" s="68" t="s">
        <v>489</v>
      </c>
    </row>
    <row r="84" spans="1:5">
      <c r="A84" s="68">
        <v>0.27987499999999998</v>
      </c>
      <c r="B84" s="68">
        <v>0.47033799999999998</v>
      </c>
      <c r="C84" s="68">
        <v>33.354599999999998</v>
      </c>
      <c r="D84" s="68">
        <v>2</v>
      </c>
      <c r="E84" s="68" t="s">
        <v>490</v>
      </c>
    </row>
    <row r="85" spans="1:5">
      <c r="A85" s="68">
        <v>0.27839199999999997</v>
      </c>
      <c r="B85" s="68">
        <v>0.47182299999999999</v>
      </c>
      <c r="C85" s="68">
        <v>33.763300000000001</v>
      </c>
      <c r="D85" s="68">
        <v>2</v>
      </c>
      <c r="E85" s="68" t="s">
        <v>491</v>
      </c>
    </row>
    <row r="86" spans="1:5">
      <c r="A86" s="68">
        <v>0.276472</v>
      </c>
      <c r="B86" s="68">
        <v>0.47317199999999998</v>
      </c>
      <c r="C86" s="68">
        <v>34.174399999999999</v>
      </c>
      <c r="D86" s="68">
        <v>2</v>
      </c>
      <c r="E86" s="68" t="s">
        <v>492</v>
      </c>
    </row>
    <row r="87" spans="1:5">
      <c r="A87" s="68">
        <v>0.27446100000000001</v>
      </c>
      <c r="B87" s="68">
        <v>0.474914</v>
      </c>
      <c r="C87" s="68">
        <v>34.578299999999999</v>
      </c>
      <c r="D87" s="68">
        <v>2</v>
      </c>
      <c r="E87" s="68" t="s">
        <v>493</v>
      </c>
    </row>
    <row r="88" spans="1:5">
      <c r="A88" s="68">
        <v>0.27207700000000001</v>
      </c>
      <c r="B88" s="68">
        <v>0.47730899999999998</v>
      </c>
      <c r="C88" s="68">
        <v>34.981400000000001</v>
      </c>
      <c r="D88" s="68">
        <v>2</v>
      </c>
      <c r="E88" s="68" t="s">
        <v>494</v>
      </c>
    </row>
    <row r="89" spans="1:5">
      <c r="A89" s="68">
        <v>0.26925900000000003</v>
      </c>
      <c r="B89" s="68">
        <v>0.48020800000000002</v>
      </c>
      <c r="C89" s="68">
        <v>35.387599999999999</v>
      </c>
      <c r="D89" s="68">
        <v>2</v>
      </c>
      <c r="E89" s="68" t="s">
        <v>495</v>
      </c>
    </row>
    <row r="90" spans="1:5">
      <c r="A90" s="68">
        <v>0.26622600000000002</v>
      </c>
      <c r="B90" s="68">
        <v>0.48378900000000002</v>
      </c>
      <c r="C90" s="68">
        <v>35.792999999999999</v>
      </c>
      <c r="D90" s="68">
        <v>2</v>
      </c>
      <c r="E90" s="68" t="s">
        <v>496</v>
      </c>
    </row>
    <row r="91" spans="1:5">
      <c r="A91" s="68">
        <v>0.26299400000000001</v>
      </c>
      <c r="B91" s="68">
        <v>0.488562</v>
      </c>
      <c r="C91" s="68">
        <v>36.204300000000003</v>
      </c>
      <c r="D91" s="68">
        <v>2</v>
      </c>
      <c r="E91" s="68" t="s">
        <v>497</v>
      </c>
    </row>
    <row r="92" spans="1:5">
      <c r="A92" s="68">
        <v>0.25973099999999999</v>
      </c>
      <c r="B92" s="68">
        <v>0.49391800000000002</v>
      </c>
      <c r="C92" s="68">
        <v>36.608699999999999</v>
      </c>
      <c r="D92" s="68">
        <v>2</v>
      </c>
      <c r="E92" s="68" t="s">
        <v>498</v>
      </c>
    </row>
    <row r="93" spans="1:5">
      <c r="A93" s="68">
        <v>0.257017</v>
      </c>
      <c r="B93" s="68">
        <v>0.49834099999999998</v>
      </c>
      <c r="C93" s="68">
        <v>37.013399999999997</v>
      </c>
      <c r="D93" s="68">
        <v>2</v>
      </c>
      <c r="E93" s="68" t="s">
        <v>499</v>
      </c>
    </row>
    <row r="94" spans="1:5">
      <c r="A94" s="68">
        <v>0.25440299999999999</v>
      </c>
      <c r="B94" s="68">
        <v>0.50266900000000003</v>
      </c>
      <c r="C94" s="68">
        <v>37.418599999999998</v>
      </c>
      <c r="D94" s="68">
        <v>2</v>
      </c>
      <c r="E94" s="68" t="s">
        <v>500</v>
      </c>
    </row>
    <row r="95" spans="1:5">
      <c r="A95" s="68">
        <v>0.25171700000000002</v>
      </c>
      <c r="B95" s="68">
        <v>0.50714599999999999</v>
      </c>
      <c r="C95" s="68">
        <v>37.829500000000003</v>
      </c>
      <c r="D95" s="68">
        <v>2</v>
      </c>
      <c r="E95" s="68" t="s">
        <v>501</v>
      </c>
    </row>
    <row r="96" spans="1:5">
      <c r="A96" s="68">
        <v>0.24913299999999999</v>
      </c>
      <c r="B96" s="68">
        <v>0.51181699999999997</v>
      </c>
      <c r="C96" s="68">
        <v>38.234299999999998</v>
      </c>
      <c r="D96" s="68">
        <v>2</v>
      </c>
      <c r="E96" s="68" t="s">
        <v>502</v>
      </c>
    </row>
    <row r="97" spans="1:5">
      <c r="A97" s="68">
        <v>0.246722</v>
      </c>
      <c r="B97" s="68">
        <v>0.51656800000000003</v>
      </c>
      <c r="C97" s="68">
        <v>38.639899999999997</v>
      </c>
      <c r="D97" s="68">
        <v>2</v>
      </c>
      <c r="E97" s="68" t="s">
        <v>503</v>
      </c>
    </row>
    <row r="98" spans="1:5">
      <c r="A98" s="68">
        <v>0.24448500000000001</v>
      </c>
      <c r="B98" s="68">
        <v>0.52107300000000001</v>
      </c>
      <c r="C98" s="68">
        <v>39.043700000000001</v>
      </c>
      <c r="D98" s="68">
        <v>2</v>
      </c>
      <c r="E98" s="68" t="s">
        <v>504</v>
      </c>
    </row>
    <row r="99" spans="1:5">
      <c r="A99" s="68">
        <v>0.242813</v>
      </c>
      <c r="B99" s="68">
        <v>0.52450600000000003</v>
      </c>
      <c r="C99" s="68">
        <v>39.4499</v>
      </c>
      <c r="D99" s="68">
        <v>2</v>
      </c>
      <c r="E99" s="68" t="s">
        <v>505</v>
      </c>
    </row>
    <row r="100" spans="1:5">
      <c r="A100" s="68">
        <v>0.24146899999999999</v>
      </c>
      <c r="B100" s="68">
        <v>0.52639100000000005</v>
      </c>
      <c r="C100" s="68">
        <v>39.858600000000003</v>
      </c>
      <c r="D100" s="68">
        <v>2</v>
      </c>
      <c r="E100" s="68" t="s">
        <v>506</v>
      </c>
    </row>
    <row r="101" spans="1:5">
      <c r="A101" s="68">
        <v>0.240258</v>
      </c>
      <c r="B101" s="68">
        <v>0.52748799999999996</v>
      </c>
      <c r="C101" s="68">
        <v>40.266100000000002</v>
      </c>
      <c r="D101" s="68">
        <v>2</v>
      </c>
      <c r="E101" s="68" t="s">
        <v>507</v>
      </c>
    </row>
    <row r="102" spans="1:5">
      <c r="A102" s="68">
        <v>0.23941100000000001</v>
      </c>
      <c r="B102" s="68">
        <v>0.52764500000000003</v>
      </c>
      <c r="C102" s="68">
        <v>40.6723</v>
      </c>
      <c r="D102" s="68">
        <v>2</v>
      </c>
      <c r="E102" s="68" t="s">
        <v>508</v>
      </c>
    </row>
    <row r="103" spans="1:5">
      <c r="A103" s="68">
        <v>0.239034</v>
      </c>
      <c r="B103" s="68">
        <v>0.52677799999999997</v>
      </c>
      <c r="C103" s="68">
        <v>41.073599999999999</v>
      </c>
      <c r="D103" s="68">
        <v>2</v>
      </c>
      <c r="E103" s="68" t="s">
        <v>509</v>
      </c>
    </row>
    <row r="104" spans="1:5">
      <c r="A104" s="68">
        <v>0.23890800000000001</v>
      </c>
      <c r="B104" s="68">
        <v>0.52559500000000003</v>
      </c>
      <c r="C104" s="68">
        <v>41.481299999999997</v>
      </c>
      <c r="D104" s="68">
        <v>2</v>
      </c>
      <c r="E104" s="68" t="s">
        <v>510</v>
      </c>
    </row>
    <row r="105" spans="1:5">
      <c r="A105" s="68">
        <v>0.239259</v>
      </c>
      <c r="B105" s="68">
        <v>0.52351800000000004</v>
      </c>
      <c r="C105" s="68">
        <v>41.891599999999997</v>
      </c>
      <c r="D105" s="68">
        <v>2</v>
      </c>
      <c r="E105" s="68" t="s">
        <v>511</v>
      </c>
    </row>
    <row r="106" spans="1:5">
      <c r="A106" s="68">
        <v>0.239929</v>
      </c>
      <c r="B106" s="68">
        <v>0.52027699999999999</v>
      </c>
      <c r="C106" s="68">
        <v>42.2943</v>
      </c>
      <c r="D106" s="68">
        <v>2</v>
      </c>
      <c r="E106" s="68" t="s">
        <v>512</v>
      </c>
    </row>
    <row r="107" spans="1:5">
      <c r="A107" s="68">
        <v>0.24086199999999999</v>
      </c>
      <c r="B107" s="68">
        <v>0.51637900000000003</v>
      </c>
      <c r="C107" s="68">
        <v>42.701599999999999</v>
      </c>
      <c r="D107" s="68">
        <v>2</v>
      </c>
      <c r="E107" s="68" t="s">
        <v>513</v>
      </c>
    </row>
    <row r="108" spans="1:5">
      <c r="A108" s="68">
        <v>0.24206900000000001</v>
      </c>
      <c r="B108" s="68">
        <v>0.511768</v>
      </c>
      <c r="C108" s="68">
        <v>43.108499999999999</v>
      </c>
      <c r="D108" s="68">
        <v>2</v>
      </c>
      <c r="E108" s="68" t="s">
        <v>514</v>
      </c>
    </row>
    <row r="109" spans="1:5">
      <c r="A109" s="68">
        <v>0.243447</v>
      </c>
      <c r="B109" s="68">
        <v>0.50736899999999996</v>
      </c>
      <c r="C109" s="68">
        <v>43.511699999999998</v>
      </c>
      <c r="D109" s="68">
        <v>2</v>
      </c>
      <c r="E109" s="68" t="s">
        <v>515</v>
      </c>
    </row>
    <row r="110" spans="1:5">
      <c r="A110" s="68">
        <v>0.24501700000000001</v>
      </c>
      <c r="B110" s="68">
        <v>0.50269699999999995</v>
      </c>
      <c r="C110" s="68">
        <v>43.919800000000002</v>
      </c>
      <c r="D110" s="68">
        <v>2</v>
      </c>
      <c r="E110" s="68" t="s">
        <v>516</v>
      </c>
    </row>
    <row r="111" spans="1:5">
      <c r="A111" s="68">
        <v>0.24704300000000001</v>
      </c>
      <c r="B111" s="68">
        <v>0.49739800000000001</v>
      </c>
      <c r="C111" s="68">
        <v>44.3277</v>
      </c>
      <c r="D111" s="68">
        <v>2</v>
      </c>
      <c r="E111" s="68" t="s">
        <v>517</v>
      </c>
    </row>
    <row r="112" spans="1:5">
      <c r="A112" s="68">
        <v>0.249142</v>
      </c>
      <c r="B112" s="68">
        <v>0.49233399999999999</v>
      </c>
      <c r="C112" s="68">
        <v>44.734499999999997</v>
      </c>
      <c r="D112" s="68">
        <v>2</v>
      </c>
      <c r="E112" s="68" t="s">
        <v>518</v>
      </c>
    </row>
    <row r="113" spans="1:5">
      <c r="A113" s="68">
        <v>0.251467</v>
      </c>
      <c r="B113" s="68">
        <v>0.48749199999999998</v>
      </c>
      <c r="C113" s="68">
        <v>45.141399999999997</v>
      </c>
      <c r="D113" s="68">
        <v>2</v>
      </c>
      <c r="E113" s="68" t="s">
        <v>519</v>
      </c>
    </row>
    <row r="114" spans="1:5">
      <c r="A114" s="68">
        <v>0.25366300000000003</v>
      </c>
      <c r="B114" s="68">
        <v>0.48364800000000002</v>
      </c>
      <c r="C114" s="68">
        <v>45.546700000000001</v>
      </c>
      <c r="D114" s="68">
        <v>2</v>
      </c>
      <c r="E114" s="68" t="s">
        <v>520</v>
      </c>
    </row>
    <row r="115" spans="1:5">
      <c r="A115" s="68">
        <v>0.25548100000000001</v>
      </c>
      <c r="B115" s="68">
        <v>0.48056100000000002</v>
      </c>
      <c r="C115" s="68">
        <v>45.950800000000001</v>
      </c>
      <c r="D115" s="68">
        <v>2</v>
      </c>
      <c r="E115" s="68" t="s">
        <v>521</v>
      </c>
    </row>
    <row r="116" spans="1:5">
      <c r="A116" s="68">
        <v>0.25712299999999999</v>
      </c>
      <c r="B116" s="68">
        <v>0.47714800000000002</v>
      </c>
      <c r="C116" s="68">
        <v>46.356299999999997</v>
      </c>
      <c r="D116" s="68">
        <v>2</v>
      </c>
      <c r="E116" s="68" t="s">
        <v>522</v>
      </c>
    </row>
    <row r="117" spans="1:5">
      <c r="A117" s="68">
        <v>0.25884800000000002</v>
      </c>
      <c r="B117" s="68">
        <v>0.47367300000000001</v>
      </c>
      <c r="C117" s="68">
        <v>46.764600000000002</v>
      </c>
      <c r="D117" s="68">
        <v>2</v>
      </c>
      <c r="E117" s="68" t="s">
        <v>523</v>
      </c>
    </row>
    <row r="118" spans="1:5">
      <c r="A118" s="68">
        <v>0.26055099999999998</v>
      </c>
      <c r="B118" s="68">
        <v>0.47062500000000002</v>
      </c>
      <c r="C118" s="68">
        <v>47.169800000000002</v>
      </c>
      <c r="D118" s="68">
        <v>2</v>
      </c>
      <c r="E118" s="68" t="s">
        <v>524</v>
      </c>
    </row>
    <row r="119" spans="1:5">
      <c r="A119" s="68">
        <v>0.26233000000000001</v>
      </c>
      <c r="B119" s="68">
        <v>0.46787800000000002</v>
      </c>
      <c r="C119" s="68">
        <v>47.575000000000003</v>
      </c>
      <c r="D119" s="68">
        <v>2</v>
      </c>
      <c r="E119" s="68" t="s">
        <v>525</v>
      </c>
    </row>
    <row r="120" spans="1:5">
      <c r="A120" s="68">
        <v>0.26418700000000001</v>
      </c>
      <c r="B120" s="68">
        <v>0.46506799999999998</v>
      </c>
      <c r="C120" s="68">
        <v>47.980800000000002</v>
      </c>
      <c r="D120" s="68">
        <v>2</v>
      </c>
      <c r="E120" s="68" t="s">
        <v>526</v>
      </c>
    </row>
    <row r="121" spans="1:5">
      <c r="A121" s="68">
        <v>0.26618199999999997</v>
      </c>
      <c r="B121" s="68">
        <v>0.4617</v>
      </c>
      <c r="C121" s="68">
        <v>48.387999999999998</v>
      </c>
      <c r="D121" s="68">
        <v>2</v>
      </c>
      <c r="E121" s="68" t="s">
        <v>527</v>
      </c>
    </row>
    <row r="122" spans="1:5">
      <c r="A122" s="68">
        <v>0.26814700000000002</v>
      </c>
      <c r="B122" s="68">
        <v>0.45817600000000003</v>
      </c>
      <c r="C122" s="68">
        <v>48.795400000000001</v>
      </c>
      <c r="D122" s="68">
        <v>2</v>
      </c>
      <c r="E122" s="68" t="s">
        <v>528</v>
      </c>
    </row>
    <row r="123" spans="1:5">
      <c r="A123" s="68">
        <v>0.27036300000000002</v>
      </c>
      <c r="B123" s="68">
        <v>0.45393800000000001</v>
      </c>
      <c r="C123" s="68">
        <v>49.203499999999998</v>
      </c>
      <c r="D123" s="68">
        <v>2</v>
      </c>
      <c r="E123" s="68" t="s">
        <v>529</v>
      </c>
    </row>
    <row r="124" spans="1:5">
      <c r="A124" s="68">
        <v>0.272455</v>
      </c>
      <c r="B124" s="68">
        <v>0.44930199999999998</v>
      </c>
      <c r="C124" s="68">
        <v>49.607900000000001</v>
      </c>
      <c r="D124" s="68">
        <v>2</v>
      </c>
      <c r="E124" s="68" t="s">
        <v>530</v>
      </c>
    </row>
    <row r="125" spans="1:5">
      <c r="A125" s="68">
        <v>0.27434599999999998</v>
      </c>
      <c r="B125" s="68">
        <v>0.44580900000000001</v>
      </c>
      <c r="C125" s="68">
        <v>50.012500000000003</v>
      </c>
      <c r="D125" s="68">
        <v>2</v>
      </c>
      <c r="E125" s="68" t="s">
        <v>531</v>
      </c>
    </row>
    <row r="126" spans="1:5">
      <c r="A126" s="68">
        <v>0.27513300000000002</v>
      </c>
      <c r="B126" s="68">
        <v>0.44425700000000001</v>
      </c>
      <c r="C126" s="68">
        <v>50.421900000000001</v>
      </c>
      <c r="D126" s="68">
        <v>2</v>
      </c>
      <c r="E126" s="68" t="s">
        <v>532</v>
      </c>
    </row>
    <row r="127" spans="1:5">
      <c r="A127" s="68">
        <v>0.27584799999999998</v>
      </c>
      <c r="B127" s="68">
        <v>0.44254700000000002</v>
      </c>
      <c r="C127" s="68">
        <v>50.828600000000002</v>
      </c>
      <c r="D127" s="68">
        <v>2</v>
      </c>
      <c r="E127" s="68" t="s">
        <v>533</v>
      </c>
    </row>
    <row r="128" spans="1:5">
      <c r="A128" s="68">
        <v>0.27670699999999998</v>
      </c>
      <c r="B128" s="68">
        <v>0.44076199999999999</v>
      </c>
      <c r="C128" s="68">
        <v>51.230600000000003</v>
      </c>
      <c r="D128" s="68">
        <v>2</v>
      </c>
      <c r="E128" s="68" t="s">
        <v>534</v>
      </c>
    </row>
    <row r="129" spans="1:5">
      <c r="A129" s="68">
        <v>0.27780700000000003</v>
      </c>
      <c r="B129" s="68">
        <v>0.43872</v>
      </c>
      <c r="C129" s="68">
        <v>51.6477</v>
      </c>
      <c r="D129" s="68">
        <v>2</v>
      </c>
      <c r="E129" s="68" t="s">
        <v>535</v>
      </c>
    </row>
    <row r="130" spans="1:5">
      <c r="A130" s="68">
        <v>0.27866600000000002</v>
      </c>
      <c r="B130" s="68">
        <v>0.43623800000000001</v>
      </c>
      <c r="C130" s="68">
        <v>52.044400000000003</v>
      </c>
      <c r="D130" s="68">
        <v>2</v>
      </c>
      <c r="E130" s="68" t="s">
        <v>536</v>
      </c>
    </row>
    <row r="131" spans="1:5">
      <c r="A131" s="68">
        <v>0.27929500000000002</v>
      </c>
      <c r="B131" s="68">
        <v>0.43388599999999999</v>
      </c>
      <c r="C131" s="68">
        <v>52.454700000000003</v>
      </c>
      <c r="D131" s="68">
        <v>2</v>
      </c>
      <c r="E131" s="68" t="s">
        <v>537</v>
      </c>
    </row>
    <row r="132" spans="1:5">
      <c r="A132" s="68">
        <v>0.27979900000000002</v>
      </c>
      <c r="B132" s="68">
        <v>0.43150300000000003</v>
      </c>
      <c r="C132" s="68">
        <v>52.857399999999998</v>
      </c>
      <c r="D132" s="68">
        <v>2</v>
      </c>
      <c r="E132" s="68" t="s">
        <v>538</v>
      </c>
    </row>
    <row r="133" spans="1:5">
      <c r="A133" s="68">
        <v>0.28046199999999999</v>
      </c>
      <c r="B133" s="68">
        <v>0.42964599999999997</v>
      </c>
      <c r="C133" s="68">
        <v>53.262700000000002</v>
      </c>
      <c r="D133" s="68">
        <v>2</v>
      </c>
      <c r="E133" s="68" t="s">
        <v>539</v>
      </c>
    </row>
    <row r="134" spans="1:5">
      <c r="A134" s="68">
        <v>0.28135700000000002</v>
      </c>
      <c r="B134" s="68">
        <v>0.42767699999999997</v>
      </c>
      <c r="C134" s="68">
        <v>53.668399999999998</v>
      </c>
      <c r="D134" s="68">
        <v>2</v>
      </c>
      <c r="E134" s="68" t="s">
        <v>540</v>
      </c>
    </row>
    <row r="135" spans="1:5">
      <c r="A135" s="68">
        <v>0.28212900000000002</v>
      </c>
      <c r="B135" s="68">
        <v>0.42582100000000001</v>
      </c>
      <c r="C135" s="68">
        <v>54.077800000000003</v>
      </c>
      <c r="D135" s="68">
        <v>2</v>
      </c>
      <c r="E135" s="68" t="s">
        <v>541</v>
      </c>
    </row>
    <row r="136" spans="1:5">
      <c r="A136" s="68">
        <v>0.28237400000000001</v>
      </c>
      <c r="B136" s="68">
        <v>0.42446400000000001</v>
      </c>
      <c r="C136" s="68">
        <v>54.482799999999997</v>
      </c>
      <c r="D136" s="68">
        <v>2</v>
      </c>
      <c r="E136" s="68" t="s">
        <v>542</v>
      </c>
    </row>
    <row r="137" spans="1:5">
      <c r="A137" s="68">
        <v>0.28262599999999999</v>
      </c>
      <c r="B137" s="68">
        <v>0.42289199999999999</v>
      </c>
      <c r="C137" s="68">
        <v>54.8872</v>
      </c>
      <c r="D137" s="68">
        <v>2</v>
      </c>
      <c r="E137" s="68" t="s">
        <v>543</v>
      </c>
    </row>
    <row r="138" spans="1:5">
      <c r="A138" s="68">
        <v>0.28264600000000001</v>
      </c>
      <c r="B138" s="68">
        <v>0.42111999999999999</v>
      </c>
      <c r="C138" s="68">
        <v>55.292499999999997</v>
      </c>
      <c r="D138" s="68">
        <v>2</v>
      </c>
      <c r="E138" s="68" t="s">
        <v>544</v>
      </c>
    </row>
    <row r="139" spans="1:5">
      <c r="A139" s="68">
        <v>0.28300599999999998</v>
      </c>
      <c r="B139" s="68">
        <v>0.41856700000000002</v>
      </c>
      <c r="C139" s="68">
        <v>55.700299999999999</v>
      </c>
      <c r="D139" s="68">
        <v>2</v>
      </c>
      <c r="E139" s="68" t="s">
        <v>545</v>
      </c>
    </row>
    <row r="140" spans="1:5">
      <c r="A140" s="68">
        <v>0.28414699999999998</v>
      </c>
      <c r="B140" s="68">
        <v>0.41580800000000001</v>
      </c>
      <c r="C140" s="68">
        <v>56.108699999999999</v>
      </c>
      <c r="D140" s="68">
        <v>2</v>
      </c>
      <c r="E140" s="68" t="s">
        <v>546</v>
      </c>
    </row>
    <row r="141" spans="1:5">
      <c r="A141" s="68">
        <v>0.28595599999999999</v>
      </c>
      <c r="B141" s="68">
        <v>0.41453899999999999</v>
      </c>
      <c r="C141" s="68">
        <v>56.5139</v>
      </c>
      <c r="D141" s="68">
        <v>2</v>
      </c>
      <c r="E141" s="68" t="s">
        <v>547</v>
      </c>
    </row>
    <row r="142" spans="1:5">
      <c r="A142" s="68">
        <v>0.28745500000000002</v>
      </c>
      <c r="B142" s="68">
        <v>0.41402</v>
      </c>
      <c r="C142" s="68">
        <v>56.917499999999997</v>
      </c>
      <c r="D142" s="68">
        <v>2</v>
      </c>
      <c r="E142" s="68" t="s">
        <v>548</v>
      </c>
    </row>
    <row r="143" spans="1:5">
      <c r="A143" s="68">
        <v>0.28887099999999999</v>
      </c>
      <c r="B143" s="68">
        <v>0.41305599999999998</v>
      </c>
      <c r="C143" s="68">
        <v>57.3245</v>
      </c>
      <c r="D143" s="68">
        <v>2</v>
      </c>
      <c r="E143" s="68" t="s">
        <v>549</v>
      </c>
    </row>
    <row r="144" spans="1:5">
      <c r="A144" s="68">
        <v>0.29069699999999998</v>
      </c>
      <c r="B144" s="68">
        <v>0.41070499999999999</v>
      </c>
      <c r="C144" s="68">
        <v>57.734000000000002</v>
      </c>
      <c r="D144" s="68">
        <v>2</v>
      </c>
      <c r="E144" s="68" t="s">
        <v>550</v>
      </c>
    </row>
    <row r="145" spans="1:5">
      <c r="A145" s="68">
        <v>0.293041</v>
      </c>
      <c r="B145" s="68">
        <v>0.40784999999999999</v>
      </c>
      <c r="C145" s="68">
        <v>58.142899999999997</v>
      </c>
      <c r="D145" s="68">
        <v>2</v>
      </c>
      <c r="E145" s="68" t="s">
        <v>551</v>
      </c>
    </row>
    <row r="146" spans="1:5">
      <c r="A146" s="68">
        <v>0.29539799999999999</v>
      </c>
      <c r="B146" s="68">
        <v>0.40613100000000002</v>
      </c>
      <c r="C146" s="68">
        <v>58.546199999999999</v>
      </c>
      <c r="D146" s="68">
        <v>2</v>
      </c>
      <c r="E146" s="68" t="s">
        <v>552</v>
      </c>
    </row>
    <row r="147" spans="1:5">
      <c r="A147" s="68">
        <v>0.29847600000000002</v>
      </c>
      <c r="B147" s="68">
        <v>0.40485100000000002</v>
      </c>
      <c r="C147" s="68">
        <v>58.950800000000001</v>
      </c>
      <c r="D147" s="68">
        <v>2</v>
      </c>
      <c r="E147" s="68" t="s">
        <v>553</v>
      </c>
    </row>
    <row r="148" spans="1:5">
      <c r="A148" s="68">
        <v>0.29983100000000001</v>
      </c>
      <c r="B148" s="68">
        <v>0.40751500000000002</v>
      </c>
      <c r="C148" s="68">
        <v>59.355499999999999</v>
      </c>
      <c r="D148" s="68">
        <v>2</v>
      </c>
      <c r="E148" s="68" t="s">
        <v>554</v>
      </c>
    </row>
    <row r="149" spans="1:5">
      <c r="A149" s="68">
        <v>0.29897600000000002</v>
      </c>
      <c r="B149" s="68">
        <v>0.41589700000000002</v>
      </c>
      <c r="C149" s="68">
        <v>59.765900000000002</v>
      </c>
      <c r="D149" s="68">
        <v>2</v>
      </c>
      <c r="E149" s="68" t="s">
        <v>555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405</v>
      </c>
      <c r="B1" s="66" t="s">
        <v>556</v>
      </c>
      <c r="C1" s="66" t="s">
        <v>558</v>
      </c>
      <c r="D1" s="66" t="s">
        <v>559</v>
      </c>
      <c r="E1" s="66" t="s">
        <v>560</v>
      </c>
      <c r="F1" s="66" t="s">
        <v>348</v>
      </c>
      <c r="G1" s="66" t="s">
        <v>349</v>
      </c>
      <c r="H1" s="66" t="s">
        <v>561</v>
      </c>
      <c r="I1" s="66" t="s">
        <v>562</v>
      </c>
      <c r="J1" s="66" t="s">
        <v>563</v>
      </c>
      <c r="K1" s="66" t="s">
        <v>564</v>
      </c>
      <c r="L1" s="66" t="s">
        <v>565</v>
      </c>
      <c r="M1" s="66" t="s">
        <v>566</v>
      </c>
      <c r="N1" s="66"/>
    </row>
    <row r="2" spans="1:14">
      <c r="A2" s="75">
        <v>43612.672395833331</v>
      </c>
      <c r="B2" s="66" t="s">
        <v>557</v>
      </c>
      <c r="C2" s="66"/>
      <c r="D2" s="66"/>
      <c r="E2" s="66">
        <v>4.9234099999999996</v>
      </c>
      <c r="F2" s="66">
        <v>1.30287</v>
      </c>
      <c r="G2" s="66">
        <v>0.52537100000000003</v>
      </c>
      <c r="H2" s="66">
        <v>0</v>
      </c>
      <c r="I2" s="66">
        <v>114650</v>
      </c>
      <c r="J2" s="66">
        <v>60</v>
      </c>
      <c r="K2" s="66">
        <v>60</v>
      </c>
      <c r="L2" s="66">
        <v>0</v>
      </c>
      <c r="M2" s="66" t="s">
        <v>567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2019-05-27T08:09:07Z</cp:lastPrinted>
  <dcterms:created xsi:type="dcterms:W3CDTF">2010-10-29T12:53:05Z</dcterms:created>
  <dcterms:modified xsi:type="dcterms:W3CDTF">2019-05-27T08:09:21Z</dcterms:modified>
</cp:coreProperties>
</file>