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<sst xmlns="http://schemas.openxmlformats.org/spreadsheetml/2006/main" count="701" uniqueCount="627">
  <si>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</si>
  <si>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</si>
  <si>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</si>
  <si>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</si>
  <si>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</si>
  <si>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</si>
  <si>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</si>
  <si>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</si>
  <si>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</si>
  <si>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</si>
  <si>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</si>
  <si>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</si>
  <si>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</si>
  <si>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</si>
  <si>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</si>
  <si>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</si>
  <si>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</si>
  <si>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</si>
  <si>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</si>
  <si>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</si>
  <si>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</si>
  <si>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</si>
  <si>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</si>
  <si>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</si>
  <si>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</si>
  <si>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</si>
  <si>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</si>
  <si>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</si>
  <si>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</si>
  <si>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</si>
  <si>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</si>
  <si>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</si>
  <si>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</si>
  <si>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</si>
  <si>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</si>
  <si>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</si>
  <si>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</si>
  <si>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</si>
  <si>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</si>
  <si>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</si>
  <si>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</si>
  <si>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</si>
  <si>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</si>
  <si>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</si>
  <si>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</si>
  <si>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</si>
  <si>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</si>
  <si>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</si>
  <si>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</si>
  <si>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</si>
  <si>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</si>
  <si>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</si>
  <si>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</si>
  <si>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</si>
  <si>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</si>
  <si>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</si>
  <si>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</si>
  <si>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</si>
  <si>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</si>
  <si>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</si>
  <si>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</si>
  <si>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</si>
  <si>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</si>
  <si>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</si>
  <si>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</si>
  <si>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</si>
  <si>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</si>
  <si>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</si>
  <si>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</si>
  <si>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</si>
  <si>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</si>
  <si>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</si>
  <si>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</si>
  <si>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</si>
  <si>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</si>
  <si>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</si>
  <si>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</si>
  <si>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</si>
  <si>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</si>
  <si>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</si>
  <si>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</si>
  <si>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</si>
  <si>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</si>
  <si>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</si>
  <si>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</si>
  <si>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</si>
  <si>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</si>
  <si>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</si>
  <si>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</si>
  <si>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</si>
  <si>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</si>
  <si>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</si>
  <si>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</si>
  <si>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</si>
  <si>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</si>
  <si>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</si>
  <si>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</si>
  <si>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</si>
  <si>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</si>
  <si>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</si>
  <si>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</si>
  <si>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</si>
  <si>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</si>
  <si>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</si>
  <si>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</si>
  <si>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</si>
  <si>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</si>
  <si>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</si>
  <si>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</si>
  <si>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</si>
  <si>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</si>
  <si>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</si>
  <si>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</si>
  <si>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</si>
  <si>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</si>
  <si>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</si>
  <si>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</si>
  <si>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</si>
  <si>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</si>
  <si>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</si>
  <si>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</si>
  <si>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</si>
  <si>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</si>
  <si>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</si>
  <si>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</si>
  <si>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</si>
  <si>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</si>
  <si>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</si>
  <si>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</si>
  <si>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</si>
  <si>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</si>
  <si>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</si>
  <si>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</si>
  <si>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</si>
  <si>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</si>
  <si>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</si>
  <si>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</si>
  <si>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</si>
  <si>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</si>
  <si>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</si>
  <si>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</si>
  <si>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</si>
  <si>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</si>
  <si>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</si>
  <si>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</si>
  <si>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</si>
  <si>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</si>
  <si>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</si>
  <si>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</si>
  <si>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</si>
  <si>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</si>
  <si>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</si>
  <si>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</si>
  <si>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</si>
  <si>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</si>
  <si>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</si>
  <si>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</si>
  <si>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</si>
  <si>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</si>
  <si>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</si>
  <si>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</si>
  <si>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</si>
  <si>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</si>
  <si>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</si>
  <si>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</si>
  <si>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</si>
  <si>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</si>
  <si>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</si>
  <si>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</si>
  <si>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</si>
  <si>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</si>
  <si>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</si>
  <si>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</si>
  <si>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</si>
  <si>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</si>
  <si>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</si>
  <si>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</si>
  <si>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</si>
  <si>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</si>
  <si>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</si>
  <si>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</si>
  <si>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</si>
  <si>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</si>
  <si>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</si>
  <si>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</si>
  <si>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</si>
  <si>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</si>
  <si>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</si>
  <si>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</si>
  <si>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</si>
  <si>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</si>
  <si>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</si>
  <si>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</si>
  <si>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</si>
  <si>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</si>
  <si>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</si>
  <si>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</si>
  <si>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</si>
  <si>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</si>
  <si>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</si>
  <si>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</si>
  <si>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</si>
  <si>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</si>
  <si>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</si>
  <si>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</si>
  <si>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</si>
  <si>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</si>
  <si>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</si>
  <si>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</si>
  <si>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</si>
  <si>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</si>
  <si>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</si>
  <si>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</si>
  <si>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</si>
  <si>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</si>
  <si>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</si>
  <si>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</si>
  <si>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</si>
  <si>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</si>
  <si>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</si>
  <si>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</si>
  <si>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</si>
  <si>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</si>
  <si>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</si>
  <si>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</si>
  <si>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</si>
  <si>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</si>
  <si>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</si>
  <si>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</si>
  <si>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</si>
  <si>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</si>
  <si>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</si>
  <si>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</si>
  <si>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</si>
  <si>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</si>
  <si>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</si>
  <si>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</si>
  <si>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</si>
  <si>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</si>
  <si>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</si>
  <si>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</si>
  <si>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</si>
  <si>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</si>
  <si>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</si>
  <si>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</si>
  <si>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</si>
  <si>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</si>
  <si>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</si>
  <si>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</si>
  <si>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</si>
  <si>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</si>
  <si>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</si>
  <si>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</si>
  <si>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</si>
  <si>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</si>
  <si>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</si>
  <si>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</si>
  <si>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</si>
  <si>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</si>
  <si>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</si>
  <si>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</si>
  <si>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</si>
  <si>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</si>
  <si>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</si>
  <si>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</si>
  <si>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</si>
  <si>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</si>
  <si>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</si>
  <si>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</si>
  <si>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</si>
  <si>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</si>
  <si>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</si>
  <si>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</si>
  <si>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</si>
  <si>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</si>
  <si>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</si>
  <si>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</si>
  <si>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</si>
  <si>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</si>
  <si>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</si>
  <si>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</si>
  <si>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</si>
  <si>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</si>
  <si>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</si>
  <si>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</si>
  <si>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</si>
  <si>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</si>
  <si>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</si>
  <si>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</si>
  <si>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</si>
  <si>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</si>
  <si>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</si>
  <si>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</si>
  <si>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</si>
  <si>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</si>
  <si>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</si>
  <si>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</si>
  <si>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</si>
  <si>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</si>
  <si>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</si>
  <si>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</si>
  <si>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</si>
  <si>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</si>
  <si>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</si>
  <si>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</si>
  <si>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</si>
  <si>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</si>
  <si>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</si>
  <si>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</si>
  <si>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</si>
  <si>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</si>
  <si>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</si>
  <si>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</si>
  <si>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</si>
  <si>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</si>
  <si>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</si>
  <si>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</si>
  <si>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</si>
  <si>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</si>
  <si>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</si>
  <si>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</si>
  <si>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</si>
  <si>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</si>
  <si>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</si>
  <si>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</si>
  <si>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</si>
  <si>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</si>
  <si>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</si>
  <si>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</si>
  <si>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</si>
  <si>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</si>
  <si>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</si>
  <si>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</si>
  <si>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</si>
  <si>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</si>
  <si>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</si>
  <si>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</si>
  <si>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</si>
  <si>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</si>
  <si>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</si>
  <si>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</si>
  <si>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</si>
  <si>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</si>
  <si>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</si>
  <si>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</si>
  <si>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</si>
  <si>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</si>
  <si>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</si>
  <si>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</si>
  <si>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</si>
  <si>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</si>
  <si>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</si>
  <si>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</si>
  <si>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</si>
  <si>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</si>
  <si>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</si>
  <si>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</si>
  <si>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</si>
  <si>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</si>
  <si>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</si>
  <si>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</si>
  <si>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</si>
  <si>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</si>
  <si>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</si>
  <si>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</si>
  <si>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</si>
  <si>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</si>
  <si>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</si>
  <si>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</si>
  <si>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</si>
  <si>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</si>
  <si>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</si>
  <si>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</si>
  <si>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</si>
  <si>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</si>
  <si>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</si>
  <si>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</si>
  <si>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</si>
  <si>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</si>
  <si>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</si>
  <si>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</si>
  <si>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</si>
  <si>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</si>
  <si>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</si>
  <si>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</si>
  <si>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</si>
  <si>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</si>
  <si>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</si>
  <si>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</si>
  <si>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</si>
  <si>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</si>
  <si>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</si>
  <si>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</si>
  <si>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</si>
  <si>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</si>
  <si>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</si>
  <si>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</si>
  <si>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</si>
  <si>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</si>
  <si>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</si>
  <si>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</si>
  <si>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</si>
  <si>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</si>
  <si>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</si>
  <si>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</si>
  <si>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</si>
  <si>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</si>
  <si>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</si>
  <si>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</si>
  <si>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</si>
  <si>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</si>
  <si>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</si>
  <si>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</si>
  <si>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</si>
  <si>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</si>
  <si>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</si>
  <si>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</si>
  <si>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</si>
  <si>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</si>
  <si>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</si>
  <si>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</si>
  <si>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</si>
  <si>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</si>
  <si>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</si>
  <si>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</si>
  <si>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</si>
  <si>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</si>
  <si>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</si>
  <si>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</si>
  <si>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</si>
  <si>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</si>
  <si>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</si>
  <si>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</si>
  <si>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</si>
  <si>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</si>
  <si>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</si>
  <si>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</si>
  <si>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</si>
  <si>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</si>
  <si>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</si>
  <si>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</si>
  <si>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</si>
  <si>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</si>
  <si>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</si>
  <si>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</si>
  <si>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</si>
  <si>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</si>
  <si>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</si>
  <si>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</si>
  <si>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</si>
  <si>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</si>
  <si>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</si>
  <si>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</si>
  <si>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</si>
  <si>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</si>
  <si>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</si>
  <si>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h</t>
    <phoneticPr fontId="29" type="noConversion"/>
  </si>
  <si>
    <t>ha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</si>
  <si>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</si>
  <si>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</si>
  <si>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</si>
  <si>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</si>
  <si>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</si>
  <si>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</si>
  <si>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</si>
  <si>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</si>
  <si>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[0.407917]</t>
  </si>
  <si>
    <t>1 [0.811507]</t>
  </si>
  <si>
    <t>1 [1.214829]</t>
  </si>
  <si>
    <t>1 [1.621640]</t>
  </si>
  <si>
    <t>1 [2.031578]</t>
  </si>
  <si>
    <t>1 [2.435487]</t>
  </si>
  <si>
    <t>1 [2.840916]</t>
  </si>
  <si>
    <t>1 [3.250348]</t>
  </si>
  <si>
    <t>1 [3.656220]</t>
  </si>
  <si>
    <t>1 [4.064194]</t>
  </si>
  <si>
    <t>1 [4.468215]</t>
  </si>
  <si>
    <t>1 [4.873022]</t>
  </si>
  <si>
    <t>1 [5.279016]</t>
  </si>
  <si>
    <t>1 [5.689803]</t>
  </si>
  <si>
    <t>1 [6.096407]</t>
  </si>
  <si>
    <t>1 [6.499653]</t>
  </si>
  <si>
    <t>1 [6.903676]</t>
  </si>
  <si>
    <t>1 [7.310539]</t>
  </si>
  <si>
    <t>1 [7.719363]</t>
  </si>
  <si>
    <t>1 [8.124267]</t>
  </si>
  <si>
    <t>1 [8.532211]</t>
  </si>
  <si>
    <t>1 [8.937151]</t>
  </si>
  <si>
    <t>1 [9.342254]</t>
  </si>
  <si>
    <t>1 [9.754960]</t>
  </si>
  <si>
    <t>1 [10.157871]</t>
  </si>
  <si>
    <t>1 [10.563870]</t>
  </si>
  <si>
    <t>1 [10.967993]</t>
  </si>
  <si>
    <t>1 [11.374670]</t>
  </si>
  <si>
    <t>1 [11.782466]</t>
  </si>
  <si>
    <t>1 [12.188391]</t>
  </si>
  <si>
    <t>1 [12.594295]</t>
  </si>
  <si>
    <t>1 [12.998261]</t>
  </si>
  <si>
    <t>1 [13.407354]</t>
  </si>
  <si>
    <t>1 [13.811158]</t>
  </si>
  <si>
    <t>1 [14.219066]</t>
  </si>
  <si>
    <t>1 [14.625887]</t>
  </si>
  <si>
    <t>1 [15.029882]</t>
  </si>
  <si>
    <t>1 [15.435774]</t>
  </si>
  <si>
    <t>1 [15.842658]</t>
  </si>
  <si>
    <t>1 [16.251739]</t>
  </si>
  <si>
    <t>1 [16.658515]</t>
  </si>
  <si>
    <t>1 [17.061400]</t>
  </si>
  <si>
    <t>1 [17.468421]</t>
  </si>
  <si>
    <t>1 [17.871321]</t>
  </si>
  <si>
    <t>1 [18.280161]</t>
  </si>
  <si>
    <t>1 [18.687338]</t>
  </si>
  <si>
    <t>1 [19.093038]</t>
  </si>
  <si>
    <t>1 [19.501291]</t>
  </si>
  <si>
    <t>1 [19.906896]</t>
  </si>
  <si>
    <t>1 [20.310709]</t>
  </si>
  <si>
    <t>1 [20.716725]</t>
  </si>
  <si>
    <t>1 [21.124639]</t>
  </si>
  <si>
    <t>1 [21.532496]</t>
  </si>
  <si>
    <t>1 [21.941440]</t>
  </si>
  <si>
    <t>1 [22.343416]</t>
  </si>
  <si>
    <t>1 [22.748223]</t>
  </si>
  <si>
    <t>1 [23.154569]</t>
  </si>
  <si>
    <t>1 [23.565249]</t>
  </si>
  <si>
    <t>1 [23.969971]</t>
  </si>
  <si>
    <t>1 [24.374909]</t>
  </si>
  <si>
    <t>1 [24.779791]</t>
  </si>
  <si>
    <t>1 [25.185874]</t>
  </si>
  <si>
    <t>1 [25.596621]</t>
  </si>
  <si>
    <t>1 [26.001607]</t>
  </si>
  <si>
    <t>1 [26.406451]</t>
  </si>
  <si>
    <t>1 [26.810412]</t>
  </si>
  <si>
    <t>1 [27.223285]</t>
  </si>
  <si>
    <t>1 [27.626214]</t>
  </si>
  <si>
    <t>1 [28.033076]</t>
  </si>
  <si>
    <t>1 [28.436315]</t>
  </si>
  <si>
    <t>1 [28.840964]</t>
  </si>
  <si>
    <t>1 [29.249913]</t>
  </si>
  <si>
    <t>1 [29.653874]</t>
  </si>
  <si>
    <t>2 [30.061743]</t>
  </si>
  <si>
    <t>2 [30.468620]</t>
  </si>
  <si>
    <t>2 [30.872473]</t>
  </si>
  <si>
    <t>2 [31.280678]</t>
  </si>
  <si>
    <t>2 [31.688281]</t>
  </si>
  <si>
    <t>2 [32.097248]</t>
  </si>
  <si>
    <t>2 [32.501479]</t>
  </si>
  <si>
    <t>2 [32.905092]</t>
  </si>
  <si>
    <t>2 [33.308973]</t>
  </si>
  <si>
    <t>2 [33.715145]</t>
  </si>
  <si>
    <t>2 [34.121739]</t>
  </si>
  <si>
    <t>2 [34.531693]</t>
  </si>
  <si>
    <t>2 [34.935073]</t>
  </si>
  <si>
    <t>2 [35.345530]</t>
  </si>
  <si>
    <t>2 [35.749504]</t>
  </si>
  <si>
    <t>2 [36.155401]</t>
  </si>
  <si>
    <t>2 [36.561476]</t>
  </si>
  <si>
    <t>2 [36.968362]</t>
  </si>
  <si>
    <t>2 [37.376124]</t>
  </si>
  <si>
    <t>2 [37.783027]</t>
  </si>
  <si>
    <t>2 [38.184164]</t>
  </si>
  <si>
    <t>2 [38.592101]</t>
  </si>
  <si>
    <t>2 [39.002215]</t>
  </si>
  <si>
    <t>2 [39.407703]</t>
  </si>
  <si>
    <t>2 [39.813775]</t>
  </si>
  <si>
    <t>2 [40.219396]</t>
  </si>
  <si>
    <t>2 [40.626483]</t>
  </si>
  <si>
    <t>2 [41.034795]</t>
  </si>
  <si>
    <t>2 [41.437549]</t>
  </si>
  <si>
    <t>2 [41.844323]</t>
  </si>
  <si>
    <t>2 [42.247224]</t>
  </si>
  <si>
    <t>2 [42.653118]</t>
  </si>
  <si>
    <t>2 [43.062056]</t>
  </si>
  <si>
    <t>2 [43.466821]</t>
  </si>
  <si>
    <t>2 [43.874881]</t>
  </si>
  <si>
    <t>2 [44.277781]</t>
  </si>
  <si>
    <t>2 [44.688952]</t>
  </si>
  <si>
    <t>2 [45.090598]</t>
  </si>
  <si>
    <t>2 [45.500510]</t>
  </si>
  <si>
    <t>2 [45.908304]</t>
  </si>
  <si>
    <t>2 [46.308282]</t>
  </si>
  <si>
    <t>2 [46.716228]</t>
  </si>
  <si>
    <t>2 [47.128197]</t>
  </si>
  <si>
    <t>2 [47.533124]</t>
  </si>
  <si>
    <t>2 [47.936900]</t>
  </si>
  <si>
    <t>2 [48.341041]</t>
  </si>
  <si>
    <t>2 [48.746782]</t>
  </si>
  <si>
    <t>2 [49.155718]</t>
  </si>
  <si>
    <t>2 [49.564610]</t>
  </si>
  <si>
    <t>2 [49.970487]</t>
  </si>
  <si>
    <t>2 [50.376369]</t>
  </si>
  <si>
    <t>2 [50.781630]</t>
  </si>
  <si>
    <t>2 [51.188191]</t>
  </si>
  <si>
    <t>2 [51.591188]</t>
  </si>
  <si>
    <t>2 [51.999188]</t>
  </si>
  <si>
    <t>2 [52.406958]</t>
  </si>
  <si>
    <t>2 [52.810826]</t>
  </si>
  <si>
    <t>2 [53.219761]</t>
  </si>
  <si>
    <t>2 [53.623779]</t>
  </si>
  <si>
    <t>2 [54.028541]</t>
  </si>
  <si>
    <t>2 [54.435632]</t>
  </si>
  <si>
    <t>2 [54.844388]</t>
  </si>
  <si>
    <t>2 [55.250284]</t>
  </si>
  <si>
    <t>2 [55.656304]</t>
  </si>
  <si>
    <t>2 [56.059141]</t>
  </si>
  <si>
    <t>2 [56.467049]</t>
  </si>
  <si>
    <t>2 [56.875950]</t>
  </si>
  <si>
    <t>2 [57.278955]</t>
  </si>
  <si>
    <t>2 [57.685835]</t>
  </si>
  <si>
    <t>2 [58.090736]</t>
  </si>
  <si>
    <t>2 [58.502669]</t>
  </si>
  <si>
    <t>2 [58.907573]</t>
  </si>
  <si>
    <t>2 [59.313575]</t>
  </si>
  <si>
    <t>2 [59.720413]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</si>
  <si>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</si>
  <si>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</si>
  <si>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</si>
  <si>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</si>
  <si>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</si>
  <si>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</si>
  <si>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</si>
  <si>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</si>
  <si>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</si>
  <si>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</si>
  <si>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</si>
  <si>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</si>
  <si>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</si>
  <si>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赵守才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</si>
</sst>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color indexed="8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6" xfId="0" applyFont="1" applyBorder="1" applyAlignment="1">
      <alignment vertical="center"/>
    </xf>
    <xf numFmtId="0" fontId="35" fillId="0" borderId="32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41.067999999999998</c:v>
                </c:pt>
                <c:pt idx="1">
                  <c:v>43.494399999999999</c:v>
                </c:pt>
                <c:pt idx="2">
                  <c:v>27.637599999999999</c:v>
                </c:pt>
                <c:pt idx="3">
                  <c:v>36.581400000000002</c:v>
                </c:pt>
                <c:pt idx="4">
                  <c:v>63.356900000000003</c:v>
                </c:pt>
                <c:pt idx="5">
                  <c:v>54.326599999999999</c:v>
                </c:pt>
                <c:pt idx="6">
                  <c:v>14.806800000000001</c:v>
                </c:pt>
                <c:pt idx="7">
                  <c:v>57.9938</c:v>
                </c:pt>
                <c:pt idx="8">
                  <c:v>18.4557</c:v>
                </c:pt>
                <c:pt idx="9">
                  <c:v>33.189100000000003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0.43041894670290776</c:v>
                </c:pt>
                <c:pt idx="1">
                  <c:v>0.33618729057692476</c:v>
                </c:pt>
                <c:pt idx="2">
                  <c:v>0.23339376272016751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13140</c:v>
                </c:pt>
                <c:pt idx="7">
                  <c:v>0</c:v>
                </c:pt>
                <c:pt idx="8">
                  <c:v>15859</c:v>
                </c:pt>
                <c:pt idx="9">
                  <c:v>0</c:v>
                </c:pt>
                <c:pt idx="10">
                  <c:v>0</c:v>
                </c:pt>
                <c:pt idx="11">
                  <c:v>20631</c:v>
                </c:pt>
                <c:pt idx="12">
                  <c:v>0</c:v>
                </c:pt>
                <c:pt idx="13">
                  <c:v>25417</c:v>
                </c:pt>
                <c:pt idx="14">
                  <c:v>0</c:v>
                </c:pt>
                <c:pt idx="15">
                  <c:v>0</c:v>
                </c:pt>
                <c:pt idx="16">
                  <c:v>29850</c:v>
                </c:pt>
                <c:pt idx="17">
                  <c:v>0</c:v>
                </c:pt>
                <c:pt idx="18">
                  <c:v>0</c:v>
                </c:pt>
                <c:pt idx="19">
                  <c:v>39400</c:v>
                </c:pt>
                <c:pt idx="20">
                  <c:v>0</c:v>
                </c:pt>
                <c:pt idx="21">
                  <c:v>50193</c:v>
                </c:pt>
                <c:pt idx="22">
                  <c:v>0</c:v>
                </c:pt>
                <c:pt idx="23">
                  <c:v>0</c:v>
                </c:pt>
                <c:pt idx="24">
                  <c:v>59889</c:v>
                </c:pt>
                <c:pt idx="25">
                  <c:v>0</c:v>
                </c:pt>
                <c:pt idx="26">
                  <c:v>72330</c:v>
                </c:pt>
                <c:pt idx="27">
                  <c:v>0</c:v>
                </c:pt>
                <c:pt idx="28">
                  <c:v>0</c:v>
                </c:pt>
                <c:pt idx="29">
                  <c:v>79259</c:v>
                </c:pt>
                <c:pt idx="30">
                  <c:v>0</c:v>
                </c:pt>
                <c:pt idx="31">
                  <c:v>89221</c:v>
                </c:pt>
                <c:pt idx="32">
                  <c:v>0</c:v>
                </c:pt>
                <c:pt idx="33">
                  <c:v>0</c:v>
                </c:pt>
                <c:pt idx="34">
                  <c:v>91715</c:v>
                </c:pt>
                <c:pt idx="35">
                  <c:v>0</c:v>
                </c:pt>
                <c:pt idx="36">
                  <c:v>0</c:v>
                </c:pt>
                <c:pt idx="37">
                  <c:v>95664</c:v>
                </c:pt>
                <c:pt idx="38">
                  <c:v>0</c:v>
                </c:pt>
                <c:pt idx="39">
                  <c:v>92801</c:v>
                </c:pt>
                <c:pt idx="40">
                  <c:v>0</c:v>
                </c:pt>
                <c:pt idx="41">
                  <c:v>0</c:v>
                </c:pt>
                <c:pt idx="42">
                  <c:v>95816</c:v>
                </c:pt>
                <c:pt idx="43">
                  <c:v>0</c:v>
                </c:pt>
                <c:pt idx="44">
                  <c:v>99101</c:v>
                </c:pt>
                <c:pt idx="45">
                  <c:v>0</c:v>
                </c:pt>
                <c:pt idx="46">
                  <c:v>0</c:v>
                </c:pt>
                <c:pt idx="47">
                  <c:v>100116</c:v>
                </c:pt>
                <c:pt idx="48">
                  <c:v>0</c:v>
                </c:pt>
                <c:pt idx="49">
                  <c:v>103352</c:v>
                </c:pt>
                <c:pt idx="50">
                  <c:v>0</c:v>
                </c:pt>
                <c:pt idx="51">
                  <c:v>0</c:v>
                </c:pt>
                <c:pt idx="52">
                  <c:v>110554</c:v>
                </c:pt>
                <c:pt idx="53">
                  <c:v>0</c:v>
                </c:pt>
                <c:pt idx="54">
                  <c:v>0</c:v>
                </c:pt>
                <c:pt idx="55">
                  <c:v>113968</c:v>
                </c:pt>
                <c:pt idx="56">
                  <c:v>0</c:v>
                </c:pt>
                <c:pt idx="57">
                  <c:v>117079</c:v>
                </c:pt>
                <c:pt idx="58">
                  <c:v>0</c:v>
                </c:pt>
                <c:pt idx="59">
                  <c:v>0</c:v>
                </c:pt>
                <c:pt idx="60">
                  <c:v>117637</c:v>
                </c:pt>
                <c:pt idx="61">
                  <c:v>0</c:v>
                </c:pt>
                <c:pt idx="62">
                  <c:v>106768</c:v>
                </c:pt>
                <c:pt idx="63">
                  <c:v>0</c:v>
                </c:pt>
                <c:pt idx="64">
                  <c:v>0</c:v>
                </c:pt>
                <c:pt idx="65">
                  <c:v>112239</c:v>
                </c:pt>
                <c:pt idx="66">
                  <c:v>0</c:v>
                </c:pt>
                <c:pt idx="67">
                  <c:v>107046</c:v>
                </c:pt>
                <c:pt idx="68">
                  <c:v>0</c:v>
                </c:pt>
                <c:pt idx="69">
                  <c:v>0</c:v>
                </c:pt>
                <c:pt idx="70">
                  <c:v>106437</c:v>
                </c:pt>
                <c:pt idx="71">
                  <c:v>0</c:v>
                </c:pt>
                <c:pt idx="72">
                  <c:v>0</c:v>
                </c:pt>
                <c:pt idx="73">
                  <c:v>95327</c:v>
                </c:pt>
                <c:pt idx="74">
                  <c:v>0</c:v>
                </c:pt>
                <c:pt idx="75">
                  <c:v>97528</c:v>
                </c:pt>
                <c:pt idx="76">
                  <c:v>0</c:v>
                </c:pt>
                <c:pt idx="77">
                  <c:v>0</c:v>
                </c:pt>
                <c:pt idx="78">
                  <c:v>85550</c:v>
                </c:pt>
                <c:pt idx="79">
                  <c:v>0</c:v>
                </c:pt>
                <c:pt idx="80">
                  <c:v>87312</c:v>
                </c:pt>
                <c:pt idx="81">
                  <c:v>0</c:v>
                </c:pt>
                <c:pt idx="82">
                  <c:v>0</c:v>
                </c:pt>
                <c:pt idx="83">
                  <c:v>87002</c:v>
                </c:pt>
                <c:pt idx="84">
                  <c:v>0</c:v>
                </c:pt>
                <c:pt idx="85">
                  <c:v>0</c:v>
                </c:pt>
                <c:pt idx="86">
                  <c:v>93061</c:v>
                </c:pt>
                <c:pt idx="87">
                  <c:v>0</c:v>
                </c:pt>
                <c:pt idx="88">
                  <c:v>89649</c:v>
                </c:pt>
                <c:pt idx="89">
                  <c:v>0</c:v>
                </c:pt>
                <c:pt idx="90">
                  <c:v>0</c:v>
                </c:pt>
                <c:pt idx="91">
                  <c:v>87896</c:v>
                </c:pt>
                <c:pt idx="92">
                  <c:v>0</c:v>
                </c:pt>
                <c:pt idx="93">
                  <c:v>87882</c:v>
                </c:pt>
                <c:pt idx="94">
                  <c:v>0</c:v>
                </c:pt>
                <c:pt idx="95">
                  <c:v>0</c:v>
                </c:pt>
                <c:pt idx="96">
                  <c:v>84832</c:v>
                </c:pt>
                <c:pt idx="97">
                  <c:v>0</c:v>
                </c:pt>
                <c:pt idx="98">
                  <c:v>83950</c:v>
                </c:pt>
                <c:pt idx="99">
                  <c:v>0</c:v>
                </c:pt>
                <c:pt idx="100">
                  <c:v>0</c:v>
                </c:pt>
                <c:pt idx="101">
                  <c:v>88832</c:v>
                </c:pt>
                <c:pt idx="102">
                  <c:v>0</c:v>
                </c:pt>
                <c:pt idx="103">
                  <c:v>0</c:v>
                </c:pt>
                <c:pt idx="104">
                  <c:v>81571</c:v>
                </c:pt>
                <c:pt idx="105">
                  <c:v>0</c:v>
                </c:pt>
                <c:pt idx="106">
                  <c:v>77992</c:v>
                </c:pt>
                <c:pt idx="107">
                  <c:v>0</c:v>
                </c:pt>
                <c:pt idx="108">
                  <c:v>0</c:v>
                </c:pt>
                <c:pt idx="109">
                  <c:v>77294</c:v>
                </c:pt>
                <c:pt idx="110">
                  <c:v>0</c:v>
                </c:pt>
                <c:pt idx="111">
                  <c:v>72025</c:v>
                </c:pt>
                <c:pt idx="112">
                  <c:v>0</c:v>
                </c:pt>
                <c:pt idx="113">
                  <c:v>0</c:v>
                </c:pt>
                <c:pt idx="114">
                  <c:v>68359</c:v>
                </c:pt>
                <c:pt idx="115">
                  <c:v>0</c:v>
                </c:pt>
                <c:pt idx="116">
                  <c:v>58657</c:v>
                </c:pt>
                <c:pt idx="117">
                  <c:v>0</c:v>
                </c:pt>
                <c:pt idx="118">
                  <c:v>0</c:v>
                </c:pt>
                <c:pt idx="119">
                  <c:v>60530</c:v>
                </c:pt>
                <c:pt idx="120">
                  <c:v>0</c:v>
                </c:pt>
                <c:pt idx="121">
                  <c:v>0</c:v>
                </c:pt>
                <c:pt idx="122">
                  <c:v>58400</c:v>
                </c:pt>
                <c:pt idx="123">
                  <c:v>0</c:v>
                </c:pt>
                <c:pt idx="124">
                  <c:v>54180</c:v>
                </c:pt>
                <c:pt idx="125">
                  <c:v>0</c:v>
                </c:pt>
                <c:pt idx="126">
                  <c:v>0</c:v>
                </c:pt>
                <c:pt idx="127">
                  <c:v>50610</c:v>
                </c:pt>
                <c:pt idx="128">
                  <c:v>0</c:v>
                </c:pt>
                <c:pt idx="129">
                  <c:v>44100</c:v>
                </c:pt>
                <c:pt idx="130">
                  <c:v>0</c:v>
                </c:pt>
                <c:pt idx="131">
                  <c:v>0</c:v>
                </c:pt>
                <c:pt idx="132">
                  <c:v>47278</c:v>
                </c:pt>
                <c:pt idx="133">
                  <c:v>0</c:v>
                </c:pt>
                <c:pt idx="134">
                  <c:v>39055</c:v>
                </c:pt>
                <c:pt idx="135">
                  <c:v>0</c:v>
                </c:pt>
                <c:pt idx="136">
                  <c:v>0</c:v>
                </c:pt>
                <c:pt idx="137">
                  <c:v>31900</c:v>
                </c:pt>
                <c:pt idx="138">
                  <c:v>0</c:v>
                </c:pt>
                <c:pt idx="139">
                  <c:v>0</c:v>
                </c:pt>
                <c:pt idx="140">
                  <c:v>25716</c:v>
                </c:pt>
                <c:pt idx="141">
                  <c:v>0</c:v>
                </c:pt>
                <c:pt idx="142">
                  <c:v>22702</c:v>
                </c:pt>
                <c:pt idx="143">
                  <c:v>0</c:v>
                </c:pt>
                <c:pt idx="144">
                  <c:v>0</c:v>
                </c:pt>
                <c:pt idx="145">
                  <c:v>16230</c:v>
                </c:pt>
                <c:pt idx="146">
                  <c:v>0</c:v>
                </c:pt>
                <c:pt idx="147">
                  <c:v>9529</c:v>
                </c:pt>
                <c:pt idx="148">
                  <c:v>0</c:v>
                </c:pt>
                <c:pt idx="149">
                  <c:v>0</c:v>
                </c:pt>
                <c:pt idx="150">
                  <c:v>8716</c:v>
                </c:pt>
                <c:pt idx="151">
                  <c:v>0</c:v>
                </c:pt>
                <c:pt idx="152">
                  <c:v>7672</c:v>
                </c:pt>
                <c:pt idx="153">
                  <c:v>0</c:v>
                </c:pt>
                <c:pt idx="154">
                  <c:v>0</c:v>
                </c:pt>
                <c:pt idx="155">
                  <c:v>6332</c:v>
                </c:pt>
                <c:pt idx="156">
                  <c:v>0</c:v>
                </c:pt>
                <c:pt idx="157">
                  <c:v>0</c:v>
                </c:pt>
                <c:pt idx="158">
                  <c:v>6376</c:v>
                </c:pt>
                <c:pt idx="159">
                  <c:v>0</c:v>
                </c:pt>
                <c:pt idx="160">
                  <c:v>5449</c:v>
                </c:pt>
                <c:pt idx="161">
                  <c:v>0</c:v>
                </c:pt>
                <c:pt idx="162">
                  <c:v>0</c:v>
                </c:pt>
                <c:pt idx="163">
                  <c:v>5200</c:v>
                </c:pt>
                <c:pt idx="164">
                  <c:v>0</c:v>
                </c:pt>
                <c:pt idx="165">
                  <c:v>2511</c:v>
                </c:pt>
                <c:pt idx="166">
                  <c:v>0</c:v>
                </c:pt>
                <c:pt idx="167">
                  <c:v>0</c:v>
                </c:pt>
                <c:pt idx="168">
                  <c:v>1816</c:v>
                </c:pt>
                <c:pt idx="169">
                  <c:v>0</c:v>
                </c:pt>
                <c:pt idx="170">
                  <c:v>0</c:v>
                </c:pt>
                <c:pt idx="171">
                  <c:v>1432</c:v>
                </c:pt>
                <c:pt idx="172">
                  <c:v>0</c:v>
                </c:pt>
                <c:pt idx="173">
                  <c:v>741</c:v>
                </c:pt>
                <c:pt idx="174">
                  <c:v>0</c:v>
                </c:pt>
                <c:pt idx="175">
                  <c:v>0</c:v>
                </c:pt>
                <c:pt idx="176">
                  <c:v>455</c:v>
                </c:pt>
                <c:pt idx="177">
                  <c:v>0</c:v>
                </c:pt>
                <c:pt idx="178">
                  <c:v>388</c:v>
                </c:pt>
                <c:pt idx="179">
                  <c:v>0</c:v>
                </c:pt>
                <c:pt idx="180">
                  <c:v>0</c:v>
                </c:pt>
                <c:pt idx="181">
                  <c:v>49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2.6777199999999999</c:v>
                </c:pt>
                <c:pt idx="1">
                  <c:v>2.7400899999999999</c:v>
                </c:pt>
                <c:pt idx="2">
                  <c:v>2.8002599999999997</c:v>
                </c:pt>
                <c:pt idx="3">
                  <c:v>2.86191</c:v>
                </c:pt>
                <c:pt idx="4">
                  <c:v>2.9226400000000003</c:v>
                </c:pt>
                <c:pt idx="5">
                  <c:v>2.97993</c:v>
                </c:pt>
                <c:pt idx="6">
                  <c:v>3.0345599999999999</c:v>
                </c:pt>
                <c:pt idx="7">
                  <c:v>3.0868099999999998</c:v>
                </c:pt>
                <c:pt idx="8">
                  <c:v>3.13348</c:v>
                </c:pt>
                <c:pt idx="9">
                  <c:v>3.1749200000000002</c:v>
                </c:pt>
                <c:pt idx="10">
                  <c:v>3.2095500000000001</c:v>
                </c:pt>
                <c:pt idx="11">
                  <c:v>3.23813</c:v>
                </c:pt>
                <c:pt idx="12">
                  <c:v>3.2614799999999997</c:v>
                </c:pt>
                <c:pt idx="13">
                  <c:v>3.28172</c:v>
                </c:pt>
                <c:pt idx="14">
                  <c:v>3.2996699999999999</c:v>
                </c:pt>
                <c:pt idx="15">
                  <c:v>3.31487</c:v>
                </c:pt>
                <c:pt idx="16">
                  <c:v>3.3266400000000003</c:v>
                </c:pt>
                <c:pt idx="17">
                  <c:v>3.3354900000000001</c:v>
                </c:pt>
                <c:pt idx="18">
                  <c:v>3.3426099999999996</c:v>
                </c:pt>
                <c:pt idx="19">
                  <c:v>3.3444099999999999</c:v>
                </c:pt>
                <c:pt idx="20">
                  <c:v>3.3419500000000002</c:v>
                </c:pt>
                <c:pt idx="21">
                  <c:v>3.3356500000000002</c:v>
                </c:pt>
                <c:pt idx="22">
                  <c:v>3.3278600000000003</c:v>
                </c:pt>
                <c:pt idx="23">
                  <c:v>3.31934</c:v>
                </c:pt>
                <c:pt idx="24">
                  <c:v>3.3101599999999998</c:v>
                </c:pt>
                <c:pt idx="25">
                  <c:v>3.2974100000000002</c:v>
                </c:pt>
                <c:pt idx="26">
                  <c:v>3.2803399999999998</c:v>
                </c:pt>
                <c:pt idx="27">
                  <c:v>3.2599200000000002</c:v>
                </c:pt>
                <c:pt idx="28">
                  <c:v>3.23454</c:v>
                </c:pt>
                <c:pt idx="29">
                  <c:v>3.20723</c:v>
                </c:pt>
                <c:pt idx="30">
                  <c:v>3.1804600000000001</c:v>
                </c:pt>
                <c:pt idx="31">
                  <c:v>3.1540800000000004</c:v>
                </c:pt>
                <c:pt idx="32">
                  <c:v>3.1286300000000002</c:v>
                </c:pt>
                <c:pt idx="33">
                  <c:v>3.1051899999999999</c:v>
                </c:pt>
                <c:pt idx="34">
                  <c:v>3.08317</c:v>
                </c:pt>
                <c:pt idx="35">
                  <c:v>3.0647000000000002</c:v>
                </c:pt>
                <c:pt idx="36">
                  <c:v>3.04765</c:v>
                </c:pt>
                <c:pt idx="37">
                  <c:v>3.0318399999999999</c:v>
                </c:pt>
                <c:pt idx="38">
                  <c:v>3.0156800000000001</c:v>
                </c:pt>
                <c:pt idx="39">
                  <c:v>3.0013899999999998</c:v>
                </c:pt>
                <c:pt idx="40">
                  <c:v>2.98712</c:v>
                </c:pt>
                <c:pt idx="41">
                  <c:v>2.9743999999999997</c:v>
                </c:pt>
                <c:pt idx="42">
                  <c:v>2.9611900000000002</c:v>
                </c:pt>
                <c:pt idx="43">
                  <c:v>2.9476200000000001</c:v>
                </c:pt>
                <c:pt idx="44">
                  <c:v>2.9336800000000003</c:v>
                </c:pt>
                <c:pt idx="45">
                  <c:v>2.9195199999999999</c:v>
                </c:pt>
                <c:pt idx="46">
                  <c:v>2.9101100000000004</c:v>
                </c:pt>
                <c:pt idx="47">
                  <c:v>2.9062999999999999</c:v>
                </c:pt>
                <c:pt idx="48">
                  <c:v>2.9037099999999998</c:v>
                </c:pt>
                <c:pt idx="49">
                  <c:v>2.9008699999999998</c:v>
                </c:pt>
                <c:pt idx="50">
                  <c:v>2.8987499999999997</c:v>
                </c:pt>
                <c:pt idx="51">
                  <c:v>2.8995100000000003</c:v>
                </c:pt>
                <c:pt idx="52">
                  <c:v>2.9026100000000001</c:v>
                </c:pt>
                <c:pt idx="53">
                  <c:v>2.90333</c:v>
                </c:pt>
                <c:pt idx="54">
                  <c:v>2.9035600000000001</c:v>
                </c:pt>
                <c:pt idx="55">
                  <c:v>2.9027700000000003</c:v>
                </c:pt>
                <c:pt idx="56">
                  <c:v>2.8986800000000001</c:v>
                </c:pt>
                <c:pt idx="57">
                  <c:v>2.8905500000000002</c:v>
                </c:pt>
                <c:pt idx="58">
                  <c:v>2.8812500000000001</c:v>
                </c:pt>
                <c:pt idx="59">
                  <c:v>2.8693499999999998</c:v>
                </c:pt>
                <c:pt idx="60">
                  <c:v>2.8560600000000003</c:v>
                </c:pt>
                <c:pt idx="61">
                  <c:v>2.84165</c:v>
                </c:pt>
                <c:pt idx="62">
                  <c:v>2.82674</c:v>
                </c:pt>
                <c:pt idx="63">
                  <c:v>2.8122699999999998</c:v>
                </c:pt>
                <c:pt idx="64">
                  <c:v>2.7973300000000001</c:v>
                </c:pt>
                <c:pt idx="65">
                  <c:v>2.78376</c:v>
                </c:pt>
                <c:pt idx="66">
                  <c:v>2.7692499999999995</c:v>
                </c:pt>
                <c:pt idx="67">
                  <c:v>2.7546900000000001</c:v>
                </c:pt>
                <c:pt idx="68">
                  <c:v>2.7422300000000002</c:v>
                </c:pt>
                <c:pt idx="69">
                  <c:v>2.7325899999999996</c:v>
                </c:pt>
                <c:pt idx="70">
                  <c:v>2.7239900000000001</c:v>
                </c:pt>
                <c:pt idx="71">
                  <c:v>2.7146300000000001</c:v>
                </c:pt>
                <c:pt idx="72">
                  <c:v>2.7006599999999996</c:v>
                </c:pt>
                <c:pt idx="73">
                  <c:v>2.68581</c:v>
                </c:pt>
                <c:pt idx="74">
                  <c:v>2.6715499999999999</c:v>
                </c:pt>
                <c:pt idx="75">
                  <c:v>2.6595800000000001</c:v>
                </c:pt>
                <c:pt idx="76">
                  <c:v>2.64825</c:v>
                </c:pt>
                <c:pt idx="77">
                  <c:v>2.6380699999999999</c:v>
                </c:pt>
                <c:pt idx="78">
                  <c:v>2.6340599999999998</c:v>
                </c:pt>
                <c:pt idx="79">
                  <c:v>2.63266</c:v>
                </c:pt>
                <c:pt idx="80">
                  <c:v>2.6319500000000002</c:v>
                </c:pt>
                <c:pt idx="81">
                  <c:v>2.6365600000000002</c:v>
                </c:pt>
                <c:pt idx="82">
                  <c:v>2.64635</c:v>
                </c:pt>
                <c:pt idx="83">
                  <c:v>2.6590000000000003</c:v>
                </c:pt>
                <c:pt idx="84">
                  <c:v>2.6730799999999997</c:v>
                </c:pt>
                <c:pt idx="85">
                  <c:v>2.6886199999999998</c:v>
                </c:pt>
                <c:pt idx="86">
                  <c:v>2.7058200000000001</c:v>
                </c:pt>
                <c:pt idx="87">
                  <c:v>2.7265099999999998</c:v>
                </c:pt>
                <c:pt idx="88">
                  <c:v>2.74411</c:v>
                </c:pt>
                <c:pt idx="89">
                  <c:v>2.7600699999999998</c:v>
                </c:pt>
                <c:pt idx="90">
                  <c:v>2.7738800000000001</c:v>
                </c:pt>
                <c:pt idx="91">
                  <c:v>2.7880899999999995</c:v>
                </c:pt>
                <c:pt idx="92">
                  <c:v>2.8044500000000001</c:v>
                </c:pt>
                <c:pt idx="93">
                  <c:v>2.8203</c:v>
                </c:pt>
                <c:pt idx="94">
                  <c:v>2.83304</c:v>
                </c:pt>
                <c:pt idx="95">
                  <c:v>2.8428800000000001</c:v>
                </c:pt>
                <c:pt idx="96">
                  <c:v>2.8492000000000002</c:v>
                </c:pt>
                <c:pt idx="97">
                  <c:v>2.8519600000000001</c:v>
                </c:pt>
                <c:pt idx="98">
                  <c:v>2.8538899999999998</c:v>
                </c:pt>
                <c:pt idx="99">
                  <c:v>2.8574100000000002</c:v>
                </c:pt>
                <c:pt idx="100">
                  <c:v>2.8607</c:v>
                </c:pt>
                <c:pt idx="101">
                  <c:v>2.86435</c:v>
                </c:pt>
                <c:pt idx="102">
                  <c:v>2.8657700000000004</c:v>
                </c:pt>
                <c:pt idx="103">
                  <c:v>2.8671000000000002</c:v>
                </c:pt>
                <c:pt idx="104">
                  <c:v>2.8667100000000003</c:v>
                </c:pt>
                <c:pt idx="105">
                  <c:v>2.8660899999999998</c:v>
                </c:pt>
                <c:pt idx="106">
                  <c:v>2.8645500000000004</c:v>
                </c:pt>
                <c:pt idx="107">
                  <c:v>2.8625099999999999</c:v>
                </c:pt>
                <c:pt idx="108">
                  <c:v>2.8595300000000003</c:v>
                </c:pt>
                <c:pt idx="109">
                  <c:v>2.85765</c:v>
                </c:pt>
                <c:pt idx="110">
                  <c:v>2.8564800000000004</c:v>
                </c:pt>
                <c:pt idx="111">
                  <c:v>2.8554600000000003</c:v>
                </c:pt>
                <c:pt idx="112">
                  <c:v>2.8528099999999998</c:v>
                </c:pt>
                <c:pt idx="113">
                  <c:v>2.8550800000000001</c:v>
                </c:pt>
                <c:pt idx="114">
                  <c:v>2.8589199999999999</c:v>
                </c:pt>
                <c:pt idx="115">
                  <c:v>2.8633999999999999</c:v>
                </c:pt>
                <c:pt idx="116">
                  <c:v>2.86883</c:v>
                </c:pt>
                <c:pt idx="117">
                  <c:v>2.8701300000000001</c:v>
                </c:pt>
                <c:pt idx="118">
                  <c:v>2.8681899999999998</c:v>
                </c:pt>
                <c:pt idx="119">
                  <c:v>2.8693</c:v>
                </c:pt>
                <c:pt idx="120">
                  <c:v>2.8702699999999997</c:v>
                </c:pt>
                <c:pt idx="121">
                  <c:v>2.8708</c:v>
                </c:pt>
                <c:pt idx="122">
                  <c:v>2.87554</c:v>
                </c:pt>
                <c:pt idx="123">
                  <c:v>2.87941</c:v>
                </c:pt>
                <c:pt idx="124">
                  <c:v>2.8824699999999996</c:v>
                </c:pt>
                <c:pt idx="125">
                  <c:v>2.8854000000000002</c:v>
                </c:pt>
                <c:pt idx="126">
                  <c:v>2.8879300000000003</c:v>
                </c:pt>
                <c:pt idx="127">
                  <c:v>2.8916399999999998</c:v>
                </c:pt>
                <c:pt idx="128">
                  <c:v>2.8949699999999998</c:v>
                </c:pt>
                <c:pt idx="129">
                  <c:v>2.8990800000000001</c:v>
                </c:pt>
                <c:pt idx="130">
                  <c:v>2.90367</c:v>
                </c:pt>
                <c:pt idx="131">
                  <c:v>2.9068399999999999</c:v>
                </c:pt>
                <c:pt idx="132">
                  <c:v>2.9103000000000003</c:v>
                </c:pt>
                <c:pt idx="133">
                  <c:v>2.9140100000000002</c:v>
                </c:pt>
                <c:pt idx="134">
                  <c:v>2.9178100000000002</c:v>
                </c:pt>
                <c:pt idx="135">
                  <c:v>2.9194300000000002</c:v>
                </c:pt>
                <c:pt idx="136">
                  <c:v>2.9203800000000002</c:v>
                </c:pt>
                <c:pt idx="137">
                  <c:v>2.9204400000000001</c:v>
                </c:pt>
                <c:pt idx="138">
                  <c:v>2.91479</c:v>
                </c:pt>
                <c:pt idx="139">
                  <c:v>2.9058000000000002</c:v>
                </c:pt>
                <c:pt idx="140">
                  <c:v>2.8974100000000003</c:v>
                </c:pt>
                <c:pt idx="141">
                  <c:v>2.8838799999999996</c:v>
                </c:pt>
                <c:pt idx="142">
                  <c:v>2.87439</c:v>
                </c:pt>
                <c:pt idx="143">
                  <c:v>2.8721000000000001</c:v>
                </c:pt>
                <c:pt idx="144">
                  <c:v>2.8589199999999999</c:v>
                </c:pt>
                <c:pt idx="145">
                  <c:v>2.8536000000000001</c:v>
                </c:pt>
                <c:pt idx="146">
                  <c:v>2.85778</c:v>
                </c:pt>
                <c:pt idx="147">
                  <c:v>2.84823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46.163199999999996</c:v>
                </c:pt>
                <c:pt idx="1">
                  <c:v>45.362299999999998</c:v>
                </c:pt>
                <c:pt idx="2">
                  <c:v>44.502000000000002</c:v>
                </c:pt>
                <c:pt idx="3">
                  <c:v>43.504199999999997</c:v>
                </c:pt>
                <c:pt idx="4">
                  <c:v>42.503600000000006</c:v>
                </c:pt>
                <c:pt idx="5">
                  <c:v>41.560600000000001</c:v>
                </c:pt>
                <c:pt idx="6">
                  <c:v>40.644100000000002</c:v>
                </c:pt>
                <c:pt idx="7">
                  <c:v>39.811</c:v>
                </c:pt>
                <c:pt idx="8">
                  <c:v>39.0886</c:v>
                </c:pt>
                <c:pt idx="9">
                  <c:v>38.408799999999999</c:v>
                </c:pt>
                <c:pt idx="10">
                  <c:v>37.828400000000002</c:v>
                </c:pt>
                <c:pt idx="11">
                  <c:v>37.2928</c:v>
                </c:pt>
                <c:pt idx="12">
                  <c:v>36.819800000000001</c:v>
                </c:pt>
                <c:pt idx="13">
                  <c:v>36.3414</c:v>
                </c:pt>
                <c:pt idx="14">
                  <c:v>35.919600000000003</c:v>
                </c:pt>
                <c:pt idx="15">
                  <c:v>35.545100000000005</c:v>
                </c:pt>
                <c:pt idx="16">
                  <c:v>35.227399999999996</c:v>
                </c:pt>
                <c:pt idx="17">
                  <c:v>35.020099999999999</c:v>
                </c:pt>
                <c:pt idx="18">
                  <c:v>34.8249</c:v>
                </c:pt>
                <c:pt idx="19">
                  <c:v>34.670200000000001</c:v>
                </c:pt>
                <c:pt idx="20">
                  <c:v>34.498800000000003</c:v>
                </c:pt>
                <c:pt idx="21">
                  <c:v>34.315600000000003</c:v>
                </c:pt>
                <c:pt idx="22">
                  <c:v>34.145900000000005</c:v>
                </c:pt>
                <c:pt idx="23">
                  <c:v>33.985900000000001</c:v>
                </c:pt>
                <c:pt idx="24">
                  <c:v>33.874300000000005</c:v>
                </c:pt>
                <c:pt idx="25">
                  <c:v>33.761899999999997</c:v>
                </c:pt>
                <c:pt idx="26">
                  <c:v>33.659599999999998</c:v>
                </c:pt>
                <c:pt idx="27">
                  <c:v>33.575200000000002</c:v>
                </c:pt>
                <c:pt idx="28">
                  <c:v>33.573799999999999</c:v>
                </c:pt>
                <c:pt idx="29">
                  <c:v>33.667999999999999</c:v>
                </c:pt>
                <c:pt idx="30">
                  <c:v>33.851599999999998</c:v>
                </c:pt>
                <c:pt idx="31">
                  <c:v>34.106099999999998</c:v>
                </c:pt>
                <c:pt idx="32">
                  <c:v>34.42</c:v>
                </c:pt>
                <c:pt idx="33">
                  <c:v>34.745100000000001</c:v>
                </c:pt>
                <c:pt idx="34">
                  <c:v>35.060099999999998</c:v>
                </c:pt>
                <c:pt idx="35">
                  <c:v>35.358200000000004</c:v>
                </c:pt>
                <c:pt idx="36">
                  <c:v>35.636800000000001</c:v>
                </c:pt>
                <c:pt idx="37">
                  <c:v>35.899300000000004</c:v>
                </c:pt>
                <c:pt idx="38">
                  <c:v>36.197299999999998</c:v>
                </c:pt>
                <c:pt idx="39">
                  <c:v>36.477800000000002</c:v>
                </c:pt>
                <c:pt idx="40">
                  <c:v>36.729900000000001</c:v>
                </c:pt>
                <c:pt idx="41">
                  <c:v>36.945699999999995</c:v>
                </c:pt>
                <c:pt idx="42">
                  <c:v>37.094000000000001</c:v>
                </c:pt>
                <c:pt idx="43">
                  <c:v>37.244799999999998</c:v>
                </c:pt>
                <c:pt idx="44">
                  <c:v>37.371099999999998</c:v>
                </c:pt>
                <c:pt idx="45">
                  <c:v>37.540700000000001</c:v>
                </c:pt>
                <c:pt idx="46">
                  <c:v>37.6892</c:v>
                </c:pt>
                <c:pt idx="47">
                  <c:v>37.774299999999997</c:v>
                </c:pt>
                <c:pt idx="48">
                  <c:v>37.867600000000003</c:v>
                </c:pt>
                <c:pt idx="49">
                  <c:v>37.950699999999998</c:v>
                </c:pt>
                <c:pt idx="50">
                  <c:v>38.046900000000001</c:v>
                </c:pt>
                <c:pt idx="51">
                  <c:v>38.132899999999999</c:v>
                </c:pt>
                <c:pt idx="52">
                  <c:v>38.210100000000004</c:v>
                </c:pt>
                <c:pt idx="53">
                  <c:v>38.2714</c:v>
                </c:pt>
                <c:pt idx="54">
                  <c:v>38.311199999999999</c:v>
                </c:pt>
                <c:pt idx="55">
                  <c:v>38.325700000000005</c:v>
                </c:pt>
                <c:pt idx="56">
                  <c:v>38.392099999999999</c:v>
                </c:pt>
                <c:pt idx="57">
                  <c:v>38.475000000000001</c:v>
                </c:pt>
                <c:pt idx="58">
                  <c:v>38.531300000000002</c:v>
                </c:pt>
                <c:pt idx="59">
                  <c:v>38.573099999999997</c:v>
                </c:pt>
                <c:pt idx="60">
                  <c:v>38.566899999999997</c:v>
                </c:pt>
                <c:pt idx="61">
                  <c:v>38.572000000000003</c:v>
                </c:pt>
                <c:pt idx="62">
                  <c:v>38.545299999999997</c:v>
                </c:pt>
                <c:pt idx="63">
                  <c:v>38.480199999999996</c:v>
                </c:pt>
                <c:pt idx="64">
                  <c:v>38.395499999999998</c:v>
                </c:pt>
                <c:pt idx="65">
                  <c:v>38.313299999999998</c:v>
                </c:pt>
                <c:pt idx="66">
                  <c:v>38.219099999999997</c:v>
                </c:pt>
                <c:pt idx="67">
                  <c:v>38.110300000000002</c:v>
                </c:pt>
                <c:pt idx="68">
                  <c:v>38.005400000000002</c:v>
                </c:pt>
                <c:pt idx="69">
                  <c:v>37.856200000000001</c:v>
                </c:pt>
                <c:pt idx="70">
                  <c:v>37.6571</c:v>
                </c:pt>
                <c:pt idx="71">
                  <c:v>37.504100000000001</c:v>
                </c:pt>
                <c:pt idx="72">
                  <c:v>37.4041</c:v>
                </c:pt>
                <c:pt idx="73">
                  <c:v>37.3217</c:v>
                </c:pt>
                <c:pt idx="74">
                  <c:v>37.2331</c:v>
                </c:pt>
                <c:pt idx="75">
                  <c:v>37.0899</c:v>
                </c:pt>
                <c:pt idx="76">
                  <c:v>36.976100000000002</c:v>
                </c:pt>
                <c:pt idx="77">
                  <c:v>36.815399999999997</c:v>
                </c:pt>
                <c:pt idx="78">
                  <c:v>36.596800000000002</c:v>
                </c:pt>
                <c:pt idx="79">
                  <c:v>36.337299999999999</c:v>
                </c:pt>
                <c:pt idx="80">
                  <c:v>36.0625</c:v>
                </c:pt>
                <c:pt idx="81">
                  <c:v>35.616300000000003</c:v>
                </c:pt>
                <c:pt idx="82">
                  <c:v>35.051400000000001</c:v>
                </c:pt>
                <c:pt idx="83">
                  <c:v>34.36</c:v>
                </c:pt>
                <c:pt idx="84">
                  <c:v>33.701100000000004</c:v>
                </c:pt>
                <c:pt idx="85">
                  <c:v>33.055900000000001</c:v>
                </c:pt>
                <c:pt idx="86">
                  <c:v>32.386099999999999</c:v>
                </c:pt>
                <c:pt idx="87">
                  <c:v>31.669399999999996</c:v>
                </c:pt>
                <c:pt idx="88">
                  <c:v>30.992999999999999</c:v>
                </c:pt>
                <c:pt idx="89">
                  <c:v>30.362400000000001</c:v>
                </c:pt>
                <c:pt idx="90">
                  <c:v>29.820999999999998</c:v>
                </c:pt>
                <c:pt idx="91">
                  <c:v>29.319699999999997</c:v>
                </c:pt>
                <c:pt idx="92">
                  <c:v>28.841799999999999</c:v>
                </c:pt>
                <c:pt idx="93">
                  <c:v>28.372500000000002</c:v>
                </c:pt>
                <c:pt idx="94">
                  <c:v>27.966800000000003</c:v>
                </c:pt>
                <c:pt idx="95">
                  <c:v>27.648099999999999</c:v>
                </c:pt>
                <c:pt idx="96">
                  <c:v>27.336500000000001</c:v>
                </c:pt>
                <c:pt idx="97">
                  <c:v>27.084099999999999</c:v>
                </c:pt>
                <c:pt idx="98">
                  <c:v>26.816600000000001</c:v>
                </c:pt>
                <c:pt idx="99">
                  <c:v>26.500600000000002</c:v>
                </c:pt>
                <c:pt idx="100">
                  <c:v>26.186799999999998</c:v>
                </c:pt>
                <c:pt idx="101">
                  <c:v>25.857299999999999</c:v>
                </c:pt>
                <c:pt idx="102">
                  <c:v>25.5579</c:v>
                </c:pt>
                <c:pt idx="103">
                  <c:v>25.220500000000001</c:v>
                </c:pt>
                <c:pt idx="104">
                  <c:v>24.9344</c:v>
                </c:pt>
                <c:pt idx="105">
                  <c:v>24.669699999999999</c:v>
                </c:pt>
                <c:pt idx="106">
                  <c:v>24.421599999999998</c:v>
                </c:pt>
                <c:pt idx="107">
                  <c:v>24.15</c:v>
                </c:pt>
                <c:pt idx="108">
                  <c:v>23.9604</c:v>
                </c:pt>
                <c:pt idx="109">
                  <c:v>23.790099999999999</c:v>
                </c:pt>
                <c:pt idx="110">
                  <c:v>23.5991</c:v>
                </c:pt>
                <c:pt idx="111">
                  <c:v>23.443899999999999</c:v>
                </c:pt>
                <c:pt idx="112">
                  <c:v>23.339199999999998</c:v>
                </c:pt>
                <c:pt idx="113">
                  <c:v>23.311699999999998</c:v>
                </c:pt>
                <c:pt idx="114">
                  <c:v>23.263000000000002</c:v>
                </c:pt>
                <c:pt idx="115">
                  <c:v>23.174800000000001</c:v>
                </c:pt>
                <c:pt idx="116">
                  <c:v>23.033899999999999</c:v>
                </c:pt>
                <c:pt idx="117">
                  <c:v>22.931899999999999</c:v>
                </c:pt>
                <c:pt idx="118">
                  <c:v>22.854600000000001</c:v>
                </c:pt>
                <c:pt idx="119">
                  <c:v>22.702100000000002</c:v>
                </c:pt>
                <c:pt idx="120">
                  <c:v>22.552299999999999</c:v>
                </c:pt>
                <c:pt idx="121">
                  <c:v>22.475999999999999</c:v>
                </c:pt>
                <c:pt idx="122">
                  <c:v>22.366399999999999</c:v>
                </c:pt>
                <c:pt idx="123">
                  <c:v>22.313500000000001</c:v>
                </c:pt>
                <c:pt idx="124">
                  <c:v>22.231200000000001</c:v>
                </c:pt>
                <c:pt idx="125">
                  <c:v>22.159699999999997</c:v>
                </c:pt>
                <c:pt idx="126">
                  <c:v>22.088000000000001</c:v>
                </c:pt>
                <c:pt idx="127">
                  <c:v>22.028300000000002</c:v>
                </c:pt>
                <c:pt idx="128">
                  <c:v>22.0029</c:v>
                </c:pt>
                <c:pt idx="129">
                  <c:v>21.934899999999999</c:v>
                </c:pt>
                <c:pt idx="130">
                  <c:v>21.8339</c:v>
                </c:pt>
                <c:pt idx="131">
                  <c:v>21.770999999999997</c:v>
                </c:pt>
                <c:pt idx="132">
                  <c:v>21.793199999999999</c:v>
                </c:pt>
                <c:pt idx="133">
                  <c:v>21.838699999999999</c:v>
                </c:pt>
                <c:pt idx="134">
                  <c:v>21.878800000000002</c:v>
                </c:pt>
                <c:pt idx="135">
                  <c:v>21.984500000000001</c:v>
                </c:pt>
                <c:pt idx="136">
                  <c:v>22.058499999999999</c:v>
                </c:pt>
                <c:pt idx="137">
                  <c:v>22.170999999999999</c:v>
                </c:pt>
                <c:pt idx="138">
                  <c:v>22.182700000000001</c:v>
                </c:pt>
                <c:pt idx="139">
                  <c:v>22.2667</c:v>
                </c:pt>
                <c:pt idx="140">
                  <c:v>22.317400000000003</c:v>
                </c:pt>
                <c:pt idx="141">
                  <c:v>22.5168</c:v>
                </c:pt>
                <c:pt idx="142">
                  <c:v>22.631499999999999</c:v>
                </c:pt>
                <c:pt idx="143">
                  <c:v>22.6617</c:v>
                </c:pt>
                <c:pt idx="144">
                  <c:v>23.043500000000002</c:v>
                </c:pt>
                <c:pt idx="145">
                  <c:v>23.459599999999998</c:v>
                </c:pt>
                <c:pt idx="146">
                  <c:v>23.573699999999999</c:v>
                </c:pt>
                <c:pt idx="147">
                  <c:v>23.9588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2.6777199999999999</c:v>
                </c:pt>
                <c:pt idx="1">
                  <c:v>2.7400899999999999</c:v>
                </c:pt>
                <c:pt idx="2">
                  <c:v>2.8002599999999997</c:v>
                </c:pt>
                <c:pt idx="3">
                  <c:v>2.86191</c:v>
                </c:pt>
                <c:pt idx="4">
                  <c:v>2.9226400000000003</c:v>
                </c:pt>
                <c:pt idx="5">
                  <c:v>2.97993</c:v>
                </c:pt>
                <c:pt idx="6">
                  <c:v>3.0345599999999999</c:v>
                </c:pt>
                <c:pt idx="7">
                  <c:v>3.0868099999999998</c:v>
                </c:pt>
                <c:pt idx="8">
                  <c:v>3.13348</c:v>
                </c:pt>
                <c:pt idx="9">
                  <c:v>3.1749200000000002</c:v>
                </c:pt>
                <c:pt idx="10">
                  <c:v>3.2095500000000001</c:v>
                </c:pt>
                <c:pt idx="11">
                  <c:v>3.23813</c:v>
                </c:pt>
                <c:pt idx="12">
                  <c:v>3.2614799999999997</c:v>
                </c:pt>
                <c:pt idx="13">
                  <c:v>3.28172</c:v>
                </c:pt>
                <c:pt idx="14">
                  <c:v>3.2996699999999999</c:v>
                </c:pt>
                <c:pt idx="15">
                  <c:v>3.31487</c:v>
                </c:pt>
                <c:pt idx="16">
                  <c:v>3.3266400000000003</c:v>
                </c:pt>
                <c:pt idx="17">
                  <c:v>3.3354900000000001</c:v>
                </c:pt>
                <c:pt idx="18">
                  <c:v>3.3426099999999996</c:v>
                </c:pt>
                <c:pt idx="19">
                  <c:v>3.3444099999999999</c:v>
                </c:pt>
                <c:pt idx="20">
                  <c:v>3.3419500000000002</c:v>
                </c:pt>
                <c:pt idx="21">
                  <c:v>3.3356500000000002</c:v>
                </c:pt>
                <c:pt idx="22">
                  <c:v>3.3278600000000003</c:v>
                </c:pt>
                <c:pt idx="23">
                  <c:v>3.31934</c:v>
                </c:pt>
                <c:pt idx="24">
                  <c:v>3.3101599999999998</c:v>
                </c:pt>
                <c:pt idx="25">
                  <c:v>3.2974100000000002</c:v>
                </c:pt>
                <c:pt idx="26">
                  <c:v>3.2803399999999998</c:v>
                </c:pt>
                <c:pt idx="27">
                  <c:v>3.2599200000000002</c:v>
                </c:pt>
                <c:pt idx="28">
                  <c:v>3.23454</c:v>
                </c:pt>
                <c:pt idx="29">
                  <c:v>3.20723</c:v>
                </c:pt>
                <c:pt idx="30">
                  <c:v>3.1804600000000001</c:v>
                </c:pt>
                <c:pt idx="31">
                  <c:v>3.1540800000000004</c:v>
                </c:pt>
                <c:pt idx="32">
                  <c:v>3.1286300000000002</c:v>
                </c:pt>
                <c:pt idx="33">
                  <c:v>3.1051899999999999</c:v>
                </c:pt>
                <c:pt idx="34">
                  <c:v>3.08317</c:v>
                </c:pt>
                <c:pt idx="35">
                  <c:v>3.0647000000000002</c:v>
                </c:pt>
                <c:pt idx="36">
                  <c:v>3.04765</c:v>
                </c:pt>
                <c:pt idx="37">
                  <c:v>3.0318399999999999</c:v>
                </c:pt>
                <c:pt idx="38">
                  <c:v>3.0156800000000001</c:v>
                </c:pt>
                <c:pt idx="39">
                  <c:v>3.0013899999999998</c:v>
                </c:pt>
                <c:pt idx="40">
                  <c:v>2.98712</c:v>
                </c:pt>
                <c:pt idx="41">
                  <c:v>2.9743999999999997</c:v>
                </c:pt>
                <c:pt idx="42">
                  <c:v>2.9611900000000002</c:v>
                </c:pt>
                <c:pt idx="43">
                  <c:v>2.9476200000000001</c:v>
                </c:pt>
                <c:pt idx="44">
                  <c:v>2.9336800000000003</c:v>
                </c:pt>
                <c:pt idx="45">
                  <c:v>2.9195199999999999</c:v>
                </c:pt>
                <c:pt idx="46">
                  <c:v>2.9101100000000004</c:v>
                </c:pt>
                <c:pt idx="47">
                  <c:v>2.9062999999999999</c:v>
                </c:pt>
                <c:pt idx="48">
                  <c:v>2.9037099999999998</c:v>
                </c:pt>
                <c:pt idx="49">
                  <c:v>2.9008699999999998</c:v>
                </c:pt>
                <c:pt idx="50">
                  <c:v>2.8987499999999997</c:v>
                </c:pt>
                <c:pt idx="51">
                  <c:v>2.8995100000000003</c:v>
                </c:pt>
                <c:pt idx="52">
                  <c:v>2.9026100000000001</c:v>
                </c:pt>
                <c:pt idx="53">
                  <c:v>2.90333</c:v>
                </c:pt>
                <c:pt idx="54">
                  <c:v>2.9035600000000001</c:v>
                </c:pt>
                <c:pt idx="55">
                  <c:v>2.9027700000000003</c:v>
                </c:pt>
                <c:pt idx="56">
                  <c:v>2.8986800000000001</c:v>
                </c:pt>
                <c:pt idx="57">
                  <c:v>2.8905500000000002</c:v>
                </c:pt>
                <c:pt idx="58">
                  <c:v>2.8812500000000001</c:v>
                </c:pt>
                <c:pt idx="59">
                  <c:v>2.8693499999999998</c:v>
                </c:pt>
                <c:pt idx="60">
                  <c:v>2.8560600000000003</c:v>
                </c:pt>
                <c:pt idx="61">
                  <c:v>2.84165</c:v>
                </c:pt>
                <c:pt idx="62">
                  <c:v>2.82674</c:v>
                </c:pt>
                <c:pt idx="63">
                  <c:v>2.8122699999999998</c:v>
                </c:pt>
                <c:pt idx="64">
                  <c:v>2.7973300000000001</c:v>
                </c:pt>
                <c:pt idx="65">
                  <c:v>2.78376</c:v>
                </c:pt>
                <c:pt idx="66">
                  <c:v>2.7692499999999995</c:v>
                </c:pt>
                <c:pt idx="67">
                  <c:v>2.7546900000000001</c:v>
                </c:pt>
                <c:pt idx="68">
                  <c:v>2.7422300000000002</c:v>
                </c:pt>
                <c:pt idx="69">
                  <c:v>2.7325899999999996</c:v>
                </c:pt>
                <c:pt idx="70">
                  <c:v>2.7239900000000001</c:v>
                </c:pt>
                <c:pt idx="71">
                  <c:v>2.7146300000000001</c:v>
                </c:pt>
                <c:pt idx="72">
                  <c:v>2.7006599999999996</c:v>
                </c:pt>
                <c:pt idx="73">
                  <c:v>2.68581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46.163199999999996</c:v>
                </c:pt>
                <c:pt idx="1">
                  <c:v>45.362299999999998</c:v>
                </c:pt>
                <c:pt idx="2">
                  <c:v>44.502000000000002</c:v>
                </c:pt>
                <c:pt idx="3">
                  <c:v>43.504199999999997</c:v>
                </c:pt>
                <c:pt idx="4">
                  <c:v>42.503600000000006</c:v>
                </c:pt>
                <c:pt idx="5">
                  <c:v>41.560600000000001</c:v>
                </c:pt>
                <c:pt idx="6">
                  <c:v>40.644100000000002</c:v>
                </c:pt>
                <c:pt idx="7">
                  <c:v>39.811</c:v>
                </c:pt>
                <c:pt idx="8">
                  <c:v>39.0886</c:v>
                </c:pt>
                <c:pt idx="9">
                  <c:v>38.408799999999999</c:v>
                </c:pt>
                <c:pt idx="10">
                  <c:v>37.828400000000002</c:v>
                </c:pt>
                <c:pt idx="11">
                  <c:v>37.2928</c:v>
                </c:pt>
                <c:pt idx="12">
                  <c:v>36.819800000000001</c:v>
                </c:pt>
                <c:pt idx="13">
                  <c:v>36.3414</c:v>
                </c:pt>
                <c:pt idx="14">
                  <c:v>35.919600000000003</c:v>
                </c:pt>
                <c:pt idx="15">
                  <c:v>35.545100000000005</c:v>
                </c:pt>
                <c:pt idx="16">
                  <c:v>35.227399999999996</c:v>
                </c:pt>
                <c:pt idx="17">
                  <c:v>35.020099999999999</c:v>
                </c:pt>
                <c:pt idx="18">
                  <c:v>34.8249</c:v>
                </c:pt>
                <c:pt idx="19">
                  <c:v>34.670200000000001</c:v>
                </c:pt>
                <c:pt idx="20">
                  <c:v>34.498800000000003</c:v>
                </c:pt>
                <c:pt idx="21">
                  <c:v>34.315600000000003</c:v>
                </c:pt>
                <c:pt idx="22">
                  <c:v>34.145900000000005</c:v>
                </c:pt>
                <c:pt idx="23">
                  <c:v>33.985900000000001</c:v>
                </c:pt>
                <c:pt idx="24">
                  <c:v>33.874300000000005</c:v>
                </c:pt>
                <c:pt idx="25">
                  <c:v>33.761899999999997</c:v>
                </c:pt>
                <c:pt idx="26">
                  <c:v>33.659599999999998</c:v>
                </c:pt>
                <c:pt idx="27">
                  <c:v>33.575200000000002</c:v>
                </c:pt>
                <c:pt idx="28">
                  <c:v>33.573799999999999</c:v>
                </c:pt>
                <c:pt idx="29">
                  <c:v>33.667999999999999</c:v>
                </c:pt>
                <c:pt idx="30">
                  <c:v>33.851599999999998</c:v>
                </c:pt>
                <c:pt idx="31">
                  <c:v>34.106099999999998</c:v>
                </c:pt>
                <c:pt idx="32">
                  <c:v>34.42</c:v>
                </c:pt>
                <c:pt idx="33">
                  <c:v>34.745100000000001</c:v>
                </c:pt>
                <c:pt idx="34">
                  <c:v>35.060099999999998</c:v>
                </c:pt>
                <c:pt idx="35">
                  <c:v>35.358200000000004</c:v>
                </c:pt>
                <c:pt idx="36">
                  <c:v>35.636800000000001</c:v>
                </c:pt>
                <c:pt idx="37">
                  <c:v>35.899300000000004</c:v>
                </c:pt>
                <c:pt idx="38">
                  <c:v>36.197299999999998</c:v>
                </c:pt>
                <c:pt idx="39">
                  <c:v>36.477800000000002</c:v>
                </c:pt>
                <c:pt idx="40">
                  <c:v>36.729900000000001</c:v>
                </c:pt>
                <c:pt idx="41">
                  <c:v>36.945699999999995</c:v>
                </c:pt>
                <c:pt idx="42">
                  <c:v>37.094000000000001</c:v>
                </c:pt>
                <c:pt idx="43">
                  <c:v>37.244799999999998</c:v>
                </c:pt>
                <c:pt idx="44">
                  <c:v>37.371099999999998</c:v>
                </c:pt>
                <c:pt idx="45">
                  <c:v>37.540700000000001</c:v>
                </c:pt>
                <c:pt idx="46">
                  <c:v>37.6892</c:v>
                </c:pt>
                <c:pt idx="47">
                  <c:v>37.774299999999997</c:v>
                </c:pt>
                <c:pt idx="48">
                  <c:v>37.867600000000003</c:v>
                </c:pt>
                <c:pt idx="49">
                  <c:v>37.950699999999998</c:v>
                </c:pt>
                <c:pt idx="50">
                  <c:v>38.046900000000001</c:v>
                </c:pt>
                <c:pt idx="51">
                  <c:v>38.132899999999999</c:v>
                </c:pt>
                <c:pt idx="52">
                  <c:v>38.210100000000004</c:v>
                </c:pt>
                <c:pt idx="53">
                  <c:v>38.2714</c:v>
                </c:pt>
                <c:pt idx="54">
                  <c:v>38.311199999999999</c:v>
                </c:pt>
                <c:pt idx="55">
                  <c:v>38.325700000000005</c:v>
                </c:pt>
                <c:pt idx="56">
                  <c:v>38.392099999999999</c:v>
                </c:pt>
                <c:pt idx="57">
                  <c:v>38.475000000000001</c:v>
                </c:pt>
                <c:pt idx="58">
                  <c:v>38.531300000000002</c:v>
                </c:pt>
                <c:pt idx="59">
                  <c:v>38.573099999999997</c:v>
                </c:pt>
                <c:pt idx="60">
                  <c:v>38.566899999999997</c:v>
                </c:pt>
                <c:pt idx="61">
                  <c:v>38.572000000000003</c:v>
                </c:pt>
                <c:pt idx="62">
                  <c:v>38.545299999999997</c:v>
                </c:pt>
                <c:pt idx="63">
                  <c:v>38.480199999999996</c:v>
                </c:pt>
                <c:pt idx="64">
                  <c:v>38.395499999999998</c:v>
                </c:pt>
                <c:pt idx="65">
                  <c:v>38.313299999999998</c:v>
                </c:pt>
                <c:pt idx="66">
                  <c:v>38.219099999999997</c:v>
                </c:pt>
                <c:pt idx="67">
                  <c:v>38.110300000000002</c:v>
                </c:pt>
                <c:pt idx="68">
                  <c:v>38.005400000000002</c:v>
                </c:pt>
                <c:pt idx="69">
                  <c:v>37.856200000000001</c:v>
                </c:pt>
                <c:pt idx="70">
                  <c:v>37.6571</c:v>
                </c:pt>
                <c:pt idx="71">
                  <c:v>37.504100000000001</c:v>
                </c:pt>
                <c:pt idx="72">
                  <c:v>37.4041</c:v>
                </c:pt>
                <c:pt idx="73">
                  <c:v>37.3217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2.68581</c:v>
                </c:pt>
                <c:pt idx="1">
                  <c:v>2.6715499999999999</c:v>
                </c:pt>
                <c:pt idx="2">
                  <c:v>2.6595800000000001</c:v>
                </c:pt>
                <c:pt idx="3">
                  <c:v>2.64825</c:v>
                </c:pt>
                <c:pt idx="4">
                  <c:v>2.6380699999999999</c:v>
                </c:pt>
                <c:pt idx="5">
                  <c:v>2.6340599999999998</c:v>
                </c:pt>
                <c:pt idx="6">
                  <c:v>2.63266</c:v>
                </c:pt>
                <c:pt idx="7">
                  <c:v>2.6319500000000002</c:v>
                </c:pt>
                <c:pt idx="8">
                  <c:v>2.6365600000000002</c:v>
                </c:pt>
                <c:pt idx="9">
                  <c:v>2.64635</c:v>
                </c:pt>
                <c:pt idx="10">
                  <c:v>2.6590000000000003</c:v>
                </c:pt>
                <c:pt idx="11">
                  <c:v>2.6730799999999997</c:v>
                </c:pt>
                <c:pt idx="12">
                  <c:v>2.6886199999999998</c:v>
                </c:pt>
                <c:pt idx="13">
                  <c:v>2.7058200000000001</c:v>
                </c:pt>
                <c:pt idx="14">
                  <c:v>2.7265099999999998</c:v>
                </c:pt>
                <c:pt idx="15">
                  <c:v>2.74411</c:v>
                </c:pt>
                <c:pt idx="16">
                  <c:v>2.7600699999999998</c:v>
                </c:pt>
                <c:pt idx="17">
                  <c:v>2.7738800000000001</c:v>
                </c:pt>
                <c:pt idx="18">
                  <c:v>2.7880899999999995</c:v>
                </c:pt>
                <c:pt idx="19">
                  <c:v>2.8044500000000001</c:v>
                </c:pt>
                <c:pt idx="20">
                  <c:v>2.8203</c:v>
                </c:pt>
                <c:pt idx="21">
                  <c:v>2.83304</c:v>
                </c:pt>
                <c:pt idx="22">
                  <c:v>2.8428800000000001</c:v>
                </c:pt>
                <c:pt idx="23">
                  <c:v>2.8492000000000002</c:v>
                </c:pt>
                <c:pt idx="24">
                  <c:v>2.8519600000000001</c:v>
                </c:pt>
                <c:pt idx="25">
                  <c:v>2.8538899999999998</c:v>
                </c:pt>
                <c:pt idx="26">
                  <c:v>2.8574100000000002</c:v>
                </c:pt>
                <c:pt idx="27">
                  <c:v>2.8607</c:v>
                </c:pt>
                <c:pt idx="28">
                  <c:v>2.86435</c:v>
                </c:pt>
                <c:pt idx="29">
                  <c:v>2.8657700000000004</c:v>
                </c:pt>
                <c:pt idx="30">
                  <c:v>2.8671000000000002</c:v>
                </c:pt>
                <c:pt idx="31">
                  <c:v>2.8667100000000003</c:v>
                </c:pt>
                <c:pt idx="32">
                  <c:v>2.8660899999999998</c:v>
                </c:pt>
                <c:pt idx="33">
                  <c:v>2.8645500000000004</c:v>
                </c:pt>
                <c:pt idx="34">
                  <c:v>2.8625099999999999</c:v>
                </c:pt>
                <c:pt idx="35">
                  <c:v>2.8595300000000003</c:v>
                </c:pt>
                <c:pt idx="36">
                  <c:v>2.85765</c:v>
                </c:pt>
                <c:pt idx="37">
                  <c:v>2.8564800000000004</c:v>
                </c:pt>
                <c:pt idx="38">
                  <c:v>2.8554600000000003</c:v>
                </c:pt>
                <c:pt idx="39">
                  <c:v>2.8528099999999998</c:v>
                </c:pt>
                <c:pt idx="40">
                  <c:v>2.8550800000000001</c:v>
                </c:pt>
                <c:pt idx="41">
                  <c:v>2.8589199999999999</c:v>
                </c:pt>
                <c:pt idx="42">
                  <c:v>2.8633999999999999</c:v>
                </c:pt>
                <c:pt idx="43">
                  <c:v>2.86883</c:v>
                </c:pt>
                <c:pt idx="44">
                  <c:v>2.8701300000000001</c:v>
                </c:pt>
                <c:pt idx="45">
                  <c:v>2.8681899999999998</c:v>
                </c:pt>
                <c:pt idx="46">
                  <c:v>2.8693</c:v>
                </c:pt>
                <c:pt idx="47">
                  <c:v>2.8702699999999997</c:v>
                </c:pt>
                <c:pt idx="48">
                  <c:v>2.8708</c:v>
                </c:pt>
                <c:pt idx="49">
                  <c:v>2.87554</c:v>
                </c:pt>
                <c:pt idx="50">
                  <c:v>2.87941</c:v>
                </c:pt>
                <c:pt idx="51">
                  <c:v>2.8824699999999996</c:v>
                </c:pt>
                <c:pt idx="52">
                  <c:v>2.8854000000000002</c:v>
                </c:pt>
                <c:pt idx="53">
                  <c:v>2.8879300000000003</c:v>
                </c:pt>
                <c:pt idx="54">
                  <c:v>2.8916399999999998</c:v>
                </c:pt>
                <c:pt idx="55">
                  <c:v>2.8949699999999998</c:v>
                </c:pt>
                <c:pt idx="56">
                  <c:v>2.8990800000000001</c:v>
                </c:pt>
                <c:pt idx="57">
                  <c:v>2.90367</c:v>
                </c:pt>
                <c:pt idx="58">
                  <c:v>2.9068399999999999</c:v>
                </c:pt>
                <c:pt idx="59">
                  <c:v>2.9103000000000003</c:v>
                </c:pt>
                <c:pt idx="60">
                  <c:v>2.9140100000000002</c:v>
                </c:pt>
                <c:pt idx="61">
                  <c:v>2.9178100000000002</c:v>
                </c:pt>
                <c:pt idx="62">
                  <c:v>2.9194300000000002</c:v>
                </c:pt>
                <c:pt idx="63">
                  <c:v>2.9203800000000002</c:v>
                </c:pt>
                <c:pt idx="64">
                  <c:v>2.9204400000000001</c:v>
                </c:pt>
                <c:pt idx="65">
                  <c:v>2.91479</c:v>
                </c:pt>
                <c:pt idx="66">
                  <c:v>2.9058000000000002</c:v>
                </c:pt>
                <c:pt idx="67">
                  <c:v>2.8974100000000003</c:v>
                </c:pt>
                <c:pt idx="68">
                  <c:v>2.8838799999999996</c:v>
                </c:pt>
                <c:pt idx="69">
                  <c:v>2.87439</c:v>
                </c:pt>
                <c:pt idx="70">
                  <c:v>2.8721000000000001</c:v>
                </c:pt>
                <c:pt idx="71">
                  <c:v>2.8589199999999999</c:v>
                </c:pt>
                <c:pt idx="72">
                  <c:v>2.8536000000000001</c:v>
                </c:pt>
                <c:pt idx="73">
                  <c:v>2.85778</c:v>
                </c:pt>
                <c:pt idx="74">
                  <c:v>2.84823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37.3217</c:v>
                </c:pt>
                <c:pt idx="1">
                  <c:v>37.2331</c:v>
                </c:pt>
                <c:pt idx="2">
                  <c:v>37.0899</c:v>
                </c:pt>
                <c:pt idx="3">
                  <c:v>36.976100000000002</c:v>
                </c:pt>
                <c:pt idx="4">
                  <c:v>36.815399999999997</c:v>
                </c:pt>
                <c:pt idx="5">
                  <c:v>36.596800000000002</c:v>
                </c:pt>
                <c:pt idx="6">
                  <c:v>36.337299999999999</c:v>
                </c:pt>
                <c:pt idx="7">
                  <c:v>36.0625</c:v>
                </c:pt>
                <c:pt idx="8">
                  <c:v>35.616300000000003</c:v>
                </c:pt>
                <c:pt idx="9">
                  <c:v>35.051400000000001</c:v>
                </c:pt>
                <c:pt idx="10">
                  <c:v>34.36</c:v>
                </c:pt>
                <c:pt idx="11">
                  <c:v>33.701100000000004</c:v>
                </c:pt>
                <c:pt idx="12">
                  <c:v>33.055900000000001</c:v>
                </c:pt>
                <c:pt idx="13">
                  <c:v>32.386099999999999</c:v>
                </c:pt>
                <c:pt idx="14">
                  <c:v>31.669399999999996</c:v>
                </c:pt>
                <c:pt idx="15">
                  <c:v>30.992999999999999</c:v>
                </c:pt>
                <c:pt idx="16">
                  <c:v>30.362400000000001</c:v>
                </c:pt>
                <c:pt idx="17">
                  <c:v>29.820999999999998</c:v>
                </c:pt>
                <c:pt idx="18">
                  <c:v>29.319699999999997</c:v>
                </c:pt>
                <c:pt idx="19">
                  <c:v>28.841799999999999</c:v>
                </c:pt>
                <c:pt idx="20">
                  <c:v>28.372500000000002</c:v>
                </c:pt>
                <c:pt idx="21">
                  <c:v>27.966800000000003</c:v>
                </c:pt>
                <c:pt idx="22">
                  <c:v>27.648099999999999</c:v>
                </c:pt>
                <c:pt idx="23">
                  <c:v>27.336500000000001</c:v>
                </c:pt>
                <c:pt idx="24">
                  <c:v>27.084099999999999</c:v>
                </c:pt>
                <c:pt idx="25">
                  <c:v>26.816600000000001</c:v>
                </c:pt>
                <c:pt idx="26">
                  <c:v>26.500600000000002</c:v>
                </c:pt>
                <c:pt idx="27">
                  <c:v>26.186799999999998</c:v>
                </c:pt>
                <c:pt idx="28">
                  <c:v>25.857299999999999</c:v>
                </c:pt>
                <c:pt idx="29">
                  <c:v>25.5579</c:v>
                </c:pt>
                <c:pt idx="30">
                  <c:v>25.220500000000001</c:v>
                </c:pt>
                <c:pt idx="31">
                  <c:v>24.9344</c:v>
                </c:pt>
                <c:pt idx="32">
                  <c:v>24.669699999999999</c:v>
                </c:pt>
                <c:pt idx="33">
                  <c:v>24.421599999999998</c:v>
                </c:pt>
                <c:pt idx="34">
                  <c:v>24.15</c:v>
                </c:pt>
                <c:pt idx="35">
                  <c:v>23.9604</c:v>
                </c:pt>
                <c:pt idx="36">
                  <c:v>23.790099999999999</c:v>
                </c:pt>
                <c:pt idx="37">
                  <c:v>23.5991</c:v>
                </c:pt>
                <c:pt idx="38">
                  <c:v>23.443899999999999</c:v>
                </c:pt>
                <c:pt idx="39">
                  <c:v>23.339199999999998</c:v>
                </c:pt>
                <c:pt idx="40">
                  <c:v>23.311699999999998</c:v>
                </c:pt>
                <c:pt idx="41">
                  <c:v>23.263000000000002</c:v>
                </c:pt>
                <c:pt idx="42">
                  <c:v>23.174800000000001</c:v>
                </c:pt>
                <c:pt idx="43">
                  <c:v>23.033899999999999</c:v>
                </c:pt>
                <c:pt idx="44">
                  <c:v>22.931899999999999</c:v>
                </c:pt>
                <c:pt idx="45">
                  <c:v>22.854600000000001</c:v>
                </c:pt>
                <c:pt idx="46">
                  <c:v>22.702100000000002</c:v>
                </c:pt>
                <c:pt idx="47">
                  <c:v>22.552299999999999</c:v>
                </c:pt>
                <c:pt idx="48">
                  <c:v>22.475999999999999</c:v>
                </c:pt>
                <c:pt idx="49">
                  <c:v>22.366399999999999</c:v>
                </c:pt>
                <c:pt idx="50">
                  <c:v>22.313500000000001</c:v>
                </c:pt>
                <c:pt idx="51">
                  <c:v>22.231200000000001</c:v>
                </c:pt>
                <c:pt idx="52">
                  <c:v>22.159699999999997</c:v>
                </c:pt>
                <c:pt idx="53">
                  <c:v>22.088000000000001</c:v>
                </c:pt>
                <c:pt idx="54">
                  <c:v>22.028300000000002</c:v>
                </c:pt>
                <c:pt idx="55">
                  <c:v>22.0029</c:v>
                </c:pt>
                <c:pt idx="56">
                  <c:v>21.934899999999999</c:v>
                </c:pt>
                <c:pt idx="57">
                  <c:v>21.8339</c:v>
                </c:pt>
                <c:pt idx="58">
                  <c:v>21.770999999999997</c:v>
                </c:pt>
                <c:pt idx="59">
                  <c:v>21.793199999999999</c:v>
                </c:pt>
                <c:pt idx="60">
                  <c:v>21.838699999999999</c:v>
                </c:pt>
                <c:pt idx="61">
                  <c:v>21.878800000000002</c:v>
                </c:pt>
                <c:pt idx="62">
                  <c:v>21.984500000000001</c:v>
                </c:pt>
                <c:pt idx="63">
                  <c:v>22.058499999999999</c:v>
                </c:pt>
                <c:pt idx="64">
                  <c:v>22.170999999999999</c:v>
                </c:pt>
                <c:pt idx="65">
                  <c:v>22.182700000000001</c:v>
                </c:pt>
                <c:pt idx="66">
                  <c:v>22.2667</c:v>
                </c:pt>
                <c:pt idx="67">
                  <c:v>22.317400000000003</c:v>
                </c:pt>
                <c:pt idx="68">
                  <c:v>22.5168</c:v>
                </c:pt>
                <c:pt idx="69">
                  <c:v>22.631499999999999</c:v>
                </c:pt>
                <c:pt idx="70">
                  <c:v>22.6617</c:v>
                </c:pt>
                <c:pt idx="71">
                  <c:v>23.043500000000002</c:v>
                </c:pt>
                <c:pt idx="72">
                  <c:v>23.459599999999998</c:v>
                </c:pt>
                <c:pt idx="73">
                  <c:v>23.573699999999999</c:v>
                </c:pt>
                <c:pt idx="74">
                  <c:v>23.9588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3.0152786486486494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37.328085135135133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2.8270566216216215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26.223141891891899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2.8270566216216215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26.223141891891899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0.35153024592573512</c:v>
                </c:pt>
                <c:pt idx="1">
                  <c:v>0.23851129018701492</c:v>
                </c:pt>
                <c:pt idx="2">
                  <c:v>0.40995846388724994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0.40791699999999997</c:v>
                </c:pt>
                <c:pt idx="2">
                  <c:v>0.81150699999999998</c:v>
                </c:pt>
                <c:pt idx="3">
                  <c:v>1.2148300000000001</c:v>
                </c:pt>
                <c:pt idx="4">
                  <c:v>1.62164</c:v>
                </c:pt>
                <c:pt idx="5">
                  <c:v>2.0315799999999999</c:v>
                </c:pt>
                <c:pt idx="6">
                  <c:v>2.4354900000000002</c:v>
                </c:pt>
                <c:pt idx="7">
                  <c:v>2.8409200000000001</c:v>
                </c:pt>
                <c:pt idx="8">
                  <c:v>3.2503500000000001</c:v>
                </c:pt>
                <c:pt idx="9">
                  <c:v>3.6562199999999998</c:v>
                </c:pt>
                <c:pt idx="10">
                  <c:v>4.06419</c:v>
                </c:pt>
                <c:pt idx="11">
                  <c:v>4.4682199999999996</c:v>
                </c:pt>
                <c:pt idx="12">
                  <c:v>4.8730200000000004</c:v>
                </c:pt>
                <c:pt idx="13">
                  <c:v>5.27902</c:v>
                </c:pt>
                <c:pt idx="14">
                  <c:v>5.6898</c:v>
                </c:pt>
                <c:pt idx="15">
                  <c:v>6.0964099999999997</c:v>
                </c:pt>
                <c:pt idx="16">
                  <c:v>6.4996499999999999</c:v>
                </c:pt>
                <c:pt idx="17">
                  <c:v>6.9036799999999996</c:v>
                </c:pt>
                <c:pt idx="18">
                  <c:v>7.3105399999999996</c:v>
                </c:pt>
                <c:pt idx="19">
                  <c:v>7.71936</c:v>
                </c:pt>
                <c:pt idx="20">
                  <c:v>8.1242699999999992</c:v>
                </c:pt>
                <c:pt idx="21">
                  <c:v>8.5322099999999992</c:v>
                </c:pt>
                <c:pt idx="22">
                  <c:v>8.9371500000000008</c:v>
                </c:pt>
                <c:pt idx="23">
                  <c:v>9.3422499999999999</c:v>
                </c:pt>
                <c:pt idx="24">
                  <c:v>9.7549600000000005</c:v>
                </c:pt>
                <c:pt idx="25">
                  <c:v>10.1579</c:v>
                </c:pt>
                <c:pt idx="26">
                  <c:v>10.5639</c:v>
                </c:pt>
                <c:pt idx="27">
                  <c:v>10.968</c:v>
                </c:pt>
                <c:pt idx="28">
                  <c:v>11.374700000000001</c:v>
                </c:pt>
                <c:pt idx="29">
                  <c:v>11.782500000000001</c:v>
                </c:pt>
                <c:pt idx="30">
                  <c:v>12.1884</c:v>
                </c:pt>
                <c:pt idx="31">
                  <c:v>12.5943</c:v>
                </c:pt>
                <c:pt idx="32">
                  <c:v>12.9983</c:v>
                </c:pt>
                <c:pt idx="33">
                  <c:v>13.407400000000001</c:v>
                </c:pt>
                <c:pt idx="34">
                  <c:v>13.811199999999999</c:v>
                </c:pt>
                <c:pt idx="35">
                  <c:v>14.219099999999999</c:v>
                </c:pt>
                <c:pt idx="36">
                  <c:v>14.6259</c:v>
                </c:pt>
                <c:pt idx="37">
                  <c:v>15.0299</c:v>
                </c:pt>
                <c:pt idx="38">
                  <c:v>15.4358</c:v>
                </c:pt>
                <c:pt idx="39">
                  <c:v>15.842700000000001</c:v>
                </c:pt>
                <c:pt idx="40">
                  <c:v>16.2517</c:v>
                </c:pt>
                <c:pt idx="41">
                  <c:v>16.6585</c:v>
                </c:pt>
                <c:pt idx="42">
                  <c:v>17.061399999999999</c:v>
                </c:pt>
                <c:pt idx="43">
                  <c:v>17.468399999999999</c:v>
                </c:pt>
                <c:pt idx="44">
                  <c:v>17.871300000000002</c:v>
                </c:pt>
                <c:pt idx="45">
                  <c:v>18.280200000000001</c:v>
                </c:pt>
                <c:pt idx="46">
                  <c:v>18.6873</c:v>
                </c:pt>
                <c:pt idx="47">
                  <c:v>19.093</c:v>
                </c:pt>
                <c:pt idx="48">
                  <c:v>19.501300000000001</c:v>
                </c:pt>
                <c:pt idx="49">
                  <c:v>19.9069</c:v>
                </c:pt>
                <c:pt idx="50">
                  <c:v>20.310700000000001</c:v>
                </c:pt>
                <c:pt idx="51">
                  <c:v>20.716699999999999</c:v>
                </c:pt>
                <c:pt idx="52">
                  <c:v>21.124600000000001</c:v>
                </c:pt>
                <c:pt idx="53">
                  <c:v>21.532499999999999</c:v>
                </c:pt>
                <c:pt idx="54">
                  <c:v>21.941400000000002</c:v>
                </c:pt>
                <c:pt idx="55">
                  <c:v>22.343399999999999</c:v>
                </c:pt>
                <c:pt idx="56">
                  <c:v>22.748200000000001</c:v>
                </c:pt>
                <c:pt idx="57">
                  <c:v>23.154599999999999</c:v>
                </c:pt>
                <c:pt idx="58">
                  <c:v>23.565200000000001</c:v>
                </c:pt>
                <c:pt idx="59">
                  <c:v>23.97</c:v>
                </c:pt>
                <c:pt idx="60">
                  <c:v>24.3749</c:v>
                </c:pt>
                <c:pt idx="61">
                  <c:v>24.779800000000002</c:v>
                </c:pt>
                <c:pt idx="62">
                  <c:v>25.1859</c:v>
                </c:pt>
                <c:pt idx="63">
                  <c:v>25.596599999999999</c:v>
                </c:pt>
                <c:pt idx="64">
                  <c:v>26.0016</c:v>
                </c:pt>
                <c:pt idx="65">
                  <c:v>26.406500000000001</c:v>
                </c:pt>
                <c:pt idx="66">
                  <c:v>26.810400000000001</c:v>
                </c:pt>
                <c:pt idx="67">
                  <c:v>27.223299999999998</c:v>
                </c:pt>
                <c:pt idx="68">
                  <c:v>27.626200000000001</c:v>
                </c:pt>
                <c:pt idx="69">
                  <c:v>28.033100000000001</c:v>
                </c:pt>
                <c:pt idx="70">
                  <c:v>28.436299999999999</c:v>
                </c:pt>
                <c:pt idx="71">
                  <c:v>28.841000000000001</c:v>
                </c:pt>
                <c:pt idx="72">
                  <c:v>29.2499</c:v>
                </c:pt>
                <c:pt idx="73">
                  <c:v>29.6539</c:v>
                </c:pt>
                <c:pt idx="74">
                  <c:v>30.061699999999998</c:v>
                </c:pt>
                <c:pt idx="75">
                  <c:v>30.468599999999999</c:v>
                </c:pt>
                <c:pt idx="76">
                  <c:v>30.872499999999999</c:v>
                </c:pt>
                <c:pt idx="77">
                  <c:v>31.2807</c:v>
                </c:pt>
                <c:pt idx="78">
                  <c:v>31.688300000000002</c:v>
                </c:pt>
                <c:pt idx="79">
                  <c:v>32.097200000000001</c:v>
                </c:pt>
                <c:pt idx="80">
                  <c:v>32.5015</c:v>
                </c:pt>
                <c:pt idx="81">
                  <c:v>32.905099999999997</c:v>
                </c:pt>
                <c:pt idx="82">
                  <c:v>33.308999999999997</c:v>
                </c:pt>
                <c:pt idx="83">
                  <c:v>33.7151</c:v>
                </c:pt>
                <c:pt idx="84">
                  <c:v>34.121699999999997</c:v>
                </c:pt>
                <c:pt idx="85">
                  <c:v>34.531700000000001</c:v>
                </c:pt>
                <c:pt idx="86">
                  <c:v>34.935099999999998</c:v>
                </c:pt>
                <c:pt idx="87">
                  <c:v>35.345500000000001</c:v>
                </c:pt>
                <c:pt idx="88">
                  <c:v>35.749499999999998</c:v>
                </c:pt>
                <c:pt idx="89">
                  <c:v>36.1554</c:v>
                </c:pt>
                <c:pt idx="90">
                  <c:v>36.561500000000002</c:v>
                </c:pt>
                <c:pt idx="91">
                  <c:v>36.968400000000003</c:v>
                </c:pt>
                <c:pt idx="92">
                  <c:v>37.376100000000001</c:v>
                </c:pt>
                <c:pt idx="93">
                  <c:v>37.783000000000001</c:v>
                </c:pt>
                <c:pt idx="94">
                  <c:v>38.184199999999997</c:v>
                </c:pt>
                <c:pt idx="95">
                  <c:v>38.592100000000002</c:v>
                </c:pt>
                <c:pt idx="96">
                  <c:v>39.002200000000002</c:v>
                </c:pt>
                <c:pt idx="97">
                  <c:v>39.407699999999998</c:v>
                </c:pt>
                <c:pt idx="98">
                  <c:v>39.813800000000001</c:v>
                </c:pt>
                <c:pt idx="99">
                  <c:v>40.2194</c:v>
                </c:pt>
                <c:pt idx="100">
                  <c:v>40.6265</c:v>
                </c:pt>
                <c:pt idx="101">
                  <c:v>41.034799999999997</c:v>
                </c:pt>
                <c:pt idx="102">
                  <c:v>41.4375</c:v>
                </c:pt>
                <c:pt idx="103">
                  <c:v>41.844299999999997</c:v>
                </c:pt>
                <c:pt idx="104">
                  <c:v>42.247199999999999</c:v>
                </c:pt>
                <c:pt idx="105">
                  <c:v>42.653100000000002</c:v>
                </c:pt>
                <c:pt idx="106">
                  <c:v>43.062100000000001</c:v>
                </c:pt>
                <c:pt idx="107">
                  <c:v>43.466799999999999</c:v>
                </c:pt>
                <c:pt idx="108">
                  <c:v>43.874899999999997</c:v>
                </c:pt>
                <c:pt idx="109">
                  <c:v>44.277799999999999</c:v>
                </c:pt>
                <c:pt idx="110">
                  <c:v>44.689</c:v>
                </c:pt>
                <c:pt idx="111">
                  <c:v>45.090600000000002</c:v>
                </c:pt>
                <c:pt idx="112">
                  <c:v>45.500500000000002</c:v>
                </c:pt>
                <c:pt idx="113">
                  <c:v>45.908299999999997</c:v>
                </c:pt>
                <c:pt idx="114">
                  <c:v>46.308300000000003</c:v>
                </c:pt>
                <c:pt idx="115">
                  <c:v>46.716200000000001</c:v>
                </c:pt>
                <c:pt idx="116">
                  <c:v>47.1282</c:v>
                </c:pt>
                <c:pt idx="117">
                  <c:v>47.533099999999997</c:v>
                </c:pt>
                <c:pt idx="118">
                  <c:v>47.936900000000001</c:v>
                </c:pt>
                <c:pt idx="119">
                  <c:v>48.341000000000001</c:v>
                </c:pt>
                <c:pt idx="120">
                  <c:v>48.7468</c:v>
                </c:pt>
                <c:pt idx="121">
                  <c:v>49.155700000000003</c:v>
                </c:pt>
                <c:pt idx="122">
                  <c:v>49.564599999999999</c:v>
                </c:pt>
                <c:pt idx="123">
                  <c:v>49.970500000000001</c:v>
                </c:pt>
                <c:pt idx="124">
                  <c:v>50.376399999999997</c:v>
                </c:pt>
                <c:pt idx="125">
                  <c:v>50.781599999999997</c:v>
                </c:pt>
                <c:pt idx="126">
                  <c:v>51.188200000000002</c:v>
                </c:pt>
                <c:pt idx="127">
                  <c:v>51.591200000000001</c:v>
                </c:pt>
                <c:pt idx="128">
                  <c:v>51.999200000000002</c:v>
                </c:pt>
                <c:pt idx="129">
                  <c:v>52.406999999999996</c:v>
                </c:pt>
                <c:pt idx="130">
                  <c:v>52.8108</c:v>
                </c:pt>
                <c:pt idx="131">
                  <c:v>53.219799999999999</c:v>
                </c:pt>
                <c:pt idx="132">
                  <c:v>53.623800000000003</c:v>
                </c:pt>
                <c:pt idx="133">
                  <c:v>54.028500000000001</c:v>
                </c:pt>
                <c:pt idx="134">
                  <c:v>54.435600000000001</c:v>
                </c:pt>
                <c:pt idx="135">
                  <c:v>54.8444</c:v>
                </c:pt>
                <c:pt idx="136">
                  <c:v>55.250300000000003</c:v>
                </c:pt>
                <c:pt idx="137">
                  <c:v>55.656300000000002</c:v>
                </c:pt>
                <c:pt idx="138">
                  <c:v>56.059100000000001</c:v>
                </c:pt>
                <c:pt idx="139">
                  <c:v>56.466999999999999</c:v>
                </c:pt>
                <c:pt idx="140">
                  <c:v>56.875999999999998</c:v>
                </c:pt>
                <c:pt idx="141">
                  <c:v>57.279000000000003</c:v>
                </c:pt>
                <c:pt idx="142">
                  <c:v>57.6858</c:v>
                </c:pt>
                <c:pt idx="143">
                  <c:v>58.090699999999998</c:v>
                </c:pt>
                <c:pt idx="144">
                  <c:v>58.502699999999997</c:v>
                </c:pt>
                <c:pt idx="145">
                  <c:v>58.907600000000002</c:v>
                </c:pt>
                <c:pt idx="146">
                  <c:v>59.313600000000001</c:v>
                </c:pt>
                <c:pt idx="147">
                  <c:v>59.720399999999998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2.6777199999999999</c:v>
                </c:pt>
                <c:pt idx="1">
                  <c:v>2.7400899999999999</c:v>
                </c:pt>
                <c:pt idx="2">
                  <c:v>2.8002599999999997</c:v>
                </c:pt>
                <c:pt idx="3">
                  <c:v>2.86191</c:v>
                </c:pt>
                <c:pt idx="4">
                  <c:v>2.9226400000000003</c:v>
                </c:pt>
                <c:pt idx="5">
                  <c:v>2.97993</c:v>
                </c:pt>
                <c:pt idx="6">
                  <c:v>3.0345599999999999</c:v>
                </c:pt>
                <c:pt idx="7">
                  <c:v>3.0868099999999998</c:v>
                </c:pt>
                <c:pt idx="8">
                  <c:v>3.13348</c:v>
                </c:pt>
                <c:pt idx="9">
                  <c:v>3.1749200000000002</c:v>
                </c:pt>
                <c:pt idx="10">
                  <c:v>3.2095500000000001</c:v>
                </c:pt>
                <c:pt idx="11">
                  <c:v>3.23813</c:v>
                </c:pt>
                <c:pt idx="12">
                  <c:v>3.2614799999999997</c:v>
                </c:pt>
                <c:pt idx="13">
                  <c:v>3.28172</c:v>
                </c:pt>
                <c:pt idx="14">
                  <c:v>3.2996699999999999</c:v>
                </c:pt>
                <c:pt idx="15">
                  <c:v>3.31487</c:v>
                </c:pt>
                <c:pt idx="16">
                  <c:v>3.3266400000000003</c:v>
                </c:pt>
                <c:pt idx="17">
                  <c:v>3.3354900000000001</c:v>
                </c:pt>
                <c:pt idx="18">
                  <c:v>3.3426099999999996</c:v>
                </c:pt>
                <c:pt idx="19">
                  <c:v>3.3444099999999999</c:v>
                </c:pt>
                <c:pt idx="20">
                  <c:v>3.3419500000000002</c:v>
                </c:pt>
                <c:pt idx="21">
                  <c:v>3.3356500000000002</c:v>
                </c:pt>
                <c:pt idx="22">
                  <c:v>3.3278600000000003</c:v>
                </c:pt>
                <c:pt idx="23">
                  <c:v>3.31934</c:v>
                </c:pt>
                <c:pt idx="24">
                  <c:v>3.3101599999999998</c:v>
                </c:pt>
                <c:pt idx="25">
                  <c:v>3.2974100000000002</c:v>
                </c:pt>
                <c:pt idx="26">
                  <c:v>3.2803399999999998</c:v>
                </c:pt>
                <c:pt idx="27">
                  <c:v>3.2599200000000002</c:v>
                </c:pt>
                <c:pt idx="28">
                  <c:v>3.23454</c:v>
                </c:pt>
                <c:pt idx="29">
                  <c:v>3.20723</c:v>
                </c:pt>
                <c:pt idx="30">
                  <c:v>3.1804600000000001</c:v>
                </c:pt>
                <c:pt idx="31">
                  <c:v>3.1540800000000004</c:v>
                </c:pt>
                <c:pt idx="32">
                  <c:v>3.1286300000000002</c:v>
                </c:pt>
                <c:pt idx="33">
                  <c:v>3.1051899999999999</c:v>
                </c:pt>
                <c:pt idx="34">
                  <c:v>3.08317</c:v>
                </c:pt>
                <c:pt idx="35">
                  <c:v>3.0647000000000002</c:v>
                </c:pt>
                <c:pt idx="36">
                  <c:v>3.04765</c:v>
                </c:pt>
                <c:pt idx="37">
                  <c:v>3.0318399999999999</c:v>
                </c:pt>
                <c:pt idx="38">
                  <c:v>3.0156800000000001</c:v>
                </c:pt>
                <c:pt idx="39">
                  <c:v>3.0013899999999998</c:v>
                </c:pt>
                <c:pt idx="40">
                  <c:v>2.98712</c:v>
                </c:pt>
                <c:pt idx="41">
                  <c:v>2.9743999999999997</c:v>
                </c:pt>
                <c:pt idx="42">
                  <c:v>2.9611900000000002</c:v>
                </c:pt>
                <c:pt idx="43">
                  <c:v>2.9476200000000001</c:v>
                </c:pt>
                <c:pt idx="44">
                  <c:v>2.9336800000000003</c:v>
                </c:pt>
                <c:pt idx="45">
                  <c:v>2.9195199999999999</c:v>
                </c:pt>
                <c:pt idx="46">
                  <c:v>2.9101100000000004</c:v>
                </c:pt>
                <c:pt idx="47">
                  <c:v>2.9062999999999999</c:v>
                </c:pt>
                <c:pt idx="48">
                  <c:v>2.9037099999999998</c:v>
                </c:pt>
                <c:pt idx="49">
                  <c:v>2.9008699999999998</c:v>
                </c:pt>
                <c:pt idx="50">
                  <c:v>2.8987499999999997</c:v>
                </c:pt>
                <c:pt idx="51">
                  <c:v>2.8995100000000003</c:v>
                </c:pt>
                <c:pt idx="52">
                  <c:v>2.9026100000000001</c:v>
                </c:pt>
                <c:pt idx="53">
                  <c:v>2.90333</c:v>
                </c:pt>
                <c:pt idx="54">
                  <c:v>2.9035600000000001</c:v>
                </c:pt>
                <c:pt idx="55">
                  <c:v>2.9027700000000003</c:v>
                </c:pt>
                <c:pt idx="56">
                  <c:v>2.8986800000000001</c:v>
                </c:pt>
                <c:pt idx="57">
                  <c:v>2.8905500000000002</c:v>
                </c:pt>
                <c:pt idx="58">
                  <c:v>2.8812500000000001</c:v>
                </c:pt>
                <c:pt idx="59">
                  <c:v>2.8693499999999998</c:v>
                </c:pt>
                <c:pt idx="60">
                  <c:v>2.8560600000000003</c:v>
                </c:pt>
                <c:pt idx="61">
                  <c:v>2.84165</c:v>
                </c:pt>
                <c:pt idx="62">
                  <c:v>2.82674</c:v>
                </c:pt>
                <c:pt idx="63">
                  <c:v>2.8122699999999998</c:v>
                </c:pt>
                <c:pt idx="64">
                  <c:v>2.7973300000000001</c:v>
                </c:pt>
                <c:pt idx="65">
                  <c:v>2.78376</c:v>
                </c:pt>
                <c:pt idx="66">
                  <c:v>2.7692499999999995</c:v>
                </c:pt>
                <c:pt idx="67">
                  <c:v>2.7546900000000001</c:v>
                </c:pt>
                <c:pt idx="68">
                  <c:v>2.7422300000000002</c:v>
                </c:pt>
                <c:pt idx="69">
                  <c:v>2.7325899999999996</c:v>
                </c:pt>
                <c:pt idx="70">
                  <c:v>2.7239900000000001</c:v>
                </c:pt>
                <c:pt idx="71">
                  <c:v>2.7146300000000001</c:v>
                </c:pt>
                <c:pt idx="72">
                  <c:v>2.7006599999999996</c:v>
                </c:pt>
                <c:pt idx="73">
                  <c:v>2.68581</c:v>
                </c:pt>
                <c:pt idx="74">
                  <c:v>2.6715499999999999</c:v>
                </c:pt>
                <c:pt idx="75">
                  <c:v>2.6595800000000001</c:v>
                </c:pt>
                <c:pt idx="76">
                  <c:v>2.64825</c:v>
                </c:pt>
                <c:pt idx="77">
                  <c:v>2.6380699999999999</c:v>
                </c:pt>
                <c:pt idx="78">
                  <c:v>2.6340599999999998</c:v>
                </c:pt>
                <c:pt idx="79">
                  <c:v>2.63266</c:v>
                </c:pt>
                <c:pt idx="80">
                  <c:v>2.6319500000000002</c:v>
                </c:pt>
                <c:pt idx="81">
                  <c:v>2.6365600000000002</c:v>
                </c:pt>
                <c:pt idx="82">
                  <c:v>2.64635</c:v>
                </c:pt>
                <c:pt idx="83">
                  <c:v>2.6590000000000003</c:v>
                </c:pt>
                <c:pt idx="84">
                  <c:v>2.6730799999999997</c:v>
                </c:pt>
                <c:pt idx="85">
                  <c:v>2.6886199999999998</c:v>
                </c:pt>
                <c:pt idx="86">
                  <c:v>2.7058200000000001</c:v>
                </c:pt>
                <c:pt idx="87">
                  <c:v>2.7265099999999998</c:v>
                </c:pt>
                <c:pt idx="88">
                  <c:v>2.74411</c:v>
                </c:pt>
                <c:pt idx="89">
                  <c:v>2.7600699999999998</c:v>
                </c:pt>
                <c:pt idx="90">
                  <c:v>2.7738800000000001</c:v>
                </c:pt>
                <c:pt idx="91">
                  <c:v>2.7880899999999995</c:v>
                </c:pt>
                <c:pt idx="92">
                  <c:v>2.8044500000000001</c:v>
                </c:pt>
                <c:pt idx="93">
                  <c:v>2.8203</c:v>
                </c:pt>
                <c:pt idx="94">
                  <c:v>2.83304</c:v>
                </c:pt>
                <c:pt idx="95">
                  <c:v>2.8428800000000001</c:v>
                </c:pt>
                <c:pt idx="96">
                  <c:v>2.8492000000000002</c:v>
                </c:pt>
                <c:pt idx="97">
                  <c:v>2.8519600000000001</c:v>
                </c:pt>
                <c:pt idx="98">
                  <c:v>2.8538899999999998</c:v>
                </c:pt>
                <c:pt idx="99">
                  <c:v>2.8574100000000002</c:v>
                </c:pt>
                <c:pt idx="100">
                  <c:v>2.8607</c:v>
                </c:pt>
                <c:pt idx="101">
                  <c:v>2.86435</c:v>
                </c:pt>
                <c:pt idx="102">
                  <c:v>2.8657700000000004</c:v>
                </c:pt>
                <c:pt idx="103">
                  <c:v>2.8671000000000002</c:v>
                </c:pt>
                <c:pt idx="104">
                  <c:v>2.8667100000000003</c:v>
                </c:pt>
                <c:pt idx="105">
                  <c:v>2.8660899999999998</c:v>
                </c:pt>
                <c:pt idx="106">
                  <c:v>2.8645500000000004</c:v>
                </c:pt>
                <c:pt idx="107">
                  <c:v>2.8625099999999999</c:v>
                </c:pt>
                <c:pt idx="108">
                  <c:v>2.8595300000000003</c:v>
                </c:pt>
                <c:pt idx="109">
                  <c:v>2.85765</c:v>
                </c:pt>
                <c:pt idx="110">
                  <c:v>2.8564800000000004</c:v>
                </c:pt>
                <c:pt idx="111">
                  <c:v>2.8554600000000003</c:v>
                </c:pt>
                <c:pt idx="112">
                  <c:v>2.8528099999999998</c:v>
                </c:pt>
                <c:pt idx="113">
                  <c:v>2.8550800000000001</c:v>
                </c:pt>
                <c:pt idx="114">
                  <c:v>2.8589199999999999</c:v>
                </c:pt>
                <c:pt idx="115">
                  <c:v>2.8633999999999999</c:v>
                </c:pt>
                <c:pt idx="116">
                  <c:v>2.86883</c:v>
                </c:pt>
                <c:pt idx="117">
                  <c:v>2.8701300000000001</c:v>
                </c:pt>
                <c:pt idx="118">
                  <c:v>2.8681899999999998</c:v>
                </c:pt>
                <c:pt idx="119">
                  <c:v>2.8693</c:v>
                </c:pt>
                <c:pt idx="120">
                  <c:v>2.8702699999999997</c:v>
                </c:pt>
                <c:pt idx="121">
                  <c:v>2.8708</c:v>
                </c:pt>
                <c:pt idx="122">
                  <c:v>2.87554</c:v>
                </c:pt>
                <c:pt idx="123">
                  <c:v>2.87941</c:v>
                </c:pt>
                <c:pt idx="124">
                  <c:v>2.8824699999999996</c:v>
                </c:pt>
                <c:pt idx="125">
                  <c:v>2.8854000000000002</c:v>
                </c:pt>
                <c:pt idx="126">
                  <c:v>2.8879300000000003</c:v>
                </c:pt>
                <c:pt idx="127">
                  <c:v>2.8916399999999998</c:v>
                </c:pt>
                <c:pt idx="128">
                  <c:v>2.8949699999999998</c:v>
                </c:pt>
                <c:pt idx="129">
                  <c:v>2.8990800000000001</c:v>
                </c:pt>
                <c:pt idx="130">
                  <c:v>2.90367</c:v>
                </c:pt>
                <c:pt idx="131">
                  <c:v>2.9068399999999999</c:v>
                </c:pt>
                <c:pt idx="132">
                  <c:v>2.9103000000000003</c:v>
                </c:pt>
                <c:pt idx="133">
                  <c:v>2.9140100000000002</c:v>
                </c:pt>
                <c:pt idx="134">
                  <c:v>2.9178100000000002</c:v>
                </c:pt>
                <c:pt idx="135">
                  <c:v>2.9194300000000002</c:v>
                </c:pt>
                <c:pt idx="136">
                  <c:v>2.9203800000000002</c:v>
                </c:pt>
                <c:pt idx="137">
                  <c:v>2.9204400000000001</c:v>
                </c:pt>
                <c:pt idx="138">
                  <c:v>2.91479</c:v>
                </c:pt>
                <c:pt idx="139">
                  <c:v>2.9058000000000002</c:v>
                </c:pt>
                <c:pt idx="140">
                  <c:v>2.8974100000000003</c:v>
                </c:pt>
                <c:pt idx="141">
                  <c:v>2.8838799999999996</c:v>
                </c:pt>
                <c:pt idx="142">
                  <c:v>2.87439</c:v>
                </c:pt>
                <c:pt idx="143">
                  <c:v>2.8721000000000001</c:v>
                </c:pt>
                <c:pt idx="144">
                  <c:v>2.8589199999999999</c:v>
                </c:pt>
                <c:pt idx="145">
                  <c:v>2.8536000000000001</c:v>
                </c:pt>
                <c:pt idx="146">
                  <c:v>2.85778</c:v>
                </c:pt>
                <c:pt idx="147">
                  <c:v>2.84823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0.40791699999999997</c:v>
                </c:pt>
                <c:pt idx="2">
                  <c:v>0.81150699999999998</c:v>
                </c:pt>
                <c:pt idx="3">
                  <c:v>1.2148300000000001</c:v>
                </c:pt>
                <c:pt idx="4">
                  <c:v>1.62164</c:v>
                </c:pt>
                <c:pt idx="5">
                  <c:v>2.0315799999999999</c:v>
                </c:pt>
                <c:pt idx="6">
                  <c:v>2.4354900000000002</c:v>
                </c:pt>
                <c:pt idx="7">
                  <c:v>2.8409200000000001</c:v>
                </c:pt>
                <c:pt idx="8">
                  <c:v>3.2503500000000001</c:v>
                </c:pt>
                <c:pt idx="9">
                  <c:v>3.6562199999999998</c:v>
                </c:pt>
                <c:pt idx="10">
                  <c:v>4.06419</c:v>
                </c:pt>
                <c:pt idx="11">
                  <c:v>4.4682199999999996</c:v>
                </c:pt>
                <c:pt idx="12">
                  <c:v>4.8730200000000004</c:v>
                </c:pt>
                <c:pt idx="13">
                  <c:v>5.27902</c:v>
                </c:pt>
                <c:pt idx="14">
                  <c:v>5.6898</c:v>
                </c:pt>
                <c:pt idx="15">
                  <c:v>6.0964099999999997</c:v>
                </c:pt>
                <c:pt idx="16">
                  <c:v>6.4996499999999999</c:v>
                </c:pt>
                <c:pt idx="17">
                  <c:v>6.9036799999999996</c:v>
                </c:pt>
                <c:pt idx="18">
                  <c:v>7.3105399999999996</c:v>
                </c:pt>
                <c:pt idx="19">
                  <c:v>7.71936</c:v>
                </c:pt>
                <c:pt idx="20">
                  <c:v>8.1242699999999992</c:v>
                </c:pt>
                <c:pt idx="21">
                  <c:v>8.5322099999999992</c:v>
                </c:pt>
                <c:pt idx="22">
                  <c:v>8.9371500000000008</c:v>
                </c:pt>
                <c:pt idx="23">
                  <c:v>9.3422499999999999</c:v>
                </c:pt>
                <c:pt idx="24">
                  <c:v>9.7549600000000005</c:v>
                </c:pt>
                <c:pt idx="25">
                  <c:v>10.1579</c:v>
                </c:pt>
                <c:pt idx="26">
                  <c:v>10.5639</c:v>
                </c:pt>
                <c:pt idx="27">
                  <c:v>10.968</c:v>
                </c:pt>
                <c:pt idx="28">
                  <c:v>11.374700000000001</c:v>
                </c:pt>
                <c:pt idx="29">
                  <c:v>11.782500000000001</c:v>
                </c:pt>
                <c:pt idx="30">
                  <c:v>12.1884</c:v>
                </c:pt>
                <c:pt idx="31">
                  <c:v>12.5943</c:v>
                </c:pt>
                <c:pt idx="32">
                  <c:v>12.9983</c:v>
                </c:pt>
                <c:pt idx="33">
                  <c:v>13.407400000000001</c:v>
                </c:pt>
                <c:pt idx="34">
                  <c:v>13.811199999999999</c:v>
                </c:pt>
                <c:pt idx="35">
                  <c:v>14.219099999999999</c:v>
                </c:pt>
                <c:pt idx="36">
                  <c:v>14.6259</c:v>
                </c:pt>
                <c:pt idx="37">
                  <c:v>15.0299</c:v>
                </c:pt>
                <c:pt idx="38">
                  <c:v>15.4358</c:v>
                </c:pt>
                <c:pt idx="39">
                  <c:v>15.842700000000001</c:v>
                </c:pt>
                <c:pt idx="40">
                  <c:v>16.2517</c:v>
                </c:pt>
                <c:pt idx="41">
                  <c:v>16.6585</c:v>
                </c:pt>
                <c:pt idx="42">
                  <c:v>17.061399999999999</c:v>
                </c:pt>
                <c:pt idx="43">
                  <c:v>17.468399999999999</c:v>
                </c:pt>
                <c:pt idx="44">
                  <c:v>17.871300000000002</c:v>
                </c:pt>
                <c:pt idx="45">
                  <c:v>18.280200000000001</c:v>
                </c:pt>
                <c:pt idx="46">
                  <c:v>18.6873</c:v>
                </c:pt>
                <c:pt idx="47">
                  <c:v>19.093</c:v>
                </c:pt>
                <c:pt idx="48">
                  <c:v>19.501300000000001</c:v>
                </c:pt>
                <c:pt idx="49">
                  <c:v>19.9069</c:v>
                </c:pt>
                <c:pt idx="50">
                  <c:v>20.310700000000001</c:v>
                </c:pt>
                <c:pt idx="51">
                  <c:v>20.716699999999999</c:v>
                </c:pt>
                <c:pt idx="52">
                  <c:v>21.124600000000001</c:v>
                </c:pt>
                <c:pt idx="53">
                  <c:v>21.532499999999999</c:v>
                </c:pt>
                <c:pt idx="54">
                  <c:v>21.941400000000002</c:v>
                </c:pt>
                <c:pt idx="55">
                  <c:v>22.343399999999999</c:v>
                </c:pt>
                <c:pt idx="56">
                  <c:v>22.748200000000001</c:v>
                </c:pt>
                <c:pt idx="57">
                  <c:v>23.154599999999999</c:v>
                </c:pt>
                <c:pt idx="58">
                  <c:v>23.565200000000001</c:v>
                </c:pt>
                <c:pt idx="59">
                  <c:v>23.97</c:v>
                </c:pt>
                <c:pt idx="60">
                  <c:v>24.3749</c:v>
                </c:pt>
                <c:pt idx="61">
                  <c:v>24.779800000000002</c:v>
                </c:pt>
                <c:pt idx="62">
                  <c:v>25.1859</c:v>
                </c:pt>
                <c:pt idx="63">
                  <c:v>25.596599999999999</c:v>
                </c:pt>
                <c:pt idx="64">
                  <c:v>26.0016</c:v>
                </c:pt>
                <c:pt idx="65">
                  <c:v>26.406500000000001</c:v>
                </c:pt>
                <c:pt idx="66">
                  <c:v>26.810400000000001</c:v>
                </c:pt>
                <c:pt idx="67">
                  <c:v>27.223299999999998</c:v>
                </c:pt>
                <c:pt idx="68">
                  <c:v>27.626200000000001</c:v>
                </c:pt>
                <c:pt idx="69">
                  <c:v>28.033100000000001</c:v>
                </c:pt>
                <c:pt idx="70">
                  <c:v>28.436299999999999</c:v>
                </c:pt>
                <c:pt idx="71">
                  <c:v>28.841000000000001</c:v>
                </c:pt>
                <c:pt idx="72">
                  <c:v>29.2499</c:v>
                </c:pt>
                <c:pt idx="73">
                  <c:v>29.6539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2.6777199999999999</c:v>
                </c:pt>
                <c:pt idx="1">
                  <c:v>2.7400899999999999</c:v>
                </c:pt>
                <c:pt idx="2">
                  <c:v>2.8002599999999997</c:v>
                </c:pt>
                <c:pt idx="3">
                  <c:v>2.86191</c:v>
                </c:pt>
                <c:pt idx="4">
                  <c:v>2.9226400000000003</c:v>
                </c:pt>
                <c:pt idx="5">
                  <c:v>2.97993</c:v>
                </c:pt>
                <c:pt idx="6">
                  <c:v>3.0345599999999999</c:v>
                </c:pt>
                <c:pt idx="7">
                  <c:v>3.0868099999999998</c:v>
                </c:pt>
                <c:pt idx="8">
                  <c:v>3.13348</c:v>
                </c:pt>
                <c:pt idx="9">
                  <c:v>3.1749200000000002</c:v>
                </c:pt>
                <c:pt idx="10">
                  <c:v>3.2095500000000001</c:v>
                </c:pt>
                <c:pt idx="11">
                  <c:v>3.23813</c:v>
                </c:pt>
                <c:pt idx="12">
                  <c:v>3.2614799999999997</c:v>
                </c:pt>
                <c:pt idx="13">
                  <c:v>3.28172</c:v>
                </c:pt>
                <c:pt idx="14">
                  <c:v>3.2996699999999999</c:v>
                </c:pt>
                <c:pt idx="15">
                  <c:v>3.31487</c:v>
                </c:pt>
                <c:pt idx="16">
                  <c:v>3.3266400000000003</c:v>
                </c:pt>
                <c:pt idx="17">
                  <c:v>3.3354900000000001</c:v>
                </c:pt>
                <c:pt idx="18">
                  <c:v>3.3426099999999996</c:v>
                </c:pt>
                <c:pt idx="19">
                  <c:v>3.3444099999999999</c:v>
                </c:pt>
                <c:pt idx="20">
                  <c:v>3.3419500000000002</c:v>
                </c:pt>
                <c:pt idx="21">
                  <c:v>3.3356500000000002</c:v>
                </c:pt>
                <c:pt idx="22">
                  <c:v>3.3278600000000003</c:v>
                </c:pt>
                <c:pt idx="23">
                  <c:v>3.31934</c:v>
                </c:pt>
                <c:pt idx="24">
                  <c:v>3.3101599999999998</c:v>
                </c:pt>
                <c:pt idx="25">
                  <c:v>3.2974100000000002</c:v>
                </c:pt>
                <c:pt idx="26">
                  <c:v>3.2803399999999998</c:v>
                </c:pt>
                <c:pt idx="27">
                  <c:v>3.2599200000000002</c:v>
                </c:pt>
                <c:pt idx="28">
                  <c:v>3.23454</c:v>
                </c:pt>
                <c:pt idx="29">
                  <c:v>3.20723</c:v>
                </c:pt>
                <c:pt idx="30">
                  <c:v>3.1804600000000001</c:v>
                </c:pt>
                <c:pt idx="31">
                  <c:v>3.1540800000000004</c:v>
                </c:pt>
                <c:pt idx="32">
                  <c:v>3.1286300000000002</c:v>
                </c:pt>
                <c:pt idx="33">
                  <c:v>3.1051899999999999</c:v>
                </c:pt>
                <c:pt idx="34">
                  <c:v>3.08317</c:v>
                </c:pt>
                <c:pt idx="35">
                  <c:v>3.0647000000000002</c:v>
                </c:pt>
                <c:pt idx="36">
                  <c:v>3.04765</c:v>
                </c:pt>
                <c:pt idx="37">
                  <c:v>3.0318399999999999</c:v>
                </c:pt>
                <c:pt idx="38">
                  <c:v>3.0156800000000001</c:v>
                </c:pt>
                <c:pt idx="39">
                  <c:v>3.0013899999999998</c:v>
                </c:pt>
                <c:pt idx="40">
                  <c:v>2.98712</c:v>
                </c:pt>
                <c:pt idx="41">
                  <c:v>2.9743999999999997</c:v>
                </c:pt>
                <c:pt idx="42">
                  <c:v>2.9611900000000002</c:v>
                </c:pt>
                <c:pt idx="43">
                  <c:v>2.9476200000000001</c:v>
                </c:pt>
                <c:pt idx="44">
                  <c:v>2.9336800000000003</c:v>
                </c:pt>
                <c:pt idx="45">
                  <c:v>2.9195199999999999</c:v>
                </c:pt>
                <c:pt idx="46">
                  <c:v>2.9101100000000004</c:v>
                </c:pt>
                <c:pt idx="47">
                  <c:v>2.9062999999999999</c:v>
                </c:pt>
                <c:pt idx="48">
                  <c:v>2.9037099999999998</c:v>
                </c:pt>
                <c:pt idx="49">
                  <c:v>2.9008699999999998</c:v>
                </c:pt>
                <c:pt idx="50">
                  <c:v>2.8987499999999997</c:v>
                </c:pt>
                <c:pt idx="51">
                  <c:v>2.8995100000000003</c:v>
                </c:pt>
                <c:pt idx="52">
                  <c:v>2.9026100000000001</c:v>
                </c:pt>
                <c:pt idx="53">
                  <c:v>2.90333</c:v>
                </c:pt>
                <c:pt idx="54">
                  <c:v>2.9035600000000001</c:v>
                </c:pt>
                <c:pt idx="55">
                  <c:v>2.9027700000000003</c:v>
                </c:pt>
                <c:pt idx="56">
                  <c:v>2.8986800000000001</c:v>
                </c:pt>
                <c:pt idx="57">
                  <c:v>2.8905500000000002</c:v>
                </c:pt>
                <c:pt idx="58">
                  <c:v>2.8812500000000001</c:v>
                </c:pt>
                <c:pt idx="59">
                  <c:v>2.8693499999999998</c:v>
                </c:pt>
                <c:pt idx="60">
                  <c:v>2.8560600000000003</c:v>
                </c:pt>
                <c:pt idx="61">
                  <c:v>2.84165</c:v>
                </c:pt>
                <c:pt idx="62">
                  <c:v>2.82674</c:v>
                </c:pt>
                <c:pt idx="63">
                  <c:v>2.8122699999999998</c:v>
                </c:pt>
                <c:pt idx="64">
                  <c:v>2.7973300000000001</c:v>
                </c:pt>
                <c:pt idx="65">
                  <c:v>2.78376</c:v>
                </c:pt>
                <c:pt idx="66">
                  <c:v>2.7692499999999995</c:v>
                </c:pt>
                <c:pt idx="67">
                  <c:v>2.7546900000000001</c:v>
                </c:pt>
                <c:pt idx="68">
                  <c:v>2.7422300000000002</c:v>
                </c:pt>
                <c:pt idx="69">
                  <c:v>2.7325899999999996</c:v>
                </c:pt>
                <c:pt idx="70">
                  <c:v>2.7239900000000001</c:v>
                </c:pt>
                <c:pt idx="71">
                  <c:v>2.7146300000000001</c:v>
                </c:pt>
                <c:pt idx="72">
                  <c:v>2.7006599999999996</c:v>
                </c:pt>
                <c:pt idx="73">
                  <c:v>2.68581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29.6539</c:v>
                </c:pt>
                <c:pt idx="1">
                  <c:v>30.061699999999998</c:v>
                </c:pt>
                <c:pt idx="2">
                  <c:v>30.468599999999999</c:v>
                </c:pt>
                <c:pt idx="3">
                  <c:v>30.872499999999999</c:v>
                </c:pt>
                <c:pt idx="4">
                  <c:v>31.2807</c:v>
                </c:pt>
                <c:pt idx="5">
                  <c:v>31.688300000000002</c:v>
                </c:pt>
                <c:pt idx="6">
                  <c:v>32.097200000000001</c:v>
                </c:pt>
                <c:pt idx="7">
                  <c:v>32.5015</c:v>
                </c:pt>
                <c:pt idx="8">
                  <c:v>32.905099999999997</c:v>
                </c:pt>
                <c:pt idx="9">
                  <c:v>33.308999999999997</c:v>
                </c:pt>
                <c:pt idx="10">
                  <c:v>33.7151</c:v>
                </c:pt>
                <c:pt idx="11">
                  <c:v>34.121699999999997</c:v>
                </c:pt>
                <c:pt idx="12">
                  <c:v>34.531700000000001</c:v>
                </c:pt>
                <c:pt idx="13">
                  <c:v>34.935099999999998</c:v>
                </c:pt>
                <c:pt idx="14">
                  <c:v>35.345500000000001</c:v>
                </c:pt>
                <c:pt idx="15">
                  <c:v>35.749499999999998</c:v>
                </c:pt>
                <c:pt idx="16">
                  <c:v>36.1554</c:v>
                </c:pt>
                <c:pt idx="17">
                  <c:v>36.561500000000002</c:v>
                </c:pt>
                <c:pt idx="18">
                  <c:v>36.968400000000003</c:v>
                </c:pt>
                <c:pt idx="19">
                  <c:v>37.376100000000001</c:v>
                </c:pt>
                <c:pt idx="20">
                  <c:v>37.783000000000001</c:v>
                </c:pt>
                <c:pt idx="21">
                  <c:v>38.184199999999997</c:v>
                </c:pt>
                <c:pt idx="22">
                  <c:v>38.592100000000002</c:v>
                </c:pt>
                <c:pt idx="23">
                  <c:v>39.002200000000002</c:v>
                </c:pt>
                <c:pt idx="24">
                  <c:v>39.407699999999998</c:v>
                </c:pt>
                <c:pt idx="25">
                  <c:v>39.813800000000001</c:v>
                </c:pt>
                <c:pt idx="26">
                  <c:v>40.2194</c:v>
                </c:pt>
                <c:pt idx="27">
                  <c:v>40.6265</c:v>
                </c:pt>
                <c:pt idx="28">
                  <c:v>41.034799999999997</c:v>
                </c:pt>
                <c:pt idx="29">
                  <c:v>41.4375</c:v>
                </c:pt>
                <c:pt idx="30">
                  <c:v>41.844299999999997</c:v>
                </c:pt>
                <c:pt idx="31">
                  <c:v>42.247199999999999</c:v>
                </c:pt>
                <c:pt idx="32">
                  <c:v>42.653100000000002</c:v>
                </c:pt>
                <c:pt idx="33">
                  <c:v>43.062100000000001</c:v>
                </c:pt>
                <c:pt idx="34">
                  <c:v>43.466799999999999</c:v>
                </c:pt>
                <c:pt idx="35">
                  <c:v>43.874899999999997</c:v>
                </c:pt>
                <c:pt idx="36">
                  <c:v>44.277799999999999</c:v>
                </c:pt>
                <c:pt idx="37">
                  <c:v>44.689</c:v>
                </c:pt>
                <c:pt idx="38">
                  <c:v>45.090600000000002</c:v>
                </c:pt>
                <c:pt idx="39">
                  <c:v>45.500500000000002</c:v>
                </c:pt>
                <c:pt idx="40">
                  <c:v>45.908299999999997</c:v>
                </c:pt>
                <c:pt idx="41">
                  <c:v>46.308300000000003</c:v>
                </c:pt>
                <c:pt idx="42">
                  <c:v>46.716200000000001</c:v>
                </c:pt>
                <c:pt idx="43">
                  <c:v>47.1282</c:v>
                </c:pt>
                <c:pt idx="44">
                  <c:v>47.533099999999997</c:v>
                </c:pt>
                <c:pt idx="45">
                  <c:v>47.936900000000001</c:v>
                </c:pt>
                <c:pt idx="46">
                  <c:v>48.341000000000001</c:v>
                </c:pt>
                <c:pt idx="47">
                  <c:v>48.7468</c:v>
                </c:pt>
                <c:pt idx="48">
                  <c:v>49.155700000000003</c:v>
                </c:pt>
                <c:pt idx="49">
                  <c:v>49.564599999999999</c:v>
                </c:pt>
                <c:pt idx="50">
                  <c:v>49.970500000000001</c:v>
                </c:pt>
                <c:pt idx="51">
                  <c:v>50.376399999999997</c:v>
                </c:pt>
                <c:pt idx="52">
                  <c:v>50.781599999999997</c:v>
                </c:pt>
                <c:pt idx="53">
                  <c:v>51.188200000000002</c:v>
                </c:pt>
                <c:pt idx="54">
                  <c:v>51.591200000000001</c:v>
                </c:pt>
                <c:pt idx="55">
                  <c:v>51.999200000000002</c:v>
                </c:pt>
                <c:pt idx="56">
                  <c:v>52.406999999999996</c:v>
                </c:pt>
                <c:pt idx="57">
                  <c:v>52.8108</c:v>
                </c:pt>
                <c:pt idx="58">
                  <c:v>53.219799999999999</c:v>
                </c:pt>
                <c:pt idx="59">
                  <c:v>53.623800000000003</c:v>
                </c:pt>
                <c:pt idx="60">
                  <c:v>54.028500000000001</c:v>
                </c:pt>
                <c:pt idx="61">
                  <c:v>54.435600000000001</c:v>
                </c:pt>
                <c:pt idx="62">
                  <c:v>54.8444</c:v>
                </c:pt>
                <c:pt idx="63">
                  <c:v>55.250300000000003</c:v>
                </c:pt>
                <c:pt idx="64">
                  <c:v>55.656300000000002</c:v>
                </c:pt>
                <c:pt idx="65">
                  <c:v>56.059100000000001</c:v>
                </c:pt>
                <c:pt idx="66">
                  <c:v>56.466999999999999</c:v>
                </c:pt>
                <c:pt idx="67">
                  <c:v>56.875999999999998</c:v>
                </c:pt>
                <c:pt idx="68">
                  <c:v>57.279000000000003</c:v>
                </c:pt>
                <c:pt idx="69">
                  <c:v>57.6858</c:v>
                </c:pt>
                <c:pt idx="70">
                  <c:v>58.090699999999998</c:v>
                </c:pt>
                <c:pt idx="71">
                  <c:v>58.502699999999997</c:v>
                </c:pt>
                <c:pt idx="72">
                  <c:v>58.907600000000002</c:v>
                </c:pt>
                <c:pt idx="73">
                  <c:v>59.313600000000001</c:v>
                </c:pt>
                <c:pt idx="74">
                  <c:v>59.720399999999998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2.68581</c:v>
                </c:pt>
                <c:pt idx="1">
                  <c:v>2.6715499999999999</c:v>
                </c:pt>
                <c:pt idx="2">
                  <c:v>2.6595800000000001</c:v>
                </c:pt>
                <c:pt idx="3">
                  <c:v>2.64825</c:v>
                </c:pt>
                <c:pt idx="4">
                  <c:v>2.6380699999999999</c:v>
                </c:pt>
                <c:pt idx="5">
                  <c:v>2.6340599999999998</c:v>
                </c:pt>
                <c:pt idx="6">
                  <c:v>2.63266</c:v>
                </c:pt>
                <c:pt idx="7">
                  <c:v>2.6319500000000002</c:v>
                </c:pt>
                <c:pt idx="8">
                  <c:v>2.6365600000000002</c:v>
                </c:pt>
                <c:pt idx="9">
                  <c:v>2.64635</c:v>
                </c:pt>
                <c:pt idx="10">
                  <c:v>2.6590000000000003</c:v>
                </c:pt>
                <c:pt idx="11">
                  <c:v>2.6730799999999997</c:v>
                </c:pt>
                <c:pt idx="12">
                  <c:v>2.6886199999999998</c:v>
                </c:pt>
                <c:pt idx="13">
                  <c:v>2.7058200000000001</c:v>
                </c:pt>
                <c:pt idx="14">
                  <c:v>2.7265099999999998</c:v>
                </c:pt>
                <c:pt idx="15">
                  <c:v>2.74411</c:v>
                </c:pt>
                <c:pt idx="16">
                  <c:v>2.7600699999999998</c:v>
                </c:pt>
                <c:pt idx="17">
                  <c:v>2.7738800000000001</c:v>
                </c:pt>
                <c:pt idx="18">
                  <c:v>2.7880899999999995</c:v>
                </c:pt>
                <c:pt idx="19">
                  <c:v>2.8044500000000001</c:v>
                </c:pt>
                <c:pt idx="20">
                  <c:v>2.8203</c:v>
                </c:pt>
                <c:pt idx="21">
                  <c:v>2.83304</c:v>
                </c:pt>
                <c:pt idx="22">
                  <c:v>2.8428800000000001</c:v>
                </c:pt>
                <c:pt idx="23">
                  <c:v>2.8492000000000002</c:v>
                </c:pt>
                <c:pt idx="24">
                  <c:v>2.8519600000000001</c:v>
                </c:pt>
                <c:pt idx="25">
                  <c:v>2.8538899999999998</c:v>
                </c:pt>
                <c:pt idx="26">
                  <c:v>2.8574100000000002</c:v>
                </c:pt>
                <c:pt idx="27">
                  <c:v>2.8607</c:v>
                </c:pt>
                <c:pt idx="28">
                  <c:v>2.86435</c:v>
                </c:pt>
                <c:pt idx="29">
                  <c:v>2.8657700000000004</c:v>
                </c:pt>
                <c:pt idx="30">
                  <c:v>2.8671000000000002</c:v>
                </c:pt>
                <c:pt idx="31">
                  <c:v>2.8667100000000003</c:v>
                </c:pt>
                <c:pt idx="32">
                  <c:v>2.8660899999999998</c:v>
                </c:pt>
                <c:pt idx="33">
                  <c:v>2.8645500000000004</c:v>
                </c:pt>
                <c:pt idx="34">
                  <c:v>2.8625099999999999</c:v>
                </c:pt>
                <c:pt idx="35">
                  <c:v>2.8595300000000003</c:v>
                </c:pt>
                <c:pt idx="36">
                  <c:v>2.85765</c:v>
                </c:pt>
                <c:pt idx="37">
                  <c:v>2.8564800000000004</c:v>
                </c:pt>
                <c:pt idx="38">
                  <c:v>2.8554600000000003</c:v>
                </c:pt>
                <c:pt idx="39">
                  <c:v>2.8528099999999998</c:v>
                </c:pt>
                <c:pt idx="40">
                  <c:v>2.8550800000000001</c:v>
                </c:pt>
                <c:pt idx="41">
                  <c:v>2.8589199999999999</c:v>
                </c:pt>
                <c:pt idx="42">
                  <c:v>2.8633999999999999</c:v>
                </c:pt>
                <c:pt idx="43">
                  <c:v>2.86883</c:v>
                </c:pt>
                <c:pt idx="44">
                  <c:v>2.8701300000000001</c:v>
                </c:pt>
                <c:pt idx="45">
                  <c:v>2.8681899999999998</c:v>
                </c:pt>
                <c:pt idx="46">
                  <c:v>2.8693</c:v>
                </c:pt>
                <c:pt idx="47">
                  <c:v>2.8702699999999997</c:v>
                </c:pt>
                <c:pt idx="48">
                  <c:v>2.8708</c:v>
                </c:pt>
                <c:pt idx="49">
                  <c:v>2.87554</c:v>
                </c:pt>
                <c:pt idx="50">
                  <c:v>2.87941</c:v>
                </c:pt>
                <c:pt idx="51">
                  <c:v>2.8824699999999996</c:v>
                </c:pt>
                <c:pt idx="52">
                  <c:v>2.8854000000000002</c:v>
                </c:pt>
                <c:pt idx="53">
                  <c:v>2.8879300000000003</c:v>
                </c:pt>
                <c:pt idx="54">
                  <c:v>2.8916399999999998</c:v>
                </c:pt>
                <c:pt idx="55">
                  <c:v>2.8949699999999998</c:v>
                </c:pt>
                <c:pt idx="56">
                  <c:v>2.8990800000000001</c:v>
                </c:pt>
                <c:pt idx="57">
                  <c:v>2.90367</c:v>
                </c:pt>
                <c:pt idx="58">
                  <c:v>2.9068399999999999</c:v>
                </c:pt>
                <c:pt idx="59">
                  <c:v>2.9103000000000003</c:v>
                </c:pt>
                <c:pt idx="60">
                  <c:v>2.9140100000000002</c:v>
                </c:pt>
                <c:pt idx="61">
                  <c:v>2.9178100000000002</c:v>
                </c:pt>
                <c:pt idx="62">
                  <c:v>2.9194300000000002</c:v>
                </c:pt>
                <c:pt idx="63">
                  <c:v>2.9203800000000002</c:v>
                </c:pt>
                <c:pt idx="64">
                  <c:v>2.9204400000000001</c:v>
                </c:pt>
                <c:pt idx="65">
                  <c:v>2.91479</c:v>
                </c:pt>
                <c:pt idx="66">
                  <c:v>2.9058000000000002</c:v>
                </c:pt>
                <c:pt idx="67">
                  <c:v>2.8974100000000003</c:v>
                </c:pt>
                <c:pt idx="68">
                  <c:v>2.8838799999999996</c:v>
                </c:pt>
                <c:pt idx="69">
                  <c:v>2.87439</c:v>
                </c:pt>
                <c:pt idx="70">
                  <c:v>2.8721000000000001</c:v>
                </c:pt>
                <c:pt idx="71">
                  <c:v>2.8589199999999999</c:v>
                </c:pt>
                <c:pt idx="72">
                  <c:v>2.8536000000000001</c:v>
                </c:pt>
                <c:pt idx="73">
                  <c:v>2.85778</c:v>
                </c:pt>
                <c:pt idx="74">
                  <c:v>2.84823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14.930099999999999</c:v>
                </c:pt>
                <c:pt idx="1">
                  <c:v>44.790300000000002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3.0152786486486494</c:v>
                </c:pt>
                <c:pt idx="1">
                  <c:v>2.8270566216216215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0.40791699999999997</c:v>
                </c:pt>
                <c:pt idx="2">
                  <c:v>0.81150699999999998</c:v>
                </c:pt>
                <c:pt idx="3">
                  <c:v>1.2148300000000001</c:v>
                </c:pt>
                <c:pt idx="4">
                  <c:v>1.62164</c:v>
                </c:pt>
                <c:pt idx="5">
                  <c:v>2.0315799999999999</c:v>
                </c:pt>
                <c:pt idx="6">
                  <c:v>2.4354900000000002</c:v>
                </c:pt>
                <c:pt idx="7">
                  <c:v>2.8409200000000001</c:v>
                </c:pt>
                <c:pt idx="8">
                  <c:v>3.2503500000000001</c:v>
                </c:pt>
                <c:pt idx="9">
                  <c:v>3.6562199999999998</c:v>
                </c:pt>
                <c:pt idx="10">
                  <c:v>4.06419</c:v>
                </c:pt>
                <c:pt idx="11">
                  <c:v>4.4682199999999996</c:v>
                </c:pt>
                <c:pt idx="12">
                  <c:v>4.8730200000000004</c:v>
                </c:pt>
                <c:pt idx="13">
                  <c:v>5.27902</c:v>
                </c:pt>
                <c:pt idx="14">
                  <c:v>5.6898</c:v>
                </c:pt>
                <c:pt idx="15">
                  <c:v>6.0964099999999997</c:v>
                </c:pt>
                <c:pt idx="16">
                  <c:v>6.4996499999999999</c:v>
                </c:pt>
                <c:pt idx="17">
                  <c:v>6.9036799999999996</c:v>
                </c:pt>
                <c:pt idx="18">
                  <c:v>7.3105399999999996</c:v>
                </c:pt>
                <c:pt idx="19">
                  <c:v>7.71936</c:v>
                </c:pt>
                <c:pt idx="20">
                  <c:v>8.1242699999999992</c:v>
                </c:pt>
                <c:pt idx="21">
                  <c:v>8.5322099999999992</c:v>
                </c:pt>
                <c:pt idx="22">
                  <c:v>8.9371500000000008</c:v>
                </c:pt>
                <c:pt idx="23">
                  <c:v>9.3422499999999999</c:v>
                </c:pt>
                <c:pt idx="24">
                  <c:v>9.7549600000000005</c:v>
                </c:pt>
                <c:pt idx="25">
                  <c:v>10.1579</c:v>
                </c:pt>
                <c:pt idx="26">
                  <c:v>10.5639</c:v>
                </c:pt>
                <c:pt idx="27">
                  <c:v>10.968</c:v>
                </c:pt>
                <c:pt idx="28">
                  <c:v>11.374700000000001</c:v>
                </c:pt>
                <c:pt idx="29">
                  <c:v>11.782500000000001</c:v>
                </c:pt>
                <c:pt idx="30">
                  <c:v>12.1884</c:v>
                </c:pt>
                <c:pt idx="31">
                  <c:v>12.5943</c:v>
                </c:pt>
                <c:pt idx="32">
                  <c:v>12.9983</c:v>
                </c:pt>
                <c:pt idx="33">
                  <c:v>13.407400000000001</c:v>
                </c:pt>
                <c:pt idx="34">
                  <c:v>13.811199999999999</c:v>
                </c:pt>
                <c:pt idx="35">
                  <c:v>14.219099999999999</c:v>
                </c:pt>
                <c:pt idx="36">
                  <c:v>14.6259</c:v>
                </c:pt>
                <c:pt idx="37">
                  <c:v>15.0299</c:v>
                </c:pt>
                <c:pt idx="38">
                  <c:v>15.4358</c:v>
                </c:pt>
                <c:pt idx="39">
                  <c:v>15.842700000000001</c:v>
                </c:pt>
                <c:pt idx="40">
                  <c:v>16.2517</c:v>
                </c:pt>
                <c:pt idx="41">
                  <c:v>16.6585</c:v>
                </c:pt>
                <c:pt idx="42">
                  <c:v>17.061399999999999</c:v>
                </c:pt>
                <c:pt idx="43">
                  <c:v>17.468399999999999</c:v>
                </c:pt>
                <c:pt idx="44">
                  <c:v>17.871300000000002</c:v>
                </c:pt>
                <c:pt idx="45">
                  <c:v>18.280200000000001</c:v>
                </c:pt>
                <c:pt idx="46">
                  <c:v>18.6873</c:v>
                </c:pt>
                <c:pt idx="47">
                  <c:v>19.093</c:v>
                </c:pt>
                <c:pt idx="48">
                  <c:v>19.501300000000001</c:v>
                </c:pt>
                <c:pt idx="49">
                  <c:v>19.9069</c:v>
                </c:pt>
                <c:pt idx="50">
                  <c:v>20.310700000000001</c:v>
                </c:pt>
                <c:pt idx="51">
                  <c:v>20.716699999999999</c:v>
                </c:pt>
                <c:pt idx="52">
                  <c:v>21.124600000000001</c:v>
                </c:pt>
                <c:pt idx="53">
                  <c:v>21.532499999999999</c:v>
                </c:pt>
                <c:pt idx="54">
                  <c:v>21.941400000000002</c:v>
                </c:pt>
                <c:pt idx="55">
                  <c:v>22.343399999999999</c:v>
                </c:pt>
                <c:pt idx="56">
                  <c:v>22.748200000000001</c:v>
                </c:pt>
                <c:pt idx="57">
                  <c:v>23.154599999999999</c:v>
                </c:pt>
                <c:pt idx="58">
                  <c:v>23.565200000000001</c:v>
                </c:pt>
                <c:pt idx="59">
                  <c:v>23.97</c:v>
                </c:pt>
                <c:pt idx="60">
                  <c:v>24.3749</c:v>
                </c:pt>
                <c:pt idx="61">
                  <c:v>24.779800000000002</c:v>
                </c:pt>
                <c:pt idx="62">
                  <c:v>25.1859</c:v>
                </c:pt>
                <c:pt idx="63">
                  <c:v>25.596599999999999</c:v>
                </c:pt>
                <c:pt idx="64">
                  <c:v>26.0016</c:v>
                </c:pt>
                <c:pt idx="65">
                  <c:v>26.406500000000001</c:v>
                </c:pt>
                <c:pt idx="66">
                  <c:v>26.810400000000001</c:v>
                </c:pt>
                <c:pt idx="67">
                  <c:v>27.223299999999998</c:v>
                </c:pt>
                <c:pt idx="68">
                  <c:v>27.626200000000001</c:v>
                </c:pt>
                <c:pt idx="69">
                  <c:v>28.033100000000001</c:v>
                </c:pt>
                <c:pt idx="70">
                  <c:v>28.436299999999999</c:v>
                </c:pt>
                <c:pt idx="71">
                  <c:v>28.841000000000001</c:v>
                </c:pt>
                <c:pt idx="72">
                  <c:v>29.2499</c:v>
                </c:pt>
                <c:pt idx="73">
                  <c:v>29.6539</c:v>
                </c:pt>
                <c:pt idx="74">
                  <c:v>30.061699999999998</c:v>
                </c:pt>
                <c:pt idx="75">
                  <c:v>30.468599999999999</c:v>
                </c:pt>
                <c:pt idx="76">
                  <c:v>30.872499999999999</c:v>
                </c:pt>
                <c:pt idx="77">
                  <c:v>31.2807</c:v>
                </c:pt>
                <c:pt idx="78">
                  <c:v>31.688300000000002</c:v>
                </c:pt>
                <c:pt idx="79">
                  <c:v>32.097200000000001</c:v>
                </c:pt>
                <c:pt idx="80">
                  <c:v>32.5015</c:v>
                </c:pt>
                <c:pt idx="81">
                  <c:v>32.905099999999997</c:v>
                </c:pt>
                <c:pt idx="82">
                  <c:v>33.308999999999997</c:v>
                </c:pt>
                <c:pt idx="83">
                  <c:v>33.7151</c:v>
                </c:pt>
                <c:pt idx="84">
                  <c:v>34.121699999999997</c:v>
                </c:pt>
                <c:pt idx="85">
                  <c:v>34.531700000000001</c:v>
                </c:pt>
                <c:pt idx="86">
                  <c:v>34.935099999999998</c:v>
                </c:pt>
                <c:pt idx="87">
                  <c:v>35.345500000000001</c:v>
                </c:pt>
                <c:pt idx="88">
                  <c:v>35.749499999999998</c:v>
                </c:pt>
                <c:pt idx="89">
                  <c:v>36.1554</c:v>
                </c:pt>
                <c:pt idx="90">
                  <c:v>36.561500000000002</c:v>
                </c:pt>
                <c:pt idx="91">
                  <c:v>36.968400000000003</c:v>
                </c:pt>
                <c:pt idx="92">
                  <c:v>37.376100000000001</c:v>
                </c:pt>
                <c:pt idx="93">
                  <c:v>37.783000000000001</c:v>
                </c:pt>
                <c:pt idx="94">
                  <c:v>38.184199999999997</c:v>
                </c:pt>
                <c:pt idx="95">
                  <c:v>38.592100000000002</c:v>
                </c:pt>
                <c:pt idx="96">
                  <c:v>39.002200000000002</c:v>
                </c:pt>
                <c:pt idx="97">
                  <c:v>39.407699999999998</c:v>
                </c:pt>
                <c:pt idx="98">
                  <c:v>39.813800000000001</c:v>
                </c:pt>
                <c:pt idx="99">
                  <c:v>40.2194</c:v>
                </c:pt>
                <c:pt idx="100">
                  <c:v>40.6265</c:v>
                </c:pt>
                <c:pt idx="101">
                  <c:v>41.034799999999997</c:v>
                </c:pt>
                <c:pt idx="102">
                  <c:v>41.4375</c:v>
                </c:pt>
                <c:pt idx="103">
                  <c:v>41.844299999999997</c:v>
                </c:pt>
                <c:pt idx="104">
                  <c:v>42.247199999999999</c:v>
                </c:pt>
                <c:pt idx="105">
                  <c:v>42.653100000000002</c:v>
                </c:pt>
                <c:pt idx="106">
                  <c:v>43.062100000000001</c:v>
                </c:pt>
                <c:pt idx="107">
                  <c:v>43.466799999999999</c:v>
                </c:pt>
                <c:pt idx="108">
                  <c:v>43.874899999999997</c:v>
                </c:pt>
                <c:pt idx="109">
                  <c:v>44.277799999999999</c:v>
                </c:pt>
                <c:pt idx="110">
                  <c:v>44.689</c:v>
                </c:pt>
                <c:pt idx="111">
                  <c:v>45.090600000000002</c:v>
                </c:pt>
                <c:pt idx="112">
                  <c:v>45.500500000000002</c:v>
                </c:pt>
                <c:pt idx="113">
                  <c:v>45.908299999999997</c:v>
                </c:pt>
                <c:pt idx="114">
                  <c:v>46.308300000000003</c:v>
                </c:pt>
                <c:pt idx="115">
                  <c:v>46.716200000000001</c:v>
                </c:pt>
                <c:pt idx="116">
                  <c:v>47.1282</c:v>
                </c:pt>
                <c:pt idx="117">
                  <c:v>47.533099999999997</c:v>
                </c:pt>
                <c:pt idx="118">
                  <c:v>47.936900000000001</c:v>
                </c:pt>
                <c:pt idx="119">
                  <c:v>48.341000000000001</c:v>
                </c:pt>
                <c:pt idx="120">
                  <c:v>48.7468</c:v>
                </c:pt>
                <c:pt idx="121">
                  <c:v>49.155700000000003</c:v>
                </c:pt>
                <c:pt idx="122">
                  <c:v>49.564599999999999</c:v>
                </c:pt>
                <c:pt idx="123">
                  <c:v>49.970500000000001</c:v>
                </c:pt>
                <c:pt idx="124">
                  <c:v>50.376399999999997</c:v>
                </c:pt>
                <c:pt idx="125">
                  <c:v>50.781599999999997</c:v>
                </c:pt>
                <c:pt idx="126">
                  <c:v>51.188200000000002</c:v>
                </c:pt>
                <c:pt idx="127">
                  <c:v>51.591200000000001</c:v>
                </c:pt>
                <c:pt idx="128">
                  <c:v>51.999200000000002</c:v>
                </c:pt>
                <c:pt idx="129">
                  <c:v>52.406999999999996</c:v>
                </c:pt>
                <c:pt idx="130">
                  <c:v>52.8108</c:v>
                </c:pt>
                <c:pt idx="131">
                  <c:v>53.219799999999999</c:v>
                </c:pt>
                <c:pt idx="132">
                  <c:v>53.623800000000003</c:v>
                </c:pt>
                <c:pt idx="133">
                  <c:v>54.028500000000001</c:v>
                </c:pt>
                <c:pt idx="134">
                  <c:v>54.435600000000001</c:v>
                </c:pt>
                <c:pt idx="135">
                  <c:v>54.8444</c:v>
                </c:pt>
                <c:pt idx="136">
                  <c:v>55.250300000000003</c:v>
                </c:pt>
                <c:pt idx="137">
                  <c:v>55.656300000000002</c:v>
                </c:pt>
                <c:pt idx="138">
                  <c:v>56.059100000000001</c:v>
                </c:pt>
                <c:pt idx="139">
                  <c:v>56.466999999999999</c:v>
                </c:pt>
                <c:pt idx="140">
                  <c:v>56.875999999999998</c:v>
                </c:pt>
                <c:pt idx="141">
                  <c:v>57.279000000000003</c:v>
                </c:pt>
                <c:pt idx="142">
                  <c:v>57.6858</c:v>
                </c:pt>
                <c:pt idx="143">
                  <c:v>58.090699999999998</c:v>
                </c:pt>
                <c:pt idx="144">
                  <c:v>58.502699999999997</c:v>
                </c:pt>
                <c:pt idx="145">
                  <c:v>58.907600000000002</c:v>
                </c:pt>
                <c:pt idx="146">
                  <c:v>59.313600000000001</c:v>
                </c:pt>
                <c:pt idx="147">
                  <c:v>59.720399999999998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46.163199999999996</c:v>
                </c:pt>
                <c:pt idx="1">
                  <c:v>45.362299999999998</c:v>
                </c:pt>
                <c:pt idx="2">
                  <c:v>44.502000000000002</c:v>
                </c:pt>
                <c:pt idx="3">
                  <c:v>43.504199999999997</c:v>
                </c:pt>
                <c:pt idx="4">
                  <c:v>42.503600000000006</c:v>
                </c:pt>
                <c:pt idx="5">
                  <c:v>41.560600000000001</c:v>
                </c:pt>
                <c:pt idx="6">
                  <c:v>40.644100000000002</c:v>
                </c:pt>
                <c:pt idx="7">
                  <c:v>39.811</c:v>
                </c:pt>
                <c:pt idx="8">
                  <c:v>39.0886</c:v>
                </c:pt>
                <c:pt idx="9">
                  <c:v>38.408799999999999</c:v>
                </c:pt>
                <c:pt idx="10">
                  <c:v>37.828400000000002</c:v>
                </c:pt>
                <c:pt idx="11">
                  <c:v>37.2928</c:v>
                </c:pt>
                <c:pt idx="12">
                  <c:v>36.819800000000001</c:v>
                </c:pt>
                <c:pt idx="13">
                  <c:v>36.3414</c:v>
                </c:pt>
                <c:pt idx="14">
                  <c:v>35.919600000000003</c:v>
                </c:pt>
                <c:pt idx="15">
                  <c:v>35.545100000000005</c:v>
                </c:pt>
                <c:pt idx="16">
                  <c:v>35.227399999999996</c:v>
                </c:pt>
                <c:pt idx="17">
                  <c:v>35.020099999999999</c:v>
                </c:pt>
                <c:pt idx="18">
                  <c:v>34.8249</c:v>
                </c:pt>
                <c:pt idx="19">
                  <c:v>34.670200000000001</c:v>
                </c:pt>
                <c:pt idx="20">
                  <c:v>34.498800000000003</c:v>
                </c:pt>
                <c:pt idx="21">
                  <c:v>34.315600000000003</c:v>
                </c:pt>
                <c:pt idx="22">
                  <c:v>34.145900000000005</c:v>
                </c:pt>
                <c:pt idx="23">
                  <c:v>33.985900000000001</c:v>
                </c:pt>
                <c:pt idx="24">
                  <c:v>33.874300000000005</c:v>
                </c:pt>
                <c:pt idx="25">
                  <c:v>33.761899999999997</c:v>
                </c:pt>
                <c:pt idx="26">
                  <c:v>33.659599999999998</c:v>
                </c:pt>
                <c:pt idx="27">
                  <c:v>33.575200000000002</c:v>
                </c:pt>
                <c:pt idx="28">
                  <c:v>33.573799999999999</c:v>
                </c:pt>
                <c:pt idx="29">
                  <c:v>33.667999999999999</c:v>
                </c:pt>
                <c:pt idx="30">
                  <c:v>33.851599999999998</c:v>
                </c:pt>
                <c:pt idx="31">
                  <c:v>34.106099999999998</c:v>
                </c:pt>
                <c:pt idx="32">
                  <c:v>34.42</c:v>
                </c:pt>
                <c:pt idx="33">
                  <c:v>34.745100000000001</c:v>
                </c:pt>
                <c:pt idx="34">
                  <c:v>35.060099999999998</c:v>
                </c:pt>
                <c:pt idx="35">
                  <c:v>35.358200000000004</c:v>
                </c:pt>
                <c:pt idx="36">
                  <c:v>35.636800000000001</c:v>
                </c:pt>
                <c:pt idx="37">
                  <c:v>35.899300000000004</c:v>
                </c:pt>
                <c:pt idx="38">
                  <c:v>36.197299999999998</c:v>
                </c:pt>
                <c:pt idx="39">
                  <c:v>36.477800000000002</c:v>
                </c:pt>
                <c:pt idx="40">
                  <c:v>36.729900000000001</c:v>
                </c:pt>
                <c:pt idx="41">
                  <c:v>36.945699999999995</c:v>
                </c:pt>
                <c:pt idx="42">
                  <c:v>37.094000000000001</c:v>
                </c:pt>
                <c:pt idx="43">
                  <c:v>37.244799999999998</c:v>
                </c:pt>
                <c:pt idx="44">
                  <c:v>37.371099999999998</c:v>
                </c:pt>
                <c:pt idx="45">
                  <c:v>37.540700000000001</c:v>
                </c:pt>
                <c:pt idx="46">
                  <c:v>37.6892</c:v>
                </c:pt>
                <c:pt idx="47">
                  <c:v>37.774299999999997</c:v>
                </c:pt>
                <c:pt idx="48">
                  <c:v>37.867600000000003</c:v>
                </c:pt>
                <c:pt idx="49">
                  <c:v>37.950699999999998</c:v>
                </c:pt>
                <c:pt idx="50">
                  <c:v>38.046900000000001</c:v>
                </c:pt>
                <c:pt idx="51">
                  <c:v>38.132899999999999</c:v>
                </c:pt>
                <c:pt idx="52">
                  <c:v>38.210100000000004</c:v>
                </c:pt>
                <c:pt idx="53">
                  <c:v>38.2714</c:v>
                </c:pt>
                <c:pt idx="54">
                  <c:v>38.311199999999999</c:v>
                </c:pt>
                <c:pt idx="55">
                  <c:v>38.325700000000005</c:v>
                </c:pt>
                <c:pt idx="56">
                  <c:v>38.392099999999999</c:v>
                </c:pt>
                <c:pt idx="57">
                  <c:v>38.475000000000001</c:v>
                </c:pt>
                <c:pt idx="58">
                  <c:v>38.531300000000002</c:v>
                </c:pt>
                <c:pt idx="59">
                  <c:v>38.573099999999997</c:v>
                </c:pt>
                <c:pt idx="60">
                  <c:v>38.566899999999997</c:v>
                </c:pt>
                <c:pt idx="61">
                  <c:v>38.572000000000003</c:v>
                </c:pt>
                <c:pt idx="62">
                  <c:v>38.545299999999997</c:v>
                </c:pt>
                <c:pt idx="63">
                  <c:v>38.480199999999996</c:v>
                </c:pt>
                <c:pt idx="64">
                  <c:v>38.395499999999998</c:v>
                </c:pt>
                <c:pt idx="65">
                  <c:v>38.313299999999998</c:v>
                </c:pt>
                <c:pt idx="66">
                  <c:v>38.219099999999997</c:v>
                </c:pt>
                <c:pt idx="67">
                  <c:v>38.110300000000002</c:v>
                </c:pt>
                <c:pt idx="68">
                  <c:v>38.005400000000002</c:v>
                </c:pt>
                <c:pt idx="69">
                  <c:v>37.856200000000001</c:v>
                </c:pt>
                <c:pt idx="70">
                  <c:v>37.6571</c:v>
                </c:pt>
                <c:pt idx="71">
                  <c:v>37.504100000000001</c:v>
                </c:pt>
                <c:pt idx="72">
                  <c:v>37.4041</c:v>
                </c:pt>
                <c:pt idx="73">
                  <c:v>37.3217</c:v>
                </c:pt>
                <c:pt idx="74">
                  <c:v>37.2331</c:v>
                </c:pt>
                <c:pt idx="75">
                  <c:v>37.0899</c:v>
                </c:pt>
                <c:pt idx="76">
                  <c:v>36.976100000000002</c:v>
                </c:pt>
                <c:pt idx="77">
                  <c:v>36.815399999999997</c:v>
                </c:pt>
                <c:pt idx="78">
                  <c:v>36.596800000000002</c:v>
                </c:pt>
                <c:pt idx="79">
                  <c:v>36.337299999999999</c:v>
                </c:pt>
                <c:pt idx="80">
                  <c:v>36.0625</c:v>
                </c:pt>
                <c:pt idx="81">
                  <c:v>35.616300000000003</c:v>
                </c:pt>
                <c:pt idx="82">
                  <c:v>35.051400000000001</c:v>
                </c:pt>
                <c:pt idx="83">
                  <c:v>34.36</c:v>
                </c:pt>
                <c:pt idx="84">
                  <c:v>33.701100000000004</c:v>
                </c:pt>
                <c:pt idx="85">
                  <c:v>33.055900000000001</c:v>
                </c:pt>
                <c:pt idx="86">
                  <c:v>32.386099999999999</c:v>
                </c:pt>
                <c:pt idx="87">
                  <c:v>31.669399999999996</c:v>
                </c:pt>
                <c:pt idx="88">
                  <c:v>30.992999999999999</c:v>
                </c:pt>
                <c:pt idx="89">
                  <c:v>30.362400000000001</c:v>
                </c:pt>
                <c:pt idx="90">
                  <c:v>29.820999999999998</c:v>
                </c:pt>
                <c:pt idx="91">
                  <c:v>29.319699999999997</c:v>
                </c:pt>
                <c:pt idx="92">
                  <c:v>28.841799999999999</c:v>
                </c:pt>
                <c:pt idx="93">
                  <c:v>28.372500000000002</c:v>
                </c:pt>
                <c:pt idx="94">
                  <c:v>27.966800000000003</c:v>
                </c:pt>
                <c:pt idx="95">
                  <c:v>27.648099999999999</c:v>
                </c:pt>
                <c:pt idx="96">
                  <c:v>27.336500000000001</c:v>
                </c:pt>
                <c:pt idx="97">
                  <c:v>27.084099999999999</c:v>
                </c:pt>
                <c:pt idx="98">
                  <c:v>26.816600000000001</c:v>
                </c:pt>
                <c:pt idx="99">
                  <c:v>26.500600000000002</c:v>
                </c:pt>
                <c:pt idx="100">
                  <c:v>26.186799999999998</c:v>
                </c:pt>
                <c:pt idx="101">
                  <c:v>25.857299999999999</c:v>
                </c:pt>
                <c:pt idx="102">
                  <c:v>25.5579</c:v>
                </c:pt>
                <c:pt idx="103">
                  <c:v>25.220500000000001</c:v>
                </c:pt>
                <c:pt idx="104">
                  <c:v>24.9344</c:v>
                </c:pt>
                <c:pt idx="105">
                  <c:v>24.669699999999999</c:v>
                </c:pt>
                <c:pt idx="106">
                  <c:v>24.421599999999998</c:v>
                </c:pt>
                <c:pt idx="107">
                  <c:v>24.15</c:v>
                </c:pt>
                <c:pt idx="108">
                  <c:v>23.9604</c:v>
                </c:pt>
                <c:pt idx="109">
                  <c:v>23.790099999999999</c:v>
                </c:pt>
                <c:pt idx="110">
                  <c:v>23.5991</c:v>
                </c:pt>
                <c:pt idx="111">
                  <c:v>23.443899999999999</c:v>
                </c:pt>
                <c:pt idx="112">
                  <c:v>23.339199999999998</c:v>
                </c:pt>
                <c:pt idx="113">
                  <c:v>23.311699999999998</c:v>
                </c:pt>
                <c:pt idx="114">
                  <c:v>23.263000000000002</c:v>
                </c:pt>
                <c:pt idx="115">
                  <c:v>23.174800000000001</c:v>
                </c:pt>
                <c:pt idx="116">
                  <c:v>23.033899999999999</c:v>
                </c:pt>
                <c:pt idx="117">
                  <c:v>22.931899999999999</c:v>
                </c:pt>
                <c:pt idx="118">
                  <c:v>22.854600000000001</c:v>
                </c:pt>
                <c:pt idx="119">
                  <c:v>22.702100000000002</c:v>
                </c:pt>
                <c:pt idx="120">
                  <c:v>22.552299999999999</c:v>
                </c:pt>
                <c:pt idx="121">
                  <c:v>22.475999999999999</c:v>
                </c:pt>
                <c:pt idx="122">
                  <c:v>22.366399999999999</c:v>
                </c:pt>
                <c:pt idx="123">
                  <c:v>22.313500000000001</c:v>
                </c:pt>
                <c:pt idx="124">
                  <c:v>22.231200000000001</c:v>
                </c:pt>
                <c:pt idx="125">
                  <c:v>22.159699999999997</c:v>
                </c:pt>
                <c:pt idx="126">
                  <c:v>22.088000000000001</c:v>
                </c:pt>
                <c:pt idx="127">
                  <c:v>22.028300000000002</c:v>
                </c:pt>
                <c:pt idx="128">
                  <c:v>22.0029</c:v>
                </c:pt>
                <c:pt idx="129">
                  <c:v>21.934899999999999</c:v>
                </c:pt>
                <c:pt idx="130">
                  <c:v>21.8339</c:v>
                </c:pt>
                <c:pt idx="131">
                  <c:v>21.770999999999997</c:v>
                </c:pt>
                <c:pt idx="132">
                  <c:v>21.793199999999999</c:v>
                </c:pt>
                <c:pt idx="133">
                  <c:v>21.838699999999999</c:v>
                </c:pt>
                <c:pt idx="134">
                  <c:v>21.878800000000002</c:v>
                </c:pt>
                <c:pt idx="135">
                  <c:v>21.984500000000001</c:v>
                </c:pt>
                <c:pt idx="136">
                  <c:v>22.058499999999999</c:v>
                </c:pt>
                <c:pt idx="137">
                  <c:v>22.170999999999999</c:v>
                </c:pt>
                <c:pt idx="138">
                  <c:v>22.182700000000001</c:v>
                </c:pt>
                <c:pt idx="139">
                  <c:v>22.2667</c:v>
                </c:pt>
                <c:pt idx="140">
                  <c:v>22.317400000000003</c:v>
                </c:pt>
                <c:pt idx="141">
                  <c:v>22.5168</c:v>
                </c:pt>
                <c:pt idx="142">
                  <c:v>22.631499999999999</c:v>
                </c:pt>
                <c:pt idx="143">
                  <c:v>22.6617</c:v>
                </c:pt>
                <c:pt idx="144">
                  <c:v>23.043500000000002</c:v>
                </c:pt>
                <c:pt idx="145">
                  <c:v>23.459599999999998</c:v>
                </c:pt>
                <c:pt idx="146">
                  <c:v>23.573699999999999</c:v>
                </c:pt>
                <c:pt idx="147">
                  <c:v>23.9588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0.40791699999999997</c:v>
                </c:pt>
                <c:pt idx="2">
                  <c:v>0.81150699999999998</c:v>
                </c:pt>
                <c:pt idx="3">
                  <c:v>1.2148300000000001</c:v>
                </c:pt>
                <c:pt idx="4">
                  <c:v>1.62164</c:v>
                </c:pt>
                <c:pt idx="5">
                  <c:v>2.0315799999999999</c:v>
                </c:pt>
                <c:pt idx="6">
                  <c:v>2.4354900000000002</c:v>
                </c:pt>
                <c:pt idx="7">
                  <c:v>2.8409200000000001</c:v>
                </c:pt>
                <c:pt idx="8">
                  <c:v>3.2503500000000001</c:v>
                </c:pt>
                <c:pt idx="9">
                  <c:v>3.6562199999999998</c:v>
                </c:pt>
                <c:pt idx="10">
                  <c:v>4.06419</c:v>
                </c:pt>
                <c:pt idx="11">
                  <c:v>4.4682199999999996</c:v>
                </c:pt>
                <c:pt idx="12">
                  <c:v>4.8730200000000004</c:v>
                </c:pt>
                <c:pt idx="13">
                  <c:v>5.27902</c:v>
                </c:pt>
                <c:pt idx="14">
                  <c:v>5.6898</c:v>
                </c:pt>
                <c:pt idx="15">
                  <c:v>6.0964099999999997</c:v>
                </c:pt>
                <c:pt idx="16">
                  <c:v>6.4996499999999999</c:v>
                </c:pt>
                <c:pt idx="17">
                  <c:v>6.9036799999999996</c:v>
                </c:pt>
                <c:pt idx="18">
                  <c:v>7.3105399999999996</c:v>
                </c:pt>
                <c:pt idx="19">
                  <c:v>7.71936</c:v>
                </c:pt>
                <c:pt idx="20">
                  <c:v>8.1242699999999992</c:v>
                </c:pt>
                <c:pt idx="21">
                  <c:v>8.5322099999999992</c:v>
                </c:pt>
                <c:pt idx="22">
                  <c:v>8.9371500000000008</c:v>
                </c:pt>
                <c:pt idx="23">
                  <c:v>9.3422499999999999</c:v>
                </c:pt>
                <c:pt idx="24">
                  <c:v>9.7549600000000005</c:v>
                </c:pt>
                <c:pt idx="25">
                  <c:v>10.1579</c:v>
                </c:pt>
                <c:pt idx="26">
                  <c:v>10.5639</c:v>
                </c:pt>
                <c:pt idx="27">
                  <c:v>10.968</c:v>
                </c:pt>
                <c:pt idx="28">
                  <c:v>11.374700000000001</c:v>
                </c:pt>
                <c:pt idx="29">
                  <c:v>11.782500000000001</c:v>
                </c:pt>
                <c:pt idx="30">
                  <c:v>12.1884</c:v>
                </c:pt>
                <c:pt idx="31">
                  <c:v>12.5943</c:v>
                </c:pt>
                <c:pt idx="32">
                  <c:v>12.9983</c:v>
                </c:pt>
                <c:pt idx="33">
                  <c:v>13.407400000000001</c:v>
                </c:pt>
                <c:pt idx="34">
                  <c:v>13.811199999999999</c:v>
                </c:pt>
                <c:pt idx="35">
                  <c:v>14.219099999999999</c:v>
                </c:pt>
                <c:pt idx="36">
                  <c:v>14.6259</c:v>
                </c:pt>
                <c:pt idx="37">
                  <c:v>15.0299</c:v>
                </c:pt>
                <c:pt idx="38">
                  <c:v>15.4358</c:v>
                </c:pt>
                <c:pt idx="39">
                  <c:v>15.842700000000001</c:v>
                </c:pt>
                <c:pt idx="40">
                  <c:v>16.2517</c:v>
                </c:pt>
                <c:pt idx="41">
                  <c:v>16.6585</c:v>
                </c:pt>
                <c:pt idx="42">
                  <c:v>17.061399999999999</c:v>
                </c:pt>
                <c:pt idx="43">
                  <c:v>17.468399999999999</c:v>
                </c:pt>
                <c:pt idx="44">
                  <c:v>17.871300000000002</c:v>
                </c:pt>
                <c:pt idx="45">
                  <c:v>18.280200000000001</c:v>
                </c:pt>
                <c:pt idx="46">
                  <c:v>18.6873</c:v>
                </c:pt>
                <c:pt idx="47">
                  <c:v>19.093</c:v>
                </c:pt>
                <c:pt idx="48">
                  <c:v>19.501300000000001</c:v>
                </c:pt>
                <c:pt idx="49">
                  <c:v>19.9069</c:v>
                </c:pt>
                <c:pt idx="50">
                  <c:v>20.310700000000001</c:v>
                </c:pt>
                <c:pt idx="51">
                  <c:v>20.716699999999999</c:v>
                </c:pt>
                <c:pt idx="52">
                  <c:v>21.124600000000001</c:v>
                </c:pt>
                <c:pt idx="53">
                  <c:v>21.532499999999999</c:v>
                </c:pt>
                <c:pt idx="54">
                  <c:v>21.941400000000002</c:v>
                </c:pt>
                <c:pt idx="55">
                  <c:v>22.343399999999999</c:v>
                </c:pt>
                <c:pt idx="56">
                  <c:v>22.748200000000001</c:v>
                </c:pt>
                <c:pt idx="57">
                  <c:v>23.154599999999999</c:v>
                </c:pt>
                <c:pt idx="58">
                  <c:v>23.565200000000001</c:v>
                </c:pt>
                <c:pt idx="59">
                  <c:v>23.97</c:v>
                </c:pt>
                <c:pt idx="60">
                  <c:v>24.3749</c:v>
                </c:pt>
                <c:pt idx="61">
                  <c:v>24.779800000000002</c:v>
                </c:pt>
                <c:pt idx="62">
                  <c:v>25.1859</c:v>
                </c:pt>
                <c:pt idx="63">
                  <c:v>25.596599999999999</c:v>
                </c:pt>
                <c:pt idx="64">
                  <c:v>26.0016</c:v>
                </c:pt>
                <c:pt idx="65">
                  <c:v>26.406500000000001</c:v>
                </c:pt>
                <c:pt idx="66">
                  <c:v>26.810400000000001</c:v>
                </c:pt>
                <c:pt idx="67">
                  <c:v>27.223299999999998</c:v>
                </c:pt>
                <c:pt idx="68">
                  <c:v>27.626200000000001</c:v>
                </c:pt>
                <c:pt idx="69">
                  <c:v>28.033100000000001</c:v>
                </c:pt>
                <c:pt idx="70">
                  <c:v>28.436299999999999</c:v>
                </c:pt>
                <c:pt idx="71">
                  <c:v>28.841000000000001</c:v>
                </c:pt>
                <c:pt idx="72">
                  <c:v>29.2499</c:v>
                </c:pt>
                <c:pt idx="73">
                  <c:v>29.6539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46.163199999999996</c:v>
                </c:pt>
                <c:pt idx="1">
                  <c:v>45.362299999999998</c:v>
                </c:pt>
                <c:pt idx="2">
                  <c:v>44.502000000000002</c:v>
                </c:pt>
                <c:pt idx="3">
                  <c:v>43.504199999999997</c:v>
                </c:pt>
                <c:pt idx="4">
                  <c:v>42.503600000000006</c:v>
                </c:pt>
                <c:pt idx="5">
                  <c:v>41.560600000000001</c:v>
                </c:pt>
                <c:pt idx="6">
                  <c:v>40.644100000000002</c:v>
                </c:pt>
                <c:pt idx="7">
                  <c:v>39.811</c:v>
                </c:pt>
                <c:pt idx="8">
                  <c:v>39.0886</c:v>
                </c:pt>
                <c:pt idx="9">
                  <c:v>38.408799999999999</c:v>
                </c:pt>
                <c:pt idx="10">
                  <c:v>37.828400000000002</c:v>
                </c:pt>
                <c:pt idx="11">
                  <c:v>37.2928</c:v>
                </c:pt>
                <c:pt idx="12">
                  <c:v>36.819800000000001</c:v>
                </c:pt>
                <c:pt idx="13">
                  <c:v>36.3414</c:v>
                </c:pt>
                <c:pt idx="14">
                  <c:v>35.919600000000003</c:v>
                </c:pt>
                <c:pt idx="15">
                  <c:v>35.545100000000005</c:v>
                </c:pt>
                <c:pt idx="16">
                  <c:v>35.227399999999996</c:v>
                </c:pt>
                <c:pt idx="17">
                  <c:v>35.020099999999999</c:v>
                </c:pt>
                <c:pt idx="18">
                  <c:v>34.8249</c:v>
                </c:pt>
                <c:pt idx="19">
                  <c:v>34.670200000000001</c:v>
                </c:pt>
                <c:pt idx="20">
                  <c:v>34.498800000000003</c:v>
                </c:pt>
                <c:pt idx="21">
                  <c:v>34.315600000000003</c:v>
                </c:pt>
                <c:pt idx="22">
                  <c:v>34.145900000000005</c:v>
                </c:pt>
                <c:pt idx="23">
                  <c:v>33.985900000000001</c:v>
                </c:pt>
                <c:pt idx="24">
                  <c:v>33.874300000000005</c:v>
                </c:pt>
                <c:pt idx="25">
                  <c:v>33.761899999999997</c:v>
                </c:pt>
                <c:pt idx="26">
                  <c:v>33.659599999999998</c:v>
                </c:pt>
                <c:pt idx="27">
                  <c:v>33.575200000000002</c:v>
                </c:pt>
                <c:pt idx="28">
                  <c:v>33.573799999999999</c:v>
                </c:pt>
                <c:pt idx="29">
                  <c:v>33.667999999999999</c:v>
                </c:pt>
                <c:pt idx="30">
                  <c:v>33.851599999999998</c:v>
                </c:pt>
                <c:pt idx="31">
                  <c:v>34.106099999999998</c:v>
                </c:pt>
                <c:pt idx="32">
                  <c:v>34.42</c:v>
                </c:pt>
                <c:pt idx="33">
                  <c:v>34.745100000000001</c:v>
                </c:pt>
                <c:pt idx="34">
                  <c:v>35.060099999999998</c:v>
                </c:pt>
                <c:pt idx="35">
                  <c:v>35.358200000000004</c:v>
                </c:pt>
                <c:pt idx="36">
                  <c:v>35.636800000000001</c:v>
                </c:pt>
                <c:pt idx="37">
                  <c:v>35.899300000000004</c:v>
                </c:pt>
                <c:pt idx="38">
                  <c:v>36.197299999999998</c:v>
                </c:pt>
                <c:pt idx="39">
                  <c:v>36.477800000000002</c:v>
                </c:pt>
                <c:pt idx="40">
                  <c:v>36.729900000000001</c:v>
                </c:pt>
                <c:pt idx="41">
                  <c:v>36.945699999999995</c:v>
                </c:pt>
                <c:pt idx="42">
                  <c:v>37.094000000000001</c:v>
                </c:pt>
                <c:pt idx="43">
                  <c:v>37.244799999999998</c:v>
                </c:pt>
                <c:pt idx="44">
                  <c:v>37.371099999999998</c:v>
                </c:pt>
                <c:pt idx="45">
                  <c:v>37.540700000000001</c:v>
                </c:pt>
                <c:pt idx="46">
                  <c:v>37.6892</c:v>
                </c:pt>
                <c:pt idx="47">
                  <c:v>37.774299999999997</c:v>
                </c:pt>
                <c:pt idx="48">
                  <c:v>37.867600000000003</c:v>
                </c:pt>
                <c:pt idx="49">
                  <c:v>37.950699999999998</c:v>
                </c:pt>
                <c:pt idx="50">
                  <c:v>38.046900000000001</c:v>
                </c:pt>
                <c:pt idx="51">
                  <c:v>38.132899999999999</c:v>
                </c:pt>
                <c:pt idx="52">
                  <c:v>38.210100000000004</c:v>
                </c:pt>
                <c:pt idx="53">
                  <c:v>38.2714</c:v>
                </c:pt>
                <c:pt idx="54">
                  <c:v>38.311199999999999</c:v>
                </c:pt>
                <c:pt idx="55">
                  <c:v>38.325700000000005</c:v>
                </c:pt>
                <c:pt idx="56">
                  <c:v>38.392099999999999</c:v>
                </c:pt>
                <c:pt idx="57">
                  <c:v>38.475000000000001</c:v>
                </c:pt>
                <c:pt idx="58">
                  <c:v>38.531300000000002</c:v>
                </c:pt>
                <c:pt idx="59">
                  <c:v>38.573099999999997</c:v>
                </c:pt>
                <c:pt idx="60">
                  <c:v>38.566899999999997</c:v>
                </c:pt>
                <c:pt idx="61">
                  <c:v>38.572000000000003</c:v>
                </c:pt>
                <c:pt idx="62">
                  <c:v>38.545299999999997</c:v>
                </c:pt>
                <c:pt idx="63">
                  <c:v>38.480199999999996</c:v>
                </c:pt>
                <c:pt idx="64">
                  <c:v>38.395499999999998</c:v>
                </c:pt>
                <c:pt idx="65">
                  <c:v>38.313299999999998</c:v>
                </c:pt>
                <c:pt idx="66">
                  <c:v>38.219099999999997</c:v>
                </c:pt>
                <c:pt idx="67">
                  <c:v>38.110300000000002</c:v>
                </c:pt>
                <c:pt idx="68">
                  <c:v>38.005400000000002</c:v>
                </c:pt>
                <c:pt idx="69">
                  <c:v>37.856200000000001</c:v>
                </c:pt>
                <c:pt idx="70">
                  <c:v>37.6571</c:v>
                </c:pt>
                <c:pt idx="71">
                  <c:v>37.504100000000001</c:v>
                </c:pt>
                <c:pt idx="72">
                  <c:v>37.4041</c:v>
                </c:pt>
                <c:pt idx="73">
                  <c:v>37.3217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29.6539</c:v>
                </c:pt>
                <c:pt idx="1">
                  <c:v>30.061699999999998</c:v>
                </c:pt>
                <c:pt idx="2">
                  <c:v>30.468599999999999</c:v>
                </c:pt>
                <c:pt idx="3">
                  <c:v>30.872499999999999</c:v>
                </c:pt>
                <c:pt idx="4">
                  <c:v>31.2807</c:v>
                </c:pt>
                <c:pt idx="5">
                  <c:v>31.688300000000002</c:v>
                </c:pt>
                <c:pt idx="6">
                  <c:v>32.097200000000001</c:v>
                </c:pt>
                <c:pt idx="7">
                  <c:v>32.5015</c:v>
                </c:pt>
                <c:pt idx="8">
                  <c:v>32.905099999999997</c:v>
                </c:pt>
                <c:pt idx="9">
                  <c:v>33.308999999999997</c:v>
                </c:pt>
                <c:pt idx="10">
                  <c:v>33.7151</c:v>
                </c:pt>
                <c:pt idx="11">
                  <c:v>34.121699999999997</c:v>
                </c:pt>
                <c:pt idx="12">
                  <c:v>34.531700000000001</c:v>
                </c:pt>
                <c:pt idx="13">
                  <c:v>34.935099999999998</c:v>
                </c:pt>
                <c:pt idx="14">
                  <c:v>35.345500000000001</c:v>
                </c:pt>
                <c:pt idx="15">
                  <c:v>35.749499999999998</c:v>
                </c:pt>
                <c:pt idx="16">
                  <c:v>36.1554</c:v>
                </c:pt>
                <c:pt idx="17">
                  <c:v>36.561500000000002</c:v>
                </c:pt>
                <c:pt idx="18">
                  <c:v>36.968400000000003</c:v>
                </c:pt>
                <c:pt idx="19">
                  <c:v>37.376100000000001</c:v>
                </c:pt>
                <c:pt idx="20">
                  <c:v>37.783000000000001</c:v>
                </c:pt>
                <c:pt idx="21">
                  <c:v>38.184199999999997</c:v>
                </c:pt>
                <c:pt idx="22">
                  <c:v>38.592100000000002</c:v>
                </c:pt>
                <c:pt idx="23">
                  <c:v>39.002200000000002</c:v>
                </c:pt>
                <c:pt idx="24">
                  <c:v>39.407699999999998</c:v>
                </c:pt>
                <c:pt idx="25">
                  <c:v>39.813800000000001</c:v>
                </c:pt>
                <c:pt idx="26">
                  <c:v>40.2194</c:v>
                </c:pt>
                <c:pt idx="27">
                  <c:v>40.6265</c:v>
                </c:pt>
                <c:pt idx="28">
                  <c:v>41.034799999999997</c:v>
                </c:pt>
                <c:pt idx="29">
                  <c:v>41.4375</c:v>
                </c:pt>
                <c:pt idx="30">
                  <c:v>41.844299999999997</c:v>
                </c:pt>
                <c:pt idx="31">
                  <c:v>42.247199999999999</c:v>
                </c:pt>
                <c:pt idx="32">
                  <c:v>42.653100000000002</c:v>
                </c:pt>
                <c:pt idx="33">
                  <c:v>43.062100000000001</c:v>
                </c:pt>
                <c:pt idx="34">
                  <c:v>43.466799999999999</c:v>
                </c:pt>
                <c:pt idx="35">
                  <c:v>43.874899999999997</c:v>
                </c:pt>
                <c:pt idx="36">
                  <c:v>44.277799999999999</c:v>
                </c:pt>
                <c:pt idx="37">
                  <c:v>44.689</c:v>
                </c:pt>
                <c:pt idx="38">
                  <c:v>45.090600000000002</c:v>
                </c:pt>
                <c:pt idx="39">
                  <c:v>45.500500000000002</c:v>
                </c:pt>
                <c:pt idx="40">
                  <c:v>45.908299999999997</c:v>
                </c:pt>
                <c:pt idx="41">
                  <c:v>46.308300000000003</c:v>
                </c:pt>
                <c:pt idx="42">
                  <c:v>46.716200000000001</c:v>
                </c:pt>
                <c:pt idx="43">
                  <c:v>47.1282</c:v>
                </c:pt>
                <c:pt idx="44">
                  <c:v>47.533099999999997</c:v>
                </c:pt>
                <c:pt idx="45">
                  <c:v>47.936900000000001</c:v>
                </c:pt>
                <c:pt idx="46">
                  <c:v>48.341000000000001</c:v>
                </c:pt>
                <c:pt idx="47">
                  <c:v>48.7468</c:v>
                </c:pt>
                <c:pt idx="48">
                  <c:v>49.155700000000003</c:v>
                </c:pt>
                <c:pt idx="49">
                  <c:v>49.564599999999999</c:v>
                </c:pt>
                <c:pt idx="50">
                  <c:v>49.970500000000001</c:v>
                </c:pt>
                <c:pt idx="51">
                  <c:v>50.376399999999997</c:v>
                </c:pt>
                <c:pt idx="52">
                  <c:v>50.781599999999997</c:v>
                </c:pt>
                <c:pt idx="53">
                  <c:v>51.188200000000002</c:v>
                </c:pt>
                <c:pt idx="54">
                  <c:v>51.591200000000001</c:v>
                </c:pt>
                <c:pt idx="55">
                  <c:v>51.999200000000002</c:v>
                </c:pt>
                <c:pt idx="56">
                  <c:v>52.406999999999996</c:v>
                </c:pt>
                <c:pt idx="57">
                  <c:v>52.8108</c:v>
                </c:pt>
                <c:pt idx="58">
                  <c:v>53.219799999999999</c:v>
                </c:pt>
                <c:pt idx="59">
                  <c:v>53.623800000000003</c:v>
                </c:pt>
                <c:pt idx="60">
                  <c:v>54.028500000000001</c:v>
                </c:pt>
                <c:pt idx="61">
                  <c:v>54.435600000000001</c:v>
                </c:pt>
                <c:pt idx="62">
                  <c:v>54.8444</c:v>
                </c:pt>
                <c:pt idx="63">
                  <c:v>55.250300000000003</c:v>
                </c:pt>
                <c:pt idx="64">
                  <c:v>55.656300000000002</c:v>
                </c:pt>
                <c:pt idx="65">
                  <c:v>56.059100000000001</c:v>
                </c:pt>
                <c:pt idx="66">
                  <c:v>56.466999999999999</c:v>
                </c:pt>
                <c:pt idx="67">
                  <c:v>56.875999999999998</c:v>
                </c:pt>
                <c:pt idx="68">
                  <c:v>57.279000000000003</c:v>
                </c:pt>
                <c:pt idx="69">
                  <c:v>57.6858</c:v>
                </c:pt>
                <c:pt idx="70">
                  <c:v>58.090699999999998</c:v>
                </c:pt>
                <c:pt idx="71">
                  <c:v>58.502699999999997</c:v>
                </c:pt>
                <c:pt idx="72">
                  <c:v>58.907600000000002</c:v>
                </c:pt>
                <c:pt idx="73">
                  <c:v>59.313600000000001</c:v>
                </c:pt>
                <c:pt idx="74">
                  <c:v>59.720399999999998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37.3217</c:v>
                </c:pt>
                <c:pt idx="1">
                  <c:v>37.2331</c:v>
                </c:pt>
                <c:pt idx="2">
                  <c:v>37.0899</c:v>
                </c:pt>
                <c:pt idx="3">
                  <c:v>36.976100000000002</c:v>
                </c:pt>
                <c:pt idx="4">
                  <c:v>36.815399999999997</c:v>
                </c:pt>
                <c:pt idx="5">
                  <c:v>36.596800000000002</c:v>
                </c:pt>
                <c:pt idx="6">
                  <c:v>36.337299999999999</c:v>
                </c:pt>
                <c:pt idx="7">
                  <c:v>36.0625</c:v>
                </c:pt>
                <c:pt idx="8">
                  <c:v>35.616300000000003</c:v>
                </c:pt>
                <c:pt idx="9">
                  <c:v>35.051400000000001</c:v>
                </c:pt>
                <c:pt idx="10">
                  <c:v>34.36</c:v>
                </c:pt>
                <c:pt idx="11">
                  <c:v>33.701100000000004</c:v>
                </c:pt>
                <c:pt idx="12">
                  <c:v>33.055900000000001</c:v>
                </c:pt>
                <c:pt idx="13">
                  <c:v>32.386099999999999</c:v>
                </c:pt>
                <c:pt idx="14">
                  <c:v>31.669399999999996</c:v>
                </c:pt>
                <c:pt idx="15">
                  <c:v>30.992999999999999</c:v>
                </c:pt>
                <c:pt idx="16">
                  <c:v>30.362400000000001</c:v>
                </c:pt>
                <c:pt idx="17">
                  <c:v>29.820999999999998</c:v>
                </c:pt>
                <c:pt idx="18">
                  <c:v>29.319699999999997</c:v>
                </c:pt>
                <c:pt idx="19">
                  <c:v>28.841799999999999</c:v>
                </c:pt>
                <c:pt idx="20">
                  <c:v>28.372500000000002</c:v>
                </c:pt>
                <c:pt idx="21">
                  <c:v>27.966800000000003</c:v>
                </c:pt>
                <c:pt idx="22">
                  <c:v>27.648099999999999</c:v>
                </c:pt>
                <c:pt idx="23">
                  <c:v>27.336500000000001</c:v>
                </c:pt>
                <c:pt idx="24">
                  <c:v>27.084099999999999</c:v>
                </c:pt>
                <c:pt idx="25">
                  <c:v>26.816600000000001</c:v>
                </c:pt>
                <c:pt idx="26">
                  <c:v>26.500600000000002</c:v>
                </c:pt>
                <c:pt idx="27">
                  <c:v>26.186799999999998</c:v>
                </c:pt>
                <c:pt idx="28">
                  <c:v>25.857299999999999</c:v>
                </c:pt>
                <c:pt idx="29">
                  <c:v>25.5579</c:v>
                </c:pt>
                <c:pt idx="30">
                  <c:v>25.220500000000001</c:v>
                </c:pt>
                <c:pt idx="31">
                  <c:v>24.9344</c:v>
                </c:pt>
                <c:pt idx="32">
                  <c:v>24.669699999999999</c:v>
                </c:pt>
                <c:pt idx="33">
                  <c:v>24.421599999999998</c:v>
                </c:pt>
                <c:pt idx="34">
                  <c:v>24.15</c:v>
                </c:pt>
                <c:pt idx="35">
                  <c:v>23.9604</c:v>
                </c:pt>
                <c:pt idx="36">
                  <c:v>23.790099999999999</c:v>
                </c:pt>
                <c:pt idx="37">
                  <c:v>23.5991</c:v>
                </c:pt>
                <c:pt idx="38">
                  <c:v>23.443899999999999</c:v>
                </c:pt>
                <c:pt idx="39">
                  <c:v>23.339199999999998</c:v>
                </c:pt>
                <c:pt idx="40">
                  <c:v>23.311699999999998</c:v>
                </c:pt>
                <c:pt idx="41">
                  <c:v>23.263000000000002</c:v>
                </c:pt>
                <c:pt idx="42">
                  <c:v>23.174800000000001</c:v>
                </c:pt>
                <c:pt idx="43">
                  <c:v>23.033899999999999</c:v>
                </c:pt>
                <c:pt idx="44">
                  <c:v>22.931899999999999</c:v>
                </c:pt>
                <c:pt idx="45">
                  <c:v>22.854600000000001</c:v>
                </c:pt>
                <c:pt idx="46">
                  <c:v>22.702100000000002</c:v>
                </c:pt>
                <c:pt idx="47">
                  <c:v>22.552299999999999</c:v>
                </c:pt>
                <c:pt idx="48">
                  <c:v>22.475999999999999</c:v>
                </c:pt>
                <c:pt idx="49">
                  <c:v>22.366399999999999</c:v>
                </c:pt>
                <c:pt idx="50">
                  <c:v>22.313500000000001</c:v>
                </c:pt>
                <c:pt idx="51">
                  <c:v>22.231200000000001</c:v>
                </c:pt>
                <c:pt idx="52">
                  <c:v>22.159699999999997</c:v>
                </c:pt>
                <c:pt idx="53">
                  <c:v>22.088000000000001</c:v>
                </c:pt>
                <c:pt idx="54">
                  <c:v>22.028300000000002</c:v>
                </c:pt>
                <c:pt idx="55">
                  <c:v>22.0029</c:v>
                </c:pt>
                <c:pt idx="56">
                  <c:v>21.934899999999999</c:v>
                </c:pt>
                <c:pt idx="57">
                  <c:v>21.8339</c:v>
                </c:pt>
                <c:pt idx="58">
                  <c:v>21.770999999999997</c:v>
                </c:pt>
                <c:pt idx="59">
                  <c:v>21.793199999999999</c:v>
                </c:pt>
                <c:pt idx="60">
                  <c:v>21.838699999999999</c:v>
                </c:pt>
                <c:pt idx="61">
                  <c:v>21.878800000000002</c:v>
                </c:pt>
                <c:pt idx="62">
                  <c:v>21.984500000000001</c:v>
                </c:pt>
                <c:pt idx="63">
                  <c:v>22.058499999999999</c:v>
                </c:pt>
                <c:pt idx="64">
                  <c:v>22.170999999999999</c:v>
                </c:pt>
                <c:pt idx="65">
                  <c:v>22.182700000000001</c:v>
                </c:pt>
                <c:pt idx="66">
                  <c:v>22.2667</c:v>
                </c:pt>
                <c:pt idx="67">
                  <c:v>22.317400000000003</c:v>
                </c:pt>
                <c:pt idx="68">
                  <c:v>22.5168</c:v>
                </c:pt>
                <c:pt idx="69">
                  <c:v>22.631499999999999</c:v>
                </c:pt>
                <c:pt idx="70">
                  <c:v>22.6617</c:v>
                </c:pt>
                <c:pt idx="71">
                  <c:v>23.043500000000002</c:v>
                </c:pt>
                <c:pt idx="72">
                  <c:v>23.459599999999998</c:v>
                </c:pt>
                <c:pt idx="73">
                  <c:v>23.573699999999999</c:v>
                </c:pt>
                <c:pt idx="74">
                  <c:v>23.9588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14.930099999999999</c:v>
                </c:pt>
                <c:pt idx="1">
                  <c:v>44.790300000000002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37.328085135135133</c:v>
                </c:pt>
                <c:pt idx="1">
                  <c:v>26.223141891891899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40.947600000000001</c:v>
                </c:pt>
                <c:pt idx="1">
                  <c:v>35.8934</c:v>
                </c:pt>
                <c:pt idx="2">
                  <c:v>26.495999999999999</c:v>
                </c:pt>
                <c:pt idx="3">
                  <c:v>35.202199999999998</c:v>
                </c:pt>
                <c:pt idx="4">
                  <c:v>67.286100000000005</c:v>
                </c:pt>
                <c:pt idx="5">
                  <c:v>76.979299999999995</c:v>
                </c:pt>
                <c:pt idx="6">
                  <c:v>17.834499999999998</c:v>
                </c:pt>
                <c:pt idx="7">
                  <c:v>71.343299999999999</c:v>
                </c:pt>
                <c:pt idx="8">
                  <c:v>21.265899999999998</c:v>
                </c:pt>
                <c:pt idx="9">
                  <c:v>27.056100000000001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41.079700000000003</c:v>
                </c:pt>
                <c:pt idx="1">
                  <c:v>45.5105</c:v>
                </c:pt>
                <c:pt idx="2">
                  <c:v>27.736999999999998</c:v>
                </c:pt>
                <c:pt idx="3">
                  <c:v>38.578400000000002</c:v>
                </c:pt>
                <c:pt idx="4">
                  <c:v>58.991</c:v>
                </c:pt>
                <c:pt idx="5">
                  <c:v>37.822600000000001</c:v>
                </c:pt>
                <c:pt idx="6">
                  <c:v>13.4671</c:v>
                </c:pt>
                <c:pt idx="7">
                  <c:v>48.688800000000001</c:v>
                </c:pt>
                <c:pt idx="8">
                  <c:v>17.045999999999999</c:v>
                </c:pt>
                <c:pt idx="9">
                  <c:v>21.646999999999998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0.4981435104808436</c:v>
                </c:pt>
                <c:pt idx="1">
                  <c:v>0.2956282445888665</c:v>
                </c:pt>
                <c:pt idx="2">
                  <c:v>0.20622824493028991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2339</c:v>
                </c:pt>
                <c:pt idx="7">
                  <c:v>0</c:v>
                </c:pt>
                <c:pt idx="8">
                  <c:v>3331</c:v>
                </c:pt>
                <c:pt idx="9">
                  <c:v>0</c:v>
                </c:pt>
                <c:pt idx="10">
                  <c:v>0</c:v>
                </c:pt>
                <c:pt idx="11">
                  <c:v>5860</c:v>
                </c:pt>
                <c:pt idx="12">
                  <c:v>0</c:v>
                </c:pt>
                <c:pt idx="13">
                  <c:v>5834</c:v>
                </c:pt>
                <c:pt idx="14">
                  <c:v>0</c:v>
                </c:pt>
                <c:pt idx="15">
                  <c:v>0</c:v>
                </c:pt>
                <c:pt idx="16">
                  <c:v>8417</c:v>
                </c:pt>
                <c:pt idx="17">
                  <c:v>0</c:v>
                </c:pt>
                <c:pt idx="18">
                  <c:v>0</c:v>
                </c:pt>
                <c:pt idx="19">
                  <c:v>11333</c:v>
                </c:pt>
                <c:pt idx="20">
                  <c:v>0</c:v>
                </c:pt>
                <c:pt idx="21">
                  <c:v>14275</c:v>
                </c:pt>
                <c:pt idx="22">
                  <c:v>0</c:v>
                </c:pt>
                <c:pt idx="23">
                  <c:v>0</c:v>
                </c:pt>
                <c:pt idx="24">
                  <c:v>20920</c:v>
                </c:pt>
                <c:pt idx="25">
                  <c:v>0</c:v>
                </c:pt>
                <c:pt idx="26">
                  <c:v>28240</c:v>
                </c:pt>
                <c:pt idx="27">
                  <c:v>0</c:v>
                </c:pt>
                <c:pt idx="28">
                  <c:v>0</c:v>
                </c:pt>
                <c:pt idx="29">
                  <c:v>33605</c:v>
                </c:pt>
                <c:pt idx="30">
                  <c:v>0</c:v>
                </c:pt>
                <c:pt idx="31">
                  <c:v>40402</c:v>
                </c:pt>
                <c:pt idx="32">
                  <c:v>0</c:v>
                </c:pt>
                <c:pt idx="33">
                  <c:v>0</c:v>
                </c:pt>
                <c:pt idx="34">
                  <c:v>40555</c:v>
                </c:pt>
                <c:pt idx="35">
                  <c:v>0</c:v>
                </c:pt>
                <c:pt idx="36">
                  <c:v>0</c:v>
                </c:pt>
                <c:pt idx="37">
                  <c:v>42851</c:v>
                </c:pt>
                <c:pt idx="38">
                  <c:v>0</c:v>
                </c:pt>
                <c:pt idx="39">
                  <c:v>43917</c:v>
                </c:pt>
                <c:pt idx="40">
                  <c:v>0</c:v>
                </c:pt>
                <c:pt idx="41">
                  <c:v>0</c:v>
                </c:pt>
                <c:pt idx="42">
                  <c:v>50633</c:v>
                </c:pt>
                <c:pt idx="43">
                  <c:v>0</c:v>
                </c:pt>
                <c:pt idx="44">
                  <c:v>52024</c:v>
                </c:pt>
                <c:pt idx="45">
                  <c:v>0</c:v>
                </c:pt>
                <c:pt idx="46">
                  <c:v>0</c:v>
                </c:pt>
                <c:pt idx="47">
                  <c:v>54187</c:v>
                </c:pt>
                <c:pt idx="48">
                  <c:v>0</c:v>
                </c:pt>
                <c:pt idx="49">
                  <c:v>55860</c:v>
                </c:pt>
                <c:pt idx="50">
                  <c:v>0</c:v>
                </c:pt>
                <c:pt idx="51">
                  <c:v>0</c:v>
                </c:pt>
                <c:pt idx="52">
                  <c:v>60516</c:v>
                </c:pt>
                <c:pt idx="53">
                  <c:v>0</c:v>
                </c:pt>
                <c:pt idx="54">
                  <c:v>0</c:v>
                </c:pt>
                <c:pt idx="55">
                  <c:v>61677</c:v>
                </c:pt>
                <c:pt idx="56">
                  <c:v>0</c:v>
                </c:pt>
                <c:pt idx="57">
                  <c:v>62462</c:v>
                </c:pt>
                <c:pt idx="58">
                  <c:v>0</c:v>
                </c:pt>
                <c:pt idx="59">
                  <c:v>0</c:v>
                </c:pt>
                <c:pt idx="60">
                  <c:v>60491</c:v>
                </c:pt>
                <c:pt idx="61">
                  <c:v>0</c:v>
                </c:pt>
                <c:pt idx="62">
                  <c:v>55875</c:v>
                </c:pt>
                <c:pt idx="63">
                  <c:v>0</c:v>
                </c:pt>
                <c:pt idx="64">
                  <c:v>0</c:v>
                </c:pt>
                <c:pt idx="65">
                  <c:v>62811</c:v>
                </c:pt>
                <c:pt idx="66">
                  <c:v>0</c:v>
                </c:pt>
                <c:pt idx="67">
                  <c:v>56179</c:v>
                </c:pt>
                <c:pt idx="68">
                  <c:v>0</c:v>
                </c:pt>
                <c:pt idx="69">
                  <c:v>0</c:v>
                </c:pt>
                <c:pt idx="70">
                  <c:v>56470</c:v>
                </c:pt>
                <c:pt idx="71">
                  <c:v>0</c:v>
                </c:pt>
                <c:pt idx="72">
                  <c:v>0</c:v>
                </c:pt>
                <c:pt idx="73">
                  <c:v>52888</c:v>
                </c:pt>
                <c:pt idx="74">
                  <c:v>0</c:v>
                </c:pt>
                <c:pt idx="75">
                  <c:v>55817</c:v>
                </c:pt>
                <c:pt idx="76">
                  <c:v>0</c:v>
                </c:pt>
                <c:pt idx="77">
                  <c:v>0</c:v>
                </c:pt>
                <c:pt idx="78">
                  <c:v>49630</c:v>
                </c:pt>
                <c:pt idx="79">
                  <c:v>0</c:v>
                </c:pt>
                <c:pt idx="80">
                  <c:v>48581</c:v>
                </c:pt>
                <c:pt idx="81">
                  <c:v>0</c:v>
                </c:pt>
                <c:pt idx="82">
                  <c:v>0</c:v>
                </c:pt>
                <c:pt idx="83">
                  <c:v>50047</c:v>
                </c:pt>
                <c:pt idx="84">
                  <c:v>0</c:v>
                </c:pt>
                <c:pt idx="85">
                  <c:v>0</c:v>
                </c:pt>
                <c:pt idx="86">
                  <c:v>50618</c:v>
                </c:pt>
                <c:pt idx="87">
                  <c:v>0</c:v>
                </c:pt>
                <c:pt idx="88">
                  <c:v>52215</c:v>
                </c:pt>
                <c:pt idx="89">
                  <c:v>0</c:v>
                </c:pt>
                <c:pt idx="90">
                  <c:v>0</c:v>
                </c:pt>
                <c:pt idx="91">
                  <c:v>54844</c:v>
                </c:pt>
                <c:pt idx="92">
                  <c:v>0</c:v>
                </c:pt>
                <c:pt idx="93">
                  <c:v>56003</c:v>
                </c:pt>
                <c:pt idx="94">
                  <c:v>0</c:v>
                </c:pt>
                <c:pt idx="95">
                  <c:v>0</c:v>
                </c:pt>
                <c:pt idx="96">
                  <c:v>53465</c:v>
                </c:pt>
                <c:pt idx="97">
                  <c:v>0</c:v>
                </c:pt>
                <c:pt idx="98">
                  <c:v>53106</c:v>
                </c:pt>
                <c:pt idx="99">
                  <c:v>0</c:v>
                </c:pt>
                <c:pt idx="100">
                  <c:v>0</c:v>
                </c:pt>
                <c:pt idx="101">
                  <c:v>51869</c:v>
                </c:pt>
                <c:pt idx="102">
                  <c:v>0</c:v>
                </c:pt>
                <c:pt idx="103">
                  <c:v>0</c:v>
                </c:pt>
                <c:pt idx="104">
                  <c:v>48649</c:v>
                </c:pt>
                <c:pt idx="105">
                  <c:v>0</c:v>
                </c:pt>
                <c:pt idx="106">
                  <c:v>44606</c:v>
                </c:pt>
                <c:pt idx="107">
                  <c:v>0</c:v>
                </c:pt>
                <c:pt idx="108">
                  <c:v>0</c:v>
                </c:pt>
                <c:pt idx="109">
                  <c:v>41559</c:v>
                </c:pt>
                <c:pt idx="110">
                  <c:v>0</c:v>
                </c:pt>
                <c:pt idx="111">
                  <c:v>38981</c:v>
                </c:pt>
                <c:pt idx="112">
                  <c:v>0</c:v>
                </c:pt>
                <c:pt idx="113">
                  <c:v>0</c:v>
                </c:pt>
                <c:pt idx="114">
                  <c:v>37165</c:v>
                </c:pt>
                <c:pt idx="115">
                  <c:v>0</c:v>
                </c:pt>
                <c:pt idx="116">
                  <c:v>30123</c:v>
                </c:pt>
                <c:pt idx="117">
                  <c:v>0</c:v>
                </c:pt>
                <c:pt idx="118">
                  <c:v>0</c:v>
                </c:pt>
                <c:pt idx="119">
                  <c:v>30300</c:v>
                </c:pt>
                <c:pt idx="120">
                  <c:v>0</c:v>
                </c:pt>
                <c:pt idx="121">
                  <c:v>0</c:v>
                </c:pt>
                <c:pt idx="122">
                  <c:v>29801</c:v>
                </c:pt>
                <c:pt idx="123">
                  <c:v>0</c:v>
                </c:pt>
                <c:pt idx="124">
                  <c:v>25699</c:v>
                </c:pt>
                <c:pt idx="125">
                  <c:v>0</c:v>
                </c:pt>
                <c:pt idx="126">
                  <c:v>0</c:v>
                </c:pt>
                <c:pt idx="127">
                  <c:v>22940</c:v>
                </c:pt>
                <c:pt idx="128">
                  <c:v>0</c:v>
                </c:pt>
                <c:pt idx="129">
                  <c:v>19994</c:v>
                </c:pt>
                <c:pt idx="130">
                  <c:v>0</c:v>
                </c:pt>
                <c:pt idx="131">
                  <c:v>0</c:v>
                </c:pt>
                <c:pt idx="132">
                  <c:v>22681</c:v>
                </c:pt>
                <c:pt idx="133">
                  <c:v>0</c:v>
                </c:pt>
                <c:pt idx="134">
                  <c:v>16984</c:v>
                </c:pt>
                <c:pt idx="135">
                  <c:v>0</c:v>
                </c:pt>
                <c:pt idx="136">
                  <c:v>0</c:v>
                </c:pt>
                <c:pt idx="137">
                  <c:v>13429</c:v>
                </c:pt>
                <c:pt idx="138">
                  <c:v>0</c:v>
                </c:pt>
                <c:pt idx="139">
                  <c:v>0</c:v>
                </c:pt>
                <c:pt idx="140">
                  <c:v>11042</c:v>
                </c:pt>
                <c:pt idx="141">
                  <c:v>0</c:v>
                </c:pt>
                <c:pt idx="142">
                  <c:v>9822</c:v>
                </c:pt>
                <c:pt idx="143">
                  <c:v>0</c:v>
                </c:pt>
                <c:pt idx="144">
                  <c:v>0</c:v>
                </c:pt>
                <c:pt idx="145">
                  <c:v>6746</c:v>
                </c:pt>
                <c:pt idx="146">
                  <c:v>0</c:v>
                </c:pt>
                <c:pt idx="147">
                  <c:v>3976</c:v>
                </c:pt>
                <c:pt idx="148">
                  <c:v>0</c:v>
                </c:pt>
                <c:pt idx="149">
                  <c:v>0</c:v>
                </c:pt>
                <c:pt idx="150">
                  <c:v>4430</c:v>
                </c:pt>
                <c:pt idx="151">
                  <c:v>0</c:v>
                </c:pt>
                <c:pt idx="152">
                  <c:v>3940</c:v>
                </c:pt>
                <c:pt idx="153">
                  <c:v>0</c:v>
                </c:pt>
                <c:pt idx="154">
                  <c:v>0</c:v>
                </c:pt>
                <c:pt idx="155">
                  <c:v>2833</c:v>
                </c:pt>
                <c:pt idx="156">
                  <c:v>0</c:v>
                </c:pt>
                <c:pt idx="157">
                  <c:v>0</c:v>
                </c:pt>
                <c:pt idx="158">
                  <c:v>2365</c:v>
                </c:pt>
                <c:pt idx="159">
                  <c:v>0</c:v>
                </c:pt>
                <c:pt idx="160">
                  <c:v>2082</c:v>
                </c:pt>
                <c:pt idx="161">
                  <c:v>0</c:v>
                </c:pt>
                <c:pt idx="162">
                  <c:v>0</c:v>
                </c:pt>
                <c:pt idx="163">
                  <c:v>2400</c:v>
                </c:pt>
                <c:pt idx="164">
                  <c:v>0</c:v>
                </c:pt>
                <c:pt idx="165">
                  <c:v>1263</c:v>
                </c:pt>
                <c:pt idx="166">
                  <c:v>0</c:v>
                </c:pt>
                <c:pt idx="167">
                  <c:v>0</c:v>
                </c:pt>
                <c:pt idx="168">
                  <c:v>749</c:v>
                </c:pt>
                <c:pt idx="169">
                  <c:v>0</c:v>
                </c:pt>
                <c:pt idx="170">
                  <c:v>0</c:v>
                </c:pt>
                <c:pt idx="171">
                  <c:v>679</c:v>
                </c:pt>
                <c:pt idx="172">
                  <c:v>0</c:v>
                </c:pt>
                <c:pt idx="173">
                  <c:v>142</c:v>
                </c:pt>
                <c:pt idx="174">
                  <c:v>0</c:v>
                </c:pt>
                <c:pt idx="175">
                  <c:v>0</c:v>
                </c:pt>
                <c:pt idx="176">
                  <c:v>373</c:v>
                </c:pt>
                <c:pt idx="177">
                  <c:v>0</c:v>
                </c:pt>
                <c:pt idx="178">
                  <c:v>388</c:v>
                </c:pt>
                <c:pt idx="179">
                  <c:v>0</c:v>
                </c:pt>
                <c:pt idx="180">
                  <c:v>0</c:v>
                </c:pt>
                <c:pt idx="181">
                  <c:v>49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10829</c:v>
                </c:pt>
                <c:pt idx="7">
                  <c:v>0</c:v>
                </c:pt>
                <c:pt idx="8">
                  <c:v>12660</c:v>
                </c:pt>
                <c:pt idx="9">
                  <c:v>0</c:v>
                </c:pt>
                <c:pt idx="10">
                  <c:v>0</c:v>
                </c:pt>
                <c:pt idx="11">
                  <c:v>14943</c:v>
                </c:pt>
                <c:pt idx="12">
                  <c:v>0</c:v>
                </c:pt>
                <c:pt idx="13">
                  <c:v>19732</c:v>
                </c:pt>
                <c:pt idx="14">
                  <c:v>0</c:v>
                </c:pt>
                <c:pt idx="15">
                  <c:v>0</c:v>
                </c:pt>
                <c:pt idx="16">
                  <c:v>21605</c:v>
                </c:pt>
                <c:pt idx="17">
                  <c:v>0</c:v>
                </c:pt>
                <c:pt idx="18">
                  <c:v>0</c:v>
                </c:pt>
                <c:pt idx="19">
                  <c:v>28327</c:v>
                </c:pt>
                <c:pt idx="20">
                  <c:v>0</c:v>
                </c:pt>
                <c:pt idx="21">
                  <c:v>36184</c:v>
                </c:pt>
                <c:pt idx="22">
                  <c:v>0</c:v>
                </c:pt>
                <c:pt idx="23">
                  <c:v>0</c:v>
                </c:pt>
                <c:pt idx="24">
                  <c:v>39400</c:v>
                </c:pt>
                <c:pt idx="25">
                  <c:v>0</c:v>
                </c:pt>
                <c:pt idx="26">
                  <c:v>44360</c:v>
                </c:pt>
                <c:pt idx="27">
                  <c:v>0</c:v>
                </c:pt>
                <c:pt idx="28">
                  <c:v>0</c:v>
                </c:pt>
                <c:pt idx="29">
                  <c:v>46408</c:v>
                </c:pt>
                <c:pt idx="30">
                  <c:v>0</c:v>
                </c:pt>
                <c:pt idx="31">
                  <c:v>49319</c:v>
                </c:pt>
                <c:pt idx="32">
                  <c:v>0</c:v>
                </c:pt>
                <c:pt idx="33">
                  <c:v>0</c:v>
                </c:pt>
                <c:pt idx="34">
                  <c:v>51885</c:v>
                </c:pt>
                <c:pt idx="35">
                  <c:v>0</c:v>
                </c:pt>
                <c:pt idx="36">
                  <c:v>0</c:v>
                </c:pt>
                <c:pt idx="37">
                  <c:v>54174</c:v>
                </c:pt>
                <c:pt idx="38">
                  <c:v>0</c:v>
                </c:pt>
                <c:pt idx="39">
                  <c:v>50297</c:v>
                </c:pt>
                <c:pt idx="40">
                  <c:v>0</c:v>
                </c:pt>
                <c:pt idx="41">
                  <c:v>0</c:v>
                </c:pt>
                <c:pt idx="42">
                  <c:v>46490</c:v>
                </c:pt>
                <c:pt idx="43">
                  <c:v>0</c:v>
                </c:pt>
                <c:pt idx="44">
                  <c:v>48134</c:v>
                </c:pt>
                <c:pt idx="45">
                  <c:v>0</c:v>
                </c:pt>
                <c:pt idx="46">
                  <c:v>0</c:v>
                </c:pt>
                <c:pt idx="47">
                  <c:v>47242</c:v>
                </c:pt>
                <c:pt idx="48">
                  <c:v>0</c:v>
                </c:pt>
                <c:pt idx="49">
                  <c:v>48967</c:v>
                </c:pt>
                <c:pt idx="50">
                  <c:v>0</c:v>
                </c:pt>
                <c:pt idx="51">
                  <c:v>0</c:v>
                </c:pt>
                <c:pt idx="52">
                  <c:v>51406</c:v>
                </c:pt>
                <c:pt idx="53">
                  <c:v>0</c:v>
                </c:pt>
                <c:pt idx="54">
                  <c:v>0</c:v>
                </c:pt>
                <c:pt idx="55">
                  <c:v>53600</c:v>
                </c:pt>
                <c:pt idx="56">
                  <c:v>0</c:v>
                </c:pt>
                <c:pt idx="57">
                  <c:v>55547</c:v>
                </c:pt>
                <c:pt idx="58">
                  <c:v>0</c:v>
                </c:pt>
                <c:pt idx="59">
                  <c:v>0</c:v>
                </c:pt>
                <c:pt idx="60">
                  <c:v>58721</c:v>
                </c:pt>
                <c:pt idx="61">
                  <c:v>0</c:v>
                </c:pt>
                <c:pt idx="62">
                  <c:v>51881</c:v>
                </c:pt>
                <c:pt idx="63">
                  <c:v>0</c:v>
                </c:pt>
                <c:pt idx="64">
                  <c:v>0</c:v>
                </c:pt>
                <c:pt idx="65">
                  <c:v>50468</c:v>
                </c:pt>
                <c:pt idx="66">
                  <c:v>0</c:v>
                </c:pt>
                <c:pt idx="67">
                  <c:v>51728</c:v>
                </c:pt>
                <c:pt idx="68">
                  <c:v>0</c:v>
                </c:pt>
                <c:pt idx="69">
                  <c:v>0</c:v>
                </c:pt>
                <c:pt idx="70">
                  <c:v>51071</c:v>
                </c:pt>
                <c:pt idx="71">
                  <c:v>0</c:v>
                </c:pt>
                <c:pt idx="72">
                  <c:v>0</c:v>
                </c:pt>
                <c:pt idx="73">
                  <c:v>43547</c:v>
                </c:pt>
                <c:pt idx="74">
                  <c:v>0</c:v>
                </c:pt>
                <c:pt idx="75">
                  <c:v>42634</c:v>
                </c:pt>
                <c:pt idx="76">
                  <c:v>0</c:v>
                </c:pt>
                <c:pt idx="77">
                  <c:v>0</c:v>
                </c:pt>
                <c:pt idx="78">
                  <c:v>37278</c:v>
                </c:pt>
                <c:pt idx="79">
                  <c:v>0</c:v>
                </c:pt>
                <c:pt idx="80">
                  <c:v>39681</c:v>
                </c:pt>
                <c:pt idx="81">
                  <c:v>0</c:v>
                </c:pt>
                <c:pt idx="82">
                  <c:v>0</c:v>
                </c:pt>
                <c:pt idx="83">
                  <c:v>37397</c:v>
                </c:pt>
                <c:pt idx="84">
                  <c:v>0</c:v>
                </c:pt>
                <c:pt idx="85">
                  <c:v>0</c:v>
                </c:pt>
                <c:pt idx="86">
                  <c:v>43616</c:v>
                </c:pt>
                <c:pt idx="87">
                  <c:v>0</c:v>
                </c:pt>
                <c:pt idx="88">
                  <c:v>38603</c:v>
                </c:pt>
                <c:pt idx="89">
                  <c:v>0</c:v>
                </c:pt>
                <c:pt idx="90">
                  <c:v>0</c:v>
                </c:pt>
                <c:pt idx="91">
                  <c:v>34288</c:v>
                </c:pt>
                <c:pt idx="92">
                  <c:v>0</c:v>
                </c:pt>
                <c:pt idx="93">
                  <c:v>32731</c:v>
                </c:pt>
                <c:pt idx="94">
                  <c:v>0</c:v>
                </c:pt>
                <c:pt idx="95">
                  <c:v>0</c:v>
                </c:pt>
                <c:pt idx="96">
                  <c:v>32762</c:v>
                </c:pt>
                <c:pt idx="97">
                  <c:v>0</c:v>
                </c:pt>
                <c:pt idx="98">
                  <c:v>32312</c:v>
                </c:pt>
                <c:pt idx="99">
                  <c:v>0</c:v>
                </c:pt>
                <c:pt idx="100">
                  <c:v>0</c:v>
                </c:pt>
                <c:pt idx="101">
                  <c:v>38908</c:v>
                </c:pt>
                <c:pt idx="102">
                  <c:v>0</c:v>
                </c:pt>
                <c:pt idx="103">
                  <c:v>0</c:v>
                </c:pt>
                <c:pt idx="104">
                  <c:v>34513</c:v>
                </c:pt>
                <c:pt idx="105">
                  <c:v>0</c:v>
                </c:pt>
                <c:pt idx="106">
                  <c:v>34600</c:v>
                </c:pt>
                <c:pt idx="107">
                  <c:v>0</c:v>
                </c:pt>
                <c:pt idx="108">
                  <c:v>0</c:v>
                </c:pt>
                <c:pt idx="109">
                  <c:v>37083</c:v>
                </c:pt>
                <c:pt idx="110">
                  <c:v>0</c:v>
                </c:pt>
                <c:pt idx="111">
                  <c:v>34132</c:v>
                </c:pt>
                <c:pt idx="112">
                  <c:v>0</c:v>
                </c:pt>
                <c:pt idx="113">
                  <c:v>0</c:v>
                </c:pt>
                <c:pt idx="114">
                  <c:v>32002</c:v>
                </c:pt>
                <c:pt idx="115">
                  <c:v>0</c:v>
                </c:pt>
                <c:pt idx="116">
                  <c:v>29090</c:v>
                </c:pt>
                <c:pt idx="117">
                  <c:v>0</c:v>
                </c:pt>
                <c:pt idx="118">
                  <c:v>0</c:v>
                </c:pt>
                <c:pt idx="119">
                  <c:v>30678</c:v>
                </c:pt>
                <c:pt idx="120">
                  <c:v>0</c:v>
                </c:pt>
                <c:pt idx="121">
                  <c:v>0</c:v>
                </c:pt>
                <c:pt idx="122">
                  <c:v>29097</c:v>
                </c:pt>
                <c:pt idx="123">
                  <c:v>0</c:v>
                </c:pt>
                <c:pt idx="124">
                  <c:v>29262</c:v>
                </c:pt>
                <c:pt idx="125">
                  <c:v>0</c:v>
                </c:pt>
                <c:pt idx="126">
                  <c:v>0</c:v>
                </c:pt>
                <c:pt idx="127">
                  <c:v>28045</c:v>
                </c:pt>
                <c:pt idx="128">
                  <c:v>0</c:v>
                </c:pt>
                <c:pt idx="129">
                  <c:v>24307</c:v>
                </c:pt>
                <c:pt idx="130">
                  <c:v>0</c:v>
                </c:pt>
                <c:pt idx="131">
                  <c:v>0</c:v>
                </c:pt>
                <c:pt idx="132">
                  <c:v>25060</c:v>
                </c:pt>
                <c:pt idx="133">
                  <c:v>0</c:v>
                </c:pt>
                <c:pt idx="134">
                  <c:v>22333</c:v>
                </c:pt>
                <c:pt idx="135">
                  <c:v>0</c:v>
                </c:pt>
                <c:pt idx="136">
                  <c:v>0</c:v>
                </c:pt>
                <c:pt idx="137">
                  <c:v>18677</c:v>
                </c:pt>
                <c:pt idx="138">
                  <c:v>0</c:v>
                </c:pt>
                <c:pt idx="139">
                  <c:v>0</c:v>
                </c:pt>
                <c:pt idx="140">
                  <c:v>15122</c:v>
                </c:pt>
                <c:pt idx="141">
                  <c:v>0</c:v>
                </c:pt>
                <c:pt idx="142">
                  <c:v>13557</c:v>
                </c:pt>
                <c:pt idx="143">
                  <c:v>0</c:v>
                </c:pt>
                <c:pt idx="144">
                  <c:v>0</c:v>
                </c:pt>
                <c:pt idx="145">
                  <c:v>9731</c:v>
                </c:pt>
                <c:pt idx="146">
                  <c:v>0</c:v>
                </c:pt>
                <c:pt idx="147">
                  <c:v>5553</c:v>
                </c:pt>
                <c:pt idx="148">
                  <c:v>0</c:v>
                </c:pt>
                <c:pt idx="149">
                  <c:v>0</c:v>
                </c:pt>
                <c:pt idx="150">
                  <c:v>4286</c:v>
                </c:pt>
                <c:pt idx="151">
                  <c:v>0</c:v>
                </c:pt>
                <c:pt idx="152">
                  <c:v>3732</c:v>
                </c:pt>
                <c:pt idx="153">
                  <c:v>0</c:v>
                </c:pt>
                <c:pt idx="154">
                  <c:v>0</c:v>
                </c:pt>
                <c:pt idx="155">
                  <c:v>3499</c:v>
                </c:pt>
                <c:pt idx="156">
                  <c:v>0</c:v>
                </c:pt>
                <c:pt idx="157">
                  <c:v>0</c:v>
                </c:pt>
                <c:pt idx="158">
                  <c:v>4011</c:v>
                </c:pt>
                <c:pt idx="159">
                  <c:v>0</c:v>
                </c:pt>
                <c:pt idx="160">
                  <c:v>3367</c:v>
                </c:pt>
                <c:pt idx="161">
                  <c:v>0</c:v>
                </c:pt>
                <c:pt idx="162">
                  <c:v>0</c:v>
                </c:pt>
                <c:pt idx="163">
                  <c:v>2800</c:v>
                </c:pt>
                <c:pt idx="164">
                  <c:v>0</c:v>
                </c:pt>
                <c:pt idx="165">
                  <c:v>1248</c:v>
                </c:pt>
                <c:pt idx="166">
                  <c:v>0</c:v>
                </c:pt>
                <c:pt idx="167">
                  <c:v>0</c:v>
                </c:pt>
                <c:pt idx="168">
                  <c:v>1067</c:v>
                </c:pt>
                <c:pt idx="169">
                  <c:v>0</c:v>
                </c:pt>
                <c:pt idx="170">
                  <c:v>0</c:v>
                </c:pt>
                <c:pt idx="171">
                  <c:v>753</c:v>
                </c:pt>
                <c:pt idx="172">
                  <c:v>0</c:v>
                </c:pt>
                <c:pt idx="173">
                  <c:v>599</c:v>
                </c:pt>
                <c:pt idx="174">
                  <c:v>0</c:v>
                </c:pt>
                <c:pt idx="175">
                  <c:v>0</c:v>
                </c:pt>
                <c:pt idx="176">
                  <c:v>82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0.2343147723563804</c:v>
                </c:pt>
                <c:pt idx="1">
                  <c:v>0.32317563420141054</c:v>
                </c:pt>
                <c:pt idx="2">
                  <c:v>0.44250959344220897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0.40838784044950815</c:v>
                </c:pt>
                <c:pt idx="1">
                  <c:v>0.39280986463841366</c:v>
                </c:pt>
                <c:pt idx="2">
                  <c:v>0.19880229491207832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12.225055000000001</c:v>
                </c:pt>
                <c:pt idx="1">
                  <c:v>9.602662500000001</c:v>
                </c:pt>
                <c:pt idx="2">
                  <c:v>33.69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0.40791699999999997</c:v>
                </c:pt>
                <c:pt idx="2">
                  <c:v>0.81150699999999998</c:v>
                </c:pt>
                <c:pt idx="3">
                  <c:v>1.2148300000000001</c:v>
                </c:pt>
                <c:pt idx="4">
                  <c:v>1.62164</c:v>
                </c:pt>
                <c:pt idx="5">
                  <c:v>2.0315799999999999</c:v>
                </c:pt>
                <c:pt idx="6">
                  <c:v>2.4354900000000002</c:v>
                </c:pt>
                <c:pt idx="7">
                  <c:v>2.8409200000000001</c:v>
                </c:pt>
                <c:pt idx="8">
                  <c:v>3.2503500000000001</c:v>
                </c:pt>
                <c:pt idx="9">
                  <c:v>3.6562199999999998</c:v>
                </c:pt>
                <c:pt idx="10">
                  <c:v>4.06419</c:v>
                </c:pt>
                <c:pt idx="11">
                  <c:v>4.4682199999999996</c:v>
                </c:pt>
                <c:pt idx="12">
                  <c:v>4.8730200000000004</c:v>
                </c:pt>
                <c:pt idx="13">
                  <c:v>5.27902</c:v>
                </c:pt>
                <c:pt idx="14">
                  <c:v>5.6898</c:v>
                </c:pt>
                <c:pt idx="15">
                  <c:v>6.0964099999999997</c:v>
                </c:pt>
                <c:pt idx="16">
                  <c:v>6.4996499999999999</c:v>
                </c:pt>
                <c:pt idx="17">
                  <c:v>6.9036799999999996</c:v>
                </c:pt>
                <c:pt idx="18">
                  <c:v>7.3105399999999996</c:v>
                </c:pt>
                <c:pt idx="19">
                  <c:v>7.71936</c:v>
                </c:pt>
                <c:pt idx="20">
                  <c:v>8.1242699999999992</c:v>
                </c:pt>
                <c:pt idx="21">
                  <c:v>8.5322099999999992</c:v>
                </c:pt>
                <c:pt idx="22">
                  <c:v>8.9371500000000008</c:v>
                </c:pt>
                <c:pt idx="23">
                  <c:v>9.3422499999999999</c:v>
                </c:pt>
                <c:pt idx="24">
                  <c:v>9.7549600000000005</c:v>
                </c:pt>
                <c:pt idx="25">
                  <c:v>10.1579</c:v>
                </c:pt>
                <c:pt idx="26">
                  <c:v>10.5639</c:v>
                </c:pt>
                <c:pt idx="27">
                  <c:v>10.968</c:v>
                </c:pt>
                <c:pt idx="28">
                  <c:v>11.374700000000001</c:v>
                </c:pt>
                <c:pt idx="29">
                  <c:v>11.782500000000001</c:v>
                </c:pt>
                <c:pt idx="30">
                  <c:v>12.1884</c:v>
                </c:pt>
                <c:pt idx="31">
                  <c:v>12.5943</c:v>
                </c:pt>
                <c:pt idx="32">
                  <c:v>12.9983</c:v>
                </c:pt>
                <c:pt idx="33">
                  <c:v>13.407400000000001</c:v>
                </c:pt>
                <c:pt idx="34">
                  <c:v>13.811199999999999</c:v>
                </c:pt>
                <c:pt idx="35">
                  <c:v>14.219099999999999</c:v>
                </c:pt>
                <c:pt idx="36">
                  <c:v>14.6259</c:v>
                </c:pt>
                <c:pt idx="37">
                  <c:v>15.0299</c:v>
                </c:pt>
                <c:pt idx="38">
                  <c:v>15.4358</c:v>
                </c:pt>
                <c:pt idx="39">
                  <c:v>15.842700000000001</c:v>
                </c:pt>
                <c:pt idx="40">
                  <c:v>16.2517</c:v>
                </c:pt>
                <c:pt idx="41">
                  <c:v>16.6585</c:v>
                </c:pt>
                <c:pt idx="42">
                  <c:v>17.061399999999999</c:v>
                </c:pt>
                <c:pt idx="43">
                  <c:v>17.468399999999999</c:v>
                </c:pt>
                <c:pt idx="44">
                  <c:v>17.871300000000002</c:v>
                </c:pt>
                <c:pt idx="45">
                  <c:v>18.280200000000001</c:v>
                </c:pt>
                <c:pt idx="46">
                  <c:v>18.6873</c:v>
                </c:pt>
                <c:pt idx="47">
                  <c:v>19.093</c:v>
                </c:pt>
                <c:pt idx="48">
                  <c:v>19.501300000000001</c:v>
                </c:pt>
                <c:pt idx="49">
                  <c:v>19.9069</c:v>
                </c:pt>
                <c:pt idx="50">
                  <c:v>20.310700000000001</c:v>
                </c:pt>
                <c:pt idx="51">
                  <c:v>20.716699999999999</c:v>
                </c:pt>
                <c:pt idx="52">
                  <c:v>21.124600000000001</c:v>
                </c:pt>
                <c:pt idx="53">
                  <c:v>21.532499999999999</c:v>
                </c:pt>
                <c:pt idx="54">
                  <c:v>21.941400000000002</c:v>
                </c:pt>
                <c:pt idx="55">
                  <c:v>22.343399999999999</c:v>
                </c:pt>
                <c:pt idx="56">
                  <c:v>22.748200000000001</c:v>
                </c:pt>
                <c:pt idx="57">
                  <c:v>23.154599999999999</c:v>
                </c:pt>
                <c:pt idx="58">
                  <c:v>23.565200000000001</c:v>
                </c:pt>
                <c:pt idx="59">
                  <c:v>23.97</c:v>
                </c:pt>
                <c:pt idx="60">
                  <c:v>24.3749</c:v>
                </c:pt>
                <c:pt idx="61">
                  <c:v>24.779800000000002</c:v>
                </c:pt>
                <c:pt idx="62">
                  <c:v>25.1859</c:v>
                </c:pt>
                <c:pt idx="63">
                  <c:v>25.596599999999999</c:v>
                </c:pt>
                <c:pt idx="64">
                  <c:v>26.0016</c:v>
                </c:pt>
                <c:pt idx="65">
                  <c:v>26.406500000000001</c:v>
                </c:pt>
                <c:pt idx="66">
                  <c:v>26.810400000000001</c:v>
                </c:pt>
                <c:pt idx="67">
                  <c:v>27.223299999999998</c:v>
                </c:pt>
                <c:pt idx="68">
                  <c:v>27.626200000000001</c:v>
                </c:pt>
                <c:pt idx="69">
                  <c:v>28.033100000000001</c:v>
                </c:pt>
                <c:pt idx="70">
                  <c:v>28.436299999999999</c:v>
                </c:pt>
                <c:pt idx="71">
                  <c:v>28.841000000000001</c:v>
                </c:pt>
                <c:pt idx="72">
                  <c:v>29.2499</c:v>
                </c:pt>
                <c:pt idx="73">
                  <c:v>29.6539</c:v>
                </c:pt>
                <c:pt idx="74">
                  <c:v>30.061699999999998</c:v>
                </c:pt>
                <c:pt idx="75">
                  <c:v>30.468599999999999</c:v>
                </c:pt>
                <c:pt idx="76">
                  <c:v>30.872499999999999</c:v>
                </c:pt>
                <c:pt idx="77">
                  <c:v>31.2807</c:v>
                </c:pt>
                <c:pt idx="78">
                  <c:v>31.688300000000002</c:v>
                </c:pt>
                <c:pt idx="79">
                  <c:v>32.097200000000001</c:v>
                </c:pt>
                <c:pt idx="80">
                  <c:v>32.5015</c:v>
                </c:pt>
                <c:pt idx="81">
                  <c:v>32.905099999999997</c:v>
                </c:pt>
                <c:pt idx="82">
                  <c:v>33.308999999999997</c:v>
                </c:pt>
                <c:pt idx="83">
                  <c:v>33.7151</c:v>
                </c:pt>
                <c:pt idx="84">
                  <c:v>34.121699999999997</c:v>
                </c:pt>
                <c:pt idx="85">
                  <c:v>34.531700000000001</c:v>
                </c:pt>
                <c:pt idx="86">
                  <c:v>34.935099999999998</c:v>
                </c:pt>
                <c:pt idx="87">
                  <c:v>35.345500000000001</c:v>
                </c:pt>
                <c:pt idx="88">
                  <c:v>35.749499999999998</c:v>
                </c:pt>
                <c:pt idx="89">
                  <c:v>36.1554</c:v>
                </c:pt>
                <c:pt idx="90">
                  <c:v>36.561500000000002</c:v>
                </c:pt>
                <c:pt idx="91">
                  <c:v>36.968400000000003</c:v>
                </c:pt>
                <c:pt idx="92">
                  <c:v>37.376100000000001</c:v>
                </c:pt>
                <c:pt idx="93">
                  <c:v>37.783000000000001</c:v>
                </c:pt>
                <c:pt idx="94">
                  <c:v>38.184199999999997</c:v>
                </c:pt>
                <c:pt idx="95">
                  <c:v>38.592100000000002</c:v>
                </c:pt>
                <c:pt idx="96">
                  <c:v>39.002200000000002</c:v>
                </c:pt>
                <c:pt idx="97">
                  <c:v>39.407699999999998</c:v>
                </c:pt>
                <c:pt idx="98">
                  <c:v>39.813800000000001</c:v>
                </c:pt>
                <c:pt idx="99">
                  <c:v>40.2194</c:v>
                </c:pt>
                <c:pt idx="100">
                  <c:v>40.6265</c:v>
                </c:pt>
                <c:pt idx="101">
                  <c:v>41.034799999999997</c:v>
                </c:pt>
                <c:pt idx="102">
                  <c:v>41.4375</c:v>
                </c:pt>
                <c:pt idx="103">
                  <c:v>41.844299999999997</c:v>
                </c:pt>
                <c:pt idx="104">
                  <c:v>42.247199999999999</c:v>
                </c:pt>
                <c:pt idx="105">
                  <c:v>42.653100000000002</c:v>
                </c:pt>
                <c:pt idx="106">
                  <c:v>43.062100000000001</c:v>
                </c:pt>
                <c:pt idx="107">
                  <c:v>43.466799999999999</c:v>
                </c:pt>
                <c:pt idx="108">
                  <c:v>43.874899999999997</c:v>
                </c:pt>
                <c:pt idx="109">
                  <c:v>44.277799999999999</c:v>
                </c:pt>
                <c:pt idx="110">
                  <c:v>44.689</c:v>
                </c:pt>
                <c:pt idx="111">
                  <c:v>45.090600000000002</c:v>
                </c:pt>
                <c:pt idx="112">
                  <c:v>45.500500000000002</c:v>
                </c:pt>
                <c:pt idx="113">
                  <c:v>45.908299999999997</c:v>
                </c:pt>
                <c:pt idx="114">
                  <c:v>46.308300000000003</c:v>
                </c:pt>
                <c:pt idx="115">
                  <c:v>46.716200000000001</c:v>
                </c:pt>
                <c:pt idx="116">
                  <c:v>47.1282</c:v>
                </c:pt>
                <c:pt idx="117">
                  <c:v>47.533099999999997</c:v>
                </c:pt>
                <c:pt idx="118">
                  <c:v>47.936900000000001</c:v>
                </c:pt>
                <c:pt idx="119">
                  <c:v>48.341000000000001</c:v>
                </c:pt>
                <c:pt idx="120">
                  <c:v>48.7468</c:v>
                </c:pt>
                <c:pt idx="121">
                  <c:v>49.155700000000003</c:v>
                </c:pt>
                <c:pt idx="122">
                  <c:v>49.564599999999999</c:v>
                </c:pt>
                <c:pt idx="123">
                  <c:v>49.970500000000001</c:v>
                </c:pt>
                <c:pt idx="124">
                  <c:v>50.376399999999997</c:v>
                </c:pt>
                <c:pt idx="125">
                  <c:v>50.781599999999997</c:v>
                </c:pt>
                <c:pt idx="126">
                  <c:v>51.188200000000002</c:v>
                </c:pt>
                <c:pt idx="127">
                  <c:v>51.591200000000001</c:v>
                </c:pt>
                <c:pt idx="128">
                  <c:v>51.999200000000002</c:v>
                </c:pt>
                <c:pt idx="129">
                  <c:v>52.406999999999996</c:v>
                </c:pt>
                <c:pt idx="130">
                  <c:v>52.8108</c:v>
                </c:pt>
                <c:pt idx="131">
                  <c:v>53.219799999999999</c:v>
                </c:pt>
                <c:pt idx="132">
                  <c:v>53.623800000000003</c:v>
                </c:pt>
                <c:pt idx="133">
                  <c:v>54.028500000000001</c:v>
                </c:pt>
                <c:pt idx="134">
                  <c:v>54.435600000000001</c:v>
                </c:pt>
                <c:pt idx="135">
                  <c:v>54.8444</c:v>
                </c:pt>
                <c:pt idx="136">
                  <c:v>55.250300000000003</c:v>
                </c:pt>
                <c:pt idx="137">
                  <c:v>55.656300000000002</c:v>
                </c:pt>
                <c:pt idx="138">
                  <c:v>56.059100000000001</c:v>
                </c:pt>
                <c:pt idx="139">
                  <c:v>56.466999999999999</c:v>
                </c:pt>
                <c:pt idx="140">
                  <c:v>56.875999999999998</c:v>
                </c:pt>
                <c:pt idx="141">
                  <c:v>57.279000000000003</c:v>
                </c:pt>
                <c:pt idx="142">
                  <c:v>57.6858</c:v>
                </c:pt>
                <c:pt idx="143">
                  <c:v>58.090699999999998</c:v>
                </c:pt>
                <c:pt idx="144">
                  <c:v>58.502699999999997</c:v>
                </c:pt>
                <c:pt idx="145">
                  <c:v>58.907600000000002</c:v>
                </c:pt>
                <c:pt idx="146">
                  <c:v>59.313600000000001</c:v>
                </c:pt>
                <c:pt idx="147">
                  <c:v>59.720399999999998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2.6777199999999999</c:v>
                </c:pt>
                <c:pt idx="1">
                  <c:v>2.7400899999999999</c:v>
                </c:pt>
                <c:pt idx="2">
                  <c:v>2.8002599999999997</c:v>
                </c:pt>
                <c:pt idx="3">
                  <c:v>2.86191</c:v>
                </c:pt>
                <c:pt idx="4">
                  <c:v>2.9226400000000003</c:v>
                </c:pt>
                <c:pt idx="5">
                  <c:v>2.97993</c:v>
                </c:pt>
                <c:pt idx="6">
                  <c:v>3.0345599999999999</c:v>
                </c:pt>
                <c:pt idx="7">
                  <c:v>3.0868099999999998</c:v>
                </c:pt>
                <c:pt idx="8">
                  <c:v>3.13348</c:v>
                </c:pt>
                <c:pt idx="9">
                  <c:v>3.1749200000000002</c:v>
                </c:pt>
                <c:pt idx="10">
                  <c:v>3.2095500000000001</c:v>
                </c:pt>
                <c:pt idx="11">
                  <c:v>3.23813</c:v>
                </c:pt>
                <c:pt idx="12">
                  <c:v>3.2614799999999997</c:v>
                </c:pt>
                <c:pt idx="13">
                  <c:v>3.28172</c:v>
                </c:pt>
                <c:pt idx="14">
                  <c:v>3.2996699999999999</c:v>
                </c:pt>
                <c:pt idx="15">
                  <c:v>3.31487</c:v>
                </c:pt>
                <c:pt idx="16">
                  <c:v>3.3266400000000003</c:v>
                </c:pt>
                <c:pt idx="17">
                  <c:v>3.3354900000000001</c:v>
                </c:pt>
                <c:pt idx="18">
                  <c:v>3.3426099999999996</c:v>
                </c:pt>
                <c:pt idx="19">
                  <c:v>3.3444099999999999</c:v>
                </c:pt>
                <c:pt idx="20">
                  <c:v>3.3419500000000002</c:v>
                </c:pt>
                <c:pt idx="21">
                  <c:v>3.3356500000000002</c:v>
                </c:pt>
                <c:pt idx="22">
                  <c:v>3.3278600000000003</c:v>
                </c:pt>
                <c:pt idx="23">
                  <c:v>3.31934</c:v>
                </c:pt>
                <c:pt idx="24">
                  <c:v>3.3101599999999998</c:v>
                </c:pt>
                <c:pt idx="25">
                  <c:v>3.2974100000000002</c:v>
                </c:pt>
                <c:pt idx="26">
                  <c:v>3.2803399999999998</c:v>
                </c:pt>
                <c:pt idx="27">
                  <c:v>3.2599200000000002</c:v>
                </c:pt>
                <c:pt idx="28">
                  <c:v>3.23454</c:v>
                </c:pt>
                <c:pt idx="29">
                  <c:v>3.20723</c:v>
                </c:pt>
                <c:pt idx="30">
                  <c:v>3.1804600000000001</c:v>
                </c:pt>
                <c:pt idx="31">
                  <c:v>3.1540800000000004</c:v>
                </c:pt>
                <c:pt idx="32">
                  <c:v>3.1286300000000002</c:v>
                </c:pt>
                <c:pt idx="33">
                  <c:v>3.1051899999999999</c:v>
                </c:pt>
                <c:pt idx="34">
                  <c:v>3.08317</c:v>
                </c:pt>
                <c:pt idx="35">
                  <c:v>3.0647000000000002</c:v>
                </c:pt>
                <c:pt idx="36">
                  <c:v>3.04765</c:v>
                </c:pt>
                <c:pt idx="37">
                  <c:v>3.0318399999999999</c:v>
                </c:pt>
                <c:pt idx="38">
                  <c:v>3.0156800000000001</c:v>
                </c:pt>
                <c:pt idx="39">
                  <c:v>3.0013899999999998</c:v>
                </c:pt>
                <c:pt idx="40">
                  <c:v>2.98712</c:v>
                </c:pt>
                <c:pt idx="41">
                  <c:v>2.9743999999999997</c:v>
                </c:pt>
                <c:pt idx="42">
                  <c:v>2.9611900000000002</c:v>
                </c:pt>
                <c:pt idx="43">
                  <c:v>2.9476200000000001</c:v>
                </c:pt>
                <c:pt idx="44">
                  <c:v>2.9336800000000003</c:v>
                </c:pt>
                <c:pt idx="45">
                  <c:v>2.9195199999999999</c:v>
                </c:pt>
                <c:pt idx="46">
                  <c:v>2.9101100000000004</c:v>
                </c:pt>
                <c:pt idx="47">
                  <c:v>2.9062999999999999</c:v>
                </c:pt>
                <c:pt idx="48">
                  <c:v>2.9037099999999998</c:v>
                </c:pt>
                <c:pt idx="49">
                  <c:v>2.9008699999999998</c:v>
                </c:pt>
                <c:pt idx="50">
                  <c:v>2.8987499999999997</c:v>
                </c:pt>
                <c:pt idx="51">
                  <c:v>2.8995100000000003</c:v>
                </c:pt>
                <c:pt idx="52">
                  <c:v>2.9026100000000001</c:v>
                </c:pt>
                <c:pt idx="53">
                  <c:v>2.90333</c:v>
                </c:pt>
                <c:pt idx="54">
                  <c:v>2.9035600000000001</c:v>
                </c:pt>
                <c:pt idx="55">
                  <c:v>2.9027700000000003</c:v>
                </c:pt>
                <c:pt idx="56">
                  <c:v>2.8986800000000001</c:v>
                </c:pt>
                <c:pt idx="57">
                  <c:v>2.8905500000000002</c:v>
                </c:pt>
                <c:pt idx="58">
                  <c:v>2.8812500000000001</c:v>
                </c:pt>
                <c:pt idx="59">
                  <c:v>2.8693499999999998</c:v>
                </c:pt>
                <c:pt idx="60">
                  <c:v>2.8560600000000003</c:v>
                </c:pt>
                <c:pt idx="61">
                  <c:v>2.84165</c:v>
                </c:pt>
                <c:pt idx="62">
                  <c:v>2.82674</c:v>
                </c:pt>
                <c:pt idx="63">
                  <c:v>2.8122699999999998</c:v>
                </c:pt>
                <c:pt idx="64">
                  <c:v>2.7973300000000001</c:v>
                </c:pt>
                <c:pt idx="65">
                  <c:v>2.78376</c:v>
                </c:pt>
                <c:pt idx="66">
                  <c:v>2.7692499999999995</c:v>
                </c:pt>
                <c:pt idx="67">
                  <c:v>2.7546900000000001</c:v>
                </c:pt>
                <c:pt idx="68">
                  <c:v>2.7422300000000002</c:v>
                </c:pt>
                <c:pt idx="69">
                  <c:v>2.7325899999999996</c:v>
                </c:pt>
                <c:pt idx="70">
                  <c:v>2.7239900000000001</c:v>
                </c:pt>
                <c:pt idx="71">
                  <c:v>2.7146300000000001</c:v>
                </c:pt>
                <c:pt idx="72">
                  <c:v>2.7006599999999996</c:v>
                </c:pt>
                <c:pt idx="73">
                  <c:v>2.68581</c:v>
                </c:pt>
                <c:pt idx="74">
                  <c:v>2.6715499999999999</c:v>
                </c:pt>
                <c:pt idx="75">
                  <c:v>2.6595800000000001</c:v>
                </c:pt>
                <c:pt idx="76">
                  <c:v>2.64825</c:v>
                </c:pt>
                <c:pt idx="77">
                  <c:v>2.6380699999999999</c:v>
                </c:pt>
                <c:pt idx="78">
                  <c:v>2.6340599999999998</c:v>
                </c:pt>
                <c:pt idx="79">
                  <c:v>2.63266</c:v>
                </c:pt>
                <c:pt idx="80">
                  <c:v>2.6319500000000002</c:v>
                </c:pt>
                <c:pt idx="81">
                  <c:v>2.6365600000000002</c:v>
                </c:pt>
                <c:pt idx="82">
                  <c:v>2.64635</c:v>
                </c:pt>
                <c:pt idx="83">
                  <c:v>2.6590000000000003</c:v>
                </c:pt>
                <c:pt idx="84">
                  <c:v>2.6730799999999997</c:v>
                </c:pt>
                <c:pt idx="85">
                  <c:v>2.6886199999999998</c:v>
                </c:pt>
                <c:pt idx="86">
                  <c:v>2.7058200000000001</c:v>
                </c:pt>
                <c:pt idx="87">
                  <c:v>2.7265099999999998</c:v>
                </c:pt>
                <c:pt idx="88">
                  <c:v>2.74411</c:v>
                </c:pt>
                <c:pt idx="89">
                  <c:v>2.7600699999999998</c:v>
                </c:pt>
                <c:pt idx="90">
                  <c:v>2.7738800000000001</c:v>
                </c:pt>
                <c:pt idx="91">
                  <c:v>2.7880899999999995</c:v>
                </c:pt>
                <c:pt idx="92">
                  <c:v>2.8044500000000001</c:v>
                </c:pt>
                <c:pt idx="93">
                  <c:v>2.8203</c:v>
                </c:pt>
                <c:pt idx="94">
                  <c:v>2.83304</c:v>
                </c:pt>
                <c:pt idx="95">
                  <c:v>2.8428800000000001</c:v>
                </c:pt>
                <c:pt idx="96">
                  <c:v>2.8492000000000002</c:v>
                </c:pt>
                <c:pt idx="97">
                  <c:v>2.8519600000000001</c:v>
                </c:pt>
                <c:pt idx="98">
                  <c:v>2.8538899999999998</c:v>
                </c:pt>
                <c:pt idx="99">
                  <c:v>2.8574100000000002</c:v>
                </c:pt>
                <c:pt idx="100">
                  <c:v>2.8607</c:v>
                </c:pt>
                <c:pt idx="101">
                  <c:v>2.86435</c:v>
                </c:pt>
                <c:pt idx="102">
                  <c:v>2.8657700000000004</c:v>
                </c:pt>
                <c:pt idx="103">
                  <c:v>2.8671000000000002</c:v>
                </c:pt>
                <c:pt idx="104">
                  <c:v>2.8667100000000003</c:v>
                </c:pt>
                <c:pt idx="105">
                  <c:v>2.8660899999999998</c:v>
                </c:pt>
                <c:pt idx="106">
                  <c:v>2.8645500000000004</c:v>
                </c:pt>
                <c:pt idx="107">
                  <c:v>2.8625099999999999</c:v>
                </c:pt>
                <c:pt idx="108">
                  <c:v>2.8595300000000003</c:v>
                </c:pt>
                <c:pt idx="109">
                  <c:v>2.85765</c:v>
                </c:pt>
                <c:pt idx="110">
                  <c:v>2.8564800000000004</c:v>
                </c:pt>
                <c:pt idx="111">
                  <c:v>2.8554600000000003</c:v>
                </c:pt>
                <c:pt idx="112">
                  <c:v>2.8528099999999998</c:v>
                </c:pt>
                <c:pt idx="113">
                  <c:v>2.8550800000000001</c:v>
                </c:pt>
                <c:pt idx="114">
                  <c:v>2.8589199999999999</c:v>
                </c:pt>
                <c:pt idx="115">
                  <c:v>2.8633999999999999</c:v>
                </c:pt>
                <c:pt idx="116">
                  <c:v>2.86883</c:v>
                </c:pt>
                <c:pt idx="117">
                  <c:v>2.8701300000000001</c:v>
                </c:pt>
                <c:pt idx="118">
                  <c:v>2.8681899999999998</c:v>
                </c:pt>
                <c:pt idx="119">
                  <c:v>2.8693</c:v>
                </c:pt>
                <c:pt idx="120">
                  <c:v>2.8702699999999997</c:v>
                </c:pt>
                <c:pt idx="121">
                  <c:v>2.8708</c:v>
                </c:pt>
                <c:pt idx="122">
                  <c:v>2.87554</c:v>
                </c:pt>
                <c:pt idx="123">
                  <c:v>2.87941</c:v>
                </c:pt>
                <c:pt idx="124">
                  <c:v>2.8824699999999996</c:v>
                </c:pt>
                <c:pt idx="125">
                  <c:v>2.8854000000000002</c:v>
                </c:pt>
                <c:pt idx="126">
                  <c:v>2.8879300000000003</c:v>
                </c:pt>
                <c:pt idx="127">
                  <c:v>2.8916399999999998</c:v>
                </c:pt>
                <c:pt idx="128">
                  <c:v>2.8949699999999998</c:v>
                </c:pt>
                <c:pt idx="129">
                  <c:v>2.8990800000000001</c:v>
                </c:pt>
                <c:pt idx="130">
                  <c:v>2.90367</c:v>
                </c:pt>
                <c:pt idx="131">
                  <c:v>2.9068399999999999</c:v>
                </c:pt>
                <c:pt idx="132">
                  <c:v>2.9103000000000003</c:v>
                </c:pt>
                <c:pt idx="133">
                  <c:v>2.9140100000000002</c:v>
                </c:pt>
                <c:pt idx="134">
                  <c:v>2.9178100000000002</c:v>
                </c:pt>
                <c:pt idx="135">
                  <c:v>2.9194300000000002</c:v>
                </c:pt>
                <c:pt idx="136">
                  <c:v>2.9203800000000002</c:v>
                </c:pt>
                <c:pt idx="137">
                  <c:v>2.9204400000000001</c:v>
                </c:pt>
                <c:pt idx="138">
                  <c:v>2.91479</c:v>
                </c:pt>
                <c:pt idx="139">
                  <c:v>2.9058000000000002</c:v>
                </c:pt>
                <c:pt idx="140">
                  <c:v>2.8974100000000003</c:v>
                </c:pt>
                <c:pt idx="141">
                  <c:v>2.8838799999999996</c:v>
                </c:pt>
                <c:pt idx="142">
                  <c:v>2.87439</c:v>
                </c:pt>
                <c:pt idx="143">
                  <c:v>2.8721000000000001</c:v>
                </c:pt>
                <c:pt idx="144">
                  <c:v>2.8589199999999999</c:v>
                </c:pt>
                <c:pt idx="145">
                  <c:v>2.8536000000000001</c:v>
                </c:pt>
                <c:pt idx="146">
                  <c:v>2.85778</c:v>
                </c:pt>
                <c:pt idx="147">
                  <c:v>2.84823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0.40791699999999997</c:v>
                </c:pt>
                <c:pt idx="2">
                  <c:v>0.81150699999999998</c:v>
                </c:pt>
                <c:pt idx="3">
                  <c:v>1.2148300000000001</c:v>
                </c:pt>
                <c:pt idx="4">
                  <c:v>1.62164</c:v>
                </c:pt>
                <c:pt idx="5">
                  <c:v>2.0315799999999999</c:v>
                </c:pt>
                <c:pt idx="6">
                  <c:v>2.4354900000000002</c:v>
                </c:pt>
                <c:pt idx="7">
                  <c:v>2.8409200000000001</c:v>
                </c:pt>
                <c:pt idx="8">
                  <c:v>3.2503500000000001</c:v>
                </c:pt>
                <c:pt idx="9">
                  <c:v>3.6562199999999998</c:v>
                </c:pt>
                <c:pt idx="10">
                  <c:v>4.06419</c:v>
                </c:pt>
                <c:pt idx="11">
                  <c:v>4.4682199999999996</c:v>
                </c:pt>
                <c:pt idx="12">
                  <c:v>4.8730200000000004</c:v>
                </c:pt>
                <c:pt idx="13">
                  <c:v>5.27902</c:v>
                </c:pt>
                <c:pt idx="14">
                  <c:v>5.6898</c:v>
                </c:pt>
                <c:pt idx="15">
                  <c:v>6.0964099999999997</c:v>
                </c:pt>
                <c:pt idx="16">
                  <c:v>6.4996499999999999</c:v>
                </c:pt>
                <c:pt idx="17">
                  <c:v>6.9036799999999996</c:v>
                </c:pt>
                <c:pt idx="18">
                  <c:v>7.3105399999999996</c:v>
                </c:pt>
                <c:pt idx="19">
                  <c:v>7.71936</c:v>
                </c:pt>
                <c:pt idx="20">
                  <c:v>8.1242699999999992</c:v>
                </c:pt>
                <c:pt idx="21">
                  <c:v>8.5322099999999992</c:v>
                </c:pt>
                <c:pt idx="22">
                  <c:v>8.9371500000000008</c:v>
                </c:pt>
                <c:pt idx="23">
                  <c:v>9.3422499999999999</c:v>
                </c:pt>
                <c:pt idx="24">
                  <c:v>9.7549600000000005</c:v>
                </c:pt>
                <c:pt idx="25">
                  <c:v>10.1579</c:v>
                </c:pt>
                <c:pt idx="26">
                  <c:v>10.5639</c:v>
                </c:pt>
                <c:pt idx="27">
                  <c:v>10.968</c:v>
                </c:pt>
                <c:pt idx="28">
                  <c:v>11.374700000000001</c:v>
                </c:pt>
                <c:pt idx="29">
                  <c:v>11.782500000000001</c:v>
                </c:pt>
                <c:pt idx="30">
                  <c:v>12.1884</c:v>
                </c:pt>
                <c:pt idx="31">
                  <c:v>12.5943</c:v>
                </c:pt>
                <c:pt idx="32">
                  <c:v>12.9983</c:v>
                </c:pt>
                <c:pt idx="33">
                  <c:v>13.407400000000001</c:v>
                </c:pt>
                <c:pt idx="34">
                  <c:v>13.811199999999999</c:v>
                </c:pt>
                <c:pt idx="35">
                  <c:v>14.219099999999999</c:v>
                </c:pt>
                <c:pt idx="36">
                  <c:v>14.6259</c:v>
                </c:pt>
                <c:pt idx="37">
                  <c:v>15.0299</c:v>
                </c:pt>
                <c:pt idx="38">
                  <c:v>15.4358</c:v>
                </c:pt>
                <c:pt idx="39">
                  <c:v>15.842700000000001</c:v>
                </c:pt>
                <c:pt idx="40">
                  <c:v>16.2517</c:v>
                </c:pt>
                <c:pt idx="41">
                  <c:v>16.6585</c:v>
                </c:pt>
                <c:pt idx="42">
                  <c:v>17.061399999999999</c:v>
                </c:pt>
                <c:pt idx="43">
                  <c:v>17.468399999999999</c:v>
                </c:pt>
                <c:pt idx="44">
                  <c:v>17.871300000000002</c:v>
                </c:pt>
                <c:pt idx="45">
                  <c:v>18.280200000000001</c:v>
                </c:pt>
                <c:pt idx="46">
                  <c:v>18.6873</c:v>
                </c:pt>
                <c:pt idx="47">
                  <c:v>19.093</c:v>
                </c:pt>
                <c:pt idx="48">
                  <c:v>19.501300000000001</c:v>
                </c:pt>
                <c:pt idx="49">
                  <c:v>19.9069</c:v>
                </c:pt>
                <c:pt idx="50">
                  <c:v>20.310700000000001</c:v>
                </c:pt>
                <c:pt idx="51">
                  <c:v>20.716699999999999</c:v>
                </c:pt>
                <c:pt idx="52">
                  <c:v>21.124600000000001</c:v>
                </c:pt>
                <c:pt idx="53">
                  <c:v>21.532499999999999</c:v>
                </c:pt>
                <c:pt idx="54">
                  <c:v>21.941400000000002</c:v>
                </c:pt>
                <c:pt idx="55">
                  <c:v>22.343399999999999</c:v>
                </c:pt>
                <c:pt idx="56">
                  <c:v>22.748200000000001</c:v>
                </c:pt>
                <c:pt idx="57">
                  <c:v>23.154599999999999</c:v>
                </c:pt>
                <c:pt idx="58">
                  <c:v>23.565200000000001</c:v>
                </c:pt>
                <c:pt idx="59">
                  <c:v>23.97</c:v>
                </c:pt>
                <c:pt idx="60">
                  <c:v>24.3749</c:v>
                </c:pt>
                <c:pt idx="61">
                  <c:v>24.779800000000002</c:v>
                </c:pt>
                <c:pt idx="62">
                  <c:v>25.1859</c:v>
                </c:pt>
                <c:pt idx="63">
                  <c:v>25.596599999999999</c:v>
                </c:pt>
                <c:pt idx="64">
                  <c:v>26.0016</c:v>
                </c:pt>
                <c:pt idx="65">
                  <c:v>26.406500000000001</c:v>
                </c:pt>
                <c:pt idx="66">
                  <c:v>26.810400000000001</c:v>
                </c:pt>
                <c:pt idx="67">
                  <c:v>27.223299999999998</c:v>
                </c:pt>
                <c:pt idx="68">
                  <c:v>27.626200000000001</c:v>
                </c:pt>
                <c:pt idx="69">
                  <c:v>28.033100000000001</c:v>
                </c:pt>
                <c:pt idx="70">
                  <c:v>28.436299999999999</c:v>
                </c:pt>
                <c:pt idx="71">
                  <c:v>28.841000000000001</c:v>
                </c:pt>
                <c:pt idx="72">
                  <c:v>29.2499</c:v>
                </c:pt>
                <c:pt idx="73">
                  <c:v>29.6539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2.6777199999999999</c:v>
                </c:pt>
                <c:pt idx="1">
                  <c:v>2.7400899999999999</c:v>
                </c:pt>
                <c:pt idx="2">
                  <c:v>2.8002599999999997</c:v>
                </c:pt>
                <c:pt idx="3">
                  <c:v>2.86191</c:v>
                </c:pt>
                <c:pt idx="4">
                  <c:v>2.9226400000000003</c:v>
                </c:pt>
                <c:pt idx="5">
                  <c:v>2.97993</c:v>
                </c:pt>
                <c:pt idx="6">
                  <c:v>3.0345599999999999</c:v>
                </c:pt>
                <c:pt idx="7">
                  <c:v>3.0868099999999998</c:v>
                </c:pt>
                <c:pt idx="8">
                  <c:v>3.13348</c:v>
                </c:pt>
                <c:pt idx="9">
                  <c:v>3.1749200000000002</c:v>
                </c:pt>
                <c:pt idx="10">
                  <c:v>3.2095500000000001</c:v>
                </c:pt>
                <c:pt idx="11">
                  <c:v>3.23813</c:v>
                </c:pt>
                <c:pt idx="12">
                  <c:v>3.2614799999999997</c:v>
                </c:pt>
                <c:pt idx="13">
                  <c:v>3.28172</c:v>
                </c:pt>
                <c:pt idx="14">
                  <c:v>3.2996699999999999</c:v>
                </c:pt>
                <c:pt idx="15">
                  <c:v>3.31487</c:v>
                </c:pt>
                <c:pt idx="16">
                  <c:v>3.3266400000000003</c:v>
                </c:pt>
                <c:pt idx="17">
                  <c:v>3.3354900000000001</c:v>
                </c:pt>
                <c:pt idx="18">
                  <c:v>3.3426099999999996</c:v>
                </c:pt>
                <c:pt idx="19">
                  <c:v>3.3444099999999999</c:v>
                </c:pt>
                <c:pt idx="20">
                  <c:v>3.3419500000000002</c:v>
                </c:pt>
                <c:pt idx="21">
                  <c:v>3.3356500000000002</c:v>
                </c:pt>
                <c:pt idx="22">
                  <c:v>3.3278600000000003</c:v>
                </c:pt>
                <c:pt idx="23">
                  <c:v>3.31934</c:v>
                </c:pt>
                <c:pt idx="24">
                  <c:v>3.3101599999999998</c:v>
                </c:pt>
                <c:pt idx="25">
                  <c:v>3.2974100000000002</c:v>
                </c:pt>
                <c:pt idx="26">
                  <c:v>3.2803399999999998</c:v>
                </c:pt>
                <c:pt idx="27">
                  <c:v>3.2599200000000002</c:v>
                </c:pt>
                <c:pt idx="28">
                  <c:v>3.23454</c:v>
                </c:pt>
                <c:pt idx="29">
                  <c:v>3.20723</c:v>
                </c:pt>
                <c:pt idx="30">
                  <c:v>3.1804600000000001</c:v>
                </c:pt>
                <c:pt idx="31">
                  <c:v>3.1540800000000004</c:v>
                </c:pt>
                <c:pt idx="32">
                  <c:v>3.1286300000000002</c:v>
                </c:pt>
                <c:pt idx="33">
                  <c:v>3.1051899999999999</c:v>
                </c:pt>
                <c:pt idx="34">
                  <c:v>3.08317</c:v>
                </c:pt>
                <c:pt idx="35">
                  <c:v>3.0647000000000002</c:v>
                </c:pt>
                <c:pt idx="36">
                  <c:v>3.04765</c:v>
                </c:pt>
                <c:pt idx="37">
                  <c:v>3.0318399999999999</c:v>
                </c:pt>
                <c:pt idx="38">
                  <c:v>3.0156800000000001</c:v>
                </c:pt>
                <c:pt idx="39">
                  <c:v>3.0013899999999998</c:v>
                </c:pt>
                <c:pt idx="40">
                  <c:v>2.98712</c:v>
                </c:pt>
                <c:pt idx="41">
                  <c:v>2.9743999999999997</c:v>
                </c:pt>
                <c:pt idx="42">
                  <c:v>2.9611900000000002</c:v>
                </c:pt>
                <c:pt idx="43">
                  <c:v>2.9476200000000001</c:v>
                </c:pt>
                <c:pt idx="44">
                  <c:v>2.9336800000000003</c:v>
                </c:pt>
                <c:pt idx="45">
                  <c:v>2.9195199999999999</c:v>
                </c:pt>
                <c:pt idx="46">
                  <c:v>2.9101100000000004</c:v>
                </c:pt>
                <c:pt idx="47">
                  <c:v>2.9062999999999999</c:v>
                </c:pt>
                <c:pt idx="48">
                  <c:v>2.9037099999999998</c:v>
                </c:pt>
                <c:pt idx="49">
                  <c:v>2.9008699999999998</c:v>
                </c:pt>
                <c:pt idx="50">
                  <c:v>2.8987499999999997</c:v>
                </c:pt>
                <c:pt idx="51">
                  <c:v>2.8995100000000003</c:v>
                </c:pt>
                <c:pt idx="52">
                  <c:v>2.9026100000000001</c:v>
                </c:pt>
                <c:pt idx="53">
                  <c:v>2.90333</c:v>
                </c:pt>
                <c:pt idx="54">
                  <c:v>2.9035600000000001</c:v>
                </c:pt>
                <c:pt idx="55">
                  <c:v>2.9027700000000003</c:v>
                </c:pt>
                <c:pt idx="56">
                  <c:v>2.8986800000000001</c:v>
                </c:pt>
                <c:pt idx="57">
                  <c:v>2.8905500000000002</c:v>
                </c:pt>
                <c:pt idx="58">
                  <c:v>2.8812500000000001</c:v>
                </c:pt>
                <c:pt idx="59">
                  <c:v>2.8693499999999998</c:v>
                </c:pt>
                <c:pt idx="60">
                  <c:v>2.8560600000000003</c:v>
                </c:pt>
                <c:pt idx="61">
                  <c:v>2.84165</c:v>
                </c:pt>
                <c:pt idx="62">
                  <c:v>2.82674</c:v>
                </c:pt>
                <c:pt idx="63">
                  <c:v>2.8122699999999998</c:v>
                </c:pt>
                <c:pt idx="64">
                  <c:v>2.7973300000000001</c:v>
                </c:pt>
                <c:pt idx="65">
                  <c:v>2.78376</c:v>
                </c:pt>
                <c:pt idx="66">
                  <c:v>2.7692499999999995</c:v>
                </c:pt>
                <c:pt idx="67">
                  <c:v>2.7546900000000001</c:v>
                </c:pt>
                <c:pt idx="68">
                  <c:v>2.7422300000000002</c:v>
                </c:pt>
                <c:pt idx="69">
                  <c:v>2.7325899999999996</c:v>
                </c:pt>
                <c:pt idx="70">
                  <c:v>2.7239900000000001</c:v>
                </c:pt>
                <c:pt idx="71">
                  <c:v>2.7146300000000001</c:v>
                </c:pt>
                <c:pt idx="72">
                  <c:v>2.7006599999999996</c:v>
                </c:pt>
                <c:pt idx="73">
                  <c:v>2.68581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29.6539</c:v>
                </c:pt>
                <c:pt idx="1">
                  <c:v>30.061699999999998</c:v>
                </c:pt>
                <c:pt idx="2">
                  <c:v>30.468599999999999</c:v>
                </c:pt>
                <c:pt idx="3">
                  <c:v>30.872499999999999</c:v>
                </c:pt>
                <c:pt idx="4">
                  <c:v>31.2807</c:v>
                </c:pt>
                <c:pt idx="5">
                  <c:v>31.688300000000002</c:v>
                </c:pt>
                <c:pt idx="6">
                  <c:v>32.097200000000001</c:v>
                </c:pt>
                <c:pt idx="7">
                  <c:v>32.5015</c:v>
                </c:pt>
                <c:pt idx="8">
                  <c:v>32.905099999999997</c:v>
                </c:pt>
                <c:pt idx="9">
                  <c:v>33.308999999999997</c:v>
                </c:pt>
                <c:pt idx="10">
                  <c:v>33.7151</c:v>
                </c:pt>
                <c:pt idx="11">
                  <c:v>34.121699999999997</c:v>
                </c:pt>
                <c:pt idx="12">
                  <c:v>34.531700000000001</c:v>
                </c:pt>
                <c:pt idx="13">
                  <c:v>34.935099999999998</c:v>
                </c:pt>
                <c:pt idx="14">
                  <c:v>35.345500000000001</c:v>
                </c:pt>
                <c:pt idx="15">
                  <c:v>35.749499999999998</c:v>
                </c:pt>
                <c:pt idx="16">
                  <c:v>36.1554</c:v>
                </c:pt>
                <c:pt idx="17">
                  <c:v>36.561500000000002</c:v>
                </c:pt>
                <c:pt idx="18">
                  <c:v>36.968400000000003</c:v>
                </c:pt>
                <c:pt idx="19">
                  <c:v>37.376100000000001</c:v>
                </c:pt>
                <c:pt idx="20">
                  <c:v>37.783000000000001</c:v>
                </c:pt>
                <c:pt idx="21">
                  <c:v>38.184199999999997</c:v>
                </c:pt>
                <c:pt idx="22">
                  <c:v>38.592100000000002</c:v>
                </c:pt>
                <c:pt idx="23">
                  <c:v>39.002200000000002</c:v>
                </c:pt>
                <c:pt idx="24">
                  <c:v>39.407699999999998</c:v>
                </c:pt>
                <c:pt idx="25">
                  <c:v>39.813800000000001</c:v>
                </c:pt>
                <c:pt idx="26">
                  <c:v>40.2194</c:v>
                </c:pt>
                <c:pt idx="27">
                  <c:v>40.6265</c:v>
                </c:pt>
                <c:pt idx="28">
                  <c:v>41.034799999999997</c:v>
                </c:pt>
                <c:pt idx="29">
                  <c:v>41.4375</c:v>
                </c:pt>
                <c:pt idx="30">
                  <c:v>41.844299999999997</c:v>
                </c:pt>
                <c:pt idx="31">
                  <c:v>42.247199999999999</c:v>
                </c:pt>
                <c:pt idx="32">
                  <c:v>42.653100000000002</c:v>
                </c:pt>
                <c:pt idx="33">
                  <c:v>43.062100000000001</c:v>
                </c:pt>
                <c:pt idx="34">
                  <c:v>43.466799999999999</c:v>
                </c:pt>
                <c:pt idx="35">
                  <c:v>43.874899999999997</c:v>
                </c:pt>
                <c:pt idx="36">
                  <c:v>44.277799999999999</c:v>
                </c:pt>
                <c:pt idx="37">
                  <c:v>44.689</c:v>
                </c:pt>
                <c:pt idx="38">
                  <c:v>45.090600000000002</c:v>
                </c:pt>
                <c:pt idx="39">
                  <c:v>45.500500000000002</c:v>
                </c:pt>
                <c:pt idx="40">
                  <c:v>45.908299999999997</c:v>
                </c:pt>
                <c:pt idx="41">
                  <c:v>46.308300000000003</c:v>
                </c:pt>
                <c:pt idx="42">
                  <c:v>46.716200000000001</c:v>
                </c:pt>
                <c:pt idx="43">
                  <c:v>47.1282</c:v>
                </c:pt>
                <c:pt idx="44">
                  <c:v>47.533099999999997</c:v>
                </c:pt>
                <c:pt idx="45">
                  <c:v>47.936900000000001</c:v>
                </c:pt>
                <c:pt idx="46">
                  <c:v>48.341000000000001</c:v>
                </c:pt>
                <c:pt idx="47">
                  <c:v>48.7468</c:v>
                </c:pt>
                <c:pt idx="48">
                  <c:v>49.155700000000003</c:v>
                </c:pt>
                <c:pt idx="49">
                  <c:v>49.564599999999999</c:v>
                </c:pt>
                <c:pt idx="50">
                  <c:v>49.970500000000001</c:v>
                </c:pt>
                <c:pt idx="51">
                  <c:v>50.376399999999997</c:v>
                </c:pt>
                <c:pt idx="52">
                  <c:v>50.781599999999997</c:v>
                </c:pt>
                <c:pt idx="53">
                  <c:v>51.188200000000002</c:v>
                </c:pt>
                <c:pt idx="54">
                  <c:v>51.591200000000001</c:v>
                </c:pt>
                <c:pt idx="55">
                  <c:v>51.999200000000002</c:v>
                </c:pt>
                <c:pt idx="56">
                  <c:v>52.406999999999996</c:v>
                </c:pt>
                <c:pt idx="57">
                  <c:v>52.8108</c:v>
                </c:pt>
                <c:pt idx="58">
                  <c:v>53.219799999999999</c:v>
                </c:pt>
                <c:pt idx="59">
                  <c:v>53.623800000000003</c:v>
                </c:pt>
                <c:pt idx="60">
                  <c:v>54.028500000000001</c:v>
                </c:pt>
                <c:pt idx="61">
                  <c:v>54.435600000000001</c:v>
                </c:pt>
                <c:pt idx="62">
                  <c:v>54.8444</c:v>
                </c:pt>
                <c:pt idx="63">
                  <c:v>55.250300000000003</c:v>
                </c:pt>
                <c:pt idx="64">
                  <c:v>55.656300000000002</c:v>
                </c:pt>
                <c:pt idx="65">
                  <c:v>56.059100000000001</c:v>
                </c:pt>
                <c:pt idx="66">
                  <c:v>56.466999999999999</c:v>
                </c:pt>
                <c:pt idx="67">
                  <c:v>56.875999999999998</c:v>
                </c:pt>
                <c:pt idx="68">
                  <c:v>57.279000000000003</c:v>
                </c:pt>
                <c:pt idx="69">
                  <c:v>57.6858</c:v>
                </c:pt>
                <c:pt idx="70">
                  <c:v>58.090699999999998</c:v>
                </c:pt>
                <c:pt idx="71">
                  <c:v>58.502699999999997</c:v>
                </c:pt>
                <c:pt idx="72">
                  <c:v>58.907600000000002</c:v>
                </c:pt>
                <c:pt idx="73">
                  <c:v>59.313600000000001</c:v>
                </c:pt>
                <c:pt idx="74">
                  <c:v>59.720399999999998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2.68581</c:v>
                </c:pt>
                <c:pt idx="1">
                  <c:v>2.6715499999999999</c:v>
                </c:pt>
                <c:pt idx="2">
                  <c:v>2.6595800000000001</c:v>
                </c:pt>
                <c:pt idx="3">
                  <c:v>2.64825</c:v>
                </c:pt>
                <c:pt idx="4">
                  <c:v>2.6380699999999999</c:v>
                </c:pt>
                <c:pt idx="5">
                  <c:v>2.6340599999999998</c:v>
                </c:pt>
                <c:pt idx="6">
                  <c:v>2.63266</c:v>
                </c:pt>
                <c:pt idx="7">
                  <c:v>2.6319500000000002</c:v>
                </c:pt>
                <c:pt idx="8">
                  <c:v>2.6365600000000002</c:v>
                </c:pt>
                <c:pt idx="9">
                  <c:v>2.64635</c:v>
                </c:pt>
                <c:pt idx="10">
                  <c:v>2.6590000000000003</c:v>
                </c:pt>
                <c:pt idx="11">
                  <c:v>2.6730799999999997</c:v>
                </c:pt>
                <c:pt idx="12">
                  <c:v>2.6886199999999998</c:v>
                </c:pt>
                <c:pt idx="13">
                  <c:v>2.7058200000000001</c:v>
                </c:pt>
                <c:pt idx="14">
                  <c:v>2.7265099999999998</c:v>
                </c:pt>
                <c:pt idx="15">
                  <c:v>2.74411</c:v>
                </c:pt>
                <c:pt idx="16">
                  <c:v>2.7600699999999998</c:v>
                </c:pt>
                <c:pt idx="17">
                  <c:v>2.7738800000000001</c:v>
                </c:pt>
                <c:pt idx="18">
                  <c:v>2.7880899999999995</c:v>
                </c:pt>
                <c:pt idx="19">
                  <c:v>2.8044500000000001</c:v>
                </c:pt>
                <c:pt idx="20">
                  <c:v>2.8203</c:v>
                </c:pt>
                <c:pt idx="21">
                  <c:v>2.83304</c:v>
                </c:pt>
                <c:pt idx="22">
                  <c:v>2.8428800000000001</c:v>
                </c:pt>
                <c:pt idx="23">
                  <c:v>2.8492000000000002</c:v>
                </c:pt>
                <c:pt idx="24">
                  <c:v>2.8519600000000001</c:v>
                </c:pt>
                <c:pt idx="25">
                  <c:v>2.8538899999999998</c:v>
                </c:pt>
                <c:pt idx="26">
                  <c:v>2.8574100000000002</c:v>
                </c:pt>
                <c:pt idx="27">
                  <c:v>2.8607</c:v>
                </c:pt>
                <c:pt idx="28">
                  <c:v>2.86435</c:v>
                </c:pt>
                <c:pt idx="29">
                  <c:v>2.8657700000000004</c:v>
                </c:pt>
                <c:pt idx="30">
                  <c:v>2.8671000000000002</c:v>
                </c:pt>
                <c:pt idx="31">
                  <c:v>2.8667100000000003</c:v>
                </c:pt>
                <c:pt idx="32">
                  <c:v>2.8660899999999998</c:v>
                </c:pt>
                <c:pt idx="33">
                  <c:v>2.8645500000000004</c:v>
                </c:pt>
                <c:pt idx="34">
                  <c:v>2.8625099999999999</c:v>
                </c:pt>
                <c:pt idx="35">
                  <c:v>2.8595300000000003</c:v>
                </c:pt>
                <c:pt idx="36">
                  <c:v>2.85765</c:v>
                </c:pt>
                <c:pt idx="37">
                  <c:v>2.8564800000000004</c:v>
                </c:pt>
                <c:pt idx="38">
                  <c:v>2.8554600000000003</c:v>
                </c:pt>
                <c:pt idx="39">
                  <c:v>2.8528099999999998</c:v>
                </c:pt>
                <c:pt idx="40">
                  <c:v>2.8550800000000001</c:v>
                </c:pt>
                <c:pt idx="41">
                  <c:v>2.8589199999999999</c:v>
                </c:pt>
                <c:pt idx="42">
                  <c:v>2.8633999999999999</c:v>
                </c:pt>
                <c:pt idx="43">
                  <c:v>2.86883</c:v>
                </c:pt>
                <c:pt idx="44">
                  <c:v>2.8701300000000001</c:v>
                </c:pt>
                <c:pt idx="45">
                  <c:v>2.8681899999999998</c:v>
                </c:pt>
                <c:pt idx="46">
                  <c:v>2.8693</c:v>
                </c:pt>
                <c:pt idx="47">
                  <c:v>2.8702699999999997</c:v>
                </c:pt>
                <c:pt idx="48">
                  <c:v>2.8708</c:v>
                </c:pt>
                <c:pt idx="49">
                  <c:v>2.87554</c:v>
                </c:pt>
                <c:pt idx="50">
                  <c:v>2.87941</c:v>
                </c:pt>
                <c:pt idx="51">
                  <c:v>2.8824699999999996</c:v>
                </c:pt>
                <c:pt idx="52">
                  <c:v>2.8854000000000002</c:v>
                </c:pt>
                <c:pt idx="53">
                  <c:v>2.8879300000000003</c:v>
                </c:pt>
                <c:pt idx="54">
                  <c:v>2.8916399999999998</c:v>
                </c:pt>
                <c:pt idx="55">
                  <c:v>2.8949699999999998</c:v>
                </c:pt>
                <c:pt idx="56">
                  <c:v>2.8990800000000001</c:v>
                </c:pt>
                <c:pt idx="57">
                  <c:v>2.90367</c:v>
                </c:pt>
                <c:pt idx="58">
                  <c:v>2.9068399999999999</c:v>
                </c:pt>
                <c:pt idx="59">
                  <c:v>2.9103000000000003</c:v>
                </c:pt>
                <c:pt idx="60">
                  <c:v>2.9140100000000002</c:v>
                </c:pt>
                <c:pt idx="61">
                  <c:v>2.9178100000000002</c:v>
                </c:pt>
                <c:pt idx="62">
                  <c:v>2.9194300000000002</c:v>
                </c:pt>
                <c:pt idx="63">
                  <c:v>2.9203800000000002</c:v>
                </c:pt>
                <c:pt idx="64">
                  <c:v>2.9204400000000001</c:v>
                </c:pt>
                <c:pt idx="65">
                  <c:v>2.91479</c:v>
                </c:pt>
                <c:pt idx="66">
                  <c:v>2.9058000000000002</c:v>
                </c:pt>
                <c:pt idx="67">
                  <c:v>2.8974100000000003</c:v>
                </c:pt>
                <c:pt idx="68">
                  <c:v>2.8838799999999996</c:v>
                </c:pt>
                <c:pt idx="69">
                  <c:v>2.87439</c:v>
                </c:pt>
                <c:pt idx="70">
                  <c:v>2.8721000000000001</c:v>
                </c:pt>
                <c:pt idx="71">
                  <c:v>2.8589199999999999</c:v>
                </c:pt>
                <c:pt idx="72">
                  <c:v>2.8536000000000001</c:v>
                </c:pt>
                <c:pt idx="73">
                  <c:v>2.85778</c:v>
                </c:pt>
                <c:pt idx="74">
                  <c:v>2.84823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14.930099999999999</c:v>
                </c:pt>
                <c:pt idx="1">
                  <c:v>44.790300000000002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3.0152786486486494</c:v>
                </c:pt>
                <c:pt idx="1">
                  <c:v>2.8270566216216215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0.40791699999999997</c:v>
                </c:pt>
                <c:pt idx="2">
                  <c:v>0.81150699999999998</c:v>
                </c:pt>
                <c:pt idx="3">
                  <c:v>1.2148300000000001</c:v>
                </c:pt>
                <c:pt idx="4">
                  <c:v>1.62164</c:v>
                </c:pt>
                <c:pt idx="5">
                  <c:v>2.0315799999999999</c:v>
                </c:pt>
                <c:pt idx="6">
                  <c:v>2.4354900000000002</c:v>
                </c:pt>
                <c:pt idx="7">
                  <c:v>2.8409200000000001</c:v>
                </c:pt>
                <c:pt idx="8">
                  <c:v>3.2503500000000001</c:v>
                </c:pt>
                <c:pt idx="9">
                  <c:v>3.6562199999999998</c:v>
                </c:pt>
                <c:pt idx="10">
                  <c:v>4.06419</c:v>
                </c:pt>
                <c:pt idx="11">
                  <c:v>4.4682199999999996</c:v>
                </c:pt>
                <c:pt idx="12">
                  <c:v>4.8730200000000004</c:v>
                </c:pt>
                <c:pt idx="13">
                  <c:v>5.27902</c:v>
                </c:pt>
                <c:pt idx="14">
                  <c:v>5.6898</c:v>
                </c:pt>
                <c:pt idx="15">
                  <c:v>6.0964099999999997</c:v>
                </c:pt>
                <c:pt idx="16">
                  <c:v>6.4996499999999999</c:v>
                </c:pt>
                <c:pt idx="17">
                  <c:v>6.9036799999999996</c:v>
                </c:pt>
                <c:pt idx="18">
                  <c:v>7.3105399999999996</c:v>
                </c:pt>
                <c:pt idx="19">
                  <c:v>7.71936</c:v>
                </c:pt>
                <c:pt idx="20">
                  <c:v>8.1242699999999992</c:v>
                </c:pt>
                <c:pt idx="21">
                  <c:v>8.5322099999999992</c:v>
                </c:pt>
                <c:pt idx="22">
                  <c:v>8.9371500000000008</c:v>
                </c:pt>
                <c:pt idx="23">
                  <c:v>9.3422499999999999</c:v>
                </c:pt>
                <c:pt idx="24">
                  <c:v>9.7549600000000005</c:v>
                </c:pt>
                <c:pt idx="25">
                  <c:v>10.1579</c:v>
                </c:pt>
                <c:pt idx="26">
                  <c:v>10.5639</c:v>
                </c:pt>
                <c:pt idx="27">
                  <c:v>10.968</c:v>
                </c:pt>
                <c:pt idx="28">
                  <c:v>11.374700000000001</c:v>
                </c:pt>
                <c:pt idx="29">
                  <c:v>11.782500000000001</c:v>
                </c:pt>
                <c:pt idx="30">
                  <c:v>12.1884</c:v>
                </c:pt>
                <c:pt idx="31">
                  <c:v>12.5943</c:v>
                </c:pt>
                <c:pt idx="32">
                  <c:v>12.9983</c:v>
                </c:pt>
                <c:pt idx="33">
                  <c:v>13.407400000000001</c:v>
                </c:pt>
                <c:pt idx="34">
                  <c:v>13.811199999999999</c:v>
                </c:pt>
                <c:pt idx="35">
                  <c:v>14.219099999999999</c:v>
                </c:pt>
                <c:pt idx="36">
                  <c:v>14.6259</c:v>
                </c:pt>
                <c:pt idx="37">
                  <c:v>15.0299</c:v>
                </c:pt>
                <c:pt idx="38">
                  <c:v>15.4358</c:v>
                </c:pt>
                <c:pt idx="39">
                  <c:v>15.842700000000001</c:v>
                </c:pt>
                <c:pt idx="40">
                  <c:v>16.2517</c:v>
                </c:pt>
                <c:pt idx="41">
                  <c:v>16.6585</c:v>
                </c:pt>
                <c:pt idx="42">
                  <c:v>17.061399999999999</c:v>
                </c:pt>
                <c:pt idx="43">
                  <c:v>17.468399999999999</c:v>
                </c:pt>
                <c:pt idx="44">
                  <c:v>17.871300000000002</c:v>
                </c:pt>
                <c:pt idx="45">
                  <c:v>18.280200000000001</c:v>
                </c:pt>
                <c:pt idx="46">
                  <c:v>18.6873</c:v>
                </c:pt>
                <c:pt idx="47">
                  <c:v>19.093</c:v>
                </c:pt>
                <c:pt idx="48">
                  <c:v>19.501300000000001</c:v>
                </c:pt>
                <c:pt idx="49">
                  <c:v>19.9069</c:v>
                </c:pt>
                <c:pt idx="50">
                  <c:v>20.310700000000001</c:v>
                </c:pt>
                <c:pt idx="51">
                  <c:v>20.716699999999999</c:v>
                </c:pt>
                <c:pt idx="52">
                  <c:v>21.124600000000001</c:v>
                </c:pt>
                <c:pt idx="53">
                  <c:v>21.532499999999999</c:v>
                </c:pt>
                <c:pt idx="54">
                  <c:v>21.941400000000002</c:v>
                </c:pt>
                <c:pt idx="55">
                  <c:v>22.343399999999999</c:v>
                </c:pt>
                <c:pt idx="56">
                  <c:v>22.748200000000001</c:v>
                </c:pt>
                <c:pt idx="57">
                  <c:v>23.154599999999999</c:v>
                </c:pt>
                <c:pt idx="58">
                  <c:v>23.565200000000001</c:v>
                </c:pt>
                <c:pt idx="59">
                  <c:v>23.97</c:v>
                </c:pt>
                <c:pt idx="60">
                  <c:v>24.3749</c:v>
                </c:pt>
                <c:pt idx="61">
                  <c:v>24.779800000000002</c:v>
                </c:pt>
                <c:pt idx="62">
                  <c:v>25.1859</c:v>
                </c:pt>
                <c:pt idx="63">
                  <c:v>25.596599999999999</c:v>
                </c:pt>
                <c:pt idx="64">
                  <c:v>26.0016</c:v>
                </c:pt>
                <c:pt idx="65">
                  <c:v>26.406500000000001</c:v>
                </c:pt>
                <c:pt idx="66">
                  <c:v>26.810400000000001</c:v>
                </c:pt>
                <c:pt idx="67">
                  <c:v>27.223299999999998</c:v>
                </c:pt>
                <c:pt idx="68">
                  <c:v>27.626200000000001</c:v>
                </c:pt>
                <c:pt idx="69">
                  <c:v>28.033100000000001</c:v>
                </c:pt>
                <c:pt idx="70">
                  <c:v>28.436299999999999</c:v>
                </c:pt>
                <c:pt idx="71">
                  <c:v>28.841000000000001</c:v>
                </c:pt>
                <c:pt idx="72">
                  <c:v>29.2499</c:v>
                </c:pt>
                <c:pt idx="73">
                  <c:v>29.6539</c:v>
                </c:pt>
                <c:pt idx="74">
                  <c:v>30.061699999999998</c:v>
                </c:pt>
                <c:pt idx="75">
                  <c:v>30.468599999999999</c:v>
                </c:pt>
                <c:pt idx="76">
                  <c:v>30.872499999999999</c:v>
                </c:pt>
                <c:pt idx="77">
                  <c:v>31.2807</c:v>
                </c:pt>
                <c:pt idx="78">
                  <c:v>31.688300000000002</c:v>
                </c:pt>
                <c:pt idx="79">
                  <c:v>32.097200000000001</c:v>
                </c:pt>
                <c:pt idx="80">
                  <c:v>32.5015</c:v>
                </c:pt>
                <c:pt idx="81">
                  <c:v>32.905099999999997</c:v>
                </c:pt>
                <c:pt idx="82">
                  <c:v>33.308999999999997</c:v>
                </c:pt>
                <c:pt idx="83">
                  <c:v>33.7151</c:v>
                </c:pt>
                <c:pt idx="84">
                  <c:v>34.121699999999997</c:v>
                </c:pt>
                <c:pt idx="85">
                  <c:v>34.531700000000001</c:v>
                </c:pt>
                <c:pt idx="86">
                  <c:v>34.935099999999998</c:v>
                </c:pt>
                <c:pt idx="87">
                  <c:v>35.345500000000001</c:v>
                </c:pt>
                <c:pt idx="88">
                  <c:v>35.749499999999998</c:v>
                </c:pt>
                <c:pt idx="89">
                  <c:v>36.1554</c:v>
                </c:pt>
                <c:pt idx="90">
                  <c:v>36.561500000000002</c:v>
                </c:pt>
                <c:pt idx="91">
                  <c:v>36.968400000000003</c:v>
                </c:pt>
                <c:pt idx="92">
                  <c:v>37.376100000000001</c:v>
                </c:pt>
                <c:pt idx="93">
                  <c:v>37.783000000000001</c:v>
                </c:pt>
                <c:pt idx="94">
                  <c:v>38.184199999999997</c:v>
                </c:pt>
                <c:pt idx="95">
                  <c:v>38.592100000000002</c:v>
                </c:pt>
                <c:pt idx="96">
                  <c:v>39.002200000000002</c:v>
                </c:pt>
                <c:pt idx="97">
                  <c:v>39.407699999999998</c:v>
                </c:pt>
                <c:pt idx="98">
                  <c:v>39.813800000000001</c:v>
                </c:pt>
                <c:pt idx="99">
                  <c:v>40.2194</c:v>
                </c:pt>
                <c:pt idx="100">
                  <c:v>40.6265</c:v>
                </c:pt>
                <c:pt idx="101">
                  <c:v>41.034799999999997</c:v>
                </c:pt>
                <c:pt idx="102">
                  <c:v>41.4375</c:v>
                </c:pt>
                <c:pt idx="103">
                  <c:v>41.844299999999997</c:v>
                </c:pt>
                <c:pt idx="104">
                  <c:v>42.247199999999999</c:v>
                </c:pt>
                <c:pt idx="105">
                  <c:v>42.653100000000002</c:v>
                </c:pt>
                <c:pt idx="106">
                  <c:v>43.062100000000001</c:v>
                </c:pt>
                <c:pt idx="107">
                  <c:v>43.466799999999999</c:v>
                </c:pt>
                <c:pt idx="108">
                  <c:v>43.874899999999997</c:v>
                </c:pt>
                <c:pt idx="109">
                  <c:v>44.277799999999999</c:v>
                </c:pt>
                <c:pt idx="110">
                  <c:v>44.689</c:v>
                </c:pt>
                <c:pt idx="111">
                  <c:v>45.090600000000002</c:v>
                </c:pt>
                <c:pt idx="112">
                  <c:v>45.500500000000002</c:v>
                </c:pt>
                <c:pt idx="113">
                  <c:v>45.908299999999997</c:v>
                </c:pt>
                <c:pt idx="114">
                  <c:v>46.308300000000003</c:v>
                </c:pt>
                <c:pt idx="115">
                  <c:v>46.716200000000001</c:v>
                </c:pt>
                <c:pt idx="116">
                  <c:v>47.1282</c:v>
                </c:pt>
                <c:pt idx="117">
                  <c:v>47.533099999999997</c:v>
                </c:pt>
                <c:pt idx="118">
                  <c:v>47.936900000000001</c:v>
                </c:pt>
                <c:pt idx="119">
                  <c:v>48.341000000000001</c:v>
                </c:pt>
                <c:pt idx="120">
                  <c:v>48.7468</c:v>
                </c:pt>
                <c:pt idx="121">
                  <c:v>49.155700000000003</c:v>
                </c:pt>
                <c:pt idx="122">
                  <c:v>49.564599999999999</c:v>
                </c:pt>
                <c:pt idx="123">
                  <c:v>49.970500000000001</c:v>
                </c:pt>
                <c:pt idx="124">
                  <c:v>50.376399999999997</c:v>
                </c:pt>
                <c:pt idx="125">
                  <c:v>50.781599999999997</c:v>
                </c:pt>
                <c:pt idx="126">
                  <c:v>51.188200000000002</c:v>
                </c:pt>
                <c:pt idx="127">
                  <c:v>51.591200000000001</c:v>
                </c:pt>
                <c:pt idx="128">
                  <c:v>51.999200000000002</c:v>
                </c:pt>
                <c:pt idx="129">
                  <c:v>52.406999999999996</c:v>
                </c:pt>
                <c:pt idx="130">
                  <c:v>52.8108</c:v>
                </c:pt>
                <c:pt idx="131">
                  <c:v>53.219799999999999</c:v>
                </c:pt>
                <c:pt idx="132">
                  <c:v>53.623800000000003</c:v>
                </c:pt>
                <c:pt idx="133">
                  <c:v>54.028500000000001</c:v>
                </c:pt>
                <c:pt idx="134">
                  <c:v>54.435600000000001</c:v>
                </c:pt>
                <c:pt idx="135">
                  <c:v>54.8444</c:v>
                </c:pt>
                <c:pt idx="136">
                  <c:v>55.250300000000003</c:v>
                </c:pt>
                <c:pt idx="137">
                  <c:v>55.656300000000002</c:v>
                </c:pt>
                <c:pt idx="138">
                  <c:v>56.059100000000001</c:v>
                </c:pt>
                <c:pt idx="139">
                  <c:v>56.466999999999999</c:v>
                </c:pt>
                <c:pt idx="140">
                  <c:v>56.875999999999998</c:v>
                </c:pt>
                <c:pt idx="141">
                  <c:v>57.279000000000003</c:v>
                </c:pt>
                <c:pt idx="142">
                  <c:v>57.6858</c:v>
                </c:pt>
                <c:pt idx="143">
                  <c:v>58.090699999999998</c:v>
                </c:pt>
                <c:pt idx="144">
                  <c:v>58.502699999999997</c:v>
                </c:pt>
                <c:pt idx="145">
                  <c:v>58.907600000000002</c:v>
                </c:pt>
                <c:pt idx="146">
                  <c:v>59.313600000000001</c:v>
                </c:pt>
                <c:pt idx="147">
                  <c:v>59.720399999999998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46.163199999999996</c:v>
                </c:pt>
                <c:pt idx="1">
                  <c:v>45.362299999999998</c:v>
                </c:pt>
                <c:pt idx="2">
                  <c:v>44.502000000000002</c:v>
                </c:pt>
                <c:pt idx="3">
                  <c:v>43.504199999999997</c:v>
                </c:pt>
                <c:pt idx="4">
                  <c:v>42.503600000000006</c:v>
                </c:pt>
                <c:pt idx="5">
                  <c:v>41.560600000000001</c:v>
                </c:pt>
                <c:pt idx="6">
                  <c:v>40.644100000000002</c:v>
                </c:pt>
                <c:pt idx="7">
                  <c:v>39.811</c:v>
                </c:pt>
                <c:pt idx="8">
                  <c:v>39.0886</c:v>
                </c:pt>
                <c:pt idx="9">
                  <c:v>38.408799999999999</c:v>
                </c:pt>
                <c:pt idx="10">
                  <c:v>37.828400000000002</c:v>
                </c:pt>
                <c:pt idx="11">
                  <c:v>37.2928</c:v>
                </c:pt>
                <c:pt idx="12">
                  <c:v>36.819800000000001</c:v>
                </c:pt>
                <c:pt idx="13">
                  <c:v>36.3414</c:v>
                </c:pt>
                <c:pt idx="14">
                  <c:v>35.919600000000003</c:v>
                </c:pt>
                <c:pt idx="15">
                  <c:v>35.545100000000005</c:v>
                </c:pt>
                <c:pt idx="16">
                  <c:v>35.227399999999996</c:v>
                </c:pt>
                <c:pt idx="17">
                  <c:v>35.020099999999999</c:v>
                </c:pt>
                <c:pt idx="18">
                  <c:v>34.8249</c:v>
                </c:pt>
                <c:pt idx="19">
                  <c:v>34.670200000000001</c:v>
                </c:pt>
                <c:pt idx="20">
                  <c:v>34.498800000000003</c:v>
                </c:pt>
                <c:pt idx="21">
                  <c:v>34.315600000000003</c:v>
                </c:pt>
                <c:pt idx="22">
                  <c:v>34.145900000000005</c:v>
                </c:pt>
                <c:pt idx="23">
                  <c:v>33.985900000000001</c:v>
                </c:pt>
                <c:pt idx="24">
                  <c:v>33.874300000000005</c:v>
                </c:pt>
                <c:pt idx="25">
                  <c:v>33.761899999999997</c:v>
                </c:pt>
                <c:pt idx="26">
                  <c:v>33.659599999999998</c:v>
                </c:pt>
                <c:pt idx="27">
                  <c:v>33.575200000000002</c:v>
                </c:pt>
                <c:pt idx="28">
                  <c:v>33.573799999999999</c:v>
                </c:pt>
                <c:pt idx="29">
                  <c:v>33.667999999999999</c:v>
                </c:pt>
                <c:pt idx="30">
                  <c:v>33.851599999999998</c:v>
                </c:pt>
                <c:pt idx="31">
                  <c:v>34.106099999999998</c:v>
                </c:pt>
                <c:pt idx="32">
                  <c:v>34.42</c:v>
                </c:pt>
                <c:pt idx="33">
                  <c:v>34.745100000000001</c:v>
                </c:pt>
                <c:pt idx="34">
                  <c:v>35.060099999999998</c:v>
                </c:pt>
                <c:pt idx="35">
                  <c:v>35.358200000000004</c:v>
                </c:pt>
                <c:pt idx="36">
                  <c:v>35.636800000000001</c:v>
                </c:pt>
                <c:pt idx="37">
                  <c:v>35.899300000000004</c:v>
                </c:pt>
                <c:pt idx="38">
                  <c:v>36.197299999999998</c:v>
                </c:pt>
                <c:pt idx="39">
                  <c:v>36.477800000000002</c:v>
                </c:pt>
                <c:pt idx="40">
                  <c:v>36.729900000000001</c:v>
                </c:pt>
                <c:pt idx="41">
                  <c:v>36.945699999999995</c:v>
                </c:pt>
                <c:pt idx="42">
                  <c:v>37.094000000000001</c:v>
                </c:pt>
                <c:pt idx="43">
                  <c:v>37.244799999999998</c:v>
                </c:pt>
                <c:pt idx="44">
                  <c:v>37.371099999999998</c:v>
                </c:pt>
                <c:pt idx="45">
                  <c:v>37.540700000000001</c:v>
                </c:pt>
                <c:pt idx="46">
                  <c:v>37.6892</c:v>
                </c:pt>
                <c:pt idx="47">
                  <c:v>37.774299999999997</c:v>
                </c:pt>
                <c:pt idx="48">
                  <c:v>37.867600000000003</c:v>
                </c:pt>
                <c:pt idx="49">
                  <c:v>37.950699999999998</c:v>
                </c:pt>
                <c:pt idx="50">
                  <c:v>38.046900000000001</c:v>
                </c:pt>
                <c:pt idx="51">
                  <c:v>38.132899999999999</c:v>
                </c:pt>
                <c:pt idx="52">
                  <c:v>38.210100000000004</c:v>
                </c:pt>
                <c:pt idx="53">
                  <c:v>38.2714</c:v>
                </c:pt>
                <c:pt idx="54">
                  <c:v>38.311199999999999</c:v>
                </c:pt>
                <c:pt idx="55">
                  <c:v>38.325700000000005</c:v>
                </c:pt>
                <c:pt idx="56">
                  <c:v>38.392099999999999</c:v>
                </c:pt>
                <c:pt idx="57">
                  <c:v>38.475000000000001</c:v>
                </c:pt>
                <c:pt idx="58">
                  <c:v>38.531300000000002</c:v>
                </c:pt>
                <c:pt idx="59">
                  <c:v>38.573099999999997</c:v>
                </c:pt>
                <c:pt idx="60">
                  <c:v>38.566899999999997</c:v>
                </c:pt>
                <c:pt idx="61">
                  <c:v>38.572000000000003</c:v>
                </c:pt>
                <c:pt idx="62">
                  <c:v>38.545299999999997</c:v>
                </c:pt>
                <c:pt idx="63">
                  <c:v>38.480199999999996</c:v>
                </c:pt>
                <c:pt idx="64">
                  <c:v>38.395499999999998</c:v>
                </c:pt>
                <c:pt idx="65">
                  <c:v>38.313299999999998</c:v>
                </c:pt>
                <c:pt idx="66">
                  <c:v>38.219099999999997</c:v>
                </c:pt>
                <c:pt idx="67">
                  <c:v>38.110300000000002</c:v>
                </c:pt>
                <c:pt idx="68">
                  <c:v>38.005400000000002</c:v>
                </c:pt>
                <c:pt idx="69">
                  <c:v>37.856200000000001</c:v>
                </c:pt>
                <c:pt idx="70">
                  <c:v>37.6571</c:v>
                </c:pt>
                <c:pt idx="71">
                  <c:v>37.504100000000001</c:v>
                </c:pt>
                <c:pt idx="72">
                  <c:v>37.4041</c:v>
                </c:pt>
                <c:pt idx="73">
                  <c:v>37.3217</c:v>
                </c:pt>
                <c:pt idx="74">
                  <c:v>37.2331</c:v>
                </c:pt>
                <c:pt idx="75">
                  <c:v>37.0899</c:v>
                </c:pt>
                <c:pt idx="76">
                  <c:v>36.976100000000002</c:v>
                </c:pt>
                <c:pt idx="77">
                  <c:v>36.815399999999997</c:v>
                </c:pt>
                <c:pt idx="78">
                  <c:v>36.596800000000002</c:v>
                </c:pt>
                <c:pt idx="79">
                  <c:v>36.337299999999999</c:v>
                </c:pt>
                <c:pt idx="80">
                  <c:v>36.0625</c:v>
                </c:pt>
                <c:pt idx="81">
                  <c:v>35.616300000000003</c:v>
                </c:pt>
                <c:pt idx="82">
                  <c:v>35.051400000000001</c:v>
                </c:pt>
                <c:pt idx="83">
                  <c:v>34.36</c:v>
                </c:pt>
                <c:pt idx="84">
                  <c:v>33.701100000000004</c:v>
                </c:pt>
                <c:pt idx="85">
                  <c:v>33.055900000000001</c:v>
                </c:pt>
                <c:pt idx="86">
                  <c:v>32.386099999999999</c:v>
                </c:pt>
                <c:pt idx="87">
                  <c:v>31.669399999999996</c:v>
                </c:pt>
                <c:pt idx="88">
                  <c:v>30.992999999999999</c:v>
                </c:pt>
                <c:pt idx="89">
                  <c:v>30.362400000000001</c:v>
                </c:pt>
                <c:pt idx="90">
                  <c:v>29.820999999999998</c:v>
                </c:pt>
                <c:pt idx="91">
                  <c:v>29.319699999999997</c:v>
                </c:pt>
                <c:pt idx="92">
                  <c:v>28.841799999999999</c:v>
                </c:pt>
                <c:pt idx="93">
                  <c:v>28.372500000000002</c:v>
                </c:pt>
                <c:pt idx="94">
                  <c:v>27.966800000000003</c:v>
                </c:pt>
                <c:pt idx="95">
                  <c:v>27.648099999999999</c:v>
                </c:pt>
                <c:pt idx="96">
                  <c:v>27.336500000000001</c:v>
                </c:pt>
                <c:pt idx="97">
                  <c:v>27.084099999999999</c:v>
                </c:pt>
                <c:pt idx="98">
                  <c:v>26.816600000000001</c:v>
                </c:pt>
                <c:pt idx="99">
                  <c:v>26.500600000000002</c:v>
                </c:pt>
                <c:pt idx="100">
                  <c:v>26.186799999999998</c:v>
                </c:pt>
                <c:pt idx="101">
                  <c:v>25.857299999999999</c:v>
                </c:pt>
                <c:pt idx="102">
                  <c:v>25.5579</c:v>
                </c:pt>
                <c:pt idx="103">
                  <c:v>25.220500000000001</c:v>
                </c:pt>
                <c:pt idx="104">
                  <c:v>24.9344</c:v>
                </c:pt>
                <c:pt idx="105">
                  <c:v>24.669699999999999</c:v>
                </c:pt>
                <c:pt idx="106">
                  <c:v>24.421599999999998</c:v>
                </c:pt>
                <c:pt idx="107">
                  <c:v>24.15</c:v>
                </c:pt>
                <c:pt idx="108">
                  <c:v>23.9604</c:v>
                </c:pt>
                <c:pt idx="109">
                  <c:v>23.790099999999999</c:v>
                </c:pt>
                <c:pt idx="110">
                  <c:v>23.5991</c:v>
                </c:pt>
                <c:pt idx="111">
                  <c:v>23.443899999999999</c:v>
                </c:pt>
                <c:pt idx="112">
                  <c:v>23.339199999999998</c:v>
                </c:pt>
                <c:pt idx="113">
                  <c:v>23.311699999999998</c:v>
                </c:pt>
                <c:pt idx="114">
                  <c:v>23.263000000000002</c:v>
                </c:pt>
                <c:pt idx="115">
                  <c:v>23.174800000000001</c:v>
                </c:pt>
                <c:pt idx="116">
                  <c:v>23.033899999999999</c:v>
                </c:pt>
                <c:pt idx="117">
                  <c:v>22.931899999999999</c:v>
                </c:pt>
                <c:pt idx="118">
                  <c:v>22.854600000000001</c:v>
                </c:pt>
                <c:pt idx="119">
                  <c:v>22.702100000000002</c:v>
                </c:pt>
                <c:pt idx="120">
                  <c:v>22.552299999999999</c:v>
                </c:pt>
                <c:pt idx="121">
                  <c:v>22.475999999999999</c:v>
                </c:pt>
                <c:pt idx="122">
                  <c:v>22.366399999999999</c:v>
                </c:pt>
                <c:pt idx="123">
                  <c:v>22.313500000000001</c:v>
                </c:pt>
                <c:pt idx="124">
                  <c:v>22.231200000000001</c:v>
                </c:pt>
                <c:pt idx="125">
                  <c:v>22.159699999999997</c:v>
                </c:pt>
                <c:pt idx="126">
                  <c:v>22.088000000000001</c:v>
                </c:pt>
                <c:pt idx="127">
                  <c:v>22.028300000000002</c:v>
                </c:pt>
                <c:pt idx="128">
                  <c:v>22.0029</c:v>
                </c:pt>
                <c:pt idx="129">
                  <c:v>21.934899999999999</c:v>
                </c:pt>
                <c:pt idx="130">
                  <c:v>21.8339</c:v>
                </c:pt>
                <c:pt idx="131">
                  <c:v>21.770999999999997</c:v>
                </c:pt>
                <c:pt idx="132">
                  <c:v>21.793199999999999</c:v>
                </c:pt>
                <c:pt idx="133">
                  <c:v>21.838699999999999</c:v>
                </c:pt>
                <c:pt idx="134">
                  <c:v>21.878800000000002</c:v>
                </c:pt>
                <c:pt idx="135">
                  <c:v>21.984500000000001</c:v>
                </c:pt>
                <c:pt idx="136">
                  <c:v>22.058499999999999</c:v>
                </c:pt>
                <c:pt idx="137">
                  <c:v>22.170999999999999</c:v>
                </c:pt>
                <c:pt idx="138">
                  <c:v>22.182700000000001</c:v>
                </c:pt>
                <c:pt idx="139">
                  <c:v>22.2667</c:v>
                </c:pt>
                <c:pt idx="140">
                  <c:v>22.317400000000003</c:v>
                </c:pt>
                <c:pt idx="141">
                  <c:v>22.5168</c:v>
                </c:pt>
                <c:pt idx="142">
                  <c:v>22.631499999999999</c:v>
                </c:pt>
                <c:pt idx="143">
                  <c:v>22.6617</c:v>
                </c:pt>
                <c:pt idx="144">
                  <c:v>23.043500000000002</c:v>
                </c:pt>
                <c:pt idx="145">
                  <c:v>23.459599999999998</c:v>
                </c:pt>
                <c:pt idx="146">
                  <c:v>23.573699999999999</c:v>
                </c:pt>
                <c:pt idx="147">
                  <c:v>23.9588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0.40791699999999997</c:v>
                </c:pt>
                <c:pt idx="2">
                  <c:v>0.81150699999999998</c:v>
                </c:pt>
                <c:pt idx="3">
                  <c:v>1.2148300000000001</c:v>
                </c:pt>
                <c:pt idx="4">
                  <c:v>1.62164</c:v>
                </c:pt>
                <c:pt idx="5">
                  <c:v>2.0315799999999999</c:v>
                </c:pt>
                <c:pt idx="6">
                  <c:v>2.4354900000000002</c:v>
                </c:pt>
                <c:pt idx="7">
                  <c:v>2.8409200000000001</c:v>
                </c:pt>
                <c:pt idx="8">
                  <c:v>3.2503500000000001</c:v>
                </c:pt>
                <c:pt idx="9">
                  <c:v>3.6562199999999998</c:v>
                </c:pt>
                <c:pt idx="10">
                  <c:v>4.06419</c:v>
                </c:pt>
                <c:pt idx="11">
                  <c:v>4.4682199999999996</c:v>
                </c:pt>
                <c:pt idx="12">
                  <c:v>4.8730200000000004</c:v>
                </c:pt>
                <c:pt idx="13">
                  <c:v>5.27902</c:v>
                </c:pt>
                <c:pt idx="14">
                  <c:v>5.6898</c:v>
                </c:pt>
                <c:pt idx="15">
                  <c:v>6.0964099999999997</c:v>
                </c:pt>
                <c:pt idx="16">
                  <c:v>6.4996499999999999</c:v>
                </c:pt>
                <c:pt idx="17">
                  <c:v>6.9036799999999996</c:v>
                </c:pt>
                <c:pt idx="18">
                  <c:v>7.3105399999999996</c:v>
                </c:pt>
                <c:pt idx="19">
                  <c:v>7.71936</c:v>
                </c:pt>
                <c:pt idx="20">
                  <c:v>8.1242699999999992</c:v>
                </c:pt>
                <c:pt idx="21">
                  <c:v>8.5322099999999992</c:v>
                </c:pt>
                <c:pt idx="22">
                  <c:v>8.9371500000000008</c:v>
                </c:pt>
                <c:pt idx="23">
                  <c:v>9.3422499999999999</c:v>
                </c:pt>
                <c:pt idx="24">
                  <c:v>9.7549600000000005</c:v>
                </c:pt>
                <c:pt idx="25">
                  <c:v>10.1579</c:v>
                </c:pt>
                <c:pt idx="26">
                  <c:v>10.5639</c:v>
                </c:pt>
                <c:pt idx="27">
                  <c:v>10.968</c:v>
                </c:pt>
                <c:pt idx="28">
                  <c:v>11.374700000000001</c:v>
                </c:pt>
                <c:pt idx="29">
                  <c:v>11.782500000000001</c:v>
                </c:pt>
                <c:pt idx="30">
                  <c:v>12.1884</c:v>
                </c:pt>
                <c:pt idx="31">
                  <c:v>12.5943</c:v>
                </c:pt>
                <c:pt idx="32">
                  <c:v>12.9983</c:v>
                </c:pt>
                <c:pt idx="33">
                  <c:v>13.407400000000001</c:v>
                </c:pt>
                <c:pt idx="34">
                  <c:v>13.811199999999999</c:v>
                </c:pt>
                <c:pt idx="35">
                  <c:v>14.219099999999999</c:v>
                </c:pt>
                <c:pt idx="36">
                  <c:v>14.6259</c:v>
                </c:pt>
                <c:pt idx="37">
                  <c:v>15.0299</c:v>
                </c:pt>
                <c:pt idx="38">
                  <c:v>15.4358</c:v>
                </c:pt>
                <c:pt idx="39">
                  <c:v>15.842700000000001</c:v>
                </c:pt>
                <c:pt idx="40">
                  <c:v>16.2517</c:v>
                </c:pt>
                <c:pt idx="41">
                  <c:v>16.6585</c:v>
                </c:pt>
                <c:pt idx="42">
                  <c:v>17.061399999999999</c:v>
                </c:pt>
                <c:pt idx="43">
                  <c:v>17.468399999999999</c:v>
                </c:pt>
                <c:pt idx="44">
                  <c:v>17.871300000000002</c:v>
                </c:pt>
                <c:pt idx="45">
                  <c:v>18.280200000000001</c:v>
                </c:pt>
                <c:pt idx="46">
                  <c:v>18.6873</c:v>
                </c:pt>
                <c:pt idx="47">
                  <c:v>19.093</c:v>
                </c:pt>
                <c:pt idx="48">
                  <c:v>19.501300000000001</c:v>
                </c:pt>
                <c:pt idx="49">
                  <c:v>19.9069</c:v>
                </c:pt>
                <c:pt idx="50">
                  <c:v>20.310700000000001</c:v>
                </c:pt>
                <c:pt idx="51">
                  <c:v>20.716699999999999</c:v>
                </c:pt>
                <c:pt idx="52">
                  <c:v>21.124600000000001</c:v>
                </c:pt>
                <c:pt idx="53">
                  <c:v>21.532499999999999</c:v>
                </c:pt>
                <c:pt idx="54">
                  <c:v>21.941400000000002</c:v>
                </c:pt>
                <c:pt idx="55">
                  <c:v>22.343399999999999</c:v>
                </c:pt>
                <c:pt idx="56">
                  <c:v>22.748200000000001</c:v>
                </c:pt>
                <c:pt idx="57">
                  <c:v>23.154599999999999</c:v>
                </c:pt>
                <c:pt idx="58">
                  <c:v>23.565200000000001</c:v>
                </c:pt>
                <c:pt idx="59">
                  <c:v>23.97</c:v>
                </c:pt>
                <c:pt idx="60">
                  <c:v>24.3749</c:v>
                </c:pt>
                <c:pt idx="61">
                  <c:v>24.779800000000002</c:v>
                </c:pt>
                <c:pt idx="62">
                  <c:v>25.1859</c:v>
                </c:pt>
                <c:pt idx="63">
                  <c:v>25.596599999999999</c:v>
                </c:pt>
                <c:pt idx="64">
                  <c:v>26.0016</c:v>
                </c:pt>
                <c:pt idx="65">
                  <c:v>26.406500000000001</c:v>
                </c:pt>
                <c:pt idx="66">
                  <c:v>26.810400000000001</c:v>
                </c:pt>
                <c:pt idx="67">
                  <c:v>27.223299999999998</c:v>
                </c:pt>
                <c:pt idx="68">
                  <c:v>27.626200000000001</c:v>
                </c:pt>
                <c:pt idx="69">
                  <c:v>28.033100000000001</c:v>
                </c:pt>
                <c:pt idx="70">
                  <c:v>28.436299999999999</c:v>
                </c:pt>
                <c:pt idx="71">
                  <c:v>28.841000000000001</c:v>
                </c:pt>
                <c:pt idx="72">
                  <c:v>29.2499</c:v>
                </c:pt>
                <c:pt idx="73">
                  <c:v>29.6539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46.163199999999996</c:v>
                </c:pt>
                <c:pt idx="1">
                  <c:v>45.362299999999998</c:v>
                </c:pt>
                <c:pt idx="2">
                  <c:v>44.502000000000002</c:v>
                </c:pt>
                <c:pt idx="3">
                  <c:v>43.504199999999997</c:v>
                </c:pt>
                <c:pt idx="4">
                  <c:v>42.503600000000006</c:v>
                </c:pt>
                <c:pt idx="5">
                  <c:v>41.560600000000001</c:v>
                </c:pt>
                <c:pt idx="6">
                  <c:v>40.644100000000002</c:v>
                </c:pt>
                <c:pt idx="7">
                  <c:v>39.811</c:v>
                </c:pt>
                <c:pt idx="8">
                  <c:v>39.0886</c:v>
                </c:pt>
                <c:pt idx="9">
                  <c:v>38.408799999999999</c:v>
                </c:pt>
                <c:pt idx="10">
                  <c:v>37.828400000000002</c:v>
                </c:pt>
                <c:pt idx="11">
                  <c:v>37.2928</c:v>
                </c:pt>
                <c:pt idx="12">
                  <c:v>36.819800000000001</c:v>
                </c:pt>
                <c:pt idx="13">
                  <c:v>36.3414</c:v>
                </c:pt>
                <c:pt idx="14">
                  <c:v>35.919600000000003</c:v>
                </c:pt>
                <c:pt idx="15">
                  <c:v>35.545100000000005</c:v>
                </c:pt>
                <c:pt idx="16">
                  <c:v>35.227399999999996</c:v>
                </c:pt>
                <c:pt idx="17">
                  <c:v>35.020099999999999</c:v>
                </c:pt>
                <c:pt idx="18">
                  <c:v>34.8249</c:v>
                </c:pt>
                <c:pt idx="19">
                  <c:v>34.670200000000001</c:v>
                </c:pt>
                <c:pt idx="20">
                  <c:v>34.498800000000003</c:v>
                </c:pt>
                <c:pt idx="21">
                  <c:v>34.315600000000003</c:v>
                </c:pt>
                <c:pt idx="22">
                  <c:v>34.145900000000005</c:v>
                </c:pt>
                <c:pt idx="23">
                  <c:v>33.985900000000001</c:v>
                </c:pt>
                <c:pt idx="24">
                  <c:v>33.874300000000005</c:v>
                </c:pt>
                <c:pt idx="25">
                  <c:v>33.761899999999997</c:v>
                </c:pt>
                <c:pt idx="26">
                  <c:v>33.659599999999998</c:v>
                </c:pt>
                <c:pt idx="27">
                  <c:v>33.575200000000002</c:v>
                </c:pt>
                <c:pt idx="28">
                  <c:v>33.573799999999999</c:v>
                </c:pt>
                <c:pt idx="29">
                  <c:v>33.667999999999999</c:v>
                </c:pt>
                <c:pt idx="30">
                  <c:v>33.851599999999998</c:v>
                </c:pt>
                <c:pt idx="31">
                  <c:v>34.106099999999998</c:v>
                </c:pt>
                <c:pt idx="32">
                  <c:v>34.42</c:v>
                </c:pt>
                <c:pt idx="33">
                  <c:v>34.745100000000001</c:v>
                </c:pt>
                <c:pt idx="34">
                  <c:v>35.060099999999998</c:v>
                </c:pt>
                <c:pt idx="35">
                  <c:v>35.358200000000004</c:v>
                </c:pt>
                <c:pt idx="36">
                  <c:v>35.636800000000001</c:v>
                </c:pt>
                <c:pt idx="37">
                  <c:v>35.899300000000004</c:v>
                </c:pt>
                <c:pt idx="38">
                  <c:v>36.197299999999998</c:v>
                </c:pt>
                <c:pt idx="39">
                  <c:v>36.477800000000002</c:v>
                </c:pt>
                <c:pt idx="40">
                  <c:v>36.729900000000001</c:v>
                </c:pt>
                <c:pt idx="41">
                  <c:v>36.945699999999995</c:v>
                </c:pt>
                <c:pt idx="42">
                  <c:v>37.094000000000001</c:v>
                </c:pt>
                <c:pt idx="43">
                  <c:v>37.244799999999998</c:v>
                </c:pt>
                <c:pt idx="44">
                  <c:v>37.371099999999998</c:v>
                </c:pt>
                <c:pt idx="45">
                  <c:v>37.540700000000001</c:v>
                </c:pt>
                <c:pt idx="46">
                  <c:v>37.6892</c:v>
                </c:pt>
                <c:pt idx="47">
                  <c:v>37.774299999999997</c:v>
                </c:pt>
                <c:pt idx="48">
                  <c:v>37.867600000000003</c:v>
                </c:pt>
                <c:pt idx="49">
                  <c:v>37.950699999999998</c:v>
                </c:pt>
                <c:pt idx="50">
                  <c:v>38.046900000000001</c:v>
                </c:pt>
                <c:pt idx="51">
                  <c:v>38.132899999999999</c:v>
                </c:pt>
                <c:pt idx="52">
                  <c:v>38.210100000000004</c:v>
                </c:pt>
                <c:pt idx="53">
                  <c:v>38.2714</c:v>
                </c:pt>
                <c:pt idx="54">
                  <c:v>38.311199999999999</c:v>
                </c:pt>
                <c:pt idx="55">
                  <c:v>38.325700000000005</c:v>
                </c:pt>
                <c:pt idx="56">
                  <c:v>38.392099999999999</c:v>
                </c:pt>
                <c:pt idx="57">
                  <c:v>38.475000000000001</c:v>
                </c:pt>
                <c:pt idx="58">
                  <c:v>38.531300000000002</c:v>
                </c:pt>
                <c:pt idx="59">
                  <c:v>38.573099999999997</c:v>
                </c:pt>
                <c:pt idx="60">
                  <c:v>38.566899999999997</c:v>
                </c:pt>
                <c:pt idx="61">
                  <c:v>38.572000000000003</c:v>
                </c:pt>
                <c:pt idx="62">
                  <c:v>38.545299999999997</c:v>
                </c:pt>
                <c:pt idx="63">
                  <c:v>38.480199999999996</c:v>
                </c:pt>
                <c:pt idx="64">
                  <c:v>38.395499999999998</c:v>
                </c:pt>
                <c:pt idx="65">
                  <c:v>38.313299999999998</c:v>
                </c:pt>
                <c:pt idx="66">
                  <c:v>38.219099999999997</c:v>
                </c:pt>
                <c:pt idx="67">
                  <c:v>38.110300000000002</c:v>
                </c:pt>
                <c:pt idx="68">
                  <c:v>38.005400000000002</c:v>
                </c:pt>
                <c:pt idx="69">
                  <c:v>37.856200000000001</c:v>
                </c:pt>
                <c:pt idx="70">
                  <c:v>37.6571</c:v>
                </c:pt>
                <c:pt idx="71">
                  <c:v>37.504100000000001</c:v>
                </c:pt>
                <c:pt idx="72">
                  <c:v>37.4041</c:v>
                </c:pt>
                <c:pt idx="73">
                  <c:v>37.3217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29.6539</c:v>
                </c:pt>
                <c:pt idx="1">
                  <c:v>30.061699999999998</c:v>
                </c:pt>
                <c:pt idx="2">
                  <c:v>30.468599999999999</c:v>
                </c:pt>
                <c:pt idx="3">
                  <c:v>30.872499999999999</c:v>
                </c:pt>
                <c:pt idx="4">
                  <c:v>31.2807</c:v>
                </c:pt>
                <c:pt idx="5">
                  <c:v>31.688300000000002</c:v>
                </c:pt>
                <c:pt idx="6">
                  <c:v>32.097200000000001</c:v>
                </c:pt>
                <c:pt idx="7">
                  <c:v>32.5015</c:v>
                </c:pt>
                <c:pt idx="8">
                  <c:v>32.905099999999997</c:v>
                </c:pt>
                <c:pt idx="9">
                  <c:v>33.308999999999997</c:v>
                </c:pt>
                <c:pt idx="10">
                  <c:v>33.7151</c:v>
                </c:pt>
                <c:pt idx="11">
                  <c:v>34.121699999999997</c:v>
                </c:pt>
                <c:pt idx="12">
                  <c:v>34.531700000000001</c:v>
                </c:pt>
                <c:pt idx="13">
                  <c:v>34.935099999999998</c:v>
                </c:pt>
                <c:pt idx="14">
                  <c:v>35.345500000000001</c:v>
                </c:pt>
                <c:pt idx="15">
                  <c:v>35.749499999999998</c:v>
                </c:pt>
                <c:pt idx="16">
                  <c:v>36.1554</c:v>
                </c:pt>
                <c:pt idx="17">
                  <c:v>36.561500000000002</c:v>
                </c:pt>
                <c:pt idx="18">
                  <c:v>36.968400000000003</c:v>
                </c:pt>
                <c:pt idx="19">
                  <c:v>37.376100000000001</c:v>
                </c:pt>
                <c:pt idx="20">
                  <c:v>37.783000000000001</c:v>
                </c:pt>
                <c:pt idx="21">
                  <c:v>38.184199999999997</c:v>
                </c:pt>
                <c:pt idx="22">
                  <c:v>38.592100000000002</c:v>
                </c:pt>
                <c:pt idx="23">
                  <c:v>39.002200000000002</c:v>
                </c:pt>
                <c:pt idx="24">
                  <c:v>39.407699999999998</c:v>
                </c:pt>
                <c:pt idx="25">
                  <c:v>39.813800000000001</c:v>
                </c:pt>
                <c:pt idx="26">
                  <c:v>40.2194</c:v>
                </c:pt>
                <c:pt idx="27">
                  <c:v>40.6265</c:v>
                </c:pt>
                <c:pt idx="28">
                  <c:v>41.034799999999997</c:v>
                </c:pt>
                <c:pt idx="29">
                  <c:v>41.4375</c:v>
                </c:pt>
                <c:pt idx="30">
                  <c:v>41.844299999999997</c:v>
                </c:pt>
                <c:pt idx="31">
                  <c:v>42.247199999999999</c:v>
                </c:pt>
                <c:pt idx="32">
                  <c:v>42.653100000000002</c:v>
                </c:pt>
                <c:pt idx="33">
                  <c:v>43.062100000000001</c:v>
                </c:pt>
                <c:pt idx="34">
                  <c:v>43.466799999999999</c:v>
                </c:pt>
                <c:pt idx="35">
                  <c:v>43.874899999999997</c:v>
                </c:pt>
                <c:pt idx="36">
                  <c:v>44.277799999999999</c:v>
                </c:pt>
                <c:pt idx="37">
                  <c:v>44.689</c:v>
                </c:pt>
                <c:pt idx="38">
                  <c:v>45.090600000000002</c:v>
                </c:pt>
                <c:pt idx="39">
                  <c:v>45.500500000000002</c:v>
                </c:pt>
                <c:pt idx="40">
                  <c:v>45.908299999999997</c:v>
                </c:pt>
                <c:pt idx="41">
                  <c:v>46.308300000000003</c:v>
                </c:pt>
                <c:pt idx="42">
                  <c:v>46.716200000000001</c:v>
                </c:pt>
                <c:pt idx="43">
                  <c:v>47.1282</c:v>
                </c:pt>
                <c:pt idx="44">
                  <c:v>47.533099999999997</c:v>
                </c:pt>
                <c:pt idx="45">
                  <c:v>47.936900000000001</c:v>
                </c:pt>
                <c:pt idx="46">
                  <c:v>48.341000000000001</c:v>
                </c:pt>
                <c:pt idx="47">
                  <c:v>48.7468</c:v>
                </c:pt>
                <c:pt idx="48">
                  <c:v>49.155700000000003</c:v>
                </c:pt>
                <c:pt idx="49">
                  <c:v>49.564599999999999</c:v>
                </c:pt>
                <c:pt idx="50">
                  <c:v>49.970500000000001</c:v>
                </c:pt>
                <c:pt idx="51">
                  <c:v>50.376399999999997</c:v>
                </c:pt>
                <c:pt idx="52">
                  <c:v>50.781599999999997</c:v>
                </c:pt>
                <c:pt idx="53">
                  <c:v>51.188200000000002</c:v>
                </c:pt>
                <c:pt idx="54">
                  <c:v>51.591200000000001</c:v>
                </c:pt>
                <c:pt idx="55">
                  <c:v>51.999200000000002</c:v>
                </c:pt>
                <c:pt idx="56">
                  <c:v>52.406999999999996</c:v>
                </c:pt>
                <c:pt idx="57">
                  <c:v>52.8108</c:v>
                </c:pt>
                <c:pt idx="58">
                  <c:v>53.219799999999999</c:v>
                </c:pt>
                <c:pt idx="59">
                  <c:v>53.623800000000003</c:v>
                </c:pt>
                <c:pt idx="60">
                  <c:v>54.028500000000001</c:v>
                </c:pt>
                <c:pt idx="61">
                  <c:v>54.435600000000001</c:v>
                </c:pt>
                <c:pt idx="62">
                  <c:v>54.8444</c:v>
                </c:pt>
                <c:pt idx="63">
                  <c:v>55.250300000000003</c:v>
                </c:pt>
                <c:pt idx="64">
                  <c:v>55.656300000000002</c:v>
                </c:pt>
                <c:pt idx="65">
                  <c:v>56.059100000000001</c:v>
                </c:pt>
                <c:pt idx="66">
                  <c:v>56.466999999999999</c:v>
                </c:pt>
                <c:pt idx="67">
                  <c:v>56.875999999999998</c:v>
                </c:pt>
                <c:pt idx="68">
                  <c:v>57.279000000000003</c:v>
                </c:pt>
                <c:pt idx="69">
                  <c:v>57.6858</c:v>
                </c:pt>
                <c:pt idx="70">
                  <c:v>58.090699999999998</c:v>
                </c:pt>
                <c:pt idx="71">
                  <c:v>58.502699999999997</c:v>
                </c:pt>
                <c:pt idx="72">
                  <c:v>58.907600000000002</c:v>
                </c:pt>
                <c:pt idx="73">
                  <c:v>59.313600000000001</c:v>
                </c:pt>
                <c:pt idx="74">
                  <c:v>59.720399999999998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37.3217</c:v>
                </c:pt>
                <c:pt idx="1">
                  <c:v>37.2331</c:v>
                </c:pt>
                <c:pt idx="2">
                  <c:v>37.0899</c:v>
                </c:pt>
                <c:pt idx="3">
                  <c:v>36.976100000000002</c:v>
                </c:pt>
                <c:pt idx="4">
                  <c:v>36.815399999999997</c:v>
                </c:pt>
                <c:pt idx="5">
                  <c:v>36.596800000000002</c:v>
                </c:pt>
                <c:pt idx="6">
                  <c:v>36.337299999999999</c:v>
                </c:pt>
                <c:pt idx="7">
                  <c:v>36.0625</c:v>
                </c:pt>
                <c:pt idx="8">
                  <c:v>35.616300000000003</c:v>
                </c:pt>
                <c:pt idx="9">
                  <c:v>35.051400000000001</c:v>
                </c:pt>
                <c:pt idx="10">
                  <c:v>34.36</c:v>
                </c:pt>
                <c:pt idx="11">
                  <c:v>33.701100000000004</c:v>
                </c:pt>
                <c:pt idx="12">
                  <c:v>33.055900000000001</c:v>
                </c:pt>
                <c:pt idx="13">
                  <c:v>32.386099999999999</c:v>
                </c:pt>
                <c:pt idx="14">
                  <c:v>31.669399999999996</c:v>
                </c:pt>
                <c:pt idx="15">
                  <c:v>30.992999999999999</c:v>
                </c:pt>
                <c:pt idx="16">
                  <c:v>30.362400000000001</c:v>
                </c:pt>
                <c:pt idx="17">
                  <c:v>29.820999999999998</c:v>
                </c:pt>
                <c:pt idx="18">
                  <c:v>29.319699999999997</c:v>
                </c:pt>
                <c:pt idx="19">
                  <c:v>28.841799999999999</c:v>
                </c:pt>
                <c:pt idx="20">
                  <c:v>28.372500000000002</c:v>
                </c:pt>
                <c:pt idx="21">
                  <c:v>27.966800000000003</c:v>
                </c:pt>
                <c:pt idx="22">
                  <c:v>27.648099999999999</c:v>
                </c:pt>
                <c:pt idx="23">
                  <c:v>27.336500000000001</c:v>
                </c:pt>
                <c:pt idx="24">
                  <c:v>27.084099999999999</c:v>
                </c:pt>
                <c:pt idx="25">
                  <c:v>26.816600000000001</c:v>
                </c:pt>
                <c:pt idx="26">
                  <c:v>26.500600000000002</c:v>
                </c:pt>
                <c:pt idx="27">
                  <c:v>26.186799999999998</c:v>
                </c:pt>
                <c:pt idx="28">
                  <c:v>25.857299999999999</c:v>
                </c:pt>
                <c:pt idx="29">
                  <c:v>25.5579</c:v>
                </c:pt>
                <c:pt idx="30">
                  <c:v>25.220500000000001</c:v>
                </c:pt>
                <c:pt idx="31">
                  <c:v>24.9344</c:v>
                </c:pt>
                <c:pt idx="32">
                  <c:v>24.669699999999999</c:v>
                </c:pt>
                <c:pt idx="33">
                  <c:v>24.421599999999998</c:v>
                </c:pt>
                <c:pt idx="34">
                  <c:v>24.15</c:v>
                </c:pt>
                <c:pt idx="35">
                  <c:v>23.9604</c:v>
                </c:pt>
                <c:pt idx="36">
                  <c:v>23.790099999999999</c:v>
                </c:pt>
                <c:pt idx="37">
                  <c:v>23.5991</c:v>
                </c:pt>
                <c:pt idx="38">
                  <c:v>23.443899999999999</c:v>
                </c:pt>
                <c:pt idx="39">
                  <c:v>23.339199999999998</c:v>
                </c:pt>
                <c:pt idx="40">
                  <c:v>23.311699999999998</c:v>
                </c:pt>
                <c:pt idx="41">
                  <c:v>23.263000000000002</c:v>
                </c:pt>
                <c:pt idx="42">
                  <c:v>23.174800000000001</c:v>
                </c:pt>
                <c:pt idx="43">
                  <c:v>23.033899999999999</c:v>
                </c:pt>
                <c:pt idx="44">
                  <c:v>22.931899999999999</c:v>
                </c:pt>
                <c:pt idx="45">
                  <c:v>22.854600000000001</c:v>
                </c:pt>
                <c:pt idx="46">
                  <c:v>22.702100000000002</c:v>
                </c:pt>
                <c:pt idx="47">
                  <c:v>22.552299999999999</c:v>
                </c:pt>
                <c:pt idx="48">
                  <c:v>22.475999999999999</c:v>
                </c:pt>
                <c:pt idx="49">
                  <c:v>22.366399999999999</c:v>
                </c:pt>
                <c:pt idx="50">
                  <c:v>22.313500000000001</c:v>
                </c:pt>
                <c:pt idx="51">
                  <c:v>22.231200000000001</c:v>
                </c:pt>
                <c:pt idx="52">
                  <c:v>22.159699999999997</c:v>
                </c:pt>
                <c:pt idx="53">
                  <c:v>22.088000000000001</c:v>
                </c:pt>
                <c:pt idx="54">
                  <c:v>22.028300000000002</c:v>
                </c:pt>
                <c:pt idx="55">
                  <c:v>22.0029</c:v>
                </c:pt>
                <c:pt idx="56">
                  <c:v>21.934899999999999</c:v>
                </c:pt>
                <c:pt idx="57">
                  <c:v>21.8339</c:v>
                </c:pt>
                <c:pt idx="58">
                  <c:v>21.770999999999997</c:v>
                </c:pt>
                <c:pt idx="59">
                  <c:v>21.793199999999999</c:v>
                </c:pt>
                <c:pt idx="60">
                  <c:v>21.838699999999999</c:v>
                </c:pt>
                <c:pt idx="61">
                  <c:v>21.878800000000002</c:v>
                </c:pt>
                <c:pt idx="62">
                  <c:v>21.984500000000001</c:v>
                </c:pt>
                <c:pt idx="63">
                  <c:v>22.058499999999999</c:v>
                </c:pt>
                <c:pt idx="64">
                  <c:v>22.170999999999999</c:v>
                </c:pt>
                <c:pt idx="65">
                  <c:v>22.182700000000001</c:v>
                </c:pt>
                <c:pt idx="66">
                  <c:v>22.2667</c:v>
                </c:pt>
                <c:pt idx="67">
                  <c:v>22.317400000000003</c:v>
                </c:pt>
                <c:pt idx="68">
                  <c:v>22.5168</c:v>
                </c:pt>
                <c:pt idx="69">
                  <c:v>22.631499999999999</c:v>
                </c:pt>
                <c:pt idx="70">
                  <c:v>22.6617</c:v>
                </c:pt>
                <c:pt idx="71">
                  <c:v>23.043500000000002</c:v>
                </c:pt>
                <c:pt idx="72">
                  <c:v>23.459599999999998</c:v>
                </c:pt>
                <c:pt idx="73">
                  <c:v>23.573699999999999</c:v>
                </c:pt>
                <c:pt idx="74">
                  <c:v>23.9588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14.930099999999999</c:v>
                </c:pt>
                <c:pt idx="1">
                  <c:v>44.790300000000002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37.328085135135133</c:v>
                </c:pt>
                <c:pt idx="1">
                  <c:v>26.223141891891899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2.6777199999999999</c:v>
                </c:pt>
                <c:pt idx="1">
                  <c:v>2.7400899999999999</c:v>
                </c:pt>
                <c:pt idx="2">
                  <c:v>2.8002599999999997</c:v>
                </c:pt>
                <c:pt idx="3">
                  <c:v>2.86191</c:v>
                </c:pt>
                <c:pt idx="4">
                  <c:v>2.9226400000000003</c:v>
                </c:pt>
                <c:pt idx="5">
                  <c:v>2.97993</c:v>
                </c:pt>
                <c:pt idx="6">
                  <c:v>3.0345599999999999</c:v>
                </c:pt>
                <c:pt idx="7">
                  <c:v>3.0868099999999998</c:v>
                </c:pt>
                <c:pt idx="8">
                  <c:v>3.13348</c:v>
                </c:pt>
                <c:pt idx="9">
                  <c:v>3.1749200000000002</c:v>
                </c:pt>
                <c:pt idx="10">
                  <c:v>3.2095500000000001</c:v>
                </c:pt>
                <c:pt idx="11">
                  <c:v>3.23813</c:v>
                </c:pt>
                <c:pt idx="12">
                  <c:v>3.2614799999999997</c:v>
                </c:pt>
                <c:pt idx="13">
                  <c:v>3.28172</c:v>
                </c:pt>
                <c:pt idx="14">
                  <c:v>3.2996699999999999</c:v>
                </c:pt>
                <c:pt idx="15">
                  <c:v>3.31487</c:v>
                </c:pt>
                <c:pt idx="16">
                  <c:v>3.3266400000000003</c:v>
                </c:pt>
                <c:pt idx="17">
                  <c:v>3.3354900000000001</c:v>
                </c:pt>
                <c:pt idx="18">
                  <c:v>3.3426099999999996</c:v>
                </c:pt>
                <c:pt idx="19">
                  <c:v>3.3444099999999999</c:v>
                </c:pt>
                <c:pt idx="20">
                  <c:v>3.3419500000000002</c:v>
                </c:pt>
                <c:pt idx="21">
                  <c:v>3.3356500000000002</c:v>
                </c:pt>
                <c:pt idx="22">
                  <c:v>3.3278600000000003</c:v>
                </c:pt>
                <c:pt idx="23">
                  <c:v>3.31934</c:v>
                </c:pt>
                <c:pt idx="24">
                  <c:v>3.3101599999999998</c:v>
                </c:pt>
                <c:pt idx="25">
                  <c:v>3.2974100000000002</c:v>
                </c:pt>
                <c:pt idx="26">
                  <c:v>3.2803399999999998</c:v>
                </c:pt>
                <c:pt idx="27">
                  <c:v>3.2599200000000002</c:v>
                </c:pt>
                <c:pt idx="28">
                  <c:v>3.23454</c:v>
                </c:pt>
                <c:pt idx="29">
                  <c:v>3.20723</c:v>
                </c:pt>
                <c:pt idx="30">
                  <c:v>3.1804600000000001</c:v>
                </c:pt>
                <c:pt idx="31">
                  <c:v>3.1540800000000004</c:v>
                </c:pt>
                <c:pt idx="32">
                  <c:v>3.1286300000000002</c:v>
                </c:pt>
                <c:pt idx="33">
                  <c:v>3.1051899999999999</c:v>
                </c:pt>
                <c:pt idx="34">
                  <c:v>3.08317</c:v>
                </c:pt>
                <c:pt idx="35">
                  <c:v>3.0647000000000002</c:v>
                </c:pt>
                <c:pt idx="36">
                  <c:v>3.04765</c:v>
                </c:pt>
                <c:pt idx="37">
                  <c:v>3.0318399999999999</c:v>
                </c:pt>
                <c:pt idx="38">
                  <c:v>3.0156800000000001</c:v>
                </c:pt>
                <c:pt idx="39">
                  <c:v>3.0013899999999998</c:v>
                </c:pt>
                <c:pt idx="40">
                  <c:v>2.98712</c:v>
                </c:pt>
                <c:pt idx="41">
                  <c:v>2.9743999999999997</c:v>
                </c:pt>
                <c:pt idx="42">
                  <c:v>2.9611900000000002</c:v>
                </c:pt>
                <c:pt idx="43">
                  <c:v>2.9476200000000001</c:v>
                </c:pt>
                <c:pt idx="44">
                  <c:v>2.9336800000000003</c:v>
                </c:pt>
                <c:pt idx="45">
                  <c:v>2.9195199999999999</c:v>
                </c:pt>
                <c:pt idx="46">
                  <c:v>2.9101100000000004</c:v>
                </c:pt>
                <c:pt idx="47">
                  <c:v>2.9062999999999999</c:v>
                </c:pt>
                <c:pt idx="48">
                  <c:v>2.9037099999999998</c:v>
                </c:pt>
                <c:pt idx="49">
                  <c:v>2.9008699999999998</c:v>
                </c:pt>
                <c:pt idx="50">
                  <c:v>2.8987499999999997</c:v>
                </c:pt>
                <c:pt idx="51">
                  <c:v>2.8995100000000003</c:v>
                </c:pt>
                <c:pt idx="52">
                  <c:v>2.9026100000000001</c:v>
                </c:pt>
                <c:pt idx="53">
                  <c:v>2.90333</c:v>
                </c:pt>
                <c:pt idx="54">
                  <c:v>2.9035600000000001</c:v>
                </c:pt>
                <c:pt idx="55">
                  <c:v>2.9027700000000003</c:v>
                </c:pt>
                <c:pt idx="56">
                  <c:v>2.8986800000000001</c:v>
                </c:pt>
                <c:pt idx="57">
                  <c:v>2.8905500000000002</c:v>
                </c:pt>
                <c:pt idx="58">
                  <c:v>2.8812500000000001</c:v>
                </c:pt>
                <c:pt idx="59">
                  <c:v>2.8693499999999998</c:v>
                </c:pt>
                <c:pt idx="60">
                  <c:v>2.8560600000000003</c:v>
                </c:pt>
                <c:pt idx="61">
                  <c:v>2.84165</c:v>
                </c:pt>
                <c:pt idx="62">
                  <c:v>2.82674</c:v>
                </c:pt>
                <c:pt idx="63">
                  <c:v>2.8122699999999998</c:v>
                </c:pt>
                <c:pt idx="64">
                  <c:v>2.7973300000000001</c:v>
                </c:pt>
                <c:pt idx="65">
                  <c:v>2.78376</c:v>
                </c:pt>
                <c:pt idx="66">
                  <c:v>2.7692499999999995</c:v>
                </c:pt>
                <c:pt idx="67">
                  <c:v>2.7546900000000001</c:v>
                </c:pt>
                <c:pt idx="68">
                  <c:v>2.7422300000000002</c:v>
                </c:pt>
                <c:pt idx="69">
                  <c:v>2.7325899999999996</c:v>
                </c:pt>
                <c:pt idx="70">
                  <c:v>2.7239900000000001</c:v>
                </c:pt>
                <c:pt idx="71">
                  <c:v>2.7146300000000001</c:v>
                </c:pt>
                <c:pt idx="72">
                  <c:v>2.7006599999999996</c:v>
                </c:pt>
                <c:pt idx="73">
                  <c:v>2.68581</c:v>
                </c:pt>
                <c:pt idx="74">
                  <c:v>2.6715499999999999</c:v>
                </c:pt>
                <c:pt idx="75">
                  <c:v>2.6595800000000001</c:v>
                </c:pt>
                <c:pt idx="76">
                  <c:v>2.64825</c:v>
                </c:pt>
                <c:pt idx="77">
                  <c:v>2.6380699999999999</c:v>
                </c:pt>
                <c:pt idx="78">
                  <c:v>2.6340599999999998</c:v>
                </c:pt>
                <c:pt idx="79">
                  <c:v>2.63266</c:v>
                </c:pt>
                <c:pt idx="80">
                  <c:v>2.6319500000000002</c:v>
                </c:pt>
                <c:pt idx="81">
                  <c:v>2.6365600000000002</c:v>
                </c:pt>
                <c:pt idx="82">
                  <c:v>2.64635</c:v>
                </c:pt>
                <c:pt idx="83">
                  <c:v>2.6590000000000003</c:v>
                </c:pt>
                <c:pt idx="84">
                  <c:v>2.6730799999999997</c:v>
                </c:pt>
                <c:pt idx="85">
                  <c:v>2.6886199999999998</c:v>
                </c:pt>
                <c:pt idx="86">
                  <c:v>2.7058200000000001</c:v>
                </c:pt>
                <c:pt idx="87">
                  <c:v>2.7265099999999998</c:v>
                </c:pt>
                <c:pt idx="88">
                  <c:v>2.74411</c:v>
                </c:pt>
                <c:pt idx="89">
                  <c:v>2.7600699999999998</c:v>
                </c:pt>
                <c:pt idx="90">
                  <c:v>2.7738800000000001</c:v>
                </c:pt>
                <c:pt idx="91">
                  <c:v>2.7880899999999995</c:v>
                </c:pt>
                <c:pt idx="92">
                  <c:v>2.8044500000000001</c:v>
                </c:pt>
                <c:pt idx="93">
                  <c:v>2.8203</c:v>
                </c:pt>
                <c:pt idx="94">
                  <c:v>2.83304</c:v>
                </c:pt>
                <c:pt idx="95">
                  <c:v>2.8428800000000001</c:v>
                </c:pt>
                <c:pt idx="96">
                  <c:v>2.8492000000000002</c:v>
                </c:pt>
                <c:pt idx="97">
                  <c:v>2.8519600000000001</c:v>
                </c:pt>
                <c:pt idx="98">
                  <c:v>2.8538899999999998</c:v>
                </c:pt>
                <c:pt idx="99">
                  <c:v>2.8574100000000002</c:v>
                </c:pt>
                <c:pt idx="100">
                  <c:v>2.8607</c:v>
                </c:pt>
                <c:pt idx="101">
                  <c:v>2.86435</c:v>
                </c:pt>
                <c:pt idx="102">
                  <c:v>2.8657700000000004</c:v>
                </c:pt>
                <c:pt idx="103">
                  <c:v>2.8671000000000002</c:v>
                </c:pt>
                <c:pt idx="104">
                  <c:v>2.8667100000000003</c:v>
                </c:pt>
                <c:pt idx="105">
                  <c:v>2.8660899999999998</c:v>
                </c:pt>
                <c:pt idx="106">
                  <c:v>2.8645500000000004</c:v>
                </c:pt>
                <c:pt idx="107">
                  <c:v>2.8625099999999999</c:v>
                </c:pt>
                <c:pt idx="108">
                  <c:v>2.8595300000000003</c:v>
                </c:pt>
                <c:pt idx="109">
                  <c:v>2.85765</c:v>
                </c:pt>
                <c:pt idx="110">
                  <c:v>2.8564800000000004</c:v>
                </c:pt>
                <c:pt idx="111">
                  <c:v>2.8554600000000003</c:v>
                </c:pt>
                <c:pt idx="112">
                  <c:v>2.8528099999999998</c:v>
                </c:pt>
                <c:pt idx="113">
                  <c:v>2.8550800000000001</c:v>
                </c:pt>
                <c:pt idx="114">
                  <c:v>2.8589199999999999</c:v>
                </c:pt>
                <c:pt idx="115">
                  <c:v>2.8633999999999999</c:v>
                </c:pt>
                <c:pt idx="116">
                  <c:v>2.86883</c:v>
                </c:pt>
                <c:pt idx="117">
                  <c:v>2.8701300000000001</c:v>
                </c:pt>
                <c:pt idx="118">
                  <c:v>2.8681899999999998</c:v>
                </c:pt>
                <c:pt idx="119">
                  <c:v>2.8693</c:v>
                </c:pt>
                <c:pt idx="120">
                  <c:v>2.8702699999999997</c:v>
                </c:pt>
                <c:pt idx="121">
                  <c:v>2.8708</c:v>
                </c:pt>
                <c:pt idx="122">
                  <c:v>2.87554</c:v>
                </c:pt>
                <c:pt idx="123">
                  <c:v>2.87941</c:v>
                </c:pt>
                <c:pt idx="124">
                  <c:v>2.8824699999999996</c:v>
                </c:pt>
                <c:pt idx="125">
                  <c:v>2.8854000000000002</c:v>
                </c:pt>
                <c:pt idx="126">
                  <c:v>2.8879300000000003</c:v>
                </c:pt>
                <c:pt idx="127">
                  <c:v>2.8916399999999998</c:v>
                </c:pt>
                <c:pt idx="128">
                  <c:v>2.8949699999999998</c:v>
                </c:pt>
                <c:pt idx="129">
                  <c:v>2.8990800000000001</c:v>
                </c:pt>
                <c:pt idx="130">
                  <c:v>2.90367</c:v>
                </c:pt>
                <c:pt idx="131">
                  <c:v>2.9068399999999999</c:v>
                </c:pt>
                <c:pt idx="132">
                  <c:v>2.9103000000000003</c:v>
                </c:pt>
                <c:pt idx="133">
                  <c:v>2.9140100000000002</c:v>
                </c:pt>
                <c:pt idx="134">
                  <c:v>2.9178100000000002</c:v>
                </c:pt>
                <c:pt idx="135">
                  <c:v>2.9194300000000002</c:v>
                </c:pt>
                <c:pt idx="136">
                  <c:v>2.9203800000000002</c:v>
                </c:pt>
                <c:pt idx="137">
                  <c:v>2.9204400000000001</c:v>
                </c:pt>
                <c:pt idx="138">
                  <c:v>2.91479</c:v>
                </c:pt>
                <c:pt idx="139">
                  <c:v>2.9058000000000002</c:v>
                </c:pt>
                <c:pt idx="140">
                  <c:v>2.8974100000000003</c:v>
                </c:pt>
                <c:pt idx="141">
                  <c:v>2.8838799999999996</c:v>
                </c:pt>
                <c:pt idx="142">
                  <c:v>2.87439</c:v>
                </c:pt>
                <c:pt idx="143">
                  <c:v>2.8721000000000001</c:v>
                </c:pt>
                <c:pt idx="144">
                  <c:v>2.8589199999999999</c:v>
                </c:pt>
                <c:pt idx="145">
                  <c:v>2.8536000000000001</c:v>
                </c:pt>
                <c:pt idx="146">
                  <c:v>2.85778</c:v>
                </c:pt>
                <c:pt idx="147">
                  <c:v>2.84823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46.163199999999996</c:v>
                </c:pt>
                <c:pt idx="1">
                  <c:v>45.362299999999998</c:v>
                </c:pt>
                <c:pt idx="2">
                  <c:v>44.502000000000002</c:v>
                </c:pt>
                <c:pt idx="3">
                  <c:v>43.504199999999997</c:v>
                </c:pt>
                <c:pt idx="4">
                  <c:v>42.503600000000006</c:v>
                </c:pt>
                <c:pt idx="5">
                  <c:v>41.560600000000001</c:v>
                </c:pt>
                <c:pt idx="6">
                  <c:v>40.644100000000002</c:v>
                </c:pt>
                <c:pt idx="7">
                  <c:v>39.811</c:v>
                </c:pt>
                <c:pt idx="8">
                  <c:v>39.0886</c:v>
                </c:pt>
                <c:pt idx="9">
                  <c:v>38.408799999999999</c:v>
                </c:pt>
                <c:pt idx="10">
                  <c:v>37.828400000000002</c:v>
                </c:pt>
                <c:pt idx="11">
                  <c:v>37.2928</c:v>
                </c:pt>
                <c:pt idx="12">
                  <c:v>36.819800000000001</c:v>
                </c:pt>
                <c:pt idx="13">
                  <c:v>36.3414</c:v>
                </c:pt>
                <c:pt idx="14">
                  <c:v>35.919600000000003</c:v>
                </c:pt>
                <c:pt idx="15">
                  <c:v>35.545100000000005</c:v>
                </c:pt>
                <c:pt idx="16">
                  <c:v>35.227399999999996</c:v>
                </c:pt>
                <c:pt idx="17">
                  <c:v>35.020099999999999</c:v>
                </c:pt>
                <c:pt idx="18">
                  <c:v>34.8249</c:v>
                </c:pt>
                <c:pt idx="19">
                  <c:v>34.670200000000001</c:v>
                </c:pt>
                <c:pt idx="20">
                  <c:v>34.498800000000003</c:v>
                </c:pt>
                <c:pt idx="21">
                  <c:v>34.315600000000003</c:v>
                </c:pt>
                <c:pt idx="22">
                  <c:v>34.145900000000005</c:v>
                </c:pt>
                <c:pt idx="23">
                  <c:v>33.985900000000001</c:v>
                </c:pt>
                <c:pt idx="24">
                  <c:v>33.874300000000005</c:v>
                </c:pt>
                <c:pt idx="25">
                  <c:v>33.761899999999997</c:v>
                </c:pt>
                <c:pt idx="26">
                  <c:v>33.659599999999998</c:v>
                </c:pt>
                <c:pt idx="27">
                  <c:v>33.575200000000002</c:v>
                </c:pt>
                <c:pt idx="28">
                  <c:v>33.573799999999999</c:v>
                </c:pt>
                <c:pt idx="29">
                  <c:v>33.667999999999999</c:v>
                </c:pt>
                <c:pt idx="30">
                  <c:v>33.851599999999998</c:v>
                </c:pt>
                <c:pt idx="31">
                  <c:v>34.106099999999998</c:v>
                </c:pt>
                <c:pt idx="32">
                  <c:v>34.42</c:v>
                </c:pt>
                <c:pt idx="33">
                  <c:v>34.745100000000001</c:v>
                </c:pt>
                <c:pt idx="34">
                  <c:v>35.060099999999998</c:v>
                </c:pt>
                <c:pt idx="35">
                  <c:v>35.358200000000004</c:v>
                </c:pt>
                <c:pt idx="36">
                  <c:v>35.636800000000001</c:v>
                </c:pt>
                <c:pt idx="37">
                  <c:v>35.899300000000004</c:v>
                </c:pt>
                <c:pt idx="38">
                  <c:v>36.197299999999998</c:v>
                </c:pt>
                <c:pt idx="39">
                  <c:v>36.477800000000002</c:v>
                </c:pt>
                <c:pt idx="40">
                  <c:v>36.729900000000001</c:v>
                </c:pt>
                <c:pt idx="41">
                  <c:v>36.945699999999995</c:v>
                </c:pt>
                <c:pt idx="42">
                  <c:v>37.094000000000001</c:v>
                </c:pt>
                <c:pt idx="43">
                  <c:v>37.244799999999998</c:v>
                </c:pt>
                <c:pt idx="44">
                  <c:v>37.371099999999998</c:v>
                </c:pt>
                <c:pt idx="45">
                  <c:v>37.540700000000001</c:v>
                </c:pt>
                <c:pt idx="46">
                  <c:v>37.6892</c:v>
                </c:pt>
                <c:pt idx="47">
                  <c:v>37.774299999999997</c:v>
                </c:pt>
                <c:pt idx="48">
                  <c:v>37.867600000000003</c:v>
                </c:pt>
                <c:pt idx="49">
                  <c:v>37.950699999999998</c:v>
                </c:pt>
                <c:pt idx="50">
                  <c:v>38.046900000000001</c:v>
                </c:pt>
                <c:pt idx="51">
                  <c:v>38.132899999999999</c:v>
                </c:pt>
                <c:pt idx="52">
                  <c:v>38.210100000000004</c:v>
                </c:pt>
                <c:pt idx="53">
                  <c:v>38.2714</c:v>
                </c:pt>
                <c:pt idx="54">
                  <c:v>38.311199999999999</c:v>
                </c:pt>
                <c:pt idx="55">
                  <c:v>38.325700000000005</c:v>
                </c:pt>
                <c:pt idx="56">
                  <c:v>38.392099999999999</c:v>
                </c:pt>
                <c:pt idx="57">
                  <c:v>38.475000000000001</c:v>
                </c:pt>
                <c:pt idx="58">
                  <c:v>38.531300000000002</c:v>
                </c:pt>
                <c:pt idx="59">
                  <c:v>38.573099999999997</c:v>
                </c:pt>
                <c:pt idx="60">
                  <c:v>38.566899999999997</c:v>
                </c:pt>
                <c:pt idx="61">
                  <c:v>38.572000000000003</c:v>
                </c:pt>
                <c:pt idx="62">
                  <c:v>38.545299999999997</c:v>
                </c:pt>
                <c:pt idx="63">
                  <c:v>38.480199999999996</c:v>
                </c:pt>
                <c:pt idx="64">
                  <c:v>38.395499999999998</c:v>
                </c:pt>
                <c:pt idx="65">
                  <c:v>38.313299999999998</c:v>
                </c:pt>
                <c:pt idx="66">
                  <c:v>38.219099999999997</c:v>
                </c:pt>
                <c:pt idx="67">
                  <c:v>38.110300000000002</c:v>
                </c:pt>
                <c:pt idx="68">
                  <c:v>38.005400000000002</c:v>
                </c:pt>
                <c:pt idx="69">
                  <c:v>37.856200000000001</c:v>
                </c:pt>
                <c:pt idx="70">
                  <c:v>37.6571</c:v>
                </c:pt>
                <c:pt idx="71">
                  <c:v>37.504100000000001</c:v>
                </c:pt>
                <c:pt idx="72">
                  <c:v>37.4041</c:v>
                </c:pt>
                <c:pt idx="73">
                  <c:v>37.3217</c:v>
                </c:pt>
                <c:pt idx="74">
                  <c:v>37.2331</c:v>
                </c:pt>
                <c:pt idx="75">
                  <c:v>37.0899</c:v>
                </c:pt>
                <c:pt idx="76">
                  <c:v>36.976100000000002</c:v>
                </c:pt>
                <c:pt idx="77">
                  <c:v>36.815399999999997</c:v>
                </c:pt>
                <c:pt idx="78">
                  <c:v>36.596800000000002</c:v>
                </c:pt>
                <c:pt idx="79">
                  <c:v>36.337299999999999</c:v>
                </c:pt>
                <c:pt idx="80">
                  <c:v>36.0625</c:v>
                </c:pt>
                <c:pt idx="81">
                  <c:v>35.616300000000003</c:v>
                </c:pt>
                <c:pt idx="82">
                  <c:v>35.051400000000001</c:v>
                </c:pt>
                <c:pt idx="83">
                  <c:v>34.36</c:v>
                </c:pt>
                <c:pt idx="84">
                  <c:v>33.701100000000004</c:v>
                </c:pt>
                <c:pt idx="85">
                  <c:v>33.055900000000001</c:v>
                </c:pt>
                <c:pt idx="86">
                  <c:v>32.386099999999999</c:v>
                </c:pt>
                <c:pt idx="87">
                  <c:v>31.669399999999996</c:v>
                </c:pt>
                <c:pt idx="88">
                  <c:v>30.992999999999999</c:v>
                </c:pt>
                <c:pt idx="89">
                  <c:v>30.362400000000001</c:v>
                </c:pt>
                <c:pt idx="90">
                  <c:v>29.820999999999998</c:v>
                </c:pt>
                <c:pt idx="91">
                  <c:v>29.319699999999997</c:v>
                </c:pt>
                <c:pt idx="92">
                  <c:v>28.841799999999999</c:v>
                </c:pt>
                <c:pt idx="93">
                  <c:v>28.372500000000002</c:v>
                </c:pt>
                <c:pt idx="94">
                  <c:v>27.966800000000003</c:v>
                </c:pt>
                <c:pt idx="95">
                  <c:v>27.648099999999999</c:v>
                </c:pt>
                <c:pt idx="96">
                  <c:v>27.336500000000001</c:v>
                </c:pt>
                <c:pt idx="97">
                  <c:v>27.084099999999999</c:v>
                </c:pt>
                <c:pt idx="98">
                  <c:v>26.816600000000001</c:v>
                </c:pt>
                <c:pt idx="99">
                  <c:v>26.500600000000002</c:v>
                </c:pt>
                <c:pt idx="100">
                  <c:v>26.186799999999998</c:v>
                </c:pt>
                <c:pt idx="101">
                  <c:v>25.857299999999999</c:v>
                </c:pt>
                <c:pt idx="102">
                  <c:v>25.5579</c:v>
                </c:pt>
                <c:pt idx="103">
                  <c:v>25.220500000000001</c:v>
                </c:pt>
                <c:pt idx="104">
                  <c:v>24.9344</c:v>
                </c:pt>
                <c:pt idx="105">
                  <c:v>24.669699999999999</c:v>
                </c:pt>
                <c:pt idx="106">
                  <c:v>24.421599999999998</c:v>
                </c:pt>
                <c:pt idx="107">
                  <c:v>24.15</c:v>
                </c:pt>
                <c:pt idx="108">
                  <c:v>23.9604</c:v>
                </c:pt>
                <c:pt idx="109">
                  <c:v>23.790099999999999</c:v>
                </c:pt>
                <c:pt idx="110">
                  <c:v>23.5991</c:v>
                </c:pt>
                <c:pt idx="111">
                  <c:v>23.443899999999999</c:v>
                </c:pt>
                <c:pt idx="112">
                  <c:v>23.339199999999998</c:v>
                </c:pt>
                <c:pt idx="113">
                  <c:v>23.311699999999998</c:v>
                </c:pt>
                <c:pt idx="114">
                  <c:v>23.263000000000002</c:v>
                </c:pt>
                <c:pt idx="115">
                  <c:v>23.174800000000001</c:v>
                </c:pt>
                <c:pt idx="116">
                  <c:v>23.033899999999999</c:v>
                </c:pt>
                <c:pt idx="117">
                  <c:v>22.931899999999999</c:v>
                </c:pt>
                <c:pt idx="118">
                  <c:v>22.854600000000001</c:v>
                </c:pt>
                <c:pt idx="119">
                  <c:v>22.702100000000002</c:v>
                </c:pt>
                <c:pt idx="120">
                  <c:v>22.552299999999999</c:v>
                </c:pt>
                <c:pt idx="121">
                  <c:v>22.475999999999999</c:v>
                </c:pt>
                <c:pt idx="122">
                  <c:v>22.366399999999999</c:v>
                </c:pt>
                <c:pt idx="123">
                  <c:v>22.313500000000001</c:v>
                </c:pt>
                <c:pt idx="124">
                  <c:v>22.231200000000001</c:v>
                </c:pt>
                <c:pt idx="125">
                  <c:v>22.159699999999997</c:v>
                </c:pt>
                <c:pt idx="126">
                  <c:v>22.088000000000001</c:v>
                </c:pt>
                <c:pt idx="127">
                  <c:v>22.028300000000002</c:v>
                </c:pt>
                <c:pt idx="128">
                  <c:v>22.0029</c:v>
                </c:pt>
                <c:pt idx="129">
                  <c:v>21.934899999999999</c:v>
                </c:pt>
                <c:pt idx="130">
                  <c:v>21.8339</c:v>
                </c:pt>
                <c:pt idx="131">
                  <c:v>21.770999999999997</c:v>
                </c:pt>
                <c:pt idx="132">
                  <c:v>21.793199999999999</c:v>
                </c:pt>
                <c:pt idx="133">
                  <c:v>21.838699999999999</c:v>
                </c:pt>
                <c:pt idx="134">
                  <c:v>21.878800000000002</c:v>
                </c:pt>
                <c:pt idx="135">
                  <c:v>21.984500000000001</c:v>
                </c:pt>
                <c:pt idx="136">
                  <c:v>22.058499999999999</c:v>
                </c:pt>
                <c:pt idx="137">
                  <c:v>22.170999999999999</c:v>
                </c:pt>
                <c:pt idx="138">
                  <c:v>22.182700000000001</c:v>
                </c:pt>
                <c:pt idx="139">
                  <c:v>22.2667</c:v>
                </c:pt>
                <c:pt idx="140">
                  <c:v>22.317400000000003</c:v>
                </c:pt>
                <c:pt idx="141">
                  <c:v>22.5168</c:v>
                </c:pt>
                <c:pt idx="142">
                  <c:v>22.631499999999999</c:v>
                </c:pt>
                <c:pt idx="143">
                  <c:v>22.6617</c:v>
                </c:pt>
                <c:pt idx="144">
                  <c:v>23.043500000000002</c:v>
                </c:pt>
                <c:pt idx="145">
                  <c:v>23.459599999999998</c:v>
                </c:pt>
                <c:pt idx="146">
                  <c:v>23.573699999999999</c:v>
                </c:pt>
                <c:pt idx="147">
                  <c:v>23.9588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2.6777199999999999</c:v>
                </c:pt>
                <c:pt idx="1">
                  <c:v>2.7400899999999999</c:v>
                </c:pt>
                <c:pt idx="2">
                  <c:v>2.8002599999999997</c:v>
                </c:pt>
                <c:pt idx="3">
                  <c:v>2.86191</c:v>
                </c:pt>
                <c:pt idx="4">
                  <c:v>2.9226400000000003</c:v>
                </c:pt>
                <c:pt idx="5">
                  <c:v>2.97993</c:v>
                </c:pt>
                <c:pt idx="6">
                  <c:v>3.0345599999999999</c:v>
                </c:pt>
                <c:pt idx="7">
                  <c:v>3.0868099999999998</c:v>
                </c:pt>
                <c:pt idx="8">
                  <c:v>3.13348</c:v>
                </c:pt>
                <c:pt idx="9">
                  <c:v>3.1749200000000002</c:v>
                </c:pt>
                <c:pt idx="10">
                  <c:v>3.2095500000000001</c:v>
                </c:pt>
                <c:pt idx="11">
                  <c:v>3.23813</c:v>
                </c:pt>
                <c:pt idx="12">
                  <c:v>3.2614799999999997</c:v>
                </c:pt>
                <c:pt idx="13">
                  <c:v>3.28172</c:v>
                </c:pt>
                <c:pt idx="14">
                  <c:v>3.2996699999999999</c:v>
                </c:pt>
                <c:pt idx="15">
                  <c:v>3.31487</c:v>
                </c:pt>
                <c:pt idx="16">
                  <c:v>3.3266400000000003</c:v>
                </c:pt>
                <c:pt idx="17">
                  <c:v>3.3354900000000001</c:v>
                </c:pt>
                <c:pt idx="18">
                  <c:v>3.3426099999999996</c:v>
                </c:pt>
                <c:pt idx="19">
                  <c:v>3.3444099999999999</c:v>
                </c:pt>
                <c:pt idx="20">
                  <c:v>3.3419500000000002</c:v>
                </c:pt>
                <c:pt idx="21">
                  <c:v>3.3356500000000002</c:v>
                </c:pt>
                <c:pt idx="22">
                  <c:v>3.3278600000000003</c:v>
                </c:pt>
                <c:pt idx="23">
                  <c:v>3.31934</c:v>
                </c:pt>
                <c:pt idx="24">
                  <c:v>3.3101599999999998</c:v>
                </c:pt>
                <c:pt idx="25">
                  <c:v>3.2974100000000002</c:v>
                </c:pt>
                <c:pt idx="26">
                  <c:v>3.2803399999999998</c:v>
                </c:pt>
                <c:pt idx="27">
                  <c:v>3.2599200000000002</c:v>
                </c:pt>
                <c:pt idx="28">
                  <c:v>3.23454</c:v>
                </c:pt>
                <c:pt idx="29">
                  <c:v>3.20723</c:v>
                </c:pt>
                <c:pt idx="30">
                  <c:v>3.1804600000000001</c:v>
                </c:pt>
                <c:pt idx="31">
                  <c:v>3.1540800000000004</c:v>
                </c:pt>
                <c:pt idx="32">
                  <c:v>3.1286300000000002</c:v>
                </c:pt>
                <c:pt idx="33">
                  <c:v>3.1051899999999999</c:v>
                </c:pt>
                <c:pt idx="34">
                  <c:v>3.08317</c:v>
                </c:pt>
                <c:pt idx="35">
                  <c:v>3.0647000000000002</c:v>
                </c:pt>
                <c:pt idx="36">
                  <c:v>3.04765</c:v>
                </c:pt>
                <c:pt idx="37">
                  <c:v>3.0318399999999999</c:v>
                </c:pt>
                <c:pt idx="38">
                  <c:v>3.0156800000000001</c:v>
                </c:pt>
                <c:pt idx="39">
                  <c:v>3.0013899999999998</c:v>
                </c:pt>
                <c:pt idx="40">
                  <c:v>2.98712</c:v>
                </c:pt>
                <c:pt idx="41">
                  <c:v>2.9743999999999997</c:v>
                </c:pt>
                <c:pt idx="42">
                  <c:v>2.9611900000000002</c:v>
                </c:pt>
                <c:pt idx="43">
                  <c:v>2.9476200000000001</c:v>
                </c:pt>
                <c:pt idx="44">
                  <c:v>2.9336800000000003</c:v>
                </c:pt>
                <c:pt idx="45">
                  <c:v>2.9195199999999999</c:v>
                </c:pt>
                <c:pt idx="46">
                  <c:v>2.9101100000000004</c:v>
                </c:pt>
                <c:pt idx="47">
                  <c:v>2.9062999999999999</c:v>
                </c:pt>
                <c:pt idx="48">
                  <c:v>2.9037099999999998</c:v>
                </c:pt>
                <c:pt idx="49">
                  <c:v>2.9008699999999998</c:v>
                </c:pt>
                <c:pt idx="50">
                  <c:v>2.8987499999999997</c:v>
                </c:pt>
                <c:pt idx="51">
                  <c:v>2.8995100000000003</c:v>
                </c:pt>
                <c:pt idx="52">
                  <c:v>2.9026100000000001</c:v>
                </c:pt>
                <c:pt idx="53">
                  <c:v>2.90333</c:v>
                </c:pt>
                <c:pt idx="54">
                  <c:v>2.9035600000000001</c:v>
                </c:pt>
                <c:pt idx="55">
                  <c:v>2.9027700000000003</c:v>
                </c:pt>
                <c:pt idx="56">
                  <c:v>2.8986800000000001</c:v>
                </c:pt>
                <c:pt idx="57">
                  <c:v>2.8905500000000002</c:v>
                </c:pt>
                <c:pt idx="58">
                  <c:v>2.8812500000000001</c:v>
                </c:pt>
                <c:pt idx="59">
                  <c:v>2.8693499999999998</c:v>
                </c:pt>
                <c:pt idx="60">
                  <c:v>2.8560600000000003</c:v>
                </c:pt>
                <c:pt idx="61">
                  <c:v>2.84165</c:v>
                </c:pt>
                <c:pt idx="62">
                  <c:v>2.82674</c:v>
                </c:pt>
                <c:pt idx="63">
                  <c:v>2.8122699999999998</c:v>
                </c:pt>
                <c:pt idx="64">
                  <c:v>2.7973300000000001</c:v>
                </c:pt>
                <c:pt idx="65">
                  <c:v>2.78376</c:v>
                </c:pt>
                <c:pt idx="66">
                  <c:v>2.7692499999999995</c:v>
                </c:pt>
                <c:pt idx="67">
                  <c:v>2.7546900000000001</c:v>
                </c:pt>
                <c:pt idx="68">
                  <c:v>2.7422300000000002</c:v>
                </c:pt>
                <c:pt idx="69">
                  <c:v>2.7325899999999996</c:v>
                </c:pt>
                <c:pt idx="70">
                  <c:v>2.7239900000000001</c:v>
                </c:pt>
                <c:pt idx="71">
                  <c:v>2.7146300000000001</c:v>
                </c:pt>
                <c:pt idx="72">
                  <c:v>2.7006599999999996</c:v>
                </c:pt>
                <c:pt idx="73">
                  <c:v>2.68581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46.163199999999996</c:v>
                </c:pt>
                <c:pt idx="1">
                  <c:v>45.362299999999998</c:v>
                </c:pt>
                <c:pt idx="2">
                  <c:v>44.502000000000002</c:v>
                </c:pt>
                <c:pt idx="3">
                  <c:v>43.504199999999997</c:v>
                </c:pt>
                <c:pt idx="4">
                  <c:v>42.503600000000006</c:v>
                </c:pt>
                <c:pt idx="5">
                  <c:v>41.560600000000001</c:v>
                </c:pt>
                <c:pt idx="6">
                  <c:v>40.644100000000002</c:v>
                </c:pt>
                <c:pt idx="7">
                  <c:v>39.811</c:v>
                </c:pt>
                <c:pt idx="8">
                  <c:v>39.0886</c:v>
                </c:pt>
                <c:pt idx="9">
                  <c:v>38.408799999999999</c:v>
                </c:pt>
                <c:pt idx="10">
                  <c:v>37.828400000000002</c:v>
                </c:pt>
                <c:pt idx="11">
                  <c:v>37.2928</c:v>
                </c:pt>
                <c:pt idx="12">
                  <c:v>36.819800000000001</c:v>
                </c:pt>
                <c:pt idx="13">
                  <c:v>36.3414</c:v>
                </c:pt>
                <c:pt idx="14">
                  <c:v>35.919600000000003</c:v>
                </c:pt>
                <c:pt idx="15">
                  <c:v>35.545100000000005</c:v>
                </c:pt>
                <c:pt idx="16">
                  <c:v>35.227399999999996</c:v>
                </c:pt>
                <c:pt idx="17">
                  <c:v>35.020099999999999</c:v>
                </c:pt>
                <c:pt idx="18">
                  <c:v>34.8249</c:v>
                </c:pt>
                <c:pt idx="19">
                  <c:v>34.670200000000001</c:v>
                </c:pt>
                <c:pt idx="20">
                  <c:v>34.498800000000003</c:v>
                </c:pt>
                <c:pt idx="21">
                  <c:v>34.315600000000003</c:v>
                </c:pt>
                <c:pt idx="22">
                  <c:v>34.145900000000005</c:v>
                </c:pt>
                <c:pt idx="23">
                  <c:v>33.985900000000001</c:v>
                </c:pt>
                <c:pt idx="24">
                  <c:v>33.874300000000005</c:v>
                </c:pt>
                <c:pt idx="25">
                  <c:v>33.761899999999997</c:v>
                </c:pt>
                <c:pt idx="26">
                  <c:v>33.659599999999998</c:v>
                </c:pt>
                <c:pt idx="27">
                  <c:v>33.575200000000002</c:v>
                </c:pt>
                <c:pt idx="28">
                  <c:v>33.573799999999999</c:v>
                </c:pt>
                <c:pt idx="29">
                  <c:v>33.667999999999999</c:v>
                </c:pt>
                <c:pt idx="30">
                  <c:v>33.851599999999998</c:v>
                </c:pt>
                <c:pt idx="31">
                  <c:v>34.106099999999998</c:v>
                </c:pt>
                <c:pt idx="32">
                  <c:v>34.42</c:v>
                </c:pt>
                <c:pt idx="33">
                  <c:v>34.745100000000001</c:v>
                </c:pt>
                <c:pt idx="34">
                  <c:v>35.060099999999998</c:v>
                </c:pt>
                <c:pt idx="35">
                  <c:v>35.358200000000004</c:v>
                </c:pt>
                <c:pt idx="36">
                  <c:v>35.636800000000001</c:v>
                </c:pt>
                <c:pt idx="37">
                  <c:v>35.899300000000004</c:v>
                </c:pt>
                <c:pt idx="38">
                  <c:v>36.197299999999998</c:v>
                </c:pt>
                <c:pt idx="39">
                  <c:v>36.477800000000002</c:v>
                </c:pt>
                <c:pt idx="40">
                  <c:v>36.729900000000001</c:v>
                </c:pt>
                <c:pt idx="41">
                  <c:v>36.945699999999995</c:v>
                </c:pt>
                <c:pt idx="42">
                  <c:v>37.094000000000001</c:v>
                </c:pt>
                <c:pt idx="43">
                  <c:v>37.244799999999998</c:v>
                </c:pt>
                <c:pt idx="44">
                  <c:v>37.371099999999998</c:v>
                </c:pt>
                <c:pt idx="45">
                  <c:v>37.540700000000001</c:v>
                </c:pt>
                <c:pt idx="46">
                  <c:v>37.6892</c:v>
                </c:pt>
                <c:pt idx="47">
                  <c:v>37.774299999999997</c:v>
                </c:pt>
                <c:pt idx="48">
                  <c:v>37.867600000000003</c:v>
                </c:pt>
                <c:pt idx="49">
                  <c:v>37.950699999999998</c:v>
                </c:pt>
                <c:pt idx="50">
                  <c:v>38.046900000000001</c:v>
                </c:pt>
                <c:pt idx="51">
                  <c:v>38.132899999999999</c:v>
                </c:pt>
                <c:pt idx="52">
                  <c:v>38.210100000000004</c:v>
                </c:pt>
                <c:pt idx="53">
                  <c:v>38.2714</c:v>
                </c:pt>
                <c:pt idx="54">
                  <c:v>38.311199999999999</c:v>
                </c:pt>
                <c:pt idx="55">
                  <c:v>38.325700000000005</c:v>
                </c:pt>
                <c:pt idx="56">
                  <c:v>38.392099999999999</c:v>
                </c:pt>
                <c:pt idx="57">
                  <c:v>38.475000000000001</c:v>
                </c:pt>
                <c:pt idx="58">
                  <c:v>38.531300000000002</c:v>
                </c:pt>
                <c:pt idx="59">
                  <c:v>38.573099999999997</c:v>
                </c:pt>
                <c:pt idx="60">
                  <c:v>38.566899999999997</c:v>
                </c:pt>
                <c:pt idx="61">
                  <c:v>38.572000000000003</c:v>
                </c:pt>
                <c:pt idx="62">
                  <c:v>38.545299999999997</c:v>
                </c:pt>
                <c:pt idx="63">
                  <c:v>38.480199999999996</c:v>
                </c:pt>
                <c:pt idx="64">
                  <c:v>38.395499999999998</c:v>
                </c:pt>
                <c:pt idx="65">
                  <c:v>38.313299999999998</c:v>
                </c:pt>
                <c:pt idx="66">
                  <c:v>38.219099999999997</c:v>
                </c:pt>
                <c:pt idx="67">
                  <c:v>38.110300000000002</c:v>
                </c:pt>
                <c:pt idx="68">
                  <c:v>38.005400000000002</c:v>
                </c:pt>
                <c:pt idx="69">
                  <c:v>37.856200000000001</c:v>
                </c:pt>
                <c:pt idx="70">
                  <c:v>37.6571</c:v>
                </c:pt>
                <c:pt idx="71">
                  <c:v>37.504100000000001</c:v>
                </c:pt>
                <c:pt idx="72">
                  <c:v>37.4041</c:v>
                </c:pt>
                <c:pt idx="73">
                  <c:v>37.3217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2.68581</c:v>
                </c:pt>
                <c:pt idx="1">
                  <c:v>2.6715499999999999</c:v>
                </c:pt>
                <c:pt idx="2">
                  <c:v>2.6595800000000001</c:v>
                </c:pt>
                <c:pt idx="3">
                  <c:v>2.64825</c:v>
                </c:pt>
                <c:pt idx="4">
                  <c:v>2.6380699999999999</c:v>
                </c:pt>
                <c:pt idx="5">
                  <c:v>2.6340599999999998</c:v>
                </c:pt>
                <c:pt idx="6">
                  <c:v>2.63266</c:v>
                </c:pt>
                <c:pt idx="7">
                  <c:v>2.6319500000000002</c:v>
                </c:pt>
                <c:pt idx="8">
                  <c:v>2.6365600000000002</c:v>
                </c:pt>
                <c:pt idx="9">
                  <c:v>2.64635</c:v>
                </c:pt>
                <c:pt idx="10">
                  <c:v>2.6590000000000003</c:v>
                </c:pt>
                <c:pt idx="11">
                  <c:v>2.6730799999999997</c:v>
                </c:pt>
                <c:pt idx="12">
                  <c:v>2.6886199999999998</c:v>
                </c:pt>
                <c:pt idx="13">
                  <c:v>2.7058200000000001</c:v>
                </c:pt>
                <c:pt idx="14">
                  <c:v>2.7265099999999998</c:v>
                </c:pt>
                <c:pt idx="15">
                  <c:v>2.74411</c:v>
                </c:pt>
                <c:pt idx="16">
                  <c:v>2.7600699999999998</c:v>
                </c:pt>
                <c:pt idx="17">
                  <c:v>2.7738800000000001</c:v>
                </c:pt>
                <c:pt idx="18">
                  <c:v>2.7880899999999995</c:v>
                </c:pt>
                <c:pt idx="19">
                  <c:v>2.8044500000000001</c:v>
                </c:pt>
                <c:pt idx="20">
                  <c:v>2.8203</c:v>
                </c:pt>
                <c:pt idx="21">
                  <c:v>2.83304</c:v>
                </c:pt>
                <c:pt idx="22">
                  <c:v>2.8428800000000001</c:v>
                </c:pt>
                <c:pt idx="23">
                  <c:v>2.8492000000000002</c:v>
                </c:pt>
                <c:pt idx="24">
                  <c:v>2.8519600000000001</c:v>
                </c:pt>
                <c:pt idx="25">
                  <c:v>2.8538899999999998</c:v>
                </c:pt>
                <c:pt idx="26">
                  <c:v>2.8574100000000002</c:v>
                </c:pt>
                <c:pt idx="27">
                  <c:v>2.8607</c:v>
                </c:pt>
                <c:pt idx="28">
                  <c:v>2.86435</c:v>
                </c:pt>
                <c:pt idx="29">
                  <c:v>2.8657700000000004</c:v>
                </c:pt>
                <c:pt idx="30">
                  <c:v>2.8671000000000002</c:v>
                </c:pt>
                <c:pt idx="31">
                  <c:v>2.8667100000000003</c:v>
                </c:pt>
                <c:pt idx="32">
                  <c:v>2.8660899999999998</c:v>
                </c:pt>
                <c:pt idx="33">
                  <c:v>2.8645500000000004</c:v>
                </c:pt>
                <c:pt idx="34">
                  <c:v>2.8625099999999999</c:v>
                </c:pt>
                <c:pt idx="35">
                  <c:v>2.8595300000000003</c:v>
                </c:pt>
                <c:pt idx="36">
                  <c:v>2.85765</c:v>
                </c:pt>
                <c:pt idx="37">
                  <c:v>2.8564800000000004</c:v>
                </c:pt>
                <c:pt idx="38">
                  <c:v>2.8554600000000003</c:v>
                </c:pt>
                <c:pt idx="39">
                  <c:v>2.8528099999999998</c:v>
                </c:pt>
                <c:pt idx="40">
                  <c:v>2.8550800000000001</c:v>
                </c:pt>
                <c:pt idx="41">
                  <c:v>2.8589199999999999</c:v>
                </c:pt>
                <c:pt idx="42">
                  <c:v>2.8633999999999999</c:v>
                </c:pt>
                <c:pt idx="43">
                  <c:v>2.86883</c:v>
                </c:pt>
                <c:pt idx="44">
                  <c:v>2.8701300000000001</c:v>
                </c:pt>
                <c:pt idx="45">
                  <c:v>2.8681899999999998</c:v>
                </c:pt>
                <c:pt idx="46">
                  <c:v>2.8693</c:v>
                </c:pt>
                <c:pt idx="47">
                  <c:v>2.8702699999999997</c:v>
                </c:pt>
                <c:pt idx="48">
                  <c:v>2.8708</c:v>
                </c:pt>
                <c:pt idx="49">
                  <c:v>2.87554</c:v>
                </c:pt>
                <c:pt idx="50">
                  <c:v>2.87941</c:v>
                </c:pt>
                <c:pt idx="51">
                  <c:v>2.8824699999999996</c:v>
                </c:pt>
                <c:pt idx="52">
                  <c:v>2.8854000000000002</c:v>
                </c:pt>
                <c:pt idx="53">
                  <c:v>2.8879300000000003</c:v>
                </c:pt>
                <c:pt idx="54">
                  <c:v>2.8916399999999998</c:v>
                </c:pt>
                <c:pt idx="55">
                  <c:v>2.8949699999999998</c:v>
                </c:pt>
                <c:pt idx="56">
                  <c:v>2.8990800000000001</c:v>
                </c:pt>
                <c:pt idx="57">
                  <c:v>2.90367</c:v>
                </c:pt>
                <c:pt idx="58">
                  <c:v>2.9068399999999999</c:v>
                </c:pt>
                <c:pt idx="59">
                  <c:v>2.9103000000000003</c:v>
                </c:pt>
                <c:pt idx="60">
                  <c:v>2.9140100000000002</c:v>
                </c:pt>
                <c:pt idx="61">
                  <c:v>2.9178100000000002</c:v>
                </c:pt>
                <c:pt idx="62">
                  <c:v>2.9194300000000002</c:v>
                </c:pt>
                <c:pt idx="63">
                  <c:v>2.9203800000000002</c:v>
                </c:pt>
                <c:pt idx="64">
                  <c:v>2.9204400000000001</c:v>
                </c:pt>
                <c:pt idx="65">
                  <c:v>2.91479</c:v>
                </c:pt>
                <c:pt idx="66">
                  <c:v>2.9058000000000002</c:v>
                </c:pt>
                <c:pt idx="67">
                  <c:v>2.8974100000000003</c:v>
                </c:pt>
                <c:pt idx="68">
                  <c:v>2.8838799999999996</c:v>
                </c:pt>
                <c:pt idx="69">
                  <c:v>2.87439</c:v>
                </c:pt>
                <c:pt idx="70">
                  <c:v>2.8721000000000001</c:v>
                </c:pt>
                <c:pt idx="71">
                  <c:v>2.8589199999999999</c:v>
                </c:pt>
                <c:pt idx="72">
                  <c:v>2.8536000000000001</c:v>
                </c:pt>
                <c:pt idx="73">
                  <c:v>2.85778</c:v>
                </c:pt>
                <c:pt idx="74">
                  <c:v>2.84823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37.3217</c:v>
                </c:pt>
                <c:pt idx="1">
                  <c:v>37.2331</c:v>
                </c:pt>
                <c:pt idx="2">
                  <c:v>37.0899</c:v>
                </c:pt>
                <c:pt idx="3">
                  <c:v>36.976100000000002</c:v>
                </c:pt>
                <c:pt idx="4">
                  <c:v>36.815399999999997</c:v>
                </c:pt>
                <c:pt idx="5">
                  <c:v>36.596800000000002</c:v>
                </c:pt>
                <c:pt idx="6">
                  <c:v>36.337299999999999</c:v>
                </c:pt>
                <c:pt idx="7">
                  <c:v>36.0625</c:v>
                </c:pt>
                <c:pt idx="8">
                  <c:v>35.616300000000003</c:v>
                </c:pt>
                <c:pt idx="9">
                  <c:v>35.051400000000001</c:v>
                </c:pt>
                <c:pt idx="10">
                  <c:v>34.36</c:v>
                </c:pt>
                <c:pt idx="11">
                  <c:v>33.701100000000004</c:v>
                </c:pt>
                <c:pt idx="12">
                  <c:v>33.055900000000001</c:v>
                </c:pt>
                <c:pt idx="13">
                  <c:v>32.386099999999999</c:v>
                </c:pt>
                <c:pt idx="14">
                  <c:v>31.669399999999996</c:v>
                </c:pt>
                <c:pt idx="15">
                  <c:v>30.992999999999999</c:v>
                </c:pt>
                <c:pt idx="16">
                  <c:v>30.362400000000001</c:v>
                </c:pt>
                <c:pt idx="17">
                  <c:v>29.820999999999998</c:v>
                </c:pt>
                <c:pt idx="18">
                  <c:v>29.319699999999997</c:v>
                </c:pt>
                <c:pt idx="19">
                  <c:v>28.841799999999999</c:v>
                </c:pt>
                <c:pt idx="20">
                  <c:v>28.372500000000002</c:v>
                </c:pt>
                <c:pt idx="21">
                  <c:v>27.966800000000003</c:v>
                </c:pt>
                <c:pt idx="22">
                  <c:v>27.648099999999999</c:v>
                </c:pt>
                <c:pt idx="23">
                  <c:v>27.336500000000001</c:v>
                </c:pt>
                <c:pt idx="24">
                  <c:v>27.084099999999999</c:v>
                </c:pt>
                <c:pt idx="25">
                  <c:v>26.816600000000001</c:v>
                </c:pt>
                <c:pt idx="26">
                  <c:v>26.500600000000002</c:v>
                </c:pt>
                <c:pt idx="27">
                  <c:v>26.186799999999998</c:v>
                </c:pt>
                <c:pt idx="28">
                  <c:v>25.857299999999999</c:v>
                </c:pt>
                <c:pt idx="29">
                  <c:v>25.5579</c:v>
                </c:pt>
                <c:pt idx="30">
                  <c:v>25.220500000000001</c:v>
                </c:pt>
                <c:pt idx="31">
                  <c:v>24.9344</c:v>
                </c:pt>
                <c:pt idx="32">
                  <c:v>24.669699999999999</c:v>
                </c:pt>
                <c:pt idx="33">
                  <c:v>24.421599999999998</c:v>
                </c:pt>
                <c:pt idx="34">
                  <c:v>24.15</c:v>
                </c:pt>
                <c:pt idx="35">
                  <c:v>23.9604</c:v>
                </c:pt>
                <c:pt idx="36">
                  <c:v>23.790099999999999</c:v>
                </c:pt>
                <c:pt idx="37">
                  <c:v>23.5991</c:v>
                </c:pt>
                <c:pt idx="38">
                  <c:v>23.443899999999999</c:v>
                </c:pt>
                <c:pt idx="39">
                  <c:v>23.339199999999998</c:v>
                </c:pt>
                <c:pt idx="40">
                  <c:v>23.311699999999998</c:v>
                </c:pt>
                <c:pt idx="41">
                  <c:v>23.263000000000002</c:v>
                </c:pt>
                <c:pt idx="42">
                  <c:v>23.174800000000001</c:v>
                </c:pt>
                <c:pt idx="43">
                  <c:v>23.033899999999999</c:v>
                </c:pt>
                <c:pt idx="44">
                  <c:v>22.931899999999999</c:v>
                </c:pt>
                <c:pt idx="45">
                  <c:v>22.854600000000001</c:v>
                </c:pt>
                <c:pt idx="46">
                  <c:v>22.702100000000002</c:v>
                </c:pt>
                <c:pt idx="47">
                  <c:v>22.552299999999999</c:v>
                </c:pt>
                <c:pt idx="48">
                  <c:v>22.475999999999999</c:v>
                </c:pt>
                <c:pt idx="49">
                  <c:v>22.366399999999999</c:v>
                </c:pt>
                <c:pt idx="50">
                  <c:v>22.313500000000001</c:v>
                </c:pt>
                <c:pt idx="51">
                  <c:v>22.231200000000001</c:v>
                </c:pt>
                <c:pt idx="52">
                  <c:v>22.159699999999997</c:v>
                </c:pt>
                <c:pt idx="53">
                  <c:v>22.088000000000001</c:v>
                </c:pt>
                <c:pt idx="54">
                  <c:v>22.028300000000002</c:v>
                </c:pt>
                <c:pt idx="55">
                  <c:v>22.0029</c:v>
                </c:pt>
                <c:pt idx="56">
                  <c:v>21.934899999999999</c:v>
                </c:pt>
                <c:pt idx="57">
                  <c:v>21.8339</c:v>
                </c:pt>
                <c:pt idx="58">
                  <c:v>21.770999999999997</c:v>
                </c:pt>
                <c:pt idx="59">
                  <c:v>21.793199999999999</c:v>
                </c:pt>
                <c:pt idx="60">
                  <c:v>21.838699999999999</c:v>
                </c:pt>
                <c:pt idx="61">
                  <c:v>21.878800000000002</c:v>
                </c:pt>
                <c:pt idx="62">
                  <c:v>21.984500000000001</c:v>
                </c:pt>
                <c:pt idx="63">
                  <c:v>22.058499999999999</c:v>
                </c:pt>
                <c:pt idx="64">
                  <c:v>22.170999999999999</c:v>
                </c:pt>
                <c:pt idx="65">
                  <c:v>22.182700000000001</c:v>
                </c:pt>
                <c:pt idx="66">
                  <c:v>22.2667</c:v>
                </c:pt>
                <c:pt idx="67">
                  <c:v>22.317400000000003</c:v>
                </c:pt>
                <c:pt idx="68">
                  <c:v>22.5168</c:v>
                </c:pt>
                <c:pt idx="69">
                  <c:v>22.631499999999999</c:v>
                </c:pt>
                <c:pt idx="70">
                  <c:v>22.6617</c:v>
                </c:pt>
                <c:pt idx="71">
                  <c:v>23.043500000000002</c:v>
                </c:pt>
                <c:pt idx="72">
                  <c:v>23.459599999999998</c:v>
                </c:pt>
                <c:pt idx="73">
                  <c:v>23.573699999999999</c:v>
                </c:pt>
                <c:pt idx="74">
                  <c:v>23.9588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2.6777199999999999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46.163199999999996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3.0152786486486494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37.328085135135133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2.8270566216216215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26.223141891891899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2.8270566216216215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26.223141891891899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7" t="s">
        <v>626</v>
      </c>
      <c r="D5" s="151"/>
      <c r="E5" s="151"/>
      <c r="F5" s="152"/>
      <c r="G5" s="48" t="str">
        <f>lang!B27</f>
        <v>编号</v>
      </c>
      <c r="H5" s="150">
        <v>24</v>
      </c>
      <c r="I5" s="151"/>
      <c r="J5" s="151"/>
      <c r="K5" s="153"/>
    </row>
    <row r="6" spans="2:21" ht="17.25" customHeight="1">
      <c r="B6" s="46" t="str">
        <f>lang!B25</f>
        <v>性别</v>
      </c>
      <c r="C6" s="198" t="s">
        <v>625</v>
      </c>
      <c r="D6" s="188"/>
      <c r="E6" s="188"/>
      <c r="F6" s="189"/>
      <c r="G6" s="49" t="str">
        <f>lang!B28</f>
        <v xml:space="preserve"> 日期</v>
      </c>
      <c r="H6" s="172">
        <f>FH_info!A2</f>
        <v>43607.438530092593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40</v>
      </c>
      <c r="D7" s="191"/>
      <c r="E7" s="191"/>
      <c r="F7" s="192"/>
      <c r="G7" s="50" t="str">
        <f>lang!B29</f>
        <v>误差率（%）</v>
      </c>
      <c r="H7" s="175">
        <f>M!B17*1</f>
        <v>19.0122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41.067999999999998</v>
      </c>
      <c r="O8" s="59">
        <f>M!C5*1</f>
        <v>6.5747600000000004</v>
      </c>
      <c r="P8" s="59">
        <f>M!D5*1</f>
        <v>16.009399999999999</v>
      </c>
      <c r="Q8" s="59">
        <f>M!E5*1</f>
        <v>20</v>
      </c>
      <c r="R8" s="59">
        <f>M!F5*1</f>
        <v>17.924099999999999</v>
      </c>
      <c r="S8" s="59">
        <f>M!G5*1</f>
        <v>50</v>
      </c>
      <c r="T8" s="59">
        <f>M!H5*1</f>
        <v>53.957700000000003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43.494399999999999</v>
      </c>
      <c r="O9" s="59">
        <f>M!C6*1</f>
        <v>5.4231199999999999</v>
      </c>
      <c r="P9" s="59">
        <f>M!D6*1</f>
        <v>12.468500000000001</v>
      </c>
      <c r="Q9" s="59">
        <f>M!E6*1</f>
        <v>20</v>
      </c>
      <c r="R9" s="59">
        <f>M!F6*1</f>
        <v>30.376899999999999</v>
      </c>
      <c r="S9" s="59">
        <f>M!G6*1</f>
        <v>40</v>
      </c>
      <c r="T9" s="59">
        <f>M!H6*1</f>
        <v>49.732900000000001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17.924099999999999</v>
      </c>
      <c r="D10" s="99">
        <f>N8</f>
        <v>41.067999999999998</v>
      </c>
      <c r="E10" s="100">
        <f>T8</f>
        <v>53.957700000000003</v>
      </c>
      <c r="F10" s="91">
        <f>P8</f>
        <v>16.009399999999999</v>
      </c>
      <c r="G10" s="81" t="str">
        <f>CONCATENATE(M9,"
(20 ~ 40)")</f>
        <v>压力
(20 ~ 40)</v>
      </c>
      <c r="H10" s="98">
        <f>R9</f>
        <v>30.376899999999999</v>
      </c>
      <c r="I10" s="108">
        <f>N9</f>
        <v>43.494399999999999</v>
      </c>
      <c r="J10" s="98">
        <f>T9</f>
        <v>49.732900000000001</v>
      </c>
      <c r="K10" s="92">
        <f>P9</f>
        <v>12.468500000000001</v>
      </c>
      <c r="L10" s="6"/>
      <c r="M10" s="27" t="str">
        <f>lang!B16</f>
        <v>焦虑</v>
      </c>
      <c r="N10" s="59">
        <f>M!B7*1</f>
        <v>27.637599999999999</v>
      </c>
      <c r="O10" s="59">
        <f>M!C7*1</f>
        <v>4.9398400000000002</v>
      </c>
      <c r="P10" s="59">
        <f>M!D7*1</f>
        <v>17.8736</v>
      </c>
      <c r="Q10" s="59">
        <f>M!E7*1</f>
        <v>15</v>
      </c>
      <c r="R10" s="59">
        <f>M!F7*1</f>
        <v>12.195399999999999</v>
      </c>
      <c r="S10" s="59">
        <f>M!G7*1</f>
        <v>40</v>
      </c>
      <c r="T10" s="59">
        <f>M!H7*1</f>
        <v>46.235700000000001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12.195399999999999</v>
      </c>
      <c r="D11" s="102">
        <f>N10</f>
        <v>27.637599999999999</v>
      </c>
      <c r="E11" s="103">
        <f>T10</f>
        <v>46.235700000000001</v>
      </c>
      <c r="F11" s="94">
        <f>P10</f>
        <v>17.8736</v>
      </c>
      <c r="G11" s="52" t="str">
        <f>CONCATENATE(M11,"
(20 ~ 50)")</f>
        <v>可疑
(20 ~ 50)</v>
      </c>
      <c r="H11" s="101">
        <f>R11</f>
        <v>21.517900000000001</v>
      </c>
      <c r="I11" s="104">
        <f>N11</f>
        <v>36.581400000000002</v>
      </c>
      <c r="J11" s="101">
        <f>T11</f>
        <v>43.170200000000001</v>
      </c>
      <c r="K11" s="95">
        <f>P11</f>
        <v>10.686400000000001</v>
      </c>
      <c r="L11" s="4"/>
      <c r="M11" s="27" t="str">
        <f>lang!B17</f>
        <v>可疑</v>
      </c>
      <c r="N11" s="59">
        <f>M!B8*1</f>
        <v>36.581400000000002</v>
      </c>
      <c r="O11" s="59">
        <f>M!C8*1</f>
        <v>3.9092199999999999</v>
      </c>
      <c r="P11" s="59">
        <f>M!D8*1</f>
        <v>10.686400000000001</v>
      </c>
      <c r="Q11" s="59">
        <f>M!E8*1</f>
        <v>20</v>
      </c>
      <c r="R11" s="59">
        <f>M!F8*1</f>
        <v>21.517900000000001</v>
      </c>
      <c r="S11" s="59">
        <f>M!G8*1</f>
        <v>50</v>
      </c>
      <c r="T11" s="59">
        <f>M!H8*1</f>
        <v>43.170200000000001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50.712000000000003</v>
      </c>
      <c r="D12" s="104">
        <f>N12</f>
        <v>63.356900000000003</v>
      </c>
      <c r="E12" s="101">
        <f>T12</f>
        <v>80.001000000000005</v>
      </c>
      <c r="F12" s="93">
        <f>P12</f>
        <v>10.532299999999999</v>
      </c>
      <c r="G12" s="52" t="str">
        <f>CONCATENATE(M13,"
(40 ~ 100)")</f>
        <v>自信
(40 ~ 100)</v>
      </c>
      <c r="H12" s="101">
        <f>R13</f>
        <v>25.671199999999999</v>
      </c>
      <c r="I12" s="104">
        <f>N13</f>
        <v>54.326599999999999</v>
      </c>
      <c r="J12" s="101">
        <f>T13</f>
        <v>84.819199999999995</v>
      </c>
      <c r="K12" s="95">
        <f>P13</f>
        <v>33.875300000000003</v>
      </c>
      <c r="L12" s="4"/>
      <c r="M12" s="27" t="str">
        <f>lang!B18</f>
        <v>平衡</v>
      </c>
      <c r="N12" s="59">
        <f>M!B9*1</f>
        <v>63.356900000000003</v>
      </c>
      <c r="O12" s="59">
        <f>M!C9*1</f>
        <v>6.6729200000000004</v>
      </c>
      <c r="P12" s="59">
        <f>M!D9*1</f>
        <v>10.532299999999999</v>
      </c>
      <c r="Q12" s="59">
        <f>M!E9*1</f>
        <v>50</v>
      </c>
      <c r="R12" s="59">
        <f>M!F9*1</f>
        <v>50.712000000000003</v>
      </c>
      <c r="S12" s="59">
        <f>M!G9*1</f>
        <v>100</v>
      </c>
      <c r="T12" s="59">
        <f>M!H9*1</f>
        <v>80.001000000000005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11.3911</v>
      </c>
      <c r="D13" s="102">
        <f>N14</f>
        <v>14.806800000000001</v>
      </c>
      <c r="E13" s="103">
        <f>T14</f>
        <v>22.220600000000001</v>
      </c>
      <c r="F13" s="94">
        <f>P14</f>
        <v>18.529800000000002</v>
      </c>
      <c r="G13" s="52" t="str">
        <f>CONCATENATE(M15,"
(50 ~ 100)")</f>
        <v>自我调节
(50 ~ 100)</v>
      </c>
      <c r="H13" s="101">
        <f>R15</f>
        <v>38.938000000000002</v>
      </c>
      <c r="I13" s="104">
        <f>N15</f>
        <v>57.9938</v>
      </c>
      <c r="J13" s="101">
        <f>T15</f>
        <v>81.546499999999995</v>
      </c>
      <c r="K13" s="95">
        <f>P15</f>
        <v>21.128</v>
      </c>
      <c r="L13" s="4"/>
      <c r="M13" s="27" t="str">
        <f>lang!B19</f>
        <v>自信</v>
      </c>
      <c r="N13" s="59">
        <f>M!B10*1</f>
        <v>54.326599999999999</v>
      </c>
      <c r="O13" s="59">
        <f>M!C10*1</f>
        <v>18.403300000000002</v>
      </c>
      <c r="P13" s="59">
        <f>M!D10*1</f>
        <v>33.875300000000003</v>
      </c>
      <c r="Q13" s="59">
        <f>M!E10*1</f>
        <v>40</v>
      </c>
      <c r="R13" s="59">
        <f>M!F10*1</f>
        <v>25.671199999999999</v>
      </c>
      <c r="S13" s="59">
        <f>M!G10*1</f>
        <v>100</v>
      </c>
      <c r="T13" s="59">
        <f>M!H10*1</f>
        <v>84.819199999999995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12.6747</v>
      </c>
      <c r="D14" s="106">
        <f>N16</f>
        <v>18.4557</v>
      </c>
      <c r="E14" s="107">
        <f>T16</f>
        <v>27.2347</v>
      </c>
      <c r="F14" s="96">
        <f>P16</f>
        <v>17.9831</v>
      </c>
      <c r="G14" s="112" t="str">
        <f>CONCATENATE(M17,"
(10 ~ 50)")</f>
        <v>神经质
(10 ~ 50)</v>
      </c>
      <c r="H14" s="105">
        <f>R17</f>
        <v>2.3743699999999999</v>
      </c>
      <c r="I14" s="106">
        <f>N17</f>
        <v>33.189100000000003</v>
      </c>
      <c r="J14" s="107">
        <f>T17</f>
        <v>35.066200000000002</v>
      </c>
      <c r="K14" s="97">
        <f>P17</f>
        <v>31.035900000000002</v>
      </c>
      <c r="M14" s="27" t="str">
        <f>lang!B20</f>
        <v>活力</v>
      </c>
      <c r="N14" s="59">
        <f>M!B11*1</f>
        <v>14.806800000000001</v>
      </c>
      <c r="O14" s="59">
        <f>M!C11*1</f>
        <v>2.7436799999999999</v>
      </c>
      <c r="P14" s="59">
        <f>M!D11*1</f>
        <v>18.529800000000002</v>
      </c>
      <c r="Q14" s="59">
        <f>M!E11*1</f>
        <v>10</v>
      </c>
      <c r="R14" s="59">
        <f>M!F11*1</f>
        <v>11.3911</v>
      </c>
      <c r="S14" s="59">
        <f>M!G11*1</f>
        <v>50</v>
      </c>
      <c r="T14" s="59">
        <f>M!H11*1</f>
        <v>22.220600000000001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57.9938</v>
      </c>
      <c r="O15" s="59">
        <f>M!C12*1</f>
        <v>12.2529</v>
      </c>
      <c r="P15" s="59">
        <f>M!D12*1</f>
        <v>21.128</v>
      </c>
      <c r="Q15" s="59">
        <f>M!E12*1</f>
        <v>50</v>
      </c>
      <c r="R15" s="59">
        <f>M!F12*1</f>
        <v>38.938000000000002</v>
      </c>
      <c r="S15" s="59">
        <f>M!G12*1</f>
        <v>100</v>
      </c>
      <c r="T15" s="59">
        <f>M!H12*1</f>
        <v>81.546499999999995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18.4557</v>
      </c>
      <c r="O16" s="59">
        <f>M!C13*1</f>
        <v>3.3189099999999998</v>
      </c>
      <c r="P16" s="59">
        <f>M!D13*1</f>
        <v>17.9831</v>
      </c>
      <c r="Q16" s="59">
        <f>M!E13*1</f>
        <v>10</v>
      </c>
      <c r="R16" s="59">
        <f>M!F13*1</f>
        <v>12.6747</v>
      </c>
      <c r="S16" s="59">
        <f>M!G13*1</f>
        <v>25</v>
      </c>
      <c r="T16" s="59">
        <f>M!H13*1</f>
        <v>27.2347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33.189100000000003</v>
      </c>
      <c r="O17" s="59">
        <f>M!C14*1</f>
        <v>10.3005</v>
      </c>
      <c r="P17" s="59">
        <f>M!D14*1</f>
        <v>31.035900000000002</v>
      </c>
      <c r="Q17" s="59">
        <f>M!E14*1</f>
        <v>10</v>
      </c>
      <c r="R17" s="59">
        <f>M!F14*1</f>
        <v>2.3743699999999999</v>
      </c>
      <c r="S17" s="59">
        <f>M!G14*1</f>
        <v>50</v>
      </c>
      <c r="T17" s="59">
        <f>M!H14*1</f>
        <v>35.066200000000002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47.621025000000003</v>
      </c>
      <c r="O18" s="22">
        <f>N18/(N18+N19+N20)</f>
        <v>0.43041894670290776</v>
      </c>
      <c r="P18" s="65">
        <f>SUM(P12:P15)/4</f>
        <v>21.016350000000003</v>
      </c>
      <c r="Q18" s="22">
        <f>P18/(P18+P19+P20)</f>
        <v>0.35153024592573512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37.195349999999998</v>
      </c>
      <c r="O19" s="22">
        <f>N19/(N18+N19+N20)</f>
        <v>0.33618729057692476</v>
      </c>
      <c r="P19" s="18">
        <f>SUM(P8:P11)/4</f>
        <v>14.259475</v>
      </c>
      <c r="Q19" s="22">
        <f>P19/(P18+P19+P20)</f>
        <v>0.23851129018701492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25.822400000000002</v>
      </c>
      <c r="O20" s="22">
        <f>N20/(N18+N19+N20)</f>
        <v>0.23339376272016751</v>
      </c>
      <c r="P20" s="18">
        <f>(P16+P17)/2</f>
        <v>24.509500000000003</v>
      </c>
      <c r="Q20" s="22">
        <f>P20/(P18+P19+P20)</f>
        <v>0.40995846388724994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-9.2227229729729521E-2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1.4275606251117925</v>
      </c>
      <c r="D25" s="44" t="str">
        <f>lang!B11</f>
        <v>频率方差</v>
      </c>
      <c r="E25" s="142">
        <f ca="1">FH!L3</f>
        <v>0.66226503165894757</v>
      </c>
      <c r="F25" s="143"/>
      <c r="G25" s="134" t="str">
        <f>lang!B12</f>
        <v>生理变化率</v>
      </c>
      <c r="H25" s="135"/>
      <c r="I25" s="62" t="str">
        <f ca="1">CONCATENATE(info!M7,"-",info!M8)</f>
        <v>21.8-46.2</v>
      </c>
      <c r="J25" s="42" t="str">
        <f>lang!B13</f>
        <v>千卡l/分钟</v>
      </c>
      <c r="K25" s="41" t="str">
        <f ca="1">CONCATENATE(info!M5,"-",info!M6)</f>
        <v>2.6-3.3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46.655900000000003</v>
      </c>
      <c r="F28" s="164"/>
      <c r="G28" s="178" t="str">
        <f>lang!B33</f>
        <v>稳定性</v>
      </c>
      <c r="H28" s="179"/>
      <c r="I28" s="180"/>
      <c r="J28" s="181">
        <f>M!B19*100</f>
        <v>65.004999999999995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⊡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⊠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43607.438530092593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0.13210000000000122</v>
      </c>
      <c r="O7" s="59">
        <f t="shared" ref="O7:T7" si="2">AG7-X7</f>
        <v>-3.5110699999999992</v>
      </c>
      <c r="P7" s="59">
        <f t="shared" si="2"/>
        <v>-8.6100000000000012</v>
      </c>
      <c r="Q7" s="59">
        <f t="shared" si="2"/>
        <v>0</v>
      </c>
      <c r="R7" s="59">
        <f t="shared" si="2"/>
        <v>10.9191</v>
      </c>
      <c r="S7" s="59">
        <f t="shared" si="2"/>
        <v>0</v>
      </c>
      <c r="T7" s="59">
        <f t="shared" si="2"/>
        <v>1.0358000000000018</v>
      </c>
      <c r="U7" s="14"/>
      <c r="V7" s="27" t="str">
        <f>M7</f>
        <v>攻击性</v>
      </c>
      <c r="W7" s="59">
        <f>'M1'!B5*1</f>
        <v>40.947600000000001</v>
      </c>
      <c r="X7" s="59">
        <f>'M1'!C5*1</f>
        <v>8.0294299999999996</v>
      </c>
      <c r="Y7" s="59">
        <f>'M1'!D5*1</f>
        <v>19.609000000000002</v>
      </c>
      <c r="Z7" s="59">
        <f>'M1'!E5*1</f>
        <v>20</v>
      </c>
      <c r="AA7" s="59">
        <f>'M1'!F5*1</f>
        <v>17.924099999999999</v>
      </c>
      <c r="AB7" s="59">
        <f>'M1'!G5*1</f>
        <v>50</v>
      </c>
      <c r="AC7" s="59">
        <f>'M1'!H5*1</f>
        <v>52.921900000000001</v>
      </c>
      <c r="AE7" s="27" t="str">
        <f>V7</f>
        <v>攻击性</v>
      </c>
      <c r="AF7" s="59">
        <f>'M2'!B5*1</f>
        <v>41.079700000000003</v>
      </c>
      <c r="AG7" s="59">
        <f>'M2'!C5*1</f>
        <v>4.5183600000000004</v>
      </c>
      <c r="AH7" s="59">
        <f>'M2'!D5*1</f>
        <v>10.999000000000001</v>
      </c>
      <c r="AI7" s="59">
        <f>'M2'!E5*1</f>
        <v>20</v>
      </c>
      <c r="AJ7" s="59">
        <f>'M2'!F5*1</f>
        <v>28.8432</v>
      </c>
      <c r="AK7" s="59">
        <f>'M2'!G5*1</f>
        <v>50</v>
      </c>
      <c r="AL7" s="59">
        <f>'M2'!H5*1</f>
        <v>53.957700000000003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9.6171000000000006</v>
      </c>
      <c r="O8" s="59">
        <f t="shared" ref="O8:O16" si="5">AG8-X8</f>
        <v>-2.7926500000000001</v>
      </c>
      <c r="P8" s="59">
        <f t="shared" ref="P8:P16" si="6">AH8-Y8</f>
        <v>-8.7527799999999996</v>
      </c>
      <c r="Q8" s="59">
        <f t="shared" ref="Q8:Q16" si="7">AI8-Z8</f>
        <v>0</v>
      </c>
      <c r="R8" s="59">
        <f t="shared" ref="R8:R16" si="8">AJ8-AA8</f>
        <v>10.1282</v>
      </c>
      <c r="S8" s="59">
        <f t="shared" ref="S8:S16" si="9">AK8-AB8</f>
        <v>0</v>
      </c>
      <c r="T8" s="59">
        <f t="shared" ref="T8:T16" si="10">AL8-AC8</f>
        <v>5.0741000000000014</v>
      </c>
      <c r="U8" s="15"/>
      <c r="V8" s="27" t="str">
        <f t="shared" ref="V8:V16" si="11">M8</f>
        <v>压力</v>
      </c>
      <c r="W8" s="59">
        <f>'M1'!B6*1</f>
        <v>35.8934</v>
      </c>
      <c r="X8" s="59">
        <f>'M1'!C6*1</f>
        <v>4.44428</v>
      </c>
      <c r="Y8" s="59">
        <f>'M1'!D6*1</f>
        <v>12.3819</v>
      </c>
      <c r="Z8" s="59">
        <f>'M1'!E6*1</f>
        <v>20</v>
      </c>
      <c r="AA8" s="59">
        <f>'M1'!F6*1</f>
        <v>30.376899999999999</v>
      </c>
      <c r="AB8" s="59">
        <f>'M1'!G6*1</f>
        <v>40</v>
      </c>
      <c r="AC8" s="59">
        <f>'M1'!H6*1</f>
        <v>44.646799999999999</v>
      </c>
      <c r="AE8" s="27" t="str">
        <f t="shared" ref="AE8:AE16" si="12">V8</f>
        <v>压力</v>
      </c>
      <c r="AF8" s="59">
        <f>'M2'!B6*1</f>
        <v>45.5105</v>
      </c>
      <c r="AG8" s="59">
        <f>'M2'!C6*1</f>
        <v>1.6516299999999999</v>
      </c>
      <c r="AH8" s="59">
        <f>'M2'!D6*1</f>
        <v>3.6291199999999999</v>
      </c>
      <c r="AI8" s="59">
        <f>'M2'!E6*1</f>
        <v>20</v>
      </c>
      <c r="AJ8" s="59">
        <f>'M2'!F6*1</f>
        <v>40.505099999999999</v>
      </c>
      <c r="AK8" s="59">
        <f>'M2'!G6*1</f>
        <v>40</v>
      </c>
      <c r="AL8" s="59">
        <f>'M2'!H6*1</f>
        <v>49.7209</v>
      </c>
    </row>
    <row r="9" spans="2:38" s="7" customFormat="1" ht="21" customHeight="1">
      <c r="B9" s="76" t="str">
        <f>CONCATENATE(M7,"
(20 ~ 50)")</f>
        <v>攻击性
(20 ~ 50)</v>
      </c>
      <c r="C9" s="77">
        <f>R7</f>
        <v>10.9191</v>
      </c>
      <c r="D9" s="78">
        <f>N7</f>
        <v>0.13210000000000122</v>
      </c>
      <c r="E9" s="79">
        <f>T7</f>
        <v>1.0358000000000018</v>
      </c>
      <c r="F9" s="79">
        <f>P7</f>
        <v>-8.6100000000000012</v>
      </c>
      <c r="G9" s="80" t="str">
        <f>CONCATENATE(M8,"
(20 ~ 40)")</f>
        <v>压力
(20 ~ 40)</v>
      </c>
      <c r="H9" s="77">
        <f>R8</f>
        <v>10.1282</v>
      </c>
      <c r="I9" s="81">
        <f>N8</f>
        <v>9.6171000000000006</v>
      </c>
      <c r="J9" s="77">
        <f>T8</f>
        <v>5.0741000000000014</v>
      </c>
      <c r="K9" s="82">
        <f>P8</f>
        <v>-8.7527799999999996</v>
      </c>
      <c r="L9" s="6"/>
      <c r="M9" s="27" t="str">
        <f>lang!B16</f>
        <v>焦虑</v>
      </c>
      <c r="N9" s="59">
        <f t="shared" si="4"/>
        <v>1.2409999999999997</v>
      </c>
      <c r="O9" s="59">
        <f t="shared" si="5"/>
        <v>0.23599999999999977</v>
      </c>
      <c r="P9" s="59">
        <f t="shared" si="6"/>
        <v>7.219999999999871E-2</v>
      </c>
      <c r="Q9" s="59">
        <f t="shared" si="7"/>
        <v>0</v>
      </c>
      <c r="R9" s="59">
        <f t="shared" si="8"/>
        <v>-3.0609999999999999</v>
      </c>
      <c r="S9" s="59">
        <f t="shared" si="9"/>
        <v>0</v>
      </c>
      <c r="T9" s="59">
        <f t="shared" si="10"/>
        <v>6.9129000000000005</v>
      </c>
      <c r="U9" s="14"/>
      <c r="V9" s="27" t="str">
        <f t="shared" si="11"/>
        <v>焦虑</v>
      </c>
      <c r="W9" s="59">
        <f>'M1'!B7*1</f>
        <v>26.495999999999999</v>
      </c>
      <c r="X9" s="59">
        <f>'M1'!C7*1</f>
        <v>4.6116700000000002</v>
      </c>
      <c r="Y9" s="59">
        <f>'M1'!D7*1</f>
        <v>17.405100000000001</v>
      </c>
      <c r="Z9" s="59">
        <f>'M1'!E7*1</f>
        <v>15</v>
      </c>
      <c r="AA9" s="59">
        <f>'M1'!F7*1</f>
        <v>15.256399999999999</v>
      </c>
      <c r="AB9" s="59">
        <f>'M1'!G7*1</f>
        <v>40</v>
      </c>
      <c r="AC9" s="59">
        <f>'M1'!H7*1</f>
        <v>39.322800000000001</v>
      </c>
      <c r="AE9" s="27" t="str">
        <f t="shared" si="12"/>
        <v>焦虑</v>
      </c>
      <c r="AF9" s="59">
        <f>'M2'!B7*1</f>
        <v>27.736999999999998</v>
      </c>
      <c r="AG9" s="59">
        <f>'M2'!C7*1</f>
        <v>4.8476699999999999</v>
      </c>
      <c r="AH9" s="59">
        <f>'M2'!D7*1</f>
        <v>17.4773</v>
      </c>
      <c r="AI9" s="59">
        <f>'M2'!E7*1</f>
        <v>15</v>
      </c>
      <c r="AJ9" s="59">
        <f>'M2'!F7*1</f>
        <v>12.195399999999999</v>
      </c>
      <c r="AK9" s="59">
        <f>'M2'!G7*1</f>
        <v>40</v>
      </c>
      <c r="AL9" s="59">
        <f>'M2'!H7*1</f>
        <v>46.235700000000001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-3.0609999999999999</v>
      </c>
      <c r="D10" s="51">
        <f>N9</f>
        <v>1.2409999999999997</v>
      </c>
      <c r="E10" s="53">
        <f>T9</f>
        <v>6.9129000000000005</v>
      </c>
      <c r="F10" s="53">
        <f>P9</f>
        <v>7.219999999999871E-2</v>
      </c>
      <c r="G10" s="73" t="str">
        <f>CONCATENATE(M10,"
(20 ~ 50)")</f>
        <v>可疑
(20 ~ 50)</v>
      </c>
      <c r="H10" s="24">
        <f>R10</f>
        <v>12.126200000000001</v>
      </c>
      <c r="I10" s="52">
        <f>N10</f>
        <v>3.3762000000000043</v>
      </c>
      <c r="J10" s="24">
        <f>T10</f>
        <v>3.7706000000000017</v>
      </c>
      <c r="K10" s="25">
        <f>P10</f>
        <v>-4.4513700000000007</v>
      </c>
      <c r="L10" s="4"/>
      <c r="M10" s="27" t="str">
        <f>lang!B17</f>
        <v>可疑</v>
      </c>
      <c r="N10" s="59">
        <f t="shared" si="4"/>
        <v>3.3762000000000043</v>
      </c>
      <c r="O10" s="59">
        <f t="shared" si="5"/>
        <v>-1.35412</v>
      </c>
      <c r="P10" s="59">
        <f t="shared" si="6"/>
        <v>-4.4513700000000007</v>
      </c>
      <c r="Q10" s="59">
        <f t="shared" si="7"/>
        <v>0</v>
      </c>
      <c r="R10" s="59">
        <f t="shared" si="8"/>
        <v>12.126200000000001</v>
      </c>
      <c r="S10" s="59">
        <f t="shared" si="9"/>
        <v>0</v>
      </c>
      <c r="T10" s="59">
        <f t="shared" si="10"/>
        <v>3.7706000000000017</v>
      </c>
      <c r="U10" s="14"/>
      <c r="V10" s="27" t="str">
        <f t="shared" si="11"/>
        <v>可疑</v>
      </c>
      <c r="W10" s="59">
        <f>'M1'!B8*1</f>
        <v>35.202199999999998</v>
      </c>
      <c r="X10" s="59">
        <f>'M1'!C8*1</f>
        <v>3.7865799999999998</v>
      </c>
      <c r="Y10" s="59">
        <f>'M1'!D8*1</f>
        <v>10.756600000000001</v>
      </c>
      <c r="Z10" s="59">
        <f>'M1'!E8*1</f>
        <v>20</v>
      </c>
      <c r="AA10" s="59">
        <f>'M1'!F8*1</f>
        <v>21.517900000000001</v>
      </c>
      <c r="AB10" s="59">
        <f>'M1'!G8*1</f>
        <v>50</v>
      </c>
      <c r="AC10" s="59">
        <f>'M1'!H8*1</f>
        <v>39.3996</v>
      </c>
      <c r="AE10" s="27" t="str">
        <f t="shared" si="12"/>
        <v>可疑</v>
      </c>
      <c r="AF10" s="59">
        <f>'M2'!B8*1</f>
        <v>38.578400000000002</v>
      </c>
      <c r="AG10" s="59">
        <f>'M2'!C8*1</f>
        <v>2.4324599999999998</v>
      </c>
      <c r="AH10" s="59">
        <f>'M2'!D8*1</f>
        <v>6.3052299999999999</v>
      </c>
      <c r="AI10" s="59">
        <f>'M2'!E8*1</f>
        <v>20</v>
      </c>
      <c r="AJ10" s="59">
        <f>'M2'!F8*1</f>
        <v>33.644100000000002</v>
      </c>
      <c r="AK10" s="59">
        <f>'M2'!G8*1</f>
        <v>50</v>
      </c>
      <c r="AL10" s="59">
        <f>'M2'!H8*1</f>
        <v>43.170200000000001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-9.7831999999999937</v>
      </c>
      <c r="D11" s="52">
        <f>N11</f>
        <v>-8.295100000000005</v>
      </c>
      <c r="E11" s="24">
        <f>T11</f>
        <v>-12.599699999999999</v>
      </c>
      <c r="F11" s="24">
        <f>P11</f>
        <v>-1.58751</v>
      </c>
      <c r="G11" s="73" t="str">
        <f>CONCATENATE(M12,"
(40 ~ 100)")</f>
        <v>自信
(40 ~ 100)</v>
      </c>
      <c r="H11" s="24">
        <f>R12</f>
        <v>-27.2515</v>
      </c>
      <c r="I11" s="52">
        <f>N12</f>
        <v>-39.156699999999994</v>
      </c>
      <c r="J11" s="24">
        <f>T12</f>
        <v>-30.422599999999996</v>
      </c>
      <c r="K11" s="25">
        <f>P12</f>
        <v>10.114600000000001</v>
      </c>
      <c r="L11" s="4"/>
      <c r="M11" s="27" t="str">
        <f>lang!B18</f>
        <v>平衡</v>
      </c>
      <c r="N11" s="59">
        <f t="shared" si="4"/>
        <v>-8.295100000000005</v>
      </c>
      <c r="O11" s="59">
        <f t="shared" si="5"/>
        <v>-1.56778</v>
      </c>
      <c r="P11" s="59">
        <f t="shared" si="6"/>
        <v>-1.58751</v>
      </c>
      <c r="Q11" s="59">
        <f t="shared" si="7"/>
        <v>0</v>
      </c>
      <c r="R11" s="59">
        <f t="shared" si="8"/>
        <v>-9.7831999999999937</v>
      </c>
      <c r="S11" s="59">
        <f t="shared" si="9"/>
        <v>0</v>
      </c>
      <c r="T11" s="59">
        <f t="shared" si="10"/>
        <v>-12.599699999999999</v>
      </c>
      <c r="U11" s="14"/>
      <c r="V11" s="27" t="str">
        <f t="shared" si="11"/>
        <v>平衡</v>
      </c>
      <c r="W11" s="59">
        <f>'M1'!B9*1</f>
        <v>67.286100000000005</v>
      </c>
      <c r="X11" s="59">
        <f>'M1'!C9*1</f>
        <v>5.12073</v>
      </c>
      <c r="Y11" s="59">
        <f>'M1'!D9*1</f>
        <v>7.6103899999999998</v>
      </c>
      <c r="Z11" s="59">
        <f>'M1'!E9*1</f>
        <v>50</v>
      </c>
      <c r="AA11" s="59">
        <f>'M1'!F9*1</f>
        <v>60.495199999999997</v>
      </c>
      <c r="AB11" s="59">
        <f>'M1'!G9*1</f>
        <v>100</v>
      </c>
      <c r="AC11" s="59">
        <f>'M1'!H9*1</f>
        <v>80.001000000000005</v>
      </c>
      <c r="AE11" s="27" t="str">
        <f t="shared" si="12"/>
        <v>平衡</v>
      </c>
      <c r="AF11" s="59">
        <f>'M2'!B9*1</f>
        <v>58.991</v>
      </c>
      <c r="AG11" s="59">
        <f>'M2'!C9*1</f>
        <v>3.5529500000000001</v>
      </c>
      <c r="AH11" s="59">
        <f>'M2'!D9*1</f>
        <v>6.0228799999999998</v>
      </c>
      <c r="AI11" s="59">
        <f>'M2'!E9*1</f>
        <v>50</v>
      </c>
      <c r="AJ11" s="59">
        <f>'M2'!F9*1</f>
        <v>50.712000000000003</v>
      </c>
      <c r="AK11" s="59">
        <f>'M2'!G9*1</f>
        <v>100</v>
      </c>
      <c r="AL11" s="59">
        <f>'M2'!H9*1</f>
        <v>67.401300000000006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1.0640999999999998</v>
      </c>
      <c r="D12" s="51">
        <f>N13</f>
        <v>-4.3673999999999982</v>
      </c>
      <c r="E12" s="53">
        <f>T13</f>
        <v>-4.7117000000000004</v>
      </c>
      <c r="F12" s="53">
        <f>P13</f>
        <v>-5.3838599999999994</v>
      </c>
      <c r="G12" s="73" t="str">
        <f>CONCATENATE(M14,"
(50 ~ 100)")</f>
        <v>自我调节
(50 ~ 100)</v>
      </c>
      <c r="H12" s="24">
        <f>R14</f>
        <v>-18.083799999999997</v>
      </c>
      <c r="I12" s="52">
        <f>N14</f>
        <v>-22.654499999999999</v>
      </c>
      <c r="J12" s="24">
        <f>T14</f>
        <v>-23.426699999999997</v>
      </c>
      <c r="K12" s="25">
        <f>P14</f>
        <v>2.1440400000000004</v>
      </c>
      <c r="L12" s="4"/>
      <c r="M12" s="27" t="str">
        <f>lang!B19</f>
        <v>自信</v>
      </c>
      <c r="N12" s="59">
        <f t="shared" si="4"/>
        <v>-39.156699999999994</v>
      </c>
      <c r="O12" s="59">
        <f t="shared" si="5"/>
        <v>-1.2514000000000003</v>
      </c>
      <c r="P12" s="59">
        <f t="shared" si="6"/>
        <v>10.114600000000001</v>
      </c>
      <c r="Q12" s="59">
        <f t="shared" si="7"/>
        <v>0</v>
      </c>
      <c r="R12" s="59">
        <f t="shared" si="8"/>
        <v>-27.2515</v>
      </c>
      <c r="S12" s="59">
        <f t="shared" si="9"/>
        <v>0</v>
      </c>
      <c r="T12" s="59">
        <f t="shared" si="10"/>
        <v>-30.422599999999996</v>
      </c>
      <c r="U12" s="15"/>
      <c r="V12" s="27" t="str">
        <f t="shared" si="11"/>
        <v>自信</v>
      </c>
      <c r="W12" s="59">
        <f>'M1'!B10*1</f>
        <v>76.979299999999995</v>
      </c>
      <c r="X12" s="59">
        <f>'M1'!C10*1</f>
        <v>9.9810099999999995</v>
      </c>
      <c r="Y12" s="59">
        <f>'M1'!D10*1</f>
        <v>12.9658</v>
      </c>
      <c r="Z12" s="59">
        <f>'M1'!E10*1</f>
        <v>40</v>
      </c>
      <c r="AA12" s="59">
        <f>'M1'!F10*1</f>
        <v>52.922699999999999</v>
      </c>
      <c r="AB12" s="59">
        <f>'M1'!G10*1</f>
        <v>100</v>
      </c>
      <c r="AC12" s="59">
        <f>'M1'!H10*1</f>
        <v>84.819199999999995</v>
      </c>
      <c r="AE12" s="27" t="str">
        <f t="shared" si="12"/>
        <v>自信</v>
      </c>
      <c r="AF12" s="59">
        <f>'M2'!B10*1</f>
        <v>37.822600000000001</v>
      </c>
      <c r="AG12" s="59">
        <f>'M2'!C10*1</f>
        <v>8.7296099999999992</v>
      </c>
      <c r="AH12" s="59">
        <f>'M2'!D10*1</f>
        <v>23.080400000000001</v>
      </c>
      <c r="AI12" s="59">
        <f>'M2'!E10*1</f>
        <v>40</v>
      </c>
      <c r="AJ12" s="59">
        <f>'M2'!F10*1</f>
        <v>25.671199999999999</v>
      </c>
      <c r="AK12" s="59">
        <f>'M2'!G10*1</f>
        <v>100</v>
      </c>
      <c r="AL12" s="59">
        <f>'M2'!H10*1</f>
        <v>54.396599999999999</v>
      </c>
    </row>
    <row r="13" spans="2:38" ht="25.5" customHeight="1" thickBot="1">
      <c r="B13" s="72" t="str">
        <f>CONCATENATE(M15,"
(10 ~ 25)")</f>
        <v>抑郁
(10 ~ 25)</v>
      </c>
      <c r="C13" s="54">
        <f>R15</f>
        <v>-3.3675000000000015</v>
      </c>
      <c r="D13" s="55">
        <f>N15</f>
        <v>-4.2198999999999991</v>
      </c>
      <c r="E13" s="56">
        <f>T15</f>
        <v>-4.1753</v>
      </c>
      <c r="F13" s="56">
        <f>P15</f>
        <v>-2.3699999999999832E-2</v>
      </c>
      <c r="G13" s="74" t="str">
        <f>CONCATENATE(M16,"
(10 ~ 50)")</f>
        <v>神经质
(10 ~ 50)</v>
      </c>
      <c r="H13" s="54">
        <f>R16</f>
        <v>-0.74855000000000027</v>
      </c>
      <c r="I13" s="55">
        <f>N16</f>
        <v>-5.4091000000000022</v>
      </c>
      <c r="J13" s="56">
        <f>T16</f>
        <v>-0.25420000000000442</v>
      </c>
      <c r="K13" s="57">
        <f>P16</f>
        <v>26.221600000000002</v>
      </c>
      <c r="M13" s="27" t="str">
        <f>lang!B20</f>
        <v>活力</v>
      </c>
      <c r="N13" s="59">
        <f t="shared" si="4"/>
        <v>-4.3673999999999982</v>
      </c>
      <c r="O13" s="59">
        <f t="shared" si="5"/>
        <v>-1.3023000000000002</v>
      </c>
      <c r="P13" s="59">
        <f t="shared" si="6"/>
        <v>-5.3838599999999994</v>
      </c>
      <c r="Q13" s="59">
        <f t="shared" si="7"/>
        <v>0</v>
      </c>
      <c r="R13" s="59">
        <f t="shared" si="8"/>
        <v>1.0640999999999998</v>
      </c>
      <c r="S13" s="59">
        <f t="shared" si="9"/>
        <v>0</v>
      </c>
      <c r="T13" s="59">
        <f t="shared" si="10"/>
        <v>-4.7117000000000004</v>
      </c>
      <c r="U13" s="14"/>
      <c r="V13" s="27" t="str">
        <f t="shared" si="11"/>
        <v>活力</v>
      </c>
      <c r="W13" s="59">
        <f>'M1'!B11*1</f>
        <v>17.834499999999998</v>
      </c>
      <c r="X13" s="59">
        <f>'M1'!C11*1</f>
        <v>2.3572700000000002</v>
      </c>
      <c r="Y13" s="59">
        <f>'M1'!D11*1</f>
        <v>13.217499999999999</v>
      </c>
      <c r="Z13" s="59">
        <f>'M1'!E11*1</f>
        <v>10</v>
      </c>
      <c r="AA13" s="59">
        <f>'M1'!F11*1</f>
        <v>11.3911</v>
      </c>
      <c r="AB13" s="59">
        <f>'M1'!G11*1</f>
        <v>50</v>
      </c>
      <c r="AC13" s="59">
        <f>'M1'!H11*1</f>
        <v>22.220600000000001</v>
      </c>
      <c r="AE13" s="27" t="str">
        <f t="shared" si="12"/>
        <v>活力</v>
      </c>
      <c r="AF13" s="59">
        <f>'M2'!B11*1</f>
        <v>13.4671</v>
      </c>
      <c r="AG13" s="59">
        <f>'M2'!C11*1</f>
        <v>1.05497</v>
      </c>
      <c r="AH13" s="59">
        <f>'M2'!D11*1</f>
        <v>7.8336399999999999</v>
      </c>
      <c r="AI13" s="59">
        <f>'M2'!E11*1</f>
        <v>10</v>
      </c>
      <c r="AJ13" s="59">
        <f>'M2'!F11*1</f>
        <v>12.4552</v>
      </c>
      <c r="AK13" s="59">
        <f>'M2'!G11*1</f>
        <v>50</v>
      </c>
      <c r="AL13" s="59">
        <f>'M2'!H11*1</f>
        <v>17.508900000000001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-22.654499999999999</v>
      </c>
      <c r="O14" s="59">
        <f t="shared" si="5"/>
        <v>-1.1806099999999997</v>
      </c>
      <c r="P14" s="59">
        <f t="shared" si="6"/>
        <v>2.1440400000000004</v>
      </c>
      <c r="Q14" s="59">
        <f t="shared" si="7"/>
        <v>0</v>
      </c>
      <c r="R14" s="59">
        <f t="shared" si="8"/>
        <v>-18.083799999999997</v>
      </c>
      <c r="S14" s="59">
        <f t="shared" si="9"/>
        <v>0</v>
      </c>
      <c r="T14" s="59">
        <f t="shared" si="10"/>
        <v>-23.426699999999997</v>
      </c>
      <c r="U14" s="14"/>
      <c r="V14" s="27" t="str">
        <f t="shared" si="11"/>
        <v>自我调节</v>
      </c>
      <c r="W14" s="59">
        <f>'M1'!B12*1</f>
        <v>71.343299999999999</v>
      </c>
      <c r="X14" s="59">
        <f>'M1'!C12*1</f>
        <v>7.0053799999999997</v>
      </c>
      <c r="Y14" s="59">
        <f>'M1'!D12*1</f>
        <v>9.8192599999999999</v>
      </c>
      <c r="Z14" s="59">
        <f>'M1'!E12*1</f>
        <v>50</v>
      </c>
      <c r="AA14" s="59">
        <f>'M1'!F12*1</f>
        <v>57.021799999999999</v>
      </c>
      <c r="AB14" s="59">
        <f>'M1'!G12*1</f>
        <v>100</v>
      </c>
      <c r="AC14" s="59">
        <f>'M1'!H12*1</f>
        <v>81.546499999999995</v>
      </c>
      <c r="AE14" s="27" t="str">
        <f t="shared" si="12"/>
        <v>自我调节</v>
      </c>
      <c r="AF14" s="59">
        <f>'M2'!B12*1</f>
        <v>48.688800000000001</v>
      </c>
      <c r="AG14" s="59">
        <f>'M2'!C12*1</f>
        <v>5.82477</v>
      </c>
      <c r="AH14" s="59">
        <f>'M2'!D12*1</f>
        <v>11.9633</v>
      </c>
      <c r="AI14" s="59">
        <f>'M2'!E12*1</f>
        <v>50</v>
      </c>
      <c r="AJ14" s="59">
        <f>'M2'!F12*1</f>
        <v>38.938000000000002</v>
      </c>
      <c r="AK14" s="59">
        <f>'M2'!G12*1</f>
        <v>100</v>
      </c>
      <c r="AL14" s="59">
        <f>'M2'!H12*1</f>
        <v>58.119799999999998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-4.2198999999999991</v>
      </c>
      <c r="O15" s="59">
        <f t="shared" si="5"/>
        <v>-0.54091000000000022</v>
      </c>
      <c r="P15" s="59">
        <f t="shared" si="6"/>
        <v>-2.3699999999999832E-2</v>
      </c>
      <c r="Q15" s="59">
        <f t="shared" si="7"/>
        <v>0</v>
      </c>
      <c r="R15" s="59">
        <f t="shared" si="8"/>
        <v>-3.3675000000000015</v>
      </c>
      <c r="S15" s="59">
        <f t="shared" si="9"/>
        <v>0</v>
      </c>
      <c r="T15" s="59">
        <f t="shared" si="10"/>
        <v>-4.1753</v>
      </c>
      <c r="U15" s="14"/>
      <c r="V15" s="27" t="str">
        <f t="shared" si="11"/>
        <v>抑郁</v>
      </c>
      <c r="W15" s="59">
        <f>'M1'!B13*1</f>
        <v>21.265899999999998</v>
      </c>
      <c r="X15" s="59">
        <f>'M1'!C13*1</f>
        <v>2.7056100000000001</v>
      </c>
      <c r="Y15" s="59">
        <f>'M1'!D13*1</f>
        <v>12.722799999999999</v>
      </c>
      <c r="Z15" s="59">
        <f>'M1'!E13*1</f>
        <v>10</v>
      </c>
      <c r="AA15" s="59">
        <f>'M1'!F13*1</f>
        <v>16.042200000000001</v>
      </c>
      <c r="AB15" s="59">
        <f>'M1'!G13*1</f>
        <v>25</v>
      </c>
      <c r="AC15" s="59">
        <f>'M1'!H13*1</f>
        <v>27.2347</v>
      </c>
      <c r="AE15" s="27" t="str">
        <f t="shared" si="12"/>
        <v>抑郁</v>
      </c>
      <c r="AF15" s="59">
        <f>'M2'!B13*1</f>
        <v>17.045999999999999</v>
      </c>
      <c r="AG15" s="59">
        <f>'M2'!C13*1</f>
        <v>2.1646999999999998</v>
      </c>
      <c r="AH15" s="59">
        <f>'M2'!D13*1</f>
        <v>12.6991</v>
      </c>
      <c r="AI15" s="59">
        <f>'M2'!E13*1</f>
        <v>10</v>
      </c>
      <c r="AJ15" s="59">
        <f>'M2'!F13*1</f>
        <v>12.6747</v>
      </c>
      <c r="AK15" s="59">
        <f>'M2'!G13*1</f>
        <v>25</v>
      </c>
      <c r="AL15" s="59">
        <f>'M2'!H13*1</f>
        <v>23.0594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-5.4091000000000022</v>
      </c>
      <c r="O16" s="59">
        <f t="shared" si="5"/>
        <v>4.1368100000000005</v>
      </c>
      <c r="P16" s="59">
        <f t="shared" si="6"/>
        <v>26.221600000000002</v>
      </c>
      <c r="Q16" s="59">
        <f t="shared" si="7"/>
        <v>0</v>
      </c>
      <c r="R16" s="59">
        <f t="shared" si="8"/>
        <v>-0.74855000000000027</v>
      </c>
      <c r="S16" s="59">
        <f t="shared" si="9"/>
        <v>0</v>
      </c>
      <c r="T16" s="59">
        <f t="shared" si="10"/>
        <v>-0.25420000000000442</v>
      </c>
      <c r="U16" s="15"/>
      <c r="V16" s="27" t="str">
        <f t="shared" si="11"/>
        <v>神经质</v>
      </c>
      <c r="W16" s="59">
        <f>'M1'!B14*1</f>
        <v>27.056100000000001</v>
      </c>
      <c r="X16" s="59">
        <f>'M1'!C14*1</f>
        <v>7.6999899999999997</v>
      </c>
      <c r="Y16" s="59">
        <f>'M1'!D14*1</f>
        <v>28.459299999999999</v>
      </c>
      <c r="Z16" s="59">
        <f>'M1'!E14*1</f>
        <v>10</v>
      </c>
      <c r="AA16" s="59">
        <f>'M1'!F14*1</f>
        <v>3.1229200000000001</v>
      </c>
      <c r="AB16" s="59">
        <f>'M1'!G14*1</f>
        <v>50</v>
      </c>
      <c r="AC16" s="59">
        <f>'M1'!H14*1</f>
        <v>35.066200000000002</v>
      </c>
      <c r="AE16" s="27" t="str">
        <f t="shared" si="12"/>
        <v>神经质</v>
      </c>
      <c r="AF16" s="59">
        <f>'M2'!B14*1</f>
        <v>21.646999999999998</v>
      </c>
      <c r="AG16" s="59">
        <f>'M2'!C14*1</f>
        <v>11.8368</v>
      </c>
      <c r="AH16" s="59">
        <f>'M2'!D14*1</f>
        <v>54.680900000000001</v>
      </c>
      <c r="AI16" s="59">
        <f>'M2'!E14*1</f>
        <v>10</v>
      </c>
      <c r="AJ16" s="59">
        <f>'M2'!F14*1</f>
        <v>2.3743699999999999</v>
      </c>
      <c r="AK16" s="59">
        <f>'M2'!G14*1</f>
        <v>50</v>
      </c>
      <c r="AL16" s="59">
        <f>'M2'!H14*1</f>
        <v>34.811999999999998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-18.618424999999998</v>
      </c>
      <c r="O17" s="22">
        <f>N17/(N17+N18+N19)</f>
        <v>0.93836601134248854</v>
      </c>
      <c r="P17" s="65">
        <f>SUM(P11:P14)/4</f>
        <v>1.3218175000000005</v>
      </c>
      <c r="Q17" s="22">
        <f>P17/(P17+P18+P19)</f>
        <v>0.14710921640727948</v>
      </c>
      <c r="R17" s="14"/>
      <c r="S17" s="14"/>
      <c r="T17" s="14"/>
      <c r="U17" s="14"/>
      <c r="V17" s="21" t="str">
        <f>M17</f>
        <v>Positive</v>
      </c>
      <c r="W17" s="65">
        <f>SUM(W11:W14)/4</f>
        <v>58.360799999999998</v>
      </c>
      <c r="X17" s="22">
        <f>W17/(W17+W18+W19)</f>
        <v>0.4981435104808436</v>
      </c>
      <c r="Y17" s="65">
        <f>SUM(Y11:Y14)/4</f>
        <v>10.903237499999999</v>
      </c>
      <c r="Z17" s="22">
        <f>Y17/(Y17+Y18+Y19)</f>
        <v>0.2343147723563804</v>
      </c>
      <c r="AA17" s="14"/>
      <c r="AB17" s="14"/>
      <c r="AC17" s="14"/>
      <c r="AE17" s="21" t="str">
        <f>V17</f>
        <v>Positive</v>
      </c>
      <c r="AF17" s="65">
        <f>SUM(AF11:AF14)/4</f>
        <v>39.742375000000003</v>
      </c>
      <c r="AG17" s="22">
        <f>AF17/(AF17+AF18+AF19)</f>
        <v>0.40838784044950815</v>
      </c>
      <c r="AH17" s="65">
        <f>SUM(AH11:AH14)/4</f>
        <v>12.225055000000001</v>
      </c>
      <c r="AI17" s="22">
        <f>AH17/(AH17+AH18+AH19)</f>
        <v>0.22020096557463842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3.5916000000000015</v>
      </c>
      <c r="O18" s="22">
        <f>N18/(N17+N18+N19)</f>
        <v>-0.18101613677513986</v>
      </c>
      <c r="P18" s="18">
        <f>SUM(P7:P10)/4</f>
        <v>-5.4354875000000007</v>
      </c>
      <c r="Q18" s="22">
        <f>P18/(P17+P18+P19)</f>
        <v>-0.60493245619502112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34.634799999999998</v>
      </c>
      <c r="X18" s="22">
        <f>W18/(W17+W18+W19)</f>
        <v>0.2956282445888665</v>
      </c>
      <c r="Y18" s="18">
        <f>SUM(Y7:Y10)/4</f>
        <v>15.03815</v>
      </c>
      <c r="Z18" s="22">
        <f>Y18/(Y17+Y18+Y19)</f>
        <v>0.32317563420141054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38.226399999999998</v>
      </c>
      <c r="AG18" s="22">
        <f>AF18/(AF17+AF18+AF19)</f>
        <v>0.39280986463841366</v>
      </c>
      <c r="AH18" s="18">
        <f>SUM(AH7:AH10)/4</f>
        <v>9.602662500000001</v>
      </c>
      <c r="AI18" s="22">
        <f>AH18/(AH17+AH18+AH19)</f>
        <v>0.17296572936378374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-4.8145000000000007</v>
      </c>
      <c r="O19" s="22">
        <f>N19/(N17+N18+N19)</f>
        <v>0.24265012543265135</v>
      </c>
      <c r="P19" s="18">
        <f>(P15+P16)/2</f>
        <v>13.098950000000002</v>
      </c>
      <c r="Q19" s="22">
        <f>P19/(P17+P18+P19)</f>
        <v>1.4578232397877415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24.161000000000001</v>
      </c>
      <c r="X19" s="22">
        <f>W19/(W17+W18+W19)</f>
        <v>0.20622824493028991</v>
      </c>
      <c r="Y19" s="18">
        <f>(Y15+Y16)/2</f>
        <v>20.591049999999999</v>
      </c>
      <c r="Z19" s="22">
        <f>Y19/(Y17+Y18+Y19)</f>
        <v>0.44250959344220897</v>
      </c>
      <c r="AA19" s="14"/>
      <c r="AB19" s="14"/>
      <c r="AC19" s="14"/>
      <c r="AE19" s="21" t="str">
        <f t="shared" si="14"/>
        <v>Physiological</v>
      </c>
      <c r="AF19" s="18">
        <f>(AF15+AF16)/2</f>
        <v>19.346499999999999</v>
      </c>
      <c r="AG19" s="22">
        <f>AF19/(AF17+AF18+AF19)</f>
        <v>0.19880229491207832</v>
      </c>
      <c r="AH19" s="18">
        <f>(AH15+AH16)/2</f>
        <v>33.69</v>
      </c>
      <c r="AI19" s="22">
        <f>AH19/(AH17+AH18+AH19)</f>
        <v>0.60683330506157773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1.47/1.38</v>
      </c>
      <c r="D24" s="44" t="str">
        <f>lang!B11</f>
        <v>频率方差</v>
      </c>
      <c r="E24" s="142" t="str">
        <f ca="1">CONCATENATE(ROUND('FH1'!L3,2),"/",ROUND('FH2'!L3,2))</f>
        <v>0.62/0.7</v>
      </c>
      <c r="F24" s="143"/>
      <c r="G24" s="134" t="str">
        <f>lang!B12</f>
        <v>生理变化率</v>
      </c>
      <c r="H24" s="135"/>
      <c r="I24" s="62" t="str">
        <f ca="1">CONCATENATE(info!M7,"-",info!M8)</f>
        <v>21.8-46.2</v>
      </c>
      <c r="J24" s="42" t="str">
        <f>lang!B13</f>
        <v>千卡l/分钟</v>
      </c>
      <c r="K24" s="41" t="str">
        <f ca="1">CONCATENATE(info!M5,"-",info!M6)</f>
        <v>2.6-3.3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13.691999999999998</v>
      </c>
      <c r="F27" s="164"/>
      <c r="G27" s="178" t="str">
        <f>lang!B33</f>
        <v>稳定性</v>
      </c>
      <c r="H27" s="179"/>
      <c r="I27" s="180"/>
      <c r="J27" s="181">
        <f>dM!B19*100</f>
        <v>0.31970000000000054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⊡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⊠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-0.66997316853589295</v>
      </c>
      <c r="C2">
        <f t="array" aca="1" ref="C2" ca="1">CORREL(FT_E02,FT_PH02)</f>
        <v>-0.97142465704287073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2.6777199999999999</v>
      </c>
      <c r="G2" s="61">
        <f>IF(FT!B2&lt;&gt;"",FT!B2*100,"")</f>
        <v>46.163199999999996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2.7400899999999999</v>
      </c>
      <c r="G3" s="61">
        <f>IF(FT!B3&lt;&gt;"",FT!B3*100,"")</f>
        <v>45.362299999999998</v>
      </c>
      <c r="H3" s="61">
        <f t="shared" ref="H3:H66" si="1">(IF(F3&lt;&gt;"",1,""))</f>
        <v>1</v>
      </c>
      <c r="I3" t="str">
        <f>IF(FT!B3&lt;&gt;"",FT!E3,"")</f>
        <v>1 [0.407917]</v>
      </c>
      <c r="J3">
        <f>IF(FT!B3&lt;&gt;"",FT!C3,"")</f>
        <v>0.40791699999999997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0.37328085135135131</v>
      </c>
      <c r="V3">
        <f ca="1">AVERAGE(OFFSET(FT!B2,info!$L$3/2,0,info!$L$3/2,1))</f>
        <v>0.26223141891891899</v>
      </c>
      <c r="W3">
        <f ca="1">AVERAGE(OFFSET(FT!A2,0,0,info!$L$3/2,1))</f>
        <v>0.30152786486486494</v>
      </c>
      <c r="X3">
        <f ca="1">AVERAGE(OFFSET(FT!A2,info!$L$3/2,0,info!$L$3/2,1))</f>
        <v>0.28270566216216214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2.8002599999999997</v>
      </c>
      <c r="G4" s="61">
        <f>IF(FT!B4&lt;&gt;"",FT!B4*100,"")</f>
        <v>44.502000000000002</v>
      </c>
      <c r="H4" s="61">
        <f t="shared" si="1"/>
        <v>1</v>
      </c>
      <c r="I4" t="str">
        <f>IF(FT!B4&lt;&gt;"",FT!E4,"")</f>
        <v>1 [0.811507]</v>
      </c>
      <c r="J4">
        <f>IF(FT!B4&lt;&gt;"",FT!C4,"")</f>
        <v>0.81150699999999998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14.930099999999999</v>
      </c>
      <c r="V4">
        <f>U4*3</f>
        <v>44.790300000000002</v>
      </c>
      <c r="W4">
        <f>U4</f>
        <v>14.930099999999999</v>
      </c>
      <c r="X4">
        <f>V4</f>
        <v>44.790300000000002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2.86191</v>
      </c>
      <c r="G5" s="61">
        <f>IF(FT!B5&lt;&gt;"",FT!B5*100,"")</f>
        <v>43.504199999999997</v>
      </c>
      <c r="H5" s="61">
        <f t="shared" si="1"/>
        <v>1</v>
      </c>
      <c r="I5" t="str">
        <f>IF(FT!B5&lt;&gt;"",FT!E5,"")</f>
        <v>1 [1.214829]</v>
      </c>
      <c r="J5">
        <f>IF(FT!B5&lt;&gt;"",FT!C5,"")</f>
        <v>1.2148300000000001</v>
      </c>
      <c r="K5" t="s">
        <v>53</v>
      </c>
      <c r="L5" s="63">
        <f ca="1">MIN(FT_E)</f>
        <v>2.6319500000000002</v>
      </c>
      <c r="M5" s="63">
        <f ca="1">ROUND(L5,1)</f>
        <v>2.6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37.328085135135133</v>
      </c>
      <c r="V5">
        <f ca="1">V3*100</f>
        <v>26.223141891891899</v>
      </c>
      <c r="W5">
        <f ca="1">W3*10</f>
        <v>3.0152786486486494</v>
      </c>
      <c r="X5">
        <f ca="1">X3*10</f>
        <v>2.8270566216216215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2.9226400000000003</v>
      </c>
      <c r="G6" s="61">
        <f>IF(FT!B6&lt;&gt;"",FT!B6*100,"")</f>
        <v>42.503600000000006</v>
      </c>
      <c r="H6" s="61">
        <f t="shared" si="1"/>
        <v>1</v>
      </c>
      <c r="I6" t="str">
        <f>IF(FT!B6&lt;&gt;"",FT!E6,"")</f>
        <v>1 [1.621640]</v>
      </c>
      <c r="J6">
        <f>IF(FT!B6&lt;&gt;"",FT!C6,"")</f>
        <v>1.62164</v>
      </c>
      <c r="K6" t="s">
        <v>54</v>
      </c>
      <c r="L6" s="63">
        <f ca="1">MAX(FT_E)</f>
        <v>3.3444099999999999</v>
      </c>
      <c r="M6" s="63">
        <f ca="1">ROUND(L6,1)</f>
        <v>3.3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2.97993</v>
      </c>
      <c r="G7" s="61">
        <f>IF(FT!B7&lt;&gt;"",FT!B7*100,"")</f>
        <v>41.560600000000001</v>
      </c>
      <c r="H7" s="61">
        <f t="shared" si="1"/>
        <v>1</v>
      </c>
      <c r="I7" t="str">
        <f>IF(FT!B7&lt;&gt;"",FT!E7,"")</f>
        <v>1 [2.031578]</v>
      </c>
      <c r="J7">
        <f>IF(FT!B7&lt;&gt;"",FT!C7,"")</f>
        <v>2.0315799999999999</v>
      </c>
      <c r="K7" t="s">
        <v>55</v>
      </c>
      <c r="L7" s="63">
        <f ca="1">MIN(FT_PH)</f>
        <v>21.770999999999997</v>
      </c>
      <c r="M7" s="63">
        <f ca="1">ROUND(L7,1)</f>
        <v>21.8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13140</v>
      </c>
      <c r="D8" s="61">
        <f>FH!B8*1</f>
        <v>13140</v>
      </c>
      <c r="E8">
        <f t="shared" si="3"/>
        <v>6</v>
      </c>
      <c r="F8" s="61">
        <f>IF(FT!A8&lt;&gt;"",FT!A8*10,"")</f>
        <v>3.0345599999999999</v>
      </c>
      <c r="G8" s="61">
        <f>IF(FT!B8&lt;&gt;"",FT!B8*100,"")</f>
        <v>40.644100000000002</v>
      </c>
      <c r="H8" s="61">
        <f t="shared" si="1"/>
        <v>1</v>
      </c>
      <c r="I8" t="str">
        <f>IF(FT!B8&lt;&gt;"",FT!E8,"")</f>
        <v>1 [2.435487]</v>
      </c>
      <c r="J8">
        <f>IF(FT!B8&lt;&gt;"",FT!C8,"")</f>
        <v>2.4354900000000002</v>
      </c>
      <c r="K8" t="s">
        <v>56</v>
      </c>
      <c r="L8" s="63">
        <f ca="1">MAX(FT_PH)</f>
        <v>46.163199999999996</v>
      </c>
      <c r="M8" s="63">
        <f ca="1">ROUND(L8,1)</f>
        <v>46.2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3.0868099999999998</v>
      </c>
      <c r="G9" s="61">
        <f>IF(FT!B9&lt;&gt;"",FT!B9*100,"")</f>
        <v>39.811</v>
      </c>
      <c r="H9" s="61">
        <f t="shared" si="1"/>
        <v>1</v>
      </c>
      <c r="I9" t="str">
        <f>IF(FT!B9&lt;&gt;"",FT!E9,"")</f>
        <v>1 [2.840916]</v>
      </c>
      <c r="J9">
        <f>IF(FT!B9&lt;&gt;"",FT!C9,"")</f>
        <v>2.8409200000000001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15859</v>
      </c>
      <c r="D10" s="61">
        <f>FH!B10*1</f>
        <v>15859</v>
      </c>
      <c r="E10">
        <f t="shared" si="3"/>
        <v>8</v>
      </c>
      <c r="F10" s="61">
        <f>IF(FT!A10&lt;&gt;"",FT!A10*10,"")</f>
        <v>3.13348</v>
      </c>
      <c r="G10" s="61">
        <f>IF(FT!B10&lt;&gt;"",FT!B10*100,"")</f>
        <v>39.0886</v>
      </c>
      <c r="H10" s="61">
        <f t="shared" si="1"/>
        <v>1</v>
      </c>
      <c r="I10" t="str">
        <f>IF(FT!B10&lt;&gt;"",FT!E10,"")</f>
        <v>1 [3.250348]</v>
      </c>
      <c r="J10">
        <f>IF(FT!B10&lt;&gt;"",FT!C10,"")</f>
        <v>3.2503500000000001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3.1749200000000002</v>
      </c>
      <c r="G11" s="61">
        <f>IF(FT!B11&lt;&gt;"",FT!B11*100,"")</f>
        <v>38.408799999999999</v>
      </c>
      <c r="H11" s="61">
        <f t="shared" si="1"/>
        <v>1</v>
      </c>
      <c r="I11" t="str">
        <f>IF(FT!B11&lt;&gt;"",FT!E11,"")</f>
        <v>1 [3.656220]</v>
      </c>
      <c r="J11">
        <f>IF(FT!B11&lt;&gt;"",FT!C11,"")</f>
        <v>3.6562199999999998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3.2095500000000001</v>
      </c>
      <c r="G12" s="61">
        <f>IF(FT!B12&lt;&gt;"",FT!B12*100,"")</f>
        <v>37.828400000000002</v>
      </c>
      <c r="H12" s="61">
        <f t="shared" si="1"/>
        <v>1</v>
      </c>
      <c r="I12" t="str">
        <f>IF(FT!B12&lt;&gt;"",FT!E12,"")</f>
        <v>1 [4.064194]</v>
      </c>
      <c r="J12">
        <f>IF(FT!B12&lt;&gt;"",FT!C12,"")</f>
        <v>4.06419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20631</v>
      </c>
      <c r="D13" s="61">
        <f>FH!B13*1</f>
        <v>20631</v>
      </c>
      <c r="E13">
        <f t="shared" si="3"/>
        <v>11</v>
      </c>
      <c r="F13" s="61">
        <f>IF(FT!A13&lt;&gt;"",FT!A13*10,"")</f>
        <v>3.23813</v>
      </c>
      <c r="G13" s="61">
        <f>IF(FT!B13&lt;&gt;"",FT!B13*100,"")</f>
        <v>37.2928</v>
      </c>
      <c r="H13" s="61">
        <f t="shared" si="1"/>
        <v>1</v>
      </c>
      <c r="I13" t="str">
        <f>IF(FT!B13&lt;&gt;"",FT!E13,"")</f>
        <v>1 [4.468215]</v>
      </c>
      <c r="J13">
        <f>IF(FT!B13&lt;&gt;"",FT!C13,"")</f>
        <v>4.4682199999999996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3.2614799999999997</v>
      </c>
      <c r="G14" s="61">
        <f>IF(FT!B14&lt;&gt;"",FT!B14*100,"")</f>
        <v>36.819800000000001</v>
      </c>
      <c r="H14" s="61">
        <f t="shared" si="1"/>
        <v>1</v>
      </c>
      <c r="I14" t="str">
        <f>IF(FT!B14&lt;&gt;"",FT!E14,"")</f>
        <v>1 [4.873022]</v>
      </c>
      <c r="J14">
        <f>IF(FT!B14&lt;&gt;"",FT!C14,"")</f>
        <v>4.8730200000000004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25417</v>
      </c>
      <c r="D15" s="61">
        <f>FH!B15*1</f>
        <v>25417</v>
      </c>
      <c r="E15">
        <f t="shared" si="3"/>
        <v>13</v>
      </c>
      <c r="F15" s="61">
        <f>IF(FT!A15&lt;&gt;"",FT!A15*10,"")</f>
        <v>3.28172</v>
      </c>
      <c r="G15" s="61">
        <f>IF(FT!B15&lt;&gt;"",FT!B15*100,"")</f>
        <v>36.3414</v>
      </c>
      <c r="H15" s="61">
        <f t="shared" si="1"/>
        <v>1</v>
      </c>
      <c r="I15" t="str">
        <f>IF(FT!B15&lt;&gt;"",FT!E15,"")</f>
        <v>1 [5.279016]</v>
      </c>
      <c r="J15">
        <f>IF(FT!B15&lt;&gt;"",FT!C15,"")</f>
        <v>5.27902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3.2996699999999999</v>
      </c>
      <c r="G16" s="61">
        <f>IF(FT!B16&lt;&gt;"",FT!B16*100,"")</f>
        <v>35.919600000000003</v>
      </c>
      <c r="H16" s="61">
        <f t="shared" si="1"/>
        <v>1</v>
      </c>
      <c r="I16" t="str">
        <f>IF(FT!B16&lt;&gt;"",FT!E16,"")</f>
        <v>1 [5.689803]</v>
      </c>
      <c r="J16">
        <f>IF(FT!B16&lt;&gt;"",FT!C16,"")</f>
        <v>5.6898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3.31487</v>
      </c>
      <c r="G17" s="61">
        <f>IF(FT!B17&lt;&gt;"",FT!B17*100,"")</f>
        <v>35.545100000000005</v>
      </c>
      <c r="H17" s="61">
        <f t="shared" si="1"/>
        <v>1</v>
      </c>
      <c r="I17" t="str">
        <f>IF(FT!B17&lt;&gt;"",FT!E17,"")</f>
        <v>1 [6.096407]</v>
      </c>
      <c r="J17">
        <f>IF(FT!B17&lt;&gt;"",FT!C17,"")</f>
        <v>6.0964099999999997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29850</v>
      </c>
      <c r="D18" s="61">
        <f>FH!B18*1</f>
        <v>29850</v>
      </c>
      <c r="E18">
        <f t="shared" si="3"/>
        <v>16</v>
      </c>
      <c r="F18" s="61">
        <f>IF(FT!A18&lt;&gt;"",FT!A18*10,"")</f>
        <v>3.3266400000000003</v>
      </c>
      <c r="G18" s="61">
        <f>IF(FT!B18&lt;&gt;"",FT!B18*100,"")</f>
        <v>35.227399999999996</v>
      </c>
      <c r="H18" s="61">
        <f t="shared" si="1"/>
        <v>1</v>
      </c>
      <c r="I18" t="str">
        <f>IF(FT!B18&lt;&gt;"",FT!E18,"")</f>
        <v>1 [6.499653]</v>
      </c>
      <c r="J18">
        <f>IF(FT!B18&lt;&gt;"",FT!C18,"")</f>
        <v>6.4996499999999999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3.3354900000000001</v>
      </c>
      <c r="G19" s="61">
        <f>IF(FT!B19&lt;&gt;"",FT!B19*100,"")</f>
        <v>35.020099999999999</v>
      </c>
      <c r="H19" s="61">
        <f t="shared" si="1"/>
        <v>1</v>
      </c>
      <c r="I19" t="str">
        <f>IF(FT!B19&lt;&gt;"",FT!E19,"")</f>
        <v>1 [6.903676]</v>
      </c>
      <c r="J19">
        <f>IF(FT!B19&lt;&gt;"",FT!C19,"")</f>
        <v>6.9036799999999996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3.3426099999999996</v>
      </c>
      <c r="G20" s="61">
        <f>IF(FT!B20&lt;&gt;"",FT!B20*100,"")</f>
        <v>34.8249</v>
      </c>
      <c r="H20" s="61">
        <f t="shared" si="1"/>
        <v>1</v>
      </c>
      <c r="I20" t="str">
        <f>IF(FT!B20&lt;&gt;"",FT!E20,"")</f>
        <v>1 [7.310539]</v>
      </c>
      <c r="J20">
        <f>IF(FT!B20&lt;&gt;"",FT!C20,"")</f>
        <v>7.3105399999999996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39400</v>
      </c>
      <c r="D21" s="61">
        <f>FH!B21*1</f>
        <v>39400</v>
      </c>
      <c r="E21">
        <f t="shared" si="3"/>
        <v>19</v>
      </c>
      <c r="F21" s="61">
        <f>IF(FT!A21&lt;&gt;"",FT!A21*10,"")</f>
        <v>3.3444099999999999</v>
      </c>
      <c r="G21" s="61">
        <f>IF(FT!B21&lt;&gt;"",FT!B21*100,"")</f>
        <v>34.670200000000001</v>
      </c>
      <c r="H21" s="61">
        <f t="shared" si="1"/>
        <v>1</v>
      </c>
      <c r="I21" t="str">
        <f>IF(FT!B21&lt;&gt;"",FT!E21,"")</f>
        <v>1 [7.719363]</v>
      </c>
      <c r="J21">
        <f>IF(FT!B21&lt;&gt;"",FT!C21,"")</f>
        <v>7.71936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3.3419500000000002</v>
      </c>
      <c r="G22" s="61">
        <f>IF(FT!B22&lt;&gt;"",FT!B22*100,"")</f>
        <v>34.498800000000003</v>
      </c>
      <c r="H22" s="61">
        <f t="shared" si="1"/>
        <v>1</v>
      </c>
      <c r="I22" t="str">
        <f>IF(FT!B22&lt;&gt;"",FT!E22,"")</f>
        <v>1 [8.124267]</v>
      </c>
      <c r="J22">
        <f>IF(FT!B22&lt;&gt;"",FT!C22,"")</f>
        <v>8.1242699999999992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50193</v>
      </c>
      <c r="D23" s="61">
        <f>FH!B23*1</f>
        <v>50193</v>
      </c>
      <c r="E23">
        <f t="shared" si="3"/>
        <v>21</v>
      </c>
      <c r="F23" s="61">
        <f>IF(FT!A23&lt;&gt;"",FT!A23*10,"")</f>
        <v>3.3356500000000002</v>
      </c>
      <c r="G23" s="61">
        <f>IF(FT!B23&lt;&gt;"",FT!B23*100,"")</f>
        <v>34.315600000000003</v>
      </c>
      <c r="H23" s="61">
        <f t="shared" si="1"/>
        <v>1</v>
      </c>
      <c r="I23" t="str">
        <f>IF(FT!B23&lt;&gt;"",FT!E23,"")</f>
        <v>1 [8.532211]</v>
      </c>
      <c r="J23">
        <f>IF(FT!B23&lt;&gt;"",FT!C23,"")</f>
        <v>8.5322099999999992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3.3278600000000003</v>
      </c>
      <c r="G24" s="61">
        <f>IF(FT!B24&lt;&gt;"",FT!B24*100,"")</f>
        <v>34.145900000000005</v>
      </c>
      <c r="H24" s="61">
        <f t="shared" si="1"/>
        <v>1</v>
      </c>
      <c r="I24" t="str">
        <f>IF(FT!B24&lt;&gt;"",FT!E24,"")</f>
        <v>1 [8.937151]</v>
      </c>
      <c r="J24">
        <f>IF(FT!B24&lt;&gt;"",FT!C24,"")</f>
        <v>8.9371500000000008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3.31934</v>
      </c>
      <c r="G25" s="61">
        <f>IF(FT!B25&lt;&gt;"",FT!B25*100,"")</f>
        <v>33.985900000000001</v>
      </c>
      <c r="H25" s="61">
        <f t="shared" si="1"/>
        <v>1</v>
      </c>
      <c r="I25" t="str">
        <f>IF(FT!B25&lt;&gt;"",FT!E25,"")</f>
        <v>1 [9.342254]</v>
      </c>
      <c r="J25">
        <f>IF(FT!B25&lt;&gt;"",FT!C25,"")</f>
        <v>9.3422499999999999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59889</v>
      </c>
      <c r="D26" s="61">
        <f>FH!B26*1</f>
        <v>59889</v>
      </c>
      <c r="E26">
        <f t="shared" si="3"/>
        <v>24</v>
      </c>
      <c r="F26" s="61">
        <f>IF(FT!A26&lt;&gt;"",FT!A26*10,"")</f>
        <v>3.3101599999999998</v>
      </c>
      <c r="G26" s="61">
        <f>IF(FT!B26&lt;&gt;"",FT!B26*100,"")</f>
        <v>33.874300000000005</v>
      </c>
      <c r="H26" s="61">
        <f t="shared" si="1"/>
        <v>1</v>
      </c>
      <c r="I26" t="str">
        <f>IF(FT!B26&lt;&gt;"",FT!E26,"")</f>
        <v>1 [9.754960]</v>
      </c>
      <c r="J26">
        <f>IF(FT!B26&lt;&gt;"",FT!C26,"")</f>
        <v>9.7549600000000005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3.2974100000000002</v>
      </c>
      <c r="G27" s="61">
        <f>IF(FT!B27&lt;&gt;"",FT!B27*100,"")</f>
        <v>33.761899999999997</v>
      </c>
      <c r="H27" s="61">
        <f t="shared" si="1"/>
        <v>1</v>
      </c>
      <c r="I27" t="str">
        <f>IF(FT!B27&lt;&gt;"",FT!E27,"")</f>
        <v>1 [10.157871]</v>
      </c>
      <c r="J27">
        <f>IF(FT!B27&lt;&gt;"",FT!C27,"")</f>
        <v>10.1579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72330</v>
      </c>
      <c r="D28" s="61">
        <f>FH!B28*1</f>
        <v>72330</v>
      </c>
      <c r="E28">
        <f t="shared" si="3"/>
        <v>26</v>
      </c>
      <c r="F28" s="61">
        <f>IF(FT!A28&lt;&gt;"",FT!A28*10,"")</f>
        <v>3.2803399999999998</v>
      </c>
      <c r="G28" s="61">
        <f>IF(FT!B28&lt;&gt;"",FT!B28*100,"")</f>
        <v>33.659599999999998</v>
      </c>
      <c r="H28" s="61">
        <f t="shared" si="1"/>
        <v>1</v>
      </c>
      <c r="I28" t="str">
        <f>IF(FT!B28&lt;&gt;"",FT!E28,"")</f>
        <v>1 [10.563870]</v>
      </c>
      <c r="J28">
        <f>IF(FT!B28&lt;&gt;"",FT!C28,"")</f>
        <v>10.5639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3.2599200000000002</v>
      </c>
      <c r="G29" s="61">
        <f>IF(FT!B29&lt;&gt;"",FT!B29*100,"")</f>
        <v>33.575200000000002</v>
      </c>
      <c r="H29" s="61">
        <f t="shared" si="1"/>
        <v>1</v>
      </c>
      <c r="I29" t="str">
        <f>IF(FT!B29&lt;&gt;"",FT!E29,"")</f>
        <v>1 [10.967993]</v>
      </c>
      <c r="J29">
        <f>IF(FT!B29&lt;&gt;"",FT!C29,"")</f>
        <v>10.968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3.23454</v>
      </c>
      <c r="G30" s="61">
        <f>IF(FT!B30&lt;&gt;"",FT!B30*100,"")</f>
        <v>33.573799999999999</v>
      </c>
      <c r="H30" s="61">
        <f t="shared" si="1"/>
        <v>1</v>
      </c>
      <c r="I30" t="str">
        <f>IF(FT!B30&lt;&gt;"",FT!E30,"")</f>
        <v>1 [11.374670]</v>
      </c>
      <c r="J30">
        <f>IF(FT!B30&lt;&gt;"",FT!C30,"")</f>
        <v>11.374700000000001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79259</v>
      </c>
      <c r="D31" s="61">
        <f>FH!B31*1</f>
        <v>79259</v>
      </c>
      <c r="E31">
        <f t="shared" si="3"/>
        <v>29</v>
      </c>
      <c r="F31" s="61">
        <f>IF(FT!A31&lt;&gt;"",FT!A31*10,"")</f>
        <v>3.20723</v>
      </c>
      <c r="G31" s="61">
        <f>IF(FT!B31&lt;&gt;"",FT!B31*100,"")</f>
        <v>33.667999999999999</v>
      </c>
      <c r="H31" s="61">
        <f t="shared" si="1"/>
        <v>1</v>
      </c>
      <c r="I31" t="str">
        <f>IF(FT!B31&lt;&gt;"",FT!E31,"")</f>
        <v>1 [11.782466]</v>
      </c>
      <c r="J31">
        <f>IF(FT!B31&lt;&gt;"",FT!C31,"")</f>
        <v>11.782500000000001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3.1804600000000001</v>
      </c>
      <c r="G32" s="61">
        <f>IF(FT!B32&lt;&gt;"",FT!B32*100,"")</f>
        <v>33.851599999999998</v>
      </c>
      <c r="H32" s="61">
        <f t="shared" si="1"/>
        <v>1</v>
      </c>
      <c r="I32" t="str">
        <f>IF(FT!B32&lt;&gt;"",FT!E32,"")</f>
        <v>1 [12.188391]</v>
      </c>
      <c r="J32">
        <f>IF(FT!B32&lt;&gt;"",FT!C32,"")</f>
        <v>12.1884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89221</v>
      </c>
      <c r="D33" s="61">
        <f>FH!B33*1</f>
        <v>89221</v>
      </c>
      <c r="E33">
        <f t="shared" si="3"/>
        <v>31</v>
      </c>
      <c r="F33" s="61">
        <f>IF(FT!A33&lt;&gt;"",FT!A33*10,"")</f>
        <v>3.1540800000000004</v>
      </c>
      <c r="G33" s="61">
        <f>IF(FT!B33&lt;&gt;"",FT!B33*100,"")</f>
        <v>34.106099999999998</v>
      </c>
      <c r="H33" s="61">
        <f t="shared" si="1"/>
        <v>1</v>
      </c>
      <c r="I33" t="str">
        <f>IF(FT!B33&lt;&gt;"",FT!E33,"")</f>
        <v>1 [12.594295]</v>
      </c>
      <c r="J33">
        <f>IF(FT!B33&lt;&gt;"",FT!C33,"")</f>
        <v>12.5943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3.1286300000000002</v>
      </c>
      <c r="G34" s="61">
        <f>IF(FT!B34&lt;&gt;"",FT!B34*100,"")</f>
        <v>34.42</v>
      </c>
      <c r="H34" s="61">
        <f t="shared" si="1"/>
        <v>1</v>
      </c>
      <c r="I34" t="str">
        <f>IF(FT!B34&lt;&gt;"",FT!E34,"")</f>
        <v>1 [12.998261]</v>
      </c>
      <c r="J34">
        <f>IF(FT!B34&lt;&gt;"",FT!C34,"")</f>
        <v>12.9983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3.1051899999999999</v>
      </c>
      <c r="G35" s="61">
        <f>IF(FT!B35&lt;&gt;"",FT!B35*100,"")</f>
        <v>34.745100000000001</v>
      </c>
      <c r="H35" s="61">
        <f t="shared" si="1"/>
        <v>1</v>
      </c>
      <c r="I35" t="str">
        <f>IF(FT!B35&lt;&gt;"",FT!E35,"")</f>
        <v>1 [13.407354]</v>
      </c>
      <c r="J35">
        <f>IF(FT!B35&lt;&gt;"",FT!C35,"")</f>
        <v>13.407400000000001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91715</v>
      </c>
      <c r="D36" s="61">
        <f>FH!B36*1</f>
        <v>91715</v>
      </c>
      <c r="E36">
        <f t="shared" si="3"/>
        <v>34</v>
      </c>
      <c r="F36" s="61">
        <f>IF(FT!A36&lt;&gt;"",FT!A36*10,"")</f>
        <v>3.08317</v>
      </c>
      <c r="G36" s="61">
        <f>IF(FT!B36&lt;&gt;"",FT!B36*100,"")</f>
        <v>35.060099999999998</v>
      </c>
      <c r="H36" s="61">
        <f t="shared" si="1"/>
        <v>1</v>
      </c>
      <c r="I36" t="str">
        <f>IF(FT!B36&lt;&gt;"",FT!E36,"")</f>
        <v>1 [13.811158]</v>
      </c>
      <c r="J36">
        <f>IF(FT!B36&lt;&gt;"",FT!C36,"")</f>
        <v>13.811199999999999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3.0647000000000002</v>
      </c>
      <c r="G37" s="61">
        <f>IF(FT!B37&lt;&gt;"",FT!B37*100,"")</f>
        <v>35.358200000000004</v>
      </c>
      <c r="H37" s="61">
        <f t="shared" si="1"/>
        <v>1</v>
      </c>
      <c r="I37" t="str">
        <f>IF(FT!B37&lt;&gt;"",FT!E37,"")</f>
        <v>1 [14.219066]</v>
      </c>
      <c r="J37">
        <f>IF(FT!B37&lt;&gt;"",FT!C37,"")</f>
        <v>14.219099999999999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3.04765</v>
      </c>
      <c r="G38" s="61">
        <f>IF(FT!B38&lt;&gt;"",FT!B38*100,"")</f>
        <v>35.636800000000001</v>
      </c>
      <c r="H38" s="61">
        <f t="shared" si="1"/>
        <v>1</v>
      </c>
      <c r="I38" t="str">
        <f>IF(FT!B38&lt;&gt;"",FT!E38,"")</f>
        <v>1 [14.625887]</v>
      </c>
      <c r="J38">
        <f>IF(FT!B38&lt;&gt;"",FT!C38,"")</f>
        <v>14.6259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95664</v>
      </c>
      <c r="D39" s="61">
        <f>FH!B39*1</f>
        <v>95664</v>
      </c>
      <c r="E39">
        <f t="shared" si="3"/>
        <v>37</v>
      </c>
      <c r="F39" s="61">
        <f>IF(FT!A39&lt;&gt;"",FT!A39*10,"")</f>
        <v>3.0318399999999999</v>
      </c>
      <c r="G39" s="61">
        <f>IF(FT!B39&lt;&gt;"",FT!B39*100,"")</f>
        <v>35.899300000000004</v>
      </c>
      <c r="H39" s="61">
        <f t="shared" si="1"/>
        <v>1</v>
      </c>
      <c r="I39" t="str">
        <f>IF(FT!B39&lt;&gt;"",FT!E39,"")</f>
        <v>1 [15.029882]</v>
      </c>
      <c r="J39">
        <f>IF(FT!B39&lt;&gt;"",FT!C39,"")</f>
        <v>15.0299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3.0156800000000001</v>
      </c>
      <c r="G40" s="61">
        <f>IF(FT!B40&lt;&gt;"",FT!B40*100,"")</f>
        <v>36.197299999999998</v>
      </c>
      <c r="H40" s="61">
        <f t="shared" si="1"/>
        <v>1</v>
      </c>
      <c r="I40" t="str">
        <f>IF(FT!B40&lt;&gt;"",FT!E40,"")</f>
        <v>1 [15.435774]</v>
      </c>
      <c r="J40">
        <f>IF(FT!B40&lt;&gt;"",FT!C40,"")</f>
        <v>15.4358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92801</v>
      </c>
      <c r="D41" s="61">
        <f>FH!B41*1</f>
        <v>92801</v>
      </c>
      <c r="E41">
        <f t="shared" si="3"/>
        <v>39</v>
      </c>
      <c r="F41" s="61">
        <f>IF(FT!A41&lt;&gt;"",FT!A41*10,"")</f>
        <v>3.0013899999999998</v>
      </c>
      <c r="G41" s="61">
        <f>IF(FT!B41&lt;&gt;"",FT!B41*100,"")</f>
        <v>36.477800000000002</v>
      </c>
      <c r="H41" s="61">
        <f t="shared" si="1"/>
        <v>1</v>
      </c>
      <c r="I41" t="str">
        <f>IF(FT!B41&lt;&gt;"",FT!E41,"")</f>
        <v>1 [15.842658]</v>
      </c>
      <c r="J41">
        <f>IF(FT!B41&lt;&gt;"",FT!C41,"")</f>
        <v>15.842700000000001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2.98712</v>
      </c>
      <c r="G42" s="61">
        <f>IF(FT!B42&lt;&gt;"",FT!B42*100,"")</f>
        <v>36.729900000000001</v>
      </c>
      <c r="H42" s="61">
        <f t="shared" si="1"/>
        <v>1</v>
      </c>
      <c r="I42" t="str">
        <f>IF(FT!B42&lt;&gt;"",FT!E42,"")</f>
        <v>1 [16.251739]</v>
      </c>
      <c r="J42">
        <f>IF(FT!B42&lt;&gt;"",FT!C42,"")</f>
        <v>16.2517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2.9743999999999997</v>
      </c>
      <c r="G43" s="61">
        <f>IF(FT!B43&lt;&gt;"",FT!B43*100,"")</f>
        <v>36.945699999999995</v>
      </c>
      <c r="H43" s="61">
        <f t="shared" si="1"/>
        <v>1</v>
      </c>
      <c r="I43" t="str">
        <f>IF(FT!B43&lt;&gt;"",FT!E43,"")</f>
        <v>1 [16.658515]</v>
      </c>
      <c r="J43">
        <f>IF(FT!B43&lt;&gt;"",FT!C43,"")</f>
        <v>16.6585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95816</v>
      </c>
      <c r="D44" s="61">
        <f>FH!B44*1</f>
        <v>95816</v>
      </c>
      <c r="E44">
        <f t="shared" si="3"/>
        <v>42</v>
      </c>
      <c r="F44" s="61">
        <f>IF(FT!A44&lt;&gt;"",FT!A44*10,"")</f>
        <v>2.9611900000000002</v>
      </c>
      <c r="G44" s="61">
        <f>IF(FT!B44&lt;&gt;"",FT!B44*100,"")</f>
        <v>37.094000000000001</v>
      </c>
      <c r="H44" s="61">
        <f t="shared" si="1"/>
        <v>1</v>
      </c>
      <c r="I44" t="str">
        <f>IF(FT!B44&lt;&gt;"",FT!E44,"")</f>
        <v>1 [17.061400]</v>
      </c>
      <c r="J44">
        <f>IF(FT!B44&lt;&gt;"",FT!C44,"")</f>
        <v>17.061399999999999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2.9476200000000001</v>
      </c>
      <c r="G45" s="61">
        <f>IF(FT!B45&lt;&gt;"",FT!B45*100,"")</f>
        <v>37.244799999999998</v>
      </c>
      <c r="H45" s="61">
        <f t="shared" si="1"/>
        <v>1</v>
      </c>
      <c r="I45" t="str">
        <f>IF(FT!B45&lt;&gt;"",FT!E45,"")</f>
        <v>1 [17.468421]</v>
      </c>
      <c r="J45">
        <f>IF(FT!B45&lt;&gt;"",FT!C45,"")</f>
        <v>17.468399999999999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99101</v>
      </c>
      <c r="D46" s="61">
        <f>FH!B46*1</f>
        <v>99101</v>
      </c>
      <c r="E46">
        <f t="shared" si="3"/>
        <v>44</v>
      </c>
      <c r="F46" s="61">
        <f>IF(FT!A46&lt;&gt;"",FT!A46*10,"")</f>
        <v>2.9336800000000003</v>
      </c>
      <c r="G46" s="61">
        <f>IF(FT!B46&lt;&gt;"",FT!B46*100,"")</f>
        <v>37.371099999999998</v>
      </c>
      <c r="H46" s="61">
        <f t="shared" si="1"/>
        <v>1</v>
      </c>
      <c r="I46" t="str">
        <f>IF(FT!B46&lt;&gt;"",FT!E46,"")</f>
        <v>1 [17.871321]</v>
      </c>
      <c r="J46">
        <f>IF(FT!B46&lt;&gt;"",FT!C46,"")</f>
        <v>17.871300000000002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2.9195199999999999</v>
      </c>
      <c r="G47" s="61">
        <f>IF(FT!B47&lt;&gt;"",FT!B47*100,"")</f>
        <v>37.540700000000001</v>
      </c>
      <c r="H47" s="61">
        <f t="shared" si="1"/>
        <v>1</v>
      </c>
      <c r="I47" t="str">
        <f>IF(FT!B47&lt;&gt;"",FT!E47,"")</f>
        <v>1 [18.280161]</v>
      </c>
      <c r="J47">
        <f>IF(FT!B47&lt;&gt;"",FT!C47,"")</f>
        <v>18.280200000000001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2.9101100000000004</v>
      </c>
      <c r="G48" s="61">
        <f>IF(FT!B48&lt;&gt;"",FT!B48*100,"")</f>
        <v>37.6892</v>
      </c>
      <c r="H48" s="61">
        <f t="shared" si="1"/>
        <v>1</v>
      </c>
      <c r="I48" t="str">
        <f>IF(FT!B48&lt;&gt;"",FT!E48,"")</f>
        <v>1 [18.687338]</v>
      </c>
      <c r="J48">
        <f>IF(FT!B48&lt;&gt;"",FT!C48,"")</f>
        <v>18.6873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100116</v>
      </c>
      <c r="D49" s="61">
        <f>FH!B49*1</f>
        <v>100116</v>
      </c>
      <c r="E49">
        <f t="shared" si="3"/>
        <v>47</v>
      </c>
      <c r="F49" s="61">
        <f>IF(FT!A49&lt;&gt;"",FT!A49*10,"")</f>
        <v>2.9062999999999999</v>
      </c>
      <c r="G49" s="61">
        <f>IF(FT!B49&lt;&gt;"",FT!B49*100,"")</f>
        <v>37.774299999999997</v>
      </c>
      <c r="H49" s="61">
        <f t="shared" si="1"/>
        <v>1</v>
      </c>
      <c r="I49" t="str">
        <f>IF(FT!B49&lt;&gt;"",FT!E49,"")</f>
        <v>1 [19.093038]</v>
      </c>
      <c r="J49">
        <f>IF(FT!B49&lt;&gt;"",FT!C49,"")</f>
        <v>19.093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2.9037099999999998</v>
      </c>
      <c r="G50" s="61">
        <f>IF(FT!B50&lt;&gt;"",FT!B50*100,"")</f>
        <v>37.867600000000003</v>
      </c>
      <c r="H50" s="61">
        <f t="shared" si="1"/>
        <v>1</v>
      </c>
      <c r="I50" t="str">
        <f>IF(FT!B50&lt;&gt;"",FT!E50,"")</f>
        <v>1 [19.501291]</v>
      </c>
      <c r="J50">
        <f>IF(FT!B50&lt;&gt;"",FT!C50,"")</f>
        <v>19.501300000000001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103352</v>
      </c>
      <c r="D51" s="61">
        <f>FH!B51*1</f>
        <v>103352</v>
      </c>
      <c r="E51">
        <f t="shared" si="3"/>
        <v>49</v>
      </c>
      <c r="F51" s="61">
        <f>IF(FT!A51&lt;&gt;"",FT!A51*10,"")</f>
        <v>2.9008699999999998</v>
      </c>
      <c r="G51" s="61">
        <f>IF(FT!B51&lt;&gt;"",FT!B51*100,"")</f>
        <v>37.950699999999998</v>
      </c>
      <c r="H51" s="61">
        <f t="shared" si="1"/>
        <v>1</v>
      </c>
      <c r="I51" t="str">
        <f>IF(FT!B51&lt;&gt;"",FT!E51,"")</f>
        <v>1 [19.906896]</v>
      </c>
      <c r="J51">
        <f>IF(FT!B51&lt;&gt;"",FT!C51,"")</f>
        <v>19.9069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2.8987499999999997</v>
      </c>
      <c r="G52" s="61">
        <f>IF(FT!B52&lt;&gt;"",FT!B52*100,"")</f>
        <v>38.046900000000001</v>
      </c>
      <c r="H52" s="61">
        <f t="shared" si="1"/>
        <v>1</v>
      </c>
      <c r="I52" t="str">
        <f>IF(FT!B52&lt;&gt;"",FT!E52,"")</f>
        <v>1 [20.310709]</v>
      </c>
      <c r="J52">
        <f>IF(FT!B52&lt;&gt;"",FT!C52,"")</f>
        <v>20.310700000000001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2.8995100000000003</v>
      </c>
      <c r="G53" s="61">
        <f>IF(FT!B53&lt;&gt;"",FT!B53*100,"")</f>
        <v>38.132899999999999</v>
      </c>
      <c r="H53" s="61">
        <f t="shared" si="1"/>
        <v>1</v>
      </c>
      <c r="I53" t="str">
        <f>IF(FT!B53&lt;&gt;"",FT!E53,"")</f>
        <v>1 [20.716725]</v>
      </c>
      <c r="J53">
        <f>IF(FT!B53&lt;&gt;"",FT!C53,"")</f>
        <v>20.716699999999999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110554</v>
      </c>
      <c r="D54" s="61">
        <f>FH!B54*1</f>
        <v>110554</v>
      </c>
      <c r="E54">
        <f t="shared" si="3"/>
        <v>52</v>
      </c>
      <c r="F54" s="61">
        <f>IF(FT!A54&lt;&gt;"",FT!A54*10,"")</f>
        <v>2.9026100000000001</v>
      </c>
      <c r="G54" s="61">
        <f>IF(FT!B54&lt;&gt;"",FT!B54*100,"")</f>
        <v>38.210100000000004</v>
      </c>
      <c r="H54" s="61">
        <f t="shared" si="1"/>
        <v>1</v>
      </c>
      <c r="I54" t="str">
        <f>IF(FT!B54&lt;&gt;"",FT!E54,"")</f>
        <v>1 [21.124639]</v>
      </c>
      <c r="J54">
        <f>IF(FT!B54&lt;&gt;"",FT!C54,"")</f>
        <v>21.124600000000001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2.90333</v>
      </c>
      <c r="G55" s="61">
        <f>IF(FT!B55&lt;&gt;"",FT!B55*100,"")</f>
        <v>38.2714</v>
      </c>
      <c r="H55" s="61">
        <f t="shared" si="1"/>
        <v>1</v>
      </c>
      <c r="I55" t="str">
        <f>IF(FT!B55&lt;&gt;"",FT!E55,"")</f>
        <v>1 [21.532496]</v>
      </c>
      <c r="J55">
        <f>IF(FT!B55&lt;&gt;"",FT!C55,"")</f>
        <v>21.532499999999999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2.9035600000000001</v>
      </c>
      <c r="G56" s="61">
        <f>IF(FT!B56&lt;&gt;"",FT!B56*100,"")</f>
        <v>38.311199999999999</v>
      </c>
      <c r="H56" s="61">
        <f t="shared" si="1"/>
        <v>1</v>
      </c>
      <c r="I56" t="str">
        <f>IF(FT!B56&lt;&gt;"",FT!E56,"")</f>
        <v>1 [21.941440]</v>
      </c>
      <c r="J56">
        <f>IF(FT!B56&lt;&gt;"",FT!C56,"")</f>
        <v>21.941400000000002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113968</v>
      </c>
      <c r="D57" s="61">
        <f>FH!B57*1</f>
        <v>113968</v>
      </c>
      <c r="E57">
        <f t="shared" si="3"/>
        <v>55</v>
      </c>
      <c r="F57" s="61">
        <f>IF(FT!A57&lt;&gt;"",FT!A57*10,"")</f>
        <v>2.9027700000000003</v>
      </c>
      <c r="G57" s="61">
        <f>IF(FT!B57&lt;&gt;"",FT!B57*100,"")</f>
        <v>38.325700000000005</v>
      </c>
      <c r="H57" s="61">
        <f t="shared" si="1"/>
        <v>1</v>
      </c>
      <c r="I57" t="str">
        <f>IF(FT!B57&lt;&gt;"",FT!E57,"")</f>
        <v>1 [22.343416]</v>
      </c>
      <c r="J57">
        <f>IF(FT!B57&lt;&gt;"",FT!C57,"")</f>
        <v>22.343399999999999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2.8986800000000001</v>
      </c>
      <c r="G58" s="61">
        <f>IF(FT!B58&lt;&gt;"",FT!B58*100,"")</f>
        <v>38.392099999999999</v>
      </c>
      <c r="H58" s="61">
        <f t="shared" si="1"/>
        <v>1</v>
      </c>
      <c r="I58" t="str">
        <f>IF(FT!B58&lt;&gt;"",FT!E58,"")</f>
        <v>1 [22.748223]</v>
      </c>
      <c r="J58">
        <f>IF(FT!B58&lt;&gt;"",FT!C58,"")</f>
        <v>22.748200000000001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117079</v>
      </c>
      <c r="D59" s="61">
        <f>FH!B59*1</f>
        <v>117079</v>
      </c>
      <c r="E59">
        <f t="shared" si="3"/>
        <v>57</v>
      </c>
      <c r="F59" s="61">
        <f>IF(FT!A59&lt;&gt;"",FT!A59*10,"")</f>
        <v>2.8905500000000002</v>
      </c>
      <c r="G59" s="61">
        <f>IF(FT!B59&lt;&gt;"",FT!B59*100,"")</f>
        <v>38.475000000000001</v>
      </c>
      <c r="H59" s="61">
        <f t="shared" si="1"/>
        <v>1</v>
      </c>
      <c r="I59" t="str">
        <f>IF(FT!B59&lt;&gt;"",FT!E59,"")</f>
        <v>1 [23.154569]</v>
      </c>
      <c r="J59">
        <f>IF(FT!B59&lt;&gt;"",FT!C59,"")</f>
        <v>23.154599999999999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2.8812500000000001</v>
      </c>
      <c r="G60" s="61">
        <f>IF(FT!B60&lt;&gt;"",FT!B60*100,"")</f>
        <v>38.531300000000002</v>
      </c>
      <c r="H60" s="61">
        <f t="shared" si="1"/>
        <v>1</v>
      </c>
      <c r="I60" t="str">
        <f>IF(FT!B60&lt;&gt;"",FT!E60,"")</f>
        <v>1 [23.565249]</v>
      </c>
      <c r="J60">
        <f>IF(FT!B60&lt;&gt;"",FT!C60,"")</f>
        <v>23.565200000000001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2.8693499999999998</v>
      </c>
      <c r="G61" s="61">
        <f>IF(FT!B61&lt;&gt;"",FT!B61*100,"")</f>
        <v>38.573099999999997</v>
      </c>
      <c r="H61" s="61">
        <f t="shared" si="1"/>
        <v>1</v>
      </c>
      <c r="I61" t="str">
        <f>IF(FT!B61&lt;&gt;"",FT!E61,"")</f>
        <v>1 [23.969971]</v>
      </c>
      <c r="J61">
        <f>IF(FT!B61&lt;&gt;"",FT!C61,"")</f>
        <v>23.97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117637</v>
      </c>
      <c r="D62" s="61">
        <f>FH!B62*1</f>
        <v>117637</v>
      </c>
      <c r="E62">
        <f t="shared" si="3"/>
        <v>60</v>
      </c>
      <c r="F62" s="61">
        <f>IF(FT!A62&lt;&gt;"",FT!A62*10,"")</f>
        <v>2.8560600000000003</v>
      </c>
      <c r="G62" s="61">
        <f>IF(FT!B62&lt;&gt;"",FT!B62*100,"")</f>
        <v>38.566899999999997</v>
      </c>
      <c r="H62" s="61">
        <f t="shared" si="1"/>
        <v>1</v>
      </c>
      <c r="I62" t="str">
        <f>IF(FT!B62&lt;&gt;"",FT!E62,"")</f>
        <v>1 [24.374909]</v>
      </c>
      <c r="J62">
        <f>IF(FT!B62&lt;&gt;"",FT!C62,"")</f>
        <v>24.3749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2.84165</v>
      </c>
      <c r="G63" s="61">
        <f>IF(FT!B63&lt;&gt;"",FT!B63*100,"")</f>
        <v>38.572000000000003</v>
      </c>
      <c r="H63" s="61">
        <f t="shared" si="1"/>
        <v>1</v>
      </c>
      <c r="I63" t="str">
        <f>IF(FT!B63&lt;&gt;"",FT!E63,"")</f>
        <v>1 [24.779791]</v>
      </c>
      <c r="J63">
        <f>IF(FT!B63&lt;&gt;"",FT!C63,"")</f>
        <v>24.779800000000002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106768</v>
      </c>
      <c r="D64" s="61">
        <f>FH!B64*1</f>
        <v>106768</v>
      </c>
      <c r="E64">
        <f t="shared" si="3"/>
        <v>62</v>
      </c>
      <c r="F64" s="61">
        <f>IF(FT!A64&lt;&gt;"",FT!A64*10,"")</f>
        <v>2.82674</v>
      </c>
      <c r="G64" s="61">
        <f>IF(FT!B64&lt;&gt;"",FT!B64*100,"")</f>
        <v>38.545299999999997</v>
      </c>
      <c r="H64" s="61">
        <f t="shared" si="1"/>
        <v>1</v>
      </c>
      <c r="I64" t="str">
        <f>IF(FT!B64&lt;&gt;"",FT!E64,"")</f>
        <v>1 [25.185874]</v>
      </c>
      <c r="J64">
        <f>IF(FT!B64&lt;&gt;"",FT!C64,"")</f>
        <v>25.1859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2.8122699999999998</v>
      </c>
      <c r="G65" s="61">
        <f>IF(FT!B65&lt;&gt;"",FT!B65*100,"")</f>
        <v>38.480199999999996</v>
      </c>
      <c r="H65" s="61">
        <f t="shared" si="1"/>
        <v>1</v>
      </c>
      <c r="I65" t="str">
        <f>IF(FT!B65&lt;&gt;"",FT!E65,"")</f>
        <v>1 [25.596621]</v>
      </c>
      <c r="J65">
        <f>IF(FT!B65&lt;&gt;"",FT!C65,"")</f>
        <v>25.596599999999999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2.7973300000000001</v>
      </c>
      <c r="G66" s="61">
        <f>IF(FT!B66&lt;&gt;"",FT!B66*100,"")</f>
        <v>38.395499999999998</v>
      </c>
      <c r="H66" s="61">
        <f t="shared" si="1"/>
        <v>1</v>
      </c>
      <c r="I66" t="str">
        <f>IF(FT!B66&lt;&gt;"",FT!E66,"")</f>
        <v>1 [26.001607]</v>
      </c>
      <c r="J66">
        <f>IF(FT!B66&lt;&gt;"",FT!C66,"")</f>
        <v>26.0016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112239</v>
      </c>
      <c r="D67" s="61">
        <f>FH!B67*1</f>
        <v>112239</v>
      </c>
      <c r="E67">
        <f t="shared" si="3"/>
        <v>65</v>
      </c>
      <c r="F67" s="61">
        <f>IF(FT!A67&lt;&gt;"",FT!A67*10,"")</f>
        <v>2.78376</v>
      </c>
      <c r="G67" s="61">
        <f>IF(FT!B67&lt;&gt;"",FT!B67*100,"")</f>
        <v>38.313299999999998</v>
      </c>
      <c r="H67" s="61">
        <f t="shared" ref="H67:H130" si="9">(IF(F67&lt;&gt;"",1,""))</f>
        <v>1</v>
      </c>
      <c r="I67" t="str">
        <f>IF(FT!B67&lt;&gt;"",FT!E67,"")</f>
        <v>1 [26.406451]</v>
      </c>
      <c r="J67">
        <f>IF(FT!B67&lt;&gt;"",FT!C67,"")</f>
        <v>26.406500000000001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2.7692499999999995</v>
      </c>
      <c r="G68" s="61">
        <f>IF(FT!B68&lt;&gt;"",FT!B68*100,"")</f>
        <v>38.219099999999997</v>
      </c>
      <c r="H68" s="61">
        <f t="shared" si="9"/>
        <v>1</v>
      </c>
      <c r="I68" t="str">
        <f>IF(FT!B68&lt;&gt;"",FT!E68,"")</f>
        <v>1 [26.810412]</v>
      </c>
      <c r="J68">
        <f>IF(FT!B68&lt;&gt;"",FT!C68,"")</f>
        <v>26.810400000000001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107046</v>
      </c>
      <c r="D69" s="61">
        <f>FH!B69*1</f>
        <v>107046</v>
      </c>
      <c r="E69">
        <f t="shared" si="11"/>
        <v>67</v>
      </c>
      <c r="F69" s="61">
        <f>IF(FT!A69&lt;&gt;"",FT!A69*10,"")</f>
        <v>2.7546900000000001</v>
      </c>
      <c r="G69" s="61">
        <f>IF(FT!B69&lt;&gt;"",FT!B69*100,"")</f>
        <v>38.110300000000002</v>
      </c>
      <c r="H69" s="61">
        <f t="shared" si="9"/>
        <v>1</v>
      </c>
      <c r="I69" t="str">
        <f>IF(FT!B69&lt;&gt;"",FT!E69,"")</f>
        <v>1 [27.223285]</v>
      </c>
      <c r="J69">
        <f>IF(FT!B69&lt;&gt;"",FT!C69,"")</f>
        <v>27.223299999999998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2.7422300000000002</v>
      </c>
      <c r="G70" s="61">
        <f>IF(FT!B70&lt;&gt;"",FT!B70*100,"")</f>
        <v>38.005400000000002</v>
      </c>
      <c r="H70" s="61">
        <f t="shared" si="9"/>
        <v>1</v>
      </c>
      <c r="I70" t="str">
        <f>IF(FT!B70&lt;&gt;"",FT!E70,"")</f>
        <v>1 [27.626214]</v>
      </c>
      <c r="J70">
        <f>IF(FT!B70&lt;&gt;"",FT!C70,"")</f>
        <v>27.626200000000001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2.7325899999999996</v>
      </c>
      <c r="G71" s="61">
        <f>IF(FT!B71&lt;&gt;"",FT!B71*100,"")</f>
        <v>37.856200000000001</v>
      </c>
      <c r="H71" s="61">
        <f t="shared" si="9"/>
        <v>1</v>
      </c>
      <c r="I71" t="str">
        <f>IF(FT!B71&lt;&gt;"",FT!E71,"")</f>
        <v>1 [28.033076]</v>
      </c>
      <c r="J71">
        <f>IF(FT!B71&lt;&gt;"",FT!C71,"")</f>
        <v>28.033100000000001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106437</v>
      </c>
      <c r="D72" s="61">
        <f>FH!B72*1</f>
        <v>106437</v>
      </c>
      <c r="E72">
        <f t="shared" si="11"/>
        <v>70</v>
      </c>
      <c r="F72" s="61">
        <f>IF(FT!A72&lt;&gt;"",FT!A72*10,"")</f>
        <v>2.7239900000000001</v>
      </c>
      <c r="G72" s="61">
        <f>IF(FT!B72&lt;&gt;"",FT!B72*100,"")</f>
        <v>37.6571</v>
      </c>
      <c r="H72" s="61">
        <f t="shared" si="9"/>
        <v>1</v>
      </c>
      <c r="I72" t="str">
        <f>IF(FT!B72&lt;&gt;"",FT!E72,"")</f>
        <v>1 [28.436315]</v>
      </c>
      <c r="J72">
        <f>IF(FT!B72&lt;&gt;"",FT!C72,"")</f>
        <v>28.436299999999999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2.7146300000000001</v>
      </c>
      <c r="G73" s="61">
        <f>IF(FT!B73&lt;&gt;"",FT!B73*100,"")</f>
        <v>37.504100000000001</v>
      </c>
      <c r="H73" s="61">
        <f t="shared" si="9"/>
        <v>1</v>
      </c>
      <c r="I73" t="str">
        <f>IF(FT!B73&lt;&gt;"",FT!E73,"")</f>
        <v>1 [28.840964]</v>
      </c>
      <c r="J73">
        <f>IF(FT!B73&lt;&gt;"",FT!C73,"")</f>
        <v>28.841000000000001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2.7006599999999996</v>
      </c>
      <c r="G74" s="61">
        <f>IF(FT!B74&lt;&gt;"",FT!B74*100,"")</f>
        <v>37.4041</v>
      </c>
      <c r="H74" s="61">
        <f t="shared" si="9"/>
        <v>1</v>
      </c>
      <c r="I74" t="str">
        <f>IF(FT!B74&lt;&gt;"",FT!E74,"")</f>
        <v>1 [29.249913]</v>
      </c>
      <c r="J74">
        <f>IF(FT!B74&lt;&gt;"",FT!C74,"")</f>
        <v>29.2499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95327</v>
      </c>
      <c r="D75" s="61">
        <f>FH!B75*1</f>
        <v>95327</v>
      </c>
      <c r="E75">
        <f t="shared" si="11"/>
        <v>73</v>
      </c>
      <c r="F75" s="61">
        <f>IF(FT!A75&lt;&gt;"",FT!A75*10,"")</f>
        <v>2.68581</v>
      </c>
      <c r="G75" s="61">
        <f>IF(FT!B75&lt;&gt;"",FT!B75*100,"")</f>
        <v>37.3217</v>
      </c>
      <c r="H75" s="61">
        <f t="shared" si="9"/>
        <v>1</v>
      </c>
      <c r="I75" t="str">
        <f>IF(FT!B75&lt;&gt;"",FT!E75,"")</f>
        <v>1 [29.653874]</v>
      </c>
      <c r="J75">
        <f>IF(FT!B75&lt;&gt;"",FT!C75,"")</f>
        <v>29.6539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2.6715499999999999</v>
      </c>
      <c r="G76" s="61">
        <f>IF(FT!B76&lt;&gt;"",FT!B76*100,"")</f>
        <v>37.2331</v>
      </c>
      <c r="H76" s="61">
        <f t="shared" si="9"/>
        <v>1</v>
      </c>
      <c r="I76" t="str">
        <f>IF(FT!B76&lt;&gt;"",FT!E76,"")</f>
        <v>2 [30.061743]</v>
      </c>
      <c r="J76">
        <f>IF(FT!B76&lt;&gt;"",FT!C76,"")</f>
        <v>30.061699999999998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97528</v>
      </c>
      <c r="D77" s="61">
        <f>FH!B77*1</f>
        <v>97528</v>
      </c>
      <c r="E77">
        <f t="shared" si="11"/>
        <v>75</v>
      </c>
      <c r="F77" s="61">
        <f>IF(FT!A77&lt;&gt;"",FT!A77*10,"")</f>
        <v>2.6595800000000001</v>
      </c>
      <c r="G77" s="61">
        <f>IF(FT!B77&lt;&gt;"",FT!B77*100,"")</f>
        <v>37.0899</v>
      </c>
      <c r="H77" s="61">
        <f t="shared" si="9"/>
        <v>1</v>
      </c>
      <c r="I77" t="str">
        <f>IF(FT!B77&lt;&gt;"",FT!E77,"")</f>
        <v>2 [30.468620]</v>
      </c>
      <c r="J77">
        <f>IF(FT!B77&lt;&gt;"",FT!C77,"")</f>
        <v>30.468599999999999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2.64825</v>
      </c>
      <c r="G78" s="61">
        <f>IF(FT!B78&lt;&gt;"",FT!B78*100,"")</f>
        <v>36.976100000000002</v>
      </c>
      <c r="H78" s="61">
        <f t="shared" si="9"/>
        <v>1</v>
      </c>
      <c r="I78" t="str">
        <f>IF(FT!B78&lt;&gt;"",FT!E78,"")</f>
        <v>2 [30.872473]</v>
      </c>
      <c r="J78">
        <f>IF(FT!B78&lt;&gt;"",FT!C78,"")</f>
        <v>30.872499999999999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2.6380699999999999</v>
      </c>
      <c r="G79" s="61">
        <f>IF(FT!B79&lt;&gt;"",FT!B79*100,"")</f>
        <v>36.815399999999997</v>
      </c>
      <c r="H79" s="61">
        <f t="shared" si="9"/>
        <v>1</v>
      </c>
      <c r="I79" t="str">
        <f>IF(FT!B79&lt;&gt;"",FT!E79,"")</f>
        <v>2 [31.280678]</v>
      </c>
      <c r="J79">
        <f>IF(FT!B79&lt;&gt;"",FT!C79,"")</f>
        <v>31.2807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85550</v>
      </c>
      <c r="D80" s="61">
        <f>FH!B80*1</f>
        <v>85550</v>
      </c>
      <c r="E80">
        <f t="shared" si="11"/>
        <v>78</v>
      </c>
      <c r="F80" s="61">
        <f>IF(FT!A80&lt;&gt;"",FT!A80*10,"")</f>
        <v>2.6340599999999998</v>
      </c>
      <c r="G80" s="61">
        <f>IF(FT!B80&lt;&gt;"",FT!B80*100,"")</f>
        <v>36.596800000000002</v>
      </c>
      <c r="H80" s="61">
        <f t="shared" si="9"/>
        <v>1</v>
      </c>
      <c r="I80" t="str">
        <f>IF(FT!B80&lt;&gt;"",FT!E80,"")</f>
        <v>2 [31.688281]</v>
      </c>
      <c r="J80">
        <f>IF(FT!B80&lt;&gt;"",FT!C80,"")</f>
        <v>31.688300000000002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2.63266</v>
      </c>
      <c r="G81" s="61">
        <f>IF(FT!B81&lt;&gt;"",FT!B81*100,"")</f>
        <v>36.337299999999999</v>
      </c>
      <c r="H81" s="61">
        <f t="shared" si="9"/>
        <v>1</v>
      </c>
      <c r="I81" t="str">
        <f>IF(FT!B81&lt;&gt;"",FT!E81,"")</f>
        <v>2 [32.097248]</v>
      </c>
      <c r="J81">
        <f>IF(FT!B81&lt;&gt;"",FT!C81,"")</f>
        <v>32.097200000000001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87312</v>
      </c>
      <c r="D82" s="61">
        <f>FH!B82*1</f>
        <v>87312</v>
      </c>
      <c r="E82">
        <f t="shared" si="11"/>
        <v>80</v>
      </c>
      <c r="F82" s="61">
        <f>IF(FT!A82&lt;&gt;"",FT!A82*10,"")</f>
        <v>2.6319500000000002</v>
      </c>
      <c r="G82" s="61">
        <f>IF(FT!B82&lt;&gt;"",FT!B82*100,"")</f>
        <v>36.0625</v>
      </c>
      <c r="H82" s="61">
        <f t="shared" si="9"/>
        <v>1</v>
      </c>
      <c r="I82" t="str">
        <f>IF(FT!B82&lt;&gt;"",FT!E82,"")</f>
        <v>2 [32.501479]</v>
      </c>
      <c r="J82">
        <f>IF(FT!B82&lt;&gt;"",FT!C82,"")</f>
        <v>32.5015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2.6365600000000002</v>
      </c>
      <c r="G83" s="61">
        <f>IF(FT!B83&lt;&gt;"",FT!B83*100,"")</f>
        <v>35.616300000000003</v>
      </c>
      <c r="H83" s="61">
        <f t="shared" si="9"/>
        <v>1</v>
      </c>
      <c r="I83" t="str">
        <f>IF(FT!B83&lt;&gt;"",FT!E83,"")</f>
        <v>2 [32.905092]</v>
      </c>
      <c r="J83">
        <f>IF(FT!B83&lt;&gt;"",FT!C83,"")</f>
        <v>32.905099999999997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2.64635</v>
      </c>
      <c r="G84" s="61">
        <f>IF(FT!B84&lt;&gt;"",FT!B84*100,"")</f>
        <v>35.051400000000001</v>
      </c>
      <c r="H84" s="61">
        <f t="shared" si="9"/>
        <v>1</v>
      </c>
      <c r="I84" t="str">
        <f>IF(FT!B84&lt;&gt;"",FT!E84,"")</f>
        <v>2 [33.308973]</v>
      </c>
      <c r="J84">
        <f>IF(FT!B84&lt;&gt;"",FT!C84,"")</f>
        <v>33.308999999999997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87002</v>
      </c>
      <c r="D85" s="61">
        <f>FH!B85*1</f>
        <v>87002</v>
      </c>
      <c r="E85">
        <f t="shared" si="11"/>
        <v>83</v>
      </c>
      <c r="F85" s="61">
        <f>IF(FT!A85&lt;&gt;"",FT!A85*10,"")</f>
        <v>2.6590000000000003</v>
      </c>
      <c r="G85" s="61">
        <f>IF(FT!B85&lt;&gt;"",FT!B85*100,"")</f>
        <v>34.36</v>
      </c>
      <c r="H85" s="61">
        <f t="shared" si="9"/>
        <v>1</v>
      </c>
      <c r="I85" t="str">
        <f>IF(FT!B85&lt;&gt;"",FT!E85,"")</f>
        <v>2 [33.715145]</v>
      </c>
      <c r="J85">
        <f>IF(FT!B85&lt;&gt;"",FT!C85,"")</f>
        <v>33.7151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2.6730799999999997</v>
      </c>
      <c r="G86" s="61">
        <f>IF(FT!B86&lt;&gt;"",FT!B86*100,"")</f>
        <v>33.701100000000004</v>
      </c>
      <c r="H86" s="61">
        <f t="shared" si="9"/>
        <v>1</v>
      </c>
      <c r="I86" t="str">
        <f>IF(FT!B86&lt;&gt;"",FT!E86,"")</f>
        <v>2 [34.121739]</v>
      </c>
      <c r="J86">
        <f>IF(FT!B86&lt;&gt;"",FT!C86,"")</f>
        <v>34.121699999999997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2.6886199999999998</v>
      </c>
      <c r="G87" s="61">
        <f>IF(FT!B87&lt;&gt;"",FT!B87*100,"")</f>
        <v>33.055900000000001</v>
      </c>
      <c r="H87" s="61">
        <f t="shared" si="9"/>
        <v>1</v>
      </c>
      <c r="I87" t="str">
        <f>IF(FT!B87&lt;&gt;"",FT!E87,"")</f>
        <v>2 [34.531693]</v>
      </c>
      <c r="J87">
        <f>IF(FT!B87&lt;&gt;"",FT!C87,"")</f>
        <v>34.531700000000001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93061</v>
      </c>
      <c r="D88" s="61">
        <f>FH!B88*1</f>
        <v>93061</v>
      </c>
      <c r="E88">
        <f t="shared" si="11"/>
        <v>86</v>
      </c>
      <c r="F88" s="61">
        <f>IF(FT!A88&lt;&gt;"",FT!A88*10,"")</f>
        <v>2.7058200000000001</v>
      </c>
      <c r="G88" s="61">
        <f>IF(FT!B88&lt;&gt;"",FT!B88*100,"")</f>
        <v>32.386099999999999</v>
      </c>
      <c r="H88" s="61">
        <f t="shared" si="9"/>
        <v>1</v>
      </c>
      <c r="I88" t="str">
        <f>IF(FT!B88&lt;&gt;"",FT!E88,"")</f>
        <v>2 [34.935073]</v>
      </c>
      <c r="J88">
        <f>IF(FT!B88&lt;&gt;"",FT!C88,"")</f>
        <v>34.935099999999998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2.7265099999999998</v>
      </c>
      <c r="G89" s="61">
        <f>IF(FT!B89&lt;&gt;"",FT!B89*100,"")</f>
        <v>31.669399999999996</v>
      </c>
      <c r="H89" s="61">
        <f t="shared" si="9"/>
        <v>1</v>
      </c>
      <c r="I89" t="str">
        <f>IF(FT!B89&lt;&gt;"",FT!E89,"")</f>
        <v>2 [35.345530]</v>
      </c>
      <c r="J89">
        <f>IF(FT!B89&lt;&gt;"",FT!C89,"")</f>
        <v>35.345500000000001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89649</v>
      </c>
      <c r="D90" s="61">
        <f>FH!B90*1</f>
        <v>89649</v>
      </c>
      <c r="E90">
        <f t="shared" si="11"/>
        <v>88</v>
      </c>
      <c r="F90" s="61">
        <f>IF(FT!A90&lt;&gt;"",FT!A90*10,"")</f>
        <v>2.74411</v>
      </c>
      <c r="G90" s="61">
        <f>IF(FT!B90&lt;&gt;"",FT!B90*100,"")</f>
        <v>30.992999999999999</v>
      </c>
      <c r="H90" s="61">
        <f t="shared" si="9"/>
        <v>1</v>
      </c>
      <c r="I90" t="str">
        <f>IF(FT!B90&lt;&gt;"",FT!E90,"")</f>
        <v>2 [35.749504]</v>
      </c>
      <c r="J90">
        <f>IF(FT!B90&lt;&gt;"",FT!C90,"")</f>
        <v>35.749499999999998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2.7600699999999998</v>
      </c>
      <c r="G91" s="61">
        <f>IF(FT!B91&lt;&gt;"",FT!B91*100,"")</f>
        <v>30.362400000000001</v>
      </c>
      <c r="H91" s="61">
        <f t="shared" si="9"/>
        <v>1</v>
      </c>
      <c r="I91" t="str">
        <f>IF(FT!B91&lt;&gt;"",FT!E91,"")</f>
        <v>2 [36.155401]</v>
      </c>
      <c r="J91">
        <f>IF(FT!B91&lt;&gt;"",FT!C91,"")</f>
        <v>36.1554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2.7738800000000001</v>
      </c>
      <c r="G92" s="61">
        <f>IF(FT!B92&lt;&gt;"",FT!B92*100,"")</f>
        <v>29.820999999999998</v>
      </c>
      <c r="H92" s="61">
        <f t="shared" si="9"/>
        <v>1</v>
      </c>
      <c r="I92" t="str">
        <f>IF(FT!B92&lt;&gt;"",FT!E92,"")</f>
        <v>2 [36.561476]</v>
      </c>
      <c r="J92">
        <f>IF(FT!B92&lt;&gt;"",FT!C92,"")</f>
        <v>36.561500000000002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87896</v>
      </c>
      <c r="D93" s="61">
        <f>FH!B93*1</f>
        <v>87896</v>
      </c>
      <c r="E93">
        <f t="shared" si="11"/>
        <v>91</v>
      </c>
      <c r="F93" s="61">
        <f>IF(FT!A93&lt;&gt;"",FT!A93*10,"")</f>
        <v>2.7880899999999995</v>
      </c>
      <c r="G93" s="61">
        <f>IF(FT!B93&lt;&gt;"",FT!B93*100,"")</f>
        <v>29.319699999999997</v>
      </c>
      <c r="H93" s="61">
        <f t="shared" si="9"/>
        <v>1</v>
      </c>
      <c r="I93" t="str">
        <f>IF(FT!B93&lt;&gt;"",FT!E93,"")</f>
        <v>2 [36.968362]</v>
      </c>
      <c r="J93">
        <f>IF(FT!B93&lt;&gt;"",FT!C93,"")</f>
        <v>36.968400000000003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2.8044500000000001</v>
      </c>
      <c r="G94" s="61">
        <f>IF(FT!B94&lt;&gt;"",FT!B94*100,"")</f>
        <v>28.841799999999999</v>
      </c>
      <c r="H94" s="61">
        <f t="shared" si="9"/>
        <v>1</v>
      </c>
      <c r="I94" t="str">
        <f>IF(FT!B94&lt;&gt;"",FT!E94,"")</f>
        <v>2 [37.376124]</v>
      </c>
      <c r="J94">
        <f>IF(FT!B94&lt;&gt;"",FT!C94,"")</f>
        <v>37.376100000000001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87882</v>
      </c>
      <c r="D95" s="61">
        <f>FH!B95*1</f>
        <v>87882</v>
      </c>
      <c r="E95">
        <f t="shared" si="11"/>
        <v>93</v>
      </c>
      <c r="F95" s="61">
        <f>IF(FT!A95&lt;&gt;"",FT!A95*10,"")</f>
        <v>2.8203</v>
      </c>
      <c r="G95" s="61">
        <f>IF(FT!B95&lt;&gt;"",FT!B95*100,"")</f>
        <v>28.372500000000002</v>
      </c>
      <c r="H95" s="61">
        <f t="shared" si="9"/>
        <v>1</v>
      </c>
      <c r="I95" t="str">
        <f>IF(FT!B95&lt;&gt;"",FT!E95,"")</f>
        <v>2 [37.783027]</v>
      </c>
      <c r="J95">
        <f>IF(FT!B95&lt;&gt;"",FT!C95,"")</f>
        <v>37.783000000000001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2.83304</v>
      </c>
      <c r="G96" s="61">
        <f>IF(FT!B96&lt;&gt;"",FT!B96*100,"")</f>
        <v>27.966800000000003</v>
      </c>
      <c r="H96" s="61">
        <f t="shared" si="9"/>
        <v>1</v>
      </c>
      <c r="I96" t="str">
        <f>IF(FT!B96&lt;&gt;"",FT!E96,"")</f>
        <v>2 [38.184164]</v>
      </c>
      <c r="J96">
        <f>IF(FT!B96&lt;&gt;"",FT!C96,"")</f>
        <v>38.184199999999997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2.8428800000000001</v>
      </c>
      <c r="G97" s="61">
        <f>IF(FT!B97&lt;&gt;"",FT!B97*100,"")</f>
        <v>27.648099999999999</v>
      </c>
      <c r="H97" s="61">
        <f t="shared" si="9"/>
        <v>1</v>
      </c>
      <c r="I97" t="str">
        <f>IF(FT!B97&lt;&gt;"",FT!E97,"")</f>
        <v>2 [38.592101]</v>
      </c>
      <c r="J97">
        <f>IF(FT!B97&lt;&gt;"",FT!C97,"")</f>
        <v>38.592100000000002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84832</v>
      </c>
      <c r="D98" s="61">
        <f>FH!B98*1</f>
        <v>84832</v>
      </c>
      <c r="E98">
        <f t="shared" si="11"/>
        <v>96</v>
      </c>
      <c r="F98" s="61">
        <f>IF(FT!A98&lt;&gt;"",FT!A98*10,"")</f>
        <v>2.8492000000000002</v>
      </c>
      <c r="G98" s="61">
        <f>IF(FT!B98&lt;&gt;"",FT!B98*100,"")</f>
        <v>27.336500000000001</v>
      </c>
      <c r="H98" s="61">
        <f t="shared" si="9"/>
        <v>1</v>
      </c>
      <c r="I98" t="str">
        <f>IF(FT!B98&lt;&gt;"",FT!E98,"")</f>
        <v>2 [39.002215]</v>
      </c>
      <c r="J98">
        <f>IF(FT!B98&lt;&gt;"",FT!C98,"")</f>
        <v>39.002200000000002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2.8519600000000001</v>
      </c>
      <c r="G99" s="61">
        <f>IF(FT!B99&lt;&gt;"",FT!B99*100,"")</f>
        <v>27.084099999999999</v>
      </c>
      <c r="H99" s="61">
        <f t="shared" si="9"/>
        <v>1</v>
      </c>
      <c r="I99" t="str">
        <f>IF(FT!B99&lt;&gt;"",FT!E99,"")</f>
        <v>2 [39.407703]</v>
      </c>
      <c r="J99">
        <f>IF(FT!B99&lt;&gt;"",FT!C99,"")</f>
        <v>39.407699999999998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83950</v>
      </c>
      <c r="D100" s="61">
        <f>FH!B100*1</f>
        <v>83950</v>
      </c>
      <c r="E100">
        <f t="shared" si="11"/>
        <v>98</v>
      </c>
      <c r="F100" s="61">
        <f>IF(FT!A100&lt;&gt;"",FT!A100*10,"")</f>
        <v>2.8538899999999998</v>
      </c>
      <c r="G100" s="61">
        <f>IF(FT!B100&lt;&gt;"",FT!B100*100,"")</f>
        <v>26.816600000000001</v>
      </c>
      <c r="H100" s="61">
        <f t="shared" si="9"/>
        <v>1</v>
      </c>
      <c r="I100" t="str">
        <f>IF(FT!B100&lt;&gt;"",FT!E100,"")</f>
        <v>2 [39.813775]</v>
      </c>
      <c r="J100">
        <f>IF(FT!B100&lt;&gt;"",FT!C100,"")</f>
        <v>39.813800000000001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2.8574100000000002</v>
      </c>
      <c r="G101" s="61">
        <f>IF(FT!B101&lt;&gt;"",FT!B101*100,"")</f>
        <v>26.500600000000002</v>
      </c>
      <c r="H101" s="61">
        <f t="shared" si="9"/>
        <v>1</v>
      </c>
      <c r="I101" t="str">
        <f>IF(FT!B101&lt;&gt;"",FT!E101,"")</f>
        <v>2 [40.219396]</v>
      </c>
      <c r="J101">
        <f>IF(FT!B101&lt;&gt;"",FT!C101,"")</f>
        <v>40.2194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2.8607</v>
      </c>
      <c r="G102" s="61">
        <f>IF(FT!B102&lt;&gt;"",FT!B102*100,"")</f>
        <v>26.186799999999998</v>
      </c>
      <c r="H102" s="61">
        <f t="shared" si="9"/>
        <v>1</v>
      </c>
      <c r="I102" t="str">
        <f>IF(FT!B102&lt;&gt;"",FT!E102,"")</f>
        <v>2 [40.626483]</v>
      </c>
      <c r="J102">
        <f>IF(FT!B102&lt;&gt;"",FT!C102,"")</f>
        <v>40.6265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88832</v>
      </c>
      <c r="D103" s="61">
        <f>FH!B103*1</f>
        <v>88832</v>
      </c>
      <c r="E103">
        <f t="shared" si="11"/>
        <v>101</v>
      </c>
      <c r="F103" s="61">
        <f>IF(FT!A103&lt;&gt;"",FT!A103*10,"")</f>
        <v>2.86435</v>
      </c>
      <c r="G103" s="61">
        <f>IF(FT!B103&lt;&gt;"",FT!B103*100,"")</f>
        <v>25.857299999999999</v>
      </c>
      <c r="H103" s="61">
        <f t="shared" si="9"/>
        <v>1</v>
      </c>
      <c r="I103" t="str">
        <f>IF(FT!B103&lt;&gt;"",FT!E103,"")</f>
        <v>2 [41.034795]</v>
      </c>
      <c r="J103">
        <f>IF(FT!B103&lt;&gt;"",FT!C103,"")</f>
        <v>41.034799999999997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2.8657700000000004</v>
      </c>
      <c r="G104" s="61">
        <f>IF(FT!B104&lt;&gt;"",FT!B104*100,"")</f>
        <v>25.5579</v>
      </c>
      <c r="H104" s="61">
        <f t="shared" si="9"/>
        <v>1</v>
      </c>
      <c r="I104" t="str">
        <f>IF(FT!B104&lt;&gt;"",FT!E104,"")</f>
        <v>2 [41.437549]</v>
      </c>
      <c r="J104">
        <f>IF(FT!B104&lt;&gt;"",FT!C104,"")</f>
        <v>41.4375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2.8671000000000002</v>
      </c>
      <c r="G105" s="61">
        <f>IF(FT!B105&lt;&gt;"",FT!B105*100,"")</f>
        <v>25.220500000000001</v>
      </c>
      <c r="H105" s="61">
        <f t="shared" si="9"/>
        <v>1</v>
      </c>
      <c r="I105" t="str">
        <f>IF(FT!B105&lt;&gt;"",FT!E105,"")</f>
        <v>2 [41.844323]</v>
      </c>
      <c r="J105">
        <f>IF(FT!B105&lt;&gt;"",FT!C105,"")</f>
        <v>41.844299999999997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81571</v>
      </c>
      <c r="D106" s="61">
        <f>FH!B106*1</f>
        <v>81571</v>
      </c>
      <c r="E106">
        <f t="shared" si="11"/>
        <v>104</v>
      </c>
      <c r="F106" s="61">
        <f>IF(FT!A106&lt;&gt;"",FT!A106*10,"")</f>
        <v>2.8667100000000003</v>
      </c>
      <c r="G106" s="61">
        <f>IF(FT!B106&lt;&gt;"",FT!B106*100,"")</f>
        <v>24.9344</v>
      </c>
      <c r="H106" s="61">
        <f t="shared" si="9"/>
        <v>1</v>
      </c>
      <c r="I106" t="str">
        <f>IF(FT!B106&lt;&gt;"",FT!E106,"")</f>
        <v>2 [42.247224]</v>
      </c>
      <c r="J106">
        <f>IF(FT!B106&lt;&gt;"",FT!C106,"")</f>
        <v>42.247199999999999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2.8660899999999998</v>
      </c>
      <c r="G107" s="61">
        <f>IF(FT!B107&lt;&gt;"",FT!B107*100,"")</f>
        <v>24.669699999999999</v>
      </c>
      <c r="H107" s="61">
        <f t="shared" si="9"/>
        <v>1</v>
      </c>
      <c r="I107" t="str">
        <f>IF(FT!B107&lt;&gt;"",FT!E107,"")</f>
        <v>2 [42.653118]</v>
      </c>
      <c r="J107">
        <f>IF(FT!B107&lt;&gt;"",FT!C107,"")</f>
        <v>42.653100000000002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77992</v>
      </c>
      <c r="D108" s="61">
        <f>FH!B108*1</f>
        <v>77992</v>
      </c>
      <c r="E108">
        <f t="shared" si="11"/>
        <v>106</v>
      </c>
      <c r="F108" s="61">
        <f>IF(FT!A108&lt;&gt;"",FT!A108*10,"")</f>
        <v>2.8645500000000004</v>
      </c>
      <c r="G108" s="61">
        <f>IF(FT!B108&lt;&gt;"",FT!B108*100,"")</f>
        <v>24.421599999999998</v>
      </c>
      <c r="H108" s="61">
        <f t="shared" si="9"/>
        <v>1</v>
      </c>
      <c r="I108" t="str">
        <f>IF(FT!B108&lt;&gt;"",FT!E108,"")</f>
        <v>2 [43.062056]</v>
      </c>
      <c r="J108">
        <f>IF(FT!B108&lt;&gt;"",FT!C108,"")</f>
        <v>43.062100000000001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2.8625099999999999</v>
      </c>
      <c r="G109" s="61">
        <f>IF(FT!B109&lt;&gt;"",FT!B109*100,"")</f>
        <v>24.15</v>
      </c>
      <c r="H109" s="61">
        <f t="shared" si="9"/>
        <v>1</v>
      </c>
      <c r="I109" t="str">
        <f>IF(FT!B109&lt;&gt;"",FT!E109,"")</f>
        <v>2 [43.466821]</v>
      </c>
      <c r="J109">
        <f>IF(FT!B109&lt;&gt;"",FT!C109,"")</f>
        <v>43.466799999999999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2.8595300000000003</v>
      </c>
      <c r="G110" s="61">
        <f>IF(FT!B110&lt;&gt;"",FT!B110*100,"")</f>
        <v>23.9604</v>
      </c>
      <c r="H110" s="61">
        <f t="shared" si="9"/>
        <v>1</v>
      </c>
      <c r="I110" t="str">
        <f>IF(FT!B110&lt;&gt;"",FT!E110,"")</f>
        <v>2 [43.874881]</v>
      </c>
      <c r="J110">
        <f>IF(FT!B110&lt;&gt;"",FT!C110,"")</f>
        <v>43.874899999999997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77294</v>
      </c>
      <c r="D111" s="61">
        <f>FH!B111*1</f>
        <v>77294</v>
      </c>
      <c r="E111">
        <f t="shared" si="11"/>
        <v>109</v>
      </c>
      <c r="F111" s="61">
        <f>IF(FT!A111&lt;&gt;"",FT!A111*10,"")</f>
        <v>2.85765</v>
      </c>
      <c r="G111" s="61">
        <f>IF(FT!B111&lt;&gt;"",FT!B111*100,"")</f>
        <v>23.790099999999999</v>
      </c>
      <c r="H111" s="61">
        <f t="shared" si="9"/>
        <v>1</v>
      </c>
      <c r="I111" t="str">
        <f>IF(FT!B111&lt;&gt;"",FT!E111,"")</f>
        <v>2 [44.277781]</v>
      </c>
      <c r="J111">
        <f>IF(FT!B111&lt;&gt;"",FT!C111,"")</f>
        <v>44.277799999999999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2.8564800000000004</v>
      </c>
      <c r="G112" s="61">
        <f>IF(FT!B112&lt;&gt;"",FT!B112*100,"")</f>
        <v>23.5991</v>
      </c>
      <c r="H112" s="61">
        <f t="shared" si="9"/>
        <v>1</v>
      </c>
      <c r="I112" t="str">
        <f>IF(FT!B112&lt;&gt;"",FT!E112,"")</f>
        <v>2 [44.688952]</v>
      </c>
      <c r="J112">
        <f>IF(FT!B112&lt;&gt;"",FT!C112,"")</f>
        <v>44.689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72025</v>
      </c>
      <c r="D113" s="61">
        <f>FH!B113*1</f>
        <v>72025</v>
      </c>
      <c r="E113">
        <f t="shared" si="11"/>
        <v>111</v>
      </c>
      <c r="F113" s="61">
        <f>IF(FT!A113&lt;&gt;"",FT!A113*10,"")</f>
        <v>2.8554600000000003</v>
      </c>
      <c r="G113" s="61">
        <f>IF(FT!B113&lt;&gt;"",FT!B113*100,"")</f>
        <v>23.443899999999999</v>
      </c>
      <c r="H113" s="61">
        <f t="shared" si="9"/>
        <v>1</v>
      </c>
      <c r="I113" t="str">
        <f>IF(FT!B113&lt;&gt;"",FT!E113,"")</f>
        <v>2 [45.090598]</v>
      </c>
      <c r="J113">
        <f>IF(FT!B113&lt;&gt;"",FT!C113,"")</f>
        <v>45.090600000000002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2.8528099999999998</v>
      </c>
      <c r="G114" s="61">
        <f>IF(FT!B114&lt;&gt;"",FT!B114*100,"")</f>
        <v>23.339199999999998</v>
      </c>
      <c r="H114" s="61">
        <f t="shared" si="9"/>
        <v>1</v>
      </c>
      <c r="I114" t="str">
        <f>IF(FT!B114&lt;&gt;"",FT!E114,"")</f>
        <v>2 [45.500510]</v>
      </c>
      <c r="J114">
        <f>IF(FT!B114&lt;&gt;"",FT!C114,"")</f>
        <v>45.500500000000002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2.8550800000000001</v>
      </c>
      <c r="G115" s="61">
        <f>IF(FT!B115&lt;&gt;"",FT!B115*100,"")</f>
        <v>23.311699999999998</v>
      </c>
      <c r="H115" s="61">
        <f t="shared" si="9"/>
        <v>1</v>
      </c>
      <c r="I115" t="str">
        <f>IF(FT!B115&lt;&gt;"",FT!E115,"")</f>
        <v>2 [45.908304]</v>
      </c>
      <c r="J115">
        <f>IF(FT!B115&lt;&gt;"",FT!C115,"")</f>
        <v>45.908299999999997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68359</v>
      </c>
      <c r="D116" s="61">
        <f>FH!B116*1</f>
        <v>68359</v>
      </c>
      <c r="E116">
        <f t="shared" si="11"/>
        <v>114</v>
      </c>
      <c r="F116" s="61">
        <f>IF(FT!A116&lt;&gt;"",FT!A116*10,"")</f>
        <v>2.8589199999999999</v>
      </c>
      <c r="G116" s="61">
        <f>IF(FT!B116&lt;&gt;"",FT!B116*100,"")</f>
        <v>23.263000000000002</v>
      </c>
      <c r="H116" s="61">
        <f t="shared" si="9"/>
        <v>1</v>
      </c>
      <c r="I116" t="str">
        <f>IF(FT!B116&lt;&gt;"",FT!E116,"")</f>
        <v>2 [46.308282]</v>
      </c>
      <c r="J116">
        <f>IF(FT!B116&lt;&gt;"",FT!C116,"")</f>
        <v>46.308300000000003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2.8633999999999999</v>
      </c>
      <c r="G117" s="61">
        <f>IF(FT!B117&lt;&gt;"",FT!B117*100,"")</f>
        <v>23.174800000000001</v>
      </c>
      <c r="H117" s="61">
        <f t="shared" si="9"/>
        <v>1</v>
      </c>
      <c r="I117" t="str">
        <f>IF(FT!B117&lt;&gt;"",FT!E117,"")</f>
        <v>2 [46.716228]</v>
      </c>
      <c r="J117">
        <f>IF(FT!B117&lt;&gt;"",FT!C117,"")</f>
        <v>46.716200000000001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58657</v>
      </c>
      <c r="D118" s="61">
        <f>FH!B118*1</f>
        <v>58657</v>
      </c>
      <c r="E118">
        <f t="shared" si="11"/>
        <v>116</v>
      </c>
      <c r="F118" s="61">
        <f>IF(FT!A118&lt;&gt;"",FT!A118*10,"")</f>
        <v>2.86883</v>
      </c>
      <c r="G118" s="61">
        <f>IF(FT!B118&lt;&gt;"",FT!B118*100,"")</f>
        <v>23.033899999999999</v>
      </c>
      <c r="H118" s="61">
        <f t="shared" si="9"/>
        <v>1</v>
      </c>
      <c r="I118" t="str">
        <f>IF(FT!B118&lt;&gt;"",FT!E118,"")</f>
        <v>2 [47.128197]</v>
      </c>
      <c r="J118">
        <f>IF(FT!B118&lt;&gt;"",FT!C118,"")</f>
        <v>47.1282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2.8701300000000001</v>
      </c>
      <c r="G119" s="61">
        <f>IF(FT!B119&lt;&gt;"",FT!B119*100,"")</f>
        <v>22.931899999999999</v>
      </c>
      <c r="H119" s="61">
        <f t="shared" si="9"/>
        <v>1</v>
      </c>
      <c r="I119" t="str">
        <f>IF(FT!B119&lt;&gt;"",FT!E119,"")</f>
        <v>2 [47.533124]</v>
      </c>
      <c r="J119">
        <f>IF(FT!B119&lt;&gt;"",FT!C119,"")</f>
        <v>47.533099999999997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2.8681899999999998</v>
      </c>
      <c r="G120" s="61">
        <f>IF(FT!B120&lt;&gt;"",FT!B120*100,"")</f>
        <v>22.854600000000001</v>
      </c>
      <c r="H120" s="61">
        <f t="shared" si="9"/>
        <v>1</v>
      </c>
      <c r="I120" t="str">
        <f>IF(FT!B120&lt;&gt;"",FT!E120,"")</f>
        <v>2 [47.936900]</v>
      </c>
      <c r="J120">
        <f>IF(FT!B120&lt;&gt;"",FT!C120,"")</f>
        <v>47.936900000000001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60530</v>
      </c>
      <c r="D121" s="61">
        <f>FH!B121*1</f>
        <v>60530</v>
      </c>
      <c r="E121">
        <f t="shared" si="11"/>
        <v>119</v>
      </c>
      <c r="F121" s="61">
        <f>IF(FT!A121&lt;&gt;"",FT!A121*10,"")</f>
        <v>2.8693</v>
      </c>
      <c r="G121" s="61">
        <f>IF(FT!B121&lt;&gt;"",FT!B121*100,"")</f>
        <v>22.702100000000002</v>
      </c>
      <c r="H121" s="61">
        <f t="shared" si="9"/>
        <v>1</v>
      </c>
      <c r="I121" t="str">
        <f>IF(FT!B121&lt;&gt;"",FT!E121,"")</f>
        <v>2 [48.341041]</v>
      </c>
      <c r="J121">
        <f>IF(FT!B121&lt;&gt;"",FT!C121,"")</f>
        <v>48.341000000000001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2.8702699999999997</v>
      </c>
      <c r="G122" s="61">
        <f>IF(FT!B122&lt;&gt;"",FT!B122*100,"")</f>
        <v>22.552299999999999</v>
      </c>
      <c r="H122" s="61">
        <f t="shared" si="9"/>
        <v>1</v>
      </c>
      <c r="I122" t="str">
        <f>IF(FT!B122&lt;&gt;"",FT!E122,"")</f>
        <v>2 [48.746782]</v>
      </c>
      <c r="J122">
        <f>IF(FT!B122&lt;&gt;"",FT!C122,"")</f>
        <v>48.7468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2.8708</v>
      </c>
      <c r="G123" s="61">
        <f>IF(FT!B123&lt;&gt;"",FT!B123*100,"")</f>
        <v>22.475999999999999</v>
      </c>
      <c r="H123" s="61">
        <f t="shared" si="9"/>
        <v>1</v>
      </c>
      <c r="I123" t="str">
        <f>IF(FT!B123&lt;&gt;"",FT!E123,"")</f>
        <v>2 [49.155718]</v>
      </c>
      <c r="J123">
        <f>IF(FT!B123&lt;&gt;"",FT!C123,"")</f>
        <v>49.155700000000003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58400</v>
      </c>
      <c r="D124" s="61">
        <f>FH!B124*1</f>
        <v>58400</v>
      </c>
      <c r="E124">
        <f t="shared" si="11"/>
        <v>122</v>
      </c>
      <c r="F124" s="61">
        <f>IF(FT!A124&lt;&gt;"",FT!A124*10,"")</f>
        <v>2.87554</v>
      </c>
      <c r="G124" s="61">
        <f>IF(FT!B124&lt;&gt;"",FT!B124*100,"")</f>
        <v>22.366399999999999</v>
      </c>
      <c r="H124" s="61">
        <f t="shared" si="9"/>
        <v>1</v>
      </c>
      <c r="I124" t="str">
        <f>IF(FT!B124&lt;&gt;"",FT!E124,"")</f>
        <v>2 [49.564610]</v>
      </c>
      <c r="J124">
        <f>IF(FT!B124&lt;&gt;"",FT!C124,"")</f>
        <v>49.564599999999999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2.87941</v>
      </c>
      <c r="G125" s="61">
        <f>IF(FT!B125&lt;&gt;"",FT!B125*100,"")</f>
        <v>22.313500000000001</v>
      </c>
      <c r="H125" s="61">
        <f t="shared" si="9"/>
        <v>1</v>
      </c>
      <c r="I125" t="str">
        <f>IF(FT!B125&lt;&gt;"",FT!E125,"")</f>
        <v>2 [49.970487]</v>
      </c>
      <c r="J125">
        <f>IF(FT!B125&lt;&gt;"",FT!C125,"")</f>
        <v>49.970500000000001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54180</v>
      </c>
      <c r="D126" s="61">
        <f>FH!B126*1</f>
        <v>54180</v>
      </c>
      <c r="E126">
        <f t="shared" si="11"/>
        <v>124</v>
      </c>
      <c r="F126" s="61">
        <f>IF(FT!A126&lt;&gt;"",FT!A126*10,"")</f>
        <v>2.8824699999999996</v>
      </c>
      <c r="G126" s="61">
        <f>IF(FT!B126&lt;&gt;"",FT!B126*100,"")</f>
        <v>22.231200000000001</v>
      </c>
      <c r="H126" s="61">
        <f t="shared" si="9"/>
        <v>1</v>
      </c>
      <c r="I126" t="str">
        <f>IF(FT!B126&lt;&gt;"",FT!E126,"")</f>
        <v>2 [50.376369]</v>
      </c>
      <c r="J126">
        <f>IF(FT!B126&lt;&gt;"",FT!C126,"")</f>
        <v>50.376399999999997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2.8854000000000002</v>
      </c>
      <c r="G127" s="61">
        <f>IF(FT!B127&lt;&gt;"",FT!B127*100,"")</f>
        <v>22.159699999999997</v>
      </c>
      <c r="H127" s="61">
        <f t="shared" si="9"/>
        <v>1</v>
      </c>
      <c r="I127" t="str">
        <f>IF(FT!B127&lt;&gt;"",FT!E127,"")</f>
        <v>2 [50.781630]</v>
      </c>
      <c r="J127">
        <f>IF(FT!B127&lt;&gt;"",FT!C127,"")</f>
        <v>50.781599999999997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2.8879300000000003</v>
      </c>
      <c r="G128" s="61">
        <f>IF(FT!B128&lt;&gt;"",FT!B128*100,"")</f>
        <v>22.088000000000001</v>
      </c>
      <c r="H128" s="61">
        <f t="shared" si="9"/>
        <v>1</v>
      </c>
      <c r="I128" t="str">
        <f>IF(FT!B128&lt;&gt;"",FT!E128,"")</f>
        <v>2 [51.188191]</v>
      </c>
      <c r="J128">
        <f>IF(FT!B128&lt;&gt;"",FT!C128,"")</f>
        <v>51.188200000000002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50610</v>
      </c>
      <c r="D129" s="61">
        <f>FH!B129*1</f>
        <v>50610</v>
      </c>
      <c r="E129">
        <f t="shared" si="11"/>
        <v>127</v>
      </c>
      <c r="F129" s="61">
        <f>IF(FT!A129&lt;&gt;"",FT!A129*10,"")</f>
        <v>2.8916399999999998</v>
      </c>
      <c r="G129" s="61">
        <f>IF(FT!B129&lt;&gt;"",FT!B129*100,"")</f>
        <v>22.028300000000002</v>
      </c>
      <c r="H129" s="61">
        <f t="shared" si="9"/>
        <v>1</v>
      </c>
      <c r="I129" t="str">
        <f>IF(FT!B129&lt;&gt;"",FT!E129,"")</f>
        <v>2 [51.591188]</v>
      </c>
      <c r="J129">
        <f>IF(FT!B129&lt;&gt;"",FT!C129,"")</f>
        <v>51.591200000000001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2.8949699999999998</v>
      </c>
      <c r="G130" s="61">
        <f>IF(FT!B130&lt;&gt;"",FT!B130*100,"")</f>
        <v>22.0029</v>
      </c>
      <c r="H130" s="61">
        <f t="shared" si="9"/>
        <v>1</v>
      </c>
      <c r="I130" t="str">
        <f>IF(FT!B130&lt;&gt;"",FT!E130,"")</f>
        <v>2 [51.999188]</v>
      </c>
      <c r="J130">
        <f>IF(FT!B130&lt;&gt;"",FT!C130,"")</f>
        <v>51.999200000000002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44100</v>
      </c>
      <c r="D131" s="61">
        <f>FH!B131*1</f>
        <v>44100</v>
      </c>
      <c r="E131">
        <f t="shared" si="11"/>
        <v>129</v>
      </c>
      <c r="F131" s="61">
        <f>IF(FT!A131&lt;&gt;"",FT!A131*10,"")</f>
        <v>2.8990800000000001</v>
      </c>
      <c r="G131" s="61">
        <f>IF(FT!B131&lt;&gt;"",FT!B131*100,"")</f>
        <v>21.934899999999999</v>
      </c>
      <c r="H131" s="61">
        <f t="shared" ref="H131:H194" si="13">(IF(F131&lt;&gt;"",1,""))</f>
        <v>1</v>
      </c>
      <c r="I131" t="str">
        <f>IF(FT!B131&lt;&gt;"",FT!E131,"")</f>
        <v>2 [52.406958]</v>
      </c>
      <c r="J131">
        <f>IF(FT!B131&lt;&gt;"",FT!C131,"")</f>
        <v>52.406999999999996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2.90367</v>
      </c>
      <c r="G132" s="61">
        <f>IF(FT!B132&lt;&gt;"",FT!B132*100,"")</f>
        <v>21.8339</v>
      </c>
      <c r="H132" s="61">
        <f t="shared" si="13"/>
        <v>1</v>
      </c>
      <c r="I132" t="str">
        <f>IF(FT!B132&lt;&gt;"",FT!E132,"")</f>
        <v>2 [52.810826]</v>
      </c>
      <c r="J132">
        <f>IF(FT!B132&lt;&gt;"",FT!C132,"")</f>
        <v>52.8108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2.9068399999999999</v>
      </c>
      <c r="G133" s="61">
        <f>IF(FT!B133&lt;&gt;"",FT!B133*100,"")</f>
        <v>21.770999999999997</v>
      </c>
      <c r="H133" s="61">
        <f t="shared" si="13"/>
        <v>1</v>
      </c>
      <c r="I133" t="str">
        <f>IF(FT!B133&lt;&gt;"",FT!E133,"")</f>
        <v>2 [53.219761]</v>
      </c>
      <c r="J133">
        <f>IF(FT!B133&lt;&gt;"",FT!C133,"")</f>
        <v>53.219799999999999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47278</v>
      </c>
      <c r="D134" s="61">
        <f>FH!B134*1</f>
        <v>47278</v>
      </c>
      <c r="E134">
        <f t="shared" si="15"/>
        <v>132</v>
      </c>
      <c r="F134" s="61">
        <f>IF(FT!A134&lt;&gt;"",FT!A134*10,"")</f>
        <v>2.9103000000000003</v>
      </c>
      <c r="G134" s="61">
        <f>IF(FT!B134&lt;&gt;"",FT!B134*100,"")</f>
        <v>21.793199999999999</v>
      </c>
      <c r="H134" s="61">
        <f t="shared" si="13"/>
        <v>1</v>
      </c>
      <c r="I134" t="str">
        <f>IF(FT!B134&lt;&gt;"",FT!E134,"")</f>
        <v>2 [53.623779]</v>
      </c>
      <c r="J134">
        <f>IF(FT!B134&lt;&gt;"",FT!C134,"")</f>
        <v>53.623800000000003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2.9140100000000002</v>
      </c>
      <c r="G135" s="61">
        <f>IF(FT!B135&lt;&gt;"",FT!B135*100,"")</f>
        <v>21.838699999999999</v>
      </c>
      <c r="H135" s="61">
        <f t="shared" si="13"/>
        <v>1</v>
      </c>
      <c r="I135" t="str">
        <f>IF(FT!B135&lt;&gt;"",FT!E135,"")</f>
        <v>2 [54.028541]</v>
      </c>
      <c r="J135">
        <f>IF(FT!B135&lt;&gt;"",FT!C135,"")</f>
        <v>54.028500000000001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39055</v>
      </c>
      <c r="D136" s="61">
        <f>FH!B136*1</f>
        <v>39055</v>
      </c>
      <c r="E136">
        <f t="shared" si="15"/>
        <v>134</v>
      </c>
      <c r="F136" s="61">
        <f>IF(FT!A136&lt;&gt;"",FT!A136*10,"")</f>
        <v>2.9178100000000002</v>
      </c>
      <c r="G136" s="61">
        <f>IF(FT!B136&lt;&gt;"",FT!B136*100,"")</f>
        <v>21.878800000000002</v>
      </c>
      <c r="H136" s="61">
        <f t="shared" si="13"/>
        <v>1</v>
      </c>
      <c r="I136" t="str">
        <f>IF(FT!B136&lt;&gt;"",FT!E136,"")</f>
        <v>2 [54.435632]</v>
      </c>
      <c r="J136">
        <f>IF(FT!B136&lt;&gt;"",FT!C136,"")</f>
        <v>54.435600000000001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2.9194300000000002</v>
      </c>
      <c r="G137" s="61">
        <f>IF(FT!B137&lt;&gt;"",FT!B137*100,"")</f>
        <v>21.984500000000001</v>
      </c>
      <c r="H137" s="61">
        <f t="shared" si="13"/>
        <v>1</v>
      </c>
      <c r="I137" t="str">
        <f>IF(FT!B137&lt;&gt;"",FT!E137,"")</f>
        <v>2 [54.844388]</v>
      </c>
      <c r="J137">
        <f>IF(FT!B137&lt;&gt;"",FT!C137,"")</f>
        <v>54.8444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2.9203800000000002</v>
      </c>
      <c r="G138" s="61">
        <f>IF(FT!B138&lt;&gt;"",FT!B138*100,"")</f>
        <v>22.058499999999999</v>
      </c>
      <c r="H138" s="61">
        <f t="shared" si="13"/>
        <v>1</v>
      </c>
      <c r="I138" t="str">
        <f>IF(FT!B138&lt;&gt;"",FT!E138,"")</f>
        <v>2 [55.250284]</v>
      </c>
      <c r="J138">
        <f>IF(FT!B138&lt;&gt;"",FT!C138,"")</f>
        <v>55.250300000000003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31900</v>
      </c>
      <c r="D139" s="61">
        <f>FH!B139*1</f>
        <v>31900</v>
      </c>
      <c r="E139">
        <f t="shared" si="15"/>
        <v>137</v>
      </c>
      <c r="F139" s="61">
        <f>IF(FT!A139&lt;&gt;"",FT!A139*10,"")</f>
        <v>2.9204400000000001</v>
      </c>
      <c r="G139" s="61">
        <f>IF(FT!B139&lt;&gt;"",FT!B139*100,"")</f>
        <v>22.170999999999999</v>
      </c>
      <c r="H139" s="61">
        <f t="shared" si="13"/>
        <v>1</v>
      </c>
      <c r="I139" t="str">
        <f>IF(FT!B139&lt;&gt;"",FT!E139,"")</f>
        <v>2 [55.656304]</v>
      </c>
      <c r="J139">
        <f>IF(FT!B139&lt;&gt;"",FT!C139,"")</f>
        <v>55.656300000000002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2.91479</v>
      </c>
      <c r="G140" s="61">
        <f>IF(FT!B140&lt;&gt;"",FT!B140*100,"")</f>
        <v>22.182700000000001</v>
      </c>
      <c r="H140" s="61">
        <f t="shared" si="13"/>
        <v>1</v>
      </c>
      <c r="I140" t="str">
        <f>IF(FT!B140&lt;&gt;"",FT!E140,"")</f>
        <v>2 [56.059141]</v>
      </c>
      <c r="J140">
        <f>IF(FT!B140&lt;&gt;"",FT!C140,"")</f>
        <v>56.059100000000001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2.9058000000000002</v>
      </c>
      <c r="G141" s="61">
        <f>IF(FT!B141&lt;&gt;"",FT!B141*100,"")</f>
        <v>22.2667</v>
      </c>
      <c r="H141" s="61">
        <f t="shared" si="13"/>
        <v>1</v>
      </c>
      <c r="I141" t="str">
        <f>IF(FT!B141&lt;&gt;"",FT!E141,"")</f>
        <v>2 [56.467049]</v>
      </c>
      <c r="J141">
        <f>IF(FT!B141&lt;&gt;"",FT!C141,"")</f>
        <v>56.466999999999999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25716</v>
      </c>
      <c r="D142" s="61">
        <f>FH!B142*1</f>
        <v>25716</v>
      </c>
      <c r="E142">
        <f t="shared" si="15"/>
        <v>140</v>
      </c>
      <c r="F142" s="61">
        <f>IF(FT!A142&lt;&gt;"",FT!A142*10,"")</f>
        <v>2.8974100000000003</v>
      </c>
      <c r="G142" s="61">
        <f>IF(FT!B142&lt;&gt;"",FT!B142*100,"")</f>
        <v>22.317400000000003</v>
      </c>
      <c r="H142" s="61">
        <f t="shared" si="13"/>
        <v>1</v>
      </c>
      <c r="I142" t="str">
        <f>IF(FT!B142&lt;&gt;"",FT!E142,"")</f>
        <v>2 [56.875950]</v>
      </c>
      <c r="J142">
        <f>IF(FT!B142&lt;&gt;"",FT!C142,"")</f>
        <v>56.875999999999998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2.8838799999999996</v>
      </c>
      <c r="G143" s="61">
        <f>IF(FT!B143&lt;&gt;"",FT!B143*100,"")</f>
        <v>22.5168</v>
      </c>
      <c r="H143" s="61">
        <f t="shared" si="13"/>
        <v>1</v>
      </c>
      <c r="I143" t="str">
        <f>IF(FT!B143&lt;&gt;"",FT!E143,"")</f>
        <v>2 [57.278955]</v>
      </c>
      <c r="J143">
        <f>IF(FT!B143&lt;&gt;"",FT!C143,"")</f>
        <v>57.279000000000003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22702</v>
      </c>
      <c r="D144" s="61">
        <f>FH!B144*1</f>
        <v>22702</v>
      </c>
      <c r="E144">
        <f t="shared" si="15"/>
        <v>142</v>
      </c>
      <c r="F144" s="61">
        <f>IF(FT!A144&lt;&gt;"",FT!A144*10,"")</f>
        <v>2.87439</v>
      </c>
      <c r="G144" s="61">
        <f>IF(FT!B144&lt;&gt;"",FT!B144*100,"")</f>
        <v>22.631499999999999</v>
      </c>
      <c r="H144" s="61">
        <f t="shared" si="13"/>
        <v>1</v>
      </c>
      <c r="I144" t="str">
        <f>IF(FT!B144&lt;&gt;"",FT!E144,"")</f>
        <v>2 [57.685835]</v>
      </c>
      <c r="J144">
        <f>IF(FT!B144&lt;&gt;"",FT!C144,"")</f>
        <v>57.6858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2.8721000000000001</v>
      </c>
      <c r="G145" s="61">
        <f>IF(FT!B145&lt;&gt;"",FT!B145*100,"")</f>
        <v>22.6617</v>
      </c>
      <c r="H145" s="61">
        <f t="shared" si="13"/>
        <v>1</v>
      </c>
      <c r="I145" t="str">
        <f>IF(FT!B145&lt;&gt;"",FT!E145,"")</f>
        <v>2 [58.090736]</v>
      </c>
      <c r="J145">
        <f>IF(FT!B145&lt;&gt;"",FT!C145,"")</f>
        <v>58.090699999999998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2.8589199999999999</v>
      </c>
      <c r="G146" s="61">
        <f>IF(FT!B146&lt;&gt;"",FT!B146*100,"")</f>
        <v>23.043500000000002</v>
      </c>
      <c r="H146" s="61">
        <f t="shared" si="13"/>
        <v>1</v>
      </c>
      <c r="I146" t="str">
        <f>IF(FT!B146&lt;&gt;"",FT!E146,"")</f>
        <v>2 [58.502669]</v>
      </c>
      <c r="J146">
        <f>IF(FT!B146&lt;&gt;"",FT!C146,"")</f>
        <v>58.502699999999997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16230</v>
      </c>
      <c r="D147" s="61">
        <f>FH!B147*1</f>
        <v>16230</v>
      </c>
      <c r="E147">
        <f t="shared" si="15"/>
        <v>145</v>
      </c>
      <c r="F147" s="61">
        <f>IF(FT!A147&lt;&gt;"",FT!A147*10,"")</f>
        <v>2.8536000000000001</v>
      </c>
      <c r="G147" s="61">
        <f>IF(FT!B147&lt;&gt;"",FT!B147*100,"")</f>
        <v>23.459599999999998</v>
      </c>
      <c r="H147" s="61">
        <f t="shared" si="13"/>
        <v>1</v>
      </c>
      <c r="I147" t="str">
        <f>IF(FT!B147&lt;&gt;"",FT!E147,"")</f>
        <v>2 [58.907573]</v>
      </c>
      <c r="J147">
        <f>IF(FT!B147&lt;&gt;"",FT!C147,"")</f>
        <v>58.907600000000002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2.85778</v>
      </c>
      <c r="G148" s="61">
        <f>IF(FT!B148&lt;&gt;"",FT!B148*100,"")</f>
        <v>23.573699999999999</v>
      </c>
      <c r="H148" s="61">
        <f t="shared" si="13"/>
        <v>1</v>
      </c>
      <c r="I148" t="str">
        <f>IF(FT!B148&lt;&gt;"",FT!E148,"")</f>
        <v>2 [59.313575]</v>
      </c>
      <c r="J148">
        <f>IF(FT!B148&lt;&gt;"",FT!C148,"")</f>
        <v>59.313600000000001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9529</v>
      </c>
      <c r="D149" s="61">
        <f>FH!B149*1</f>
        <v>9529</v>
      </c>
      <c r="E149">
        <f t="shared" si="15"/>
        <v>147</v>
      </c>
      <c r="F149" s="61">
        <f>IF(FT!A149&lt;&gt;"",FT!A149*10,"")</f>
        <v>2.84823</v>
      </c>
      <c r="G149" s="61">
        <f>IF(FT!B149&lt;&gt;"",FT!B149*100,"")</f>
        <v>23.9588</v>
      </c>
      <c r="H149" s="61">
        <f t="shared" si="13"/>
        <v>1</v>
      </c>
      <c r="I149" t="str">
        <f>IF(FT!B149&lt;&gt;"",FT!E149,"")</f>
        <v>2 [59.720413]</v>
      </c>
      <c r="J149">
        <f>IF(FT!B149&lt;&gt;"",FT!C149,"")</f>
        <v>59.720399999999998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8716</v>
      </c>
      <c r="D152" s="61">
        <f>FH!B152*1</f>
        <v>8716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7672</v>
      </c>
      <c r="D154" s="61">
        <f>FH!B154*1</f>
        <v>7672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6332</v>
      </c>
      <c r="D157" s="61">
        <f>FH!B157*1</f>
        <v>6332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6376</v>
      </c>
      <c r="D160" s="61">
        <f>FH!B160*1</f>
        <v>6376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5449</v>
      </c>
      <c r="D162" s="61">
        <f>FH!B162*1</f>
        <v>5449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5200</v>
      </c>
      <c r="D165" s="61">
        <f>FH!B165*1</f>
        <v>5200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2511</v>
      </c>
      <c r="D167" s="61">
        <f>FH!B167*1</f>
        <v>2511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1816</v>
      </c>
      <c r="D170" s="61">
        <f>FH!B170*1</f>
        <v>1816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1432</v>
      </c>
      <c r="D173" s="61">
        <f>FH!B173*1</f>
        <v>1432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741</v>
      </c>
      <c r="D175" s="61">
        <f>FH!B175*1</f>
        <v>741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455</v>
      </c>
      <c r="D178" s="61">
        <f>FH!B178*1</f>
        <v>455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388</v>
      </c>
      <c r="D180" s="61">
        <f>FH!B180*1</f>
        <v>388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49</v>
      </c>
      <c r="D183" s="61">
        <f>FH!B183*1</f>
        <v>49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41.067999999999998</v>
      </c>
      <c r="C5" s="66">
        <v>6.5747600000000004</v>
      </c>
      <c r="D5" s="66">
        <v>16.009399999999999</v>
      </c>
      <c r="E5" s="66">
        <v>20</v>
      </c>
      <c r="F5" s="66">
        <v>17.924099999999999</v>
      </c>
      <c r="G5" s="66">
        <v>50</v>
      </c>
      <c r="H5" s="66">
        <v>53.957700000000003</v>
      </c>
    </row>
    <row r="6" spans="1:8">
      <c r="A6" s="58" t="s">
        <v>303</v>
      </c>
      <c r="B6" s="66">
        <v>43.494399999999999</v>
      </c>
      <c r="C6" s="66">
        <v>5.4231199999999999</v>
      </c>
      <c r="D6" s="66">
        <v>12.468500000000001</v>
      </c>
      <c r="E6" s="66">
        <v>20</v>
      </c>
      <c r="F6" s="66">
        <v>30.376899999999999</v>
      </c>
      <c r="G6" s="66">
        <v>40</v>
      </c>
      <c r="H6" s="66">
        <v>49.732900000000001</v>
      </c>
    </row>
    <row r="7" spans="1:8">
      <c r="A7" s="58" t="s">
        <v>304</v>
      </c>
      <c r="B7" s="66">
        <v>27.637599999999999</v>
      </c>
      <c r="C7" s="66">
        <v>4.9398400000000002</v>
      </c>
      <c r="D7" s="66">
        <v>17.8736</v>
      </c>
      <c r="E7" s="66">
        <v>15</v>
      </c>
      <c r="F7" s="66">
        <v>12.195399999999999</v>
      </c>
      <c r="G7" s="66">
        <v>40</v>
      </c>
      <c r="H7" s="66">
        <v>46.235700000000001</v>
      </c>
    </row>
    <row r="8" spans="1:8">
      <c r="A8" s="58" t="s">
        <v>305</v>
      </c>
      <c r="B8" s="66">
        <v>36.581400000000002</v>
      </c>
      <c r="C8" s="66">
        <v>3.9092199999999999</v>
      </c>
      <c r="D8" s="66">
        <v>10.686400000000001</v>
      </c>
      <c r="E8" s="66">
        <v>20</v>
      </c>
      <c r="F8" s="66">
        <v>21.517900000000001</v>
      </c>
      <c r="G8" s="66">
        <v>50</v>
      </c>
      <c r="H8" s="66">
        <v>43.170200000000001</v>
      </c>
    </row>
    <row r="9" spans="1:8">
      <c r="A9" s="58" t="s">
        <v>306</v>
      </c>
      <c r="B9" s="66">
        <v>63.356900000000003</v>
      </c>
      <c r="C9" s="66">
        <v>6.6729200000000004</v>
      </c>
      <c r="D9" s="66">
        <v>10.532299999999999</v>
      </c>
      <c r="E9" s="66">
        <v>50</v>
      </c>
      <c r="F9" s="66">
        <v>50.712000000000003</v>
      </c>
      <c r="G9" s="66">
        <v>100</v>
      </c>
      <c r="H9" s="66">
        <v>80.001000000000005</v>
      </c>
    </row>
    <row r="10" spans="1:8">
      <c r="A10" s="58" t="s">
        <v>307</v>
      </c>
      <c r="B10" s="66">
        <v>54.326599999999999</v>
      </c>
      <c r="C10" s="66">
        <v>18.403300000000002</v>
      </c>
      <c r="D10" s="66">
        <v>33.875300000000003</v>
      </c>
      <c r="E10" s="66">
        <v>40</v>
      </c>
      <c r="F10" s="66">
        <v>25.671199999999999</v>
      </c>
      <c r="G10" s="66">
        <v>100</v>
      </c>
      <c r="H10" s="66">
        <v>84.819199999999995</v>
      </c>
    </row>
    <row r="11" spans="1:8">
      <c r="A11" s="58" t="s">
        <v>308</v>
      </c>
      <c r="B11" s="66">
        <v>14.806800000000001</v>
      </c>
      <c r="C11" s="66">
        <v>2.7436799999999999</v>
      </c>
      <c r="D11" s="66">
        <v>18.529800000000002</v>
      </c>
      <c r="E11" s="66">
        <v>10</v>
      </c>
      <c r="F11" s="66">
        <v>11.3911</v>
      </c>
      <c r="G11" s="66">
        <v>50</v>
      </c>
      <c r="H11" s="66">
        <v>22.220600000000001</v>
      </c>
    </row>
    <row r="12" spans="1:8">
      <c r="A12" s="58" t="s">
        <v>309</v>
      </c>
      <c r="B12" s="66">
        <v>57.9938</v>
      </c>
      <c r="C12" s="66">
        <v>12.2529</v>
      </c>
      <c r="D12" s="66">
        <v>21.128</v>
      </c>
      <c r="E12" s="66">
        <v>50</v>
      </c>
      <c r="F12" s="66">
        <v>38.938000000000002</v>
      </c>
      <c r="G12" s="66">
        <v>100</v>
      </c>
      <c r="H12" s="66">
        <v>81.546499999999995</v>
      </c>
    </row>
    <row r="13" spans="1:8">
      <c r="A13" s="58" t="s">
        <v>310</v>
      </c>
      <c r="B13" s="66">
        <v>18.4557</v>
      </c>
      <c r="C13" s="66">
        <v>3.3189099999999998</v>
      </c>
      <c r="D13" s="66">
        <v>17.9831</v>
      </c>
      <c r="E13" s="66">
        <v>10</v>
      </c>
      <c r="F13" s="66">
        <v>12.6747</v>
      </c>
      <c r="G13" s="66">
        <v>25</v>
      </c>
      <c r="H13" s="66">
        <v>27.2347</v>
      </c>
    </row>
    <row r="14" spans="1:8">
      <c r="A14" s="58" t="s">
        <v>311</v>
      </c>
      <c r="B14" s="66">
        <v>33.189100000000003</v>
      </c>
      <c r="C14" s="66">
        <v>10.3005</v>
      </c>
      <c r="D14" s="66">
        <v>31.035900000000002</v>
      </c>
      <c r="E14" s="66">
        <v>10</v>
      </c>
      <c r="F14" s="66">
        <v>2.3743699999999999</v>
      </c>
      <c r="G14" s="66">
        <v>50</v>
      </c>
      <c r="H14" s="66">
        <v>35.066200000000002</v>
      </c>
    </row>
    <row r="15" spans="1:8">
      <c r="A15" s="58" t="s">
        <v>312</v>
      </c>
      <c r="B15" s="66">
        <v>-4.5974900000000001E-3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0.19855400000000001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19.0122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0.466559</v>
      </c>
      <c r="C18" s="66">
        <v>1.71904E-3</v>
      </c>
      <c r="D18" s="66">
        <v>3.6845100000000002E-3</v>
      </c>
      <c r="E18" s="66">
        <v>0</v>
      </c>
      <c r="F18" s="66">
        <v>0.46483999999999998</v>
      </c>
      <c r="G18" s="66">
        <v>0</v>
      </c>
      <c r="H18" s="66">
        <v>0.46827800000000003</v>
      </c>
    </row>
    <row r="19" spans="1:8">
      <c r="A19" s="58" t="s">
        <v>316</v>
      </c>
      <c r="B19" s="66">
        <v>0.65005000000000002</v>
      </c>
      <c r="C19" s="66">
        <v>3.1322900000000001E-2</v>
      </c>
      <c r="D19" s="66">
        <v>4.81853E-2</v>
      </c>
      <c r="E19" s="66">
        <v>0</v>
      </c>
      <c r="F19" s="66">
        <v>0.61872700000000003</v>
      </c>
      <c r="G19" s="66">
        <v>0</v>
      </c>
      <c r="H19" s="66">
        <v>0.68137300000000001</v>
      </c>
    </row>
    <row r="20" spans="1:8">
      <c r="A20" s="58" t="s">
        <v>317</v>
      </c>
      <c r="B20" s="66">
        <v>3.3303199999999998E-4</v>
      </c>
      <c r="C20" s="66">
        <v>1.06973E-2</v>
      </c>
      <c r="D20" s="66">
        <v>32.120800000000003</v>
      </c>
      <c r="E20" s="66">
        <v>0</v>
      </c>
      <c r="F20" s="196">
        <v>1.5691900000000001E-5</v>
      </c>
      <c r="G20" s="66">
        <v>0</v>
      </c>
      <c r="H20" s="66">
        <v>0.106992</v>
      </c>
    </row>
    <row r="21" spans="1:8">
      <c r="A21" s="58" t="s">
        <v>318</v>
      </c>
      <c r="B21" s="66">
        <v>1.8149999999999999E-2</v>
      </c>
      <c r="C21" s="66">
        <v>4.82075E-2</v>
      </c>
      <c r="D21" s="66">
        <v>2.6560700000000002</v>
      </c>
      <c r="E21" s="66">
        <v>0</v>
      </c>
      <c r="F21" s="66">
        <v>4.0695199999999998E-4</v>
      </c>
      <c r="G21" s="66">
        <v>0</v>
      </c>
      <c r="H21" s="66">
        <v>0.252444</v>
      </c>
    </row>
    <row r="22" spans="1:8">
      <c r="A22" s="58" t="s">
        <v>319</v>
      </c>
      <c r="B22" s="66">
        <v>30.794499999999999</v>
      </c>
      <c r="C22" s="66">
        <v>11.2928</v>
      </c>
      <c r="D22" s="66">
        <v>0.36671399999999998</v>
      </c>
      <c r="E22" s="66">
        <v>0</v>
      </c>
      <c r="F22" s="66">
        <v>17.229900000000001</v>
      </c>
      <c r="G22" s="66">
        <v>0</v>
      </c>
      <c r="H22" s="66">
        <v>62.901600000000002</v>
      </c>
    </row>
    <row r="23" spans="1:8">
      <c r="A23" s="58" t="s">
        <v>320</v>
      </c>
      <c r="B23" s="66">
        <v>15.537100000000001</v>
      </c>
      <c r="C23" s="66">
        <v>2.2557700000000001</v>
      </c>
      <c r="D23" s="66">
        <v>0.14518500000000001</v>
      </c>
      <c r="E23" s="66">
        <v>0</v>
      </c>
      <c r="F23" s="66">
        <v>12.924300000000001</v>
      </c>
      <c r="G23" s="66">
        <v>0</v>
      </c>
      <c r="H23" s="66">
        <v>21.757000000000001</v>
      </c>
    </row>
    <row r="24" spans="1:8">
      <c r="A24" s="58" t="s">
        <v>321</v>
      </c>
      <c r="B24" s="66">
        <v>4.5607500000000001E-4</v>
      </c>
      <c r="C24" s="66">
        <v>6.09407E-3</v>
      </c>
      <c r="D24" s="66">
        <v>13.362</v>
      </c>
      <c r="E24" s="66">
        <v>0</v>
      </c>
      <c r="F24" s="66">
        <v>1.0207799999999999E-4</v>
      </c>
      <c r="G24" s="66">
        <v>0</v>
      </c>
      <c r="H24" s="66">
        <v>2.69959E-2</v>
      </c>
    </row>
    <row r="25" spans="1:8">
      <c r="A25" s="58" t="s">
        <v>322</v>
      </c>
      <c r="B25" s="66">
        <v>3.4239699999999998E-2</v>
      </c>
      <c r="C25" s="66">
        <v>2.2844900000000001E-2</v>
      </c>
      <c r="D25" s="66">
        <v>0.66720400000000002</v>
      </c>
      <c r="E25" s="66">
        <v>0</v>
      </c>
      <c r="F25" s="66">
        <v>1.16931E-2</v>
      </c>
      <c r="G25" s="66">
        <v>0</v>
      </c>
      <c r="H25" s="66">
        <v>0.153915</v>
      </c>
    </row>
    <row r="26" spans="1:8">
      <c r="A26" s="58" t="s">
        <v>323</v>
      </c>
      <c r="B26" s="196">
        <v>8.2064099999999999E-5</v>
      </c>
      <c r="C26" s="66">
        <v>7.2137700000000004E-4</v>
      </c>
      <c r="D26" s="66">
        <v>8.7904099999999996</v>
      </c>
      <c r="E26" s="66">
        <v>0</v>
      </c>
      <c r="F26" s="196">
        <v>6.5651299999999996E-6</v>
      </c>
      <c r="G26" s="66">
        <v>0</v>
      </c>
      <c r="H26" s="66">
        <v>5.5376799999999997E-3</v>
      </c>
    </row>
    <row r="27" spans="1:8">
      <c r="A27" s="58" t="s">
        <v>324</v>
      </c>
      <c r="B27" s="196">
        <v>-3.2825599999999999E-6</v>
      </c>
      <c r="C27" s="66">
        <v>5.7941600000000002E-4</v>
      </c>
      <c r="D27" s="66">
        <v>-176.51300000000001</v>
      </c>
      <c r="E27" s="66">
        <v>0</v>
      </c>
      <c r="F27" s="66">
        <v>-4.7695599999999999E-3</v>
      </c>
      <c r="G27" s="66">
        <v>0</v>
      </c>
      <c r="H27" s="66">
        <v>4.0112899999999998E-3</v>
      </c>
    </row>
    <row r="28" spans="1:8">
      <c r="A28" s="58" t="s">
        <v>325</v>
      </c>
      <c r="B28" s="66">
        <v>3.6783900000000001E-3</v>
      </c>
      <c r="C28" s="66">
        <v>5.4268900000000002E-3</v>
      </c>
      <c r="D28" s="66">
        <v>1.4753499999999999</v>
      </c>
      <c r="E28" s="66">
        <v>0</v>
      </c>
      <c r="F28" s="66">
        <v>1.17187E-4</v>
      </c>
      <c r="G28" s="66">
        <v>0</v>
      </c>
      <c r="H28" s="66">
        <v>3.1061200000000001E-2</v>
      </c>
    </row>
    <row r="29" spans="1:8">
      <c r="A29" s="58" t="s">
        <v>326</v>
      </c>
      <c r="B29" s="66">
        <v>66.775199999999998</v>
      </c>
      <c r="C29" s="66">
        <v>7.3669200000000004</v>
      </c>
      <c r="D29" s="66">
        <v>0.11032400000000001</v>
      </c>
      <c r="E29" s="66">
        <v>0</v>
      </c>
      <c r="F29" s="66">
        <v>46.951999999999998</v>
      </c>
      <c r="G29" s="66">
        <v>0</v>
      </c>
      <c r="H29" s="66">
        <v>87.472300000000004</v>
      </c>
    </row>
    <row r="30" spans="1:8">
      <c r="A30" s="58" t="s">
        <v>327</v>
      </c>
      <c r="B30" s="66">
        <v>25.280899999999999</v>
      </c>
      <c r="C30" s="66">
        <v>4.6890999999999998</v>
      </c>
      <c r="D30" s="66">
        <v>0.18548000000000001</v>
      </c>
      <c r="E30" s="66">
        <v>0</v>
      </c>
      <c r="F30" s="66">
        <v>11.9056</v>
      </c>
      <c r="G30" s="66">
        <v>0</v>
      </c>
      <c r="H30" s="66">
        <v>30.483699999999999</v>
      </c>
    </row>
    <row r="31" spans="1:8">
      <c r="A31" s="58" t="s">
        <v>328</v>
      </c>
      <c r="B31" s="66">
        <v>175.76</v>
      </c>
      <c r="C31" s="66">
        <v>42.7806</v>
      </c>
      <c r="D31" s="66">
        <v>0.24340400000000001</v>
      </c>
      <c r="E31" s="66">
        <v>0</v>
      </c>
      <c r="F31" s="66">
        <v>88.2791</v>
      </c>
      <c r="G31" s="66">
        <v>0</v>
      </c>
      <c r="H31" s="66">
        <v>238.07499999999999</v>
      </c>
    </row>
    <row r="32" spans="1:8">
      <c r="A32" s="58" t="s">
        <v>329</v>
      </c>
      <c r="B32" s="66">
        <v>0.27637600000000001</v>
      </c>
      <c r="C32" s="66">
        <v>4.9398400000000002E-2</v>
      </c>
      <c r="D32" s="66">
        <v>0.17873600000000001</v>
      </c>
      <c r="E32" s="66">
        <v>0.15</v>
      </c>
      <c r="F32" s="66">
        <v>0.12195400000000001</v>
      </c>
      <c r="G32" s="66">
        <v>0.4</v>
      </c>
      <c r="H32" s="66">
        <v>0.46235700000000002</v>
      </c>
    </row>
    <row r="33" spans="1:8">
      <c r="A33" s="58" t="s">
        <v>330</v>
      </c>
      <c r="B33" s="66">
        <v>0.44373800000000002</v>
      </c>
      <c r="C33" s="66">
        <v>2.4839099999999999E-2</v>
      </c>
      <c r="D33" s="66">
        <v>5.5976999999999999E-2</v>
      </c>
      <c r="E33" s="66">
        <v>0</v>
      </c>
      <c r="F33" s="66">
        <v>0.33306000000000002</v>
      </c>
      <c r="G33" s="66">
        <v>0</v>
      </c>
      <c r="H33" s="66">
        <v>0.50527299999999997</v>
      </c>
    </row>
    <row r="34" spans="1:8">
      <c r="A34" s="58" t="s">
        <v>331</v>
      </c>
      <c r="B34" s="66">
        <v>0.184557</v>
      </c>
      <c r="C34" s="66">
        <v>3.3189099999999999E-2</v>
      </c>
      <c r="D34" s="66">
        <v>0.17983099999999999</v>
      </c>
      <c r="E34" s="66">
        <v>0.1</v>
      </c>
      <c r="F34" s="66">
        <v>0.126747</v>
      </c>
      <c r="G34" s="66">
        <v>0.25</v>
      </c>
      <c r="H34" s="66">
        <v>0.27234700000000001</v>
      </c>
    </row>
    <row r="35" spans="1:8">
      <c r="A35" s="58" t="s">
        <v>332</v>
      </c>
      <c r="B35" s="66">
        <v>7.7298900000000004E-2</v>
      </c>
      <c r="C35" s="66">
        <v>2.1610799999999999E-2</v>
      </c>
      <c r="D35" s="66">
        <v>0.27957500000000002</v>
      </c>
      <c r="E35" s="66">
        <v>0</v>
      </c>
      <c r="F35" s="66">
        <v>3.9397300000000003E-2</v>
      </c>
      <c r="G35" s="66">
        <v>0</v>
      </c>
      <c r="H35" s="66">
        <v>0.146703</v>
      </c>
    </row>
    <row r="36" spans="1:8">
      <c r="A36" s="58" t="s">
        <v>333</v>
      </c>
      <c r="B36" s="66">
        <v>0.17206099999999999</v>
      </c>
      <c r="C36" s="66">
        <v>9.2112299999999994E-2</v>
      </c>
      <c r="D36" s="66">
        <v>0.53534599999999999</v>
      </c>
      <c r="E36" s="66">
        <v>0</v>
      </c>
      <c r="F36" s="66">
        <v>3.48271E-2</v>
      </c>
      <c r="G36" s="66">
        <v>0</v>
      </c>
      <c r="H36" s="66">
        <v>0.51041899999999996</v>
      </c>
    </row>
    <row r="37" spans="1:8">
      <c r="A37" s="58" t="s">
        <v>334</v>
      </c>
      <c r="B37" s="66">
        <v>0.33189099999999999</v>
      </c>
      <c r="C37" s="66">
        <v>0.103005</v>
      </c>
      <c r="D37" s="66">
        <v>0.310359</v>
      </c>
      <c r="E37" s="66">
        <v>0.1</v>
      </c>
      <c r="F37" s="66">
        <v>2.37437E-2</v>
      </c>
      <c r="G37" s="66">
        <v>0.5</v>
      </c>
      <c r="H37" s="66">
        <v>0.35066199999999997</v>
      </c>
    </row>
    <row r="38" spans="1:8">
      <c r="A38" s="58" t="s">
        <v>335</v>
      </c>
      <c r="B38" s="66">
        <v>-10.191599999999999</v>
      </c>
      <c r="C38" s="66">
        <v>50.902099999999997</v>
      </c>
      <c r="D38" s="66">
        <v>-4.99451</v>
      </c>
      <c r="E38" s="66">
        <v>0</v>
      </c>
      <c r="F38" s="66">
        <v>-259.06099999999998</v>
      </c>
      <c r="G38" s="66">
        <v>0</v>
      </c>
      <c r="H38" s="66">
        <v>167.934</v>
      </c>
    </row>
    <row r="39" spans="1:8">
      <c r="A39" s="58" t="s">
        <v>336</v>
      </c>
      <c r="B39" s="66">
        <v>-4.6044200000000002</v>
      </c>
      <c r="C39" s="66">
        <v>3.6387800000000001</v>
      </c>
      <c r="D39" s="66">
        <v>-0.79027999999999998</v>
      </c>
      <c r="E39" s="66">
        <v>0</v>
      </c>
      <c r="F39" s="66">
        <v>-19.252800000000001</v>
      </c>
      <c r="G39" s="66">
        <v>0</v>
      </c>
      <c r="H39" s="66">
        <v>5.8689999999999998</v>
      </c>
    </row>
    <row r="40" spans="1:8">
      <c r="A40" s="58" t="s">
        <v>337</v>
      </c>
      <c r="B40" s="66">
        <v>-1.95225</v>
      </c>
      <c r="C40" s="66">
        <v>1.1755100000000001</v>
      </c>
      <c r="D40" s="66">
        <v>-0.60213000000000005</v>
      </c>
      <c r="E40" s="66">
        <v>0</v>
      </c>
      <c r="F40" s="66">
        <v>-4.5751999999999997</v>
      </c>
      <c r="G40" s="66">
        <v>0</v>
      </c>
      <c r="H40" s="66">
        <v>-0.30398900000000001</v>
      </c>
    </row>
    <row r="41" spans="1:8">
      <c r="A41" s="58" t="s">
        <v>338</v>
      </c>
      <c r="B41" s="66">
        <v>-8.4491800000000006E-2</v>
      </c>
      <c r="C41" s="66">
        <v>0.399862</v>
      </c>
      <c r="D41" s="66">
        <v>-4.7325499999999998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-0.19278699999999999</v>
      </c>
      <c r="C42" s="66">
        <v>9.2322199999999993E-2</v>
      </c>
      <c r="D42" s="66">
        <v>-0.478881</v>
      </c>
      <c r="E42" s="66">
        <v>0</v>
      </c>
      <c r="F42" s="66">
        <v>-0.5</v>
      </c>
      <c r="G42" s="66">
        <v>0</v>
      </c>
      <c r="H42" s="66">
        <v>8.5763099999999995E-2</v>
      </c>
    </row>
    <row r="43" spans="1:8">
      <c r="A43" s="58" t="s">
        <v>340</v>
      </c>
      <c r="B43" s="66">
        <v>-0.16089500000000001</v>
      </c>
      <c r="C43" s="66">
        <v>0.111761</v>
      </c>
      <c r="D43" s="66">
        <v>-0.69462000000000002</v>
      </c>
      <c r="E43" s="66">
        <v>0</v>
      </c>
      <c r="F43" s="66">
        <v>-0.29456599999999999</v>
      </c>
      <c r="G43" s="66">
        <v>0</v>
      </c>
      <c r="H43" s="66">
        <v>7.0867399999999997E-2</v>
      </c>
    </row>
    <row r="44" spans="1:8">
      <c r="A44" s="58" t="s">
        <v>341</v>
      </c>
      <c r="B44" s="66">
        <v>50.068600000000004</v>
      </c>
      <c r="C44" s="66">
        <v>14.3316</v>
      </c>
      <c r="D44" s="66">
        <v>0.28623799999999999</v>
      </c>
      <c r="E44" s="66">
        <v>0</v>
      </c>
      <c r="F44" s="66">
        <v>14.075799999999999</v>
      </c>
      <c r="G44" s="66">
        <v>0</v>
      </c>
      <c r="H44" s="66">
        <v>78.621499999999997</v>
      </c>
    </row>
    <row r="45" spans="1:8">
      <c r="A45" s="58" t="s">
        <v>342</v>
      </c>
      <c r="B45" s="66">
        <v>58.107100000000003</v>
      </c>
      <c r="C45" s="66">
        <v>6.25488</v>
      </c>
      <c r="D45" s="66">
        <v>0.107644</v>
      </c>
      <c r="E45" s="66">
        <v>0</v>
      </c>
      <c r="F45" s="66">
        <v>37.100499999999997</v>
      </c>
      <c r="G45" s="66">
        <v>0</v>
      </c>
      <c r="H45" s="66">
        <v>72.119500000000002</v>
      </c>
    </row>
    <row r="46" spans="1:8">
      <c r="A46" s="58" t="s">
        <v>343</v>
      </c>
      <c r="B46" s="66">
        <v>34.598399999999998</v>
      </c>
      <c r="C46" s="66">
        <v>6.1536</v>
      </c>
      <c r="D46" s="66">
        <v>0.17785799999999999</v>
      </c>
      <c r="E46" s="66">
        <v>0</v>
      </c>
      <c r="F46" s="66">
        <v>13.5075</v>
      </c>
      <c r="G46" s="66">
        <v>0</v>
      </c>
      <c r="H46" s="66">
        <v>41.720999999999997</v>
      </c>
    </row>
    <row r="47" spans="1:8">
      <c r="A47" s="58" t="s">
        <v>344</v>
      </c>
      <c r="B47" s="66">
        <v>0.396011</v>
      </c>
      <c r="C47" s="66">
        <v>0.21428900000000001</v>
      </c>
      <c r="D47" s="66">
        <v>0.54111799999999999</v>
      </c>
      <c r="E47" s="66">
        <v>0</v>
      </c>
      <c r="F47" s="66">
        <v>0.17949599999999999</v>
      </c>
      <c r="G47" s="66">
        <v>0</v>
      </c>
      <c r="H47" s="66">
        <v>1.36005</v>
      </c>
    </row>
    <row r="48" spans="1:8">
      <c r="A48" s="58" t="s">
        <v>345</v>
      </c>
      <c r="B48" s="66">
        <v>0.56595399999999996</v>
      </c>
      <c r="C48" s="66">
        <v>0.18357799999999999</v>
      </c>
      <c r="D48" s="66">
        <v>0.32436900000000002</v>
      </c>
      <c r="E48" s="66">
        <v>0</v>
      </c>
      <c r="F48" s="66">
        <v>0.40443400000000002</v>
      </c>
      <c r="G48" s="66">
        <v>0</v>
      </c>
      <c r="H48" s="66">
        <v>1.0381899999999999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0.13210000000000122</v>
      </c>
      <c r="C5" s="66">
        <f>'M2'!C5-'M1'!C5</f>
        <v>-3.5110699999999992</v>
      </c>
      <c r="D5" s="66">
        <f>'M2'!D5-'M1'!D5</f>
        <v>-8.6100000000000012</v>
      </c>
      <c r="E5" s="66">
        <f>'M2'!E5-'M1'!E5</f>
        <v>0</v>
      </c>
      <c r="F5" s="66">
        <f>'M2'!F5-'M1'!F5</f>
        <v>10.9191</v>
      </c>
      <c r="G5" s="66">
        <f>'M2'!G5-'M1'!G5</f>
        <v>0</v>
      </c>
      <c r="H5" s="66">
        <f>'M2'!H5-'M1'!H5</f>
        <v>1.0358000000000018</v>
      </c>
    </row>
    <row r="6" spans="1:8">
      <c r="A6" s="66" t="s">
        <v>244</v>
      </c>
      <c r="B6" s="66">
        <f>'M2'!B6-'M1'!B6</f>
        <v>9.6171000000000006</v>
      </c>
      <c r="C6" s="66">
        <f>'M2'!C6-'M1'!C6</f>
        <v>-2.7926500000000001</v>
      </c>
      <c r="D6" s="66">
        <f>'M2'!D6-'M1'!D6</f>
        <v>-8.7527799999999996</v>
      </c>
      <c r="E6" s="66">
        <f>'M2'!E6-'M1'!E6</f>
        <v>0</v>
      </c>
      <c r="F6" s="66">
        <f>'M2'!F6-'M1'!F6</f>
        <v>10.1282</v>
      </c>
      <c r="G6" s="66">
        <f>'M2'!G6-'M1'!G6</f>
        <v>0</v>
      </c>
      <c r="H6" s="66">
        <f>'M2'!H6-'M1'!H6</f>
        <v>5.0741000000000014</v>
      </c>
    </row>
    <row r="7" spans="1:8">
      <c r="A7" s="66" t="s">
        <v>245</v>
      </c>
      <c r="B7" s="66">
        <f>'M2'!B7-'M1'!B7</f>
        <v>1.2409999999999997</v>
      </c>
      <c r="C7" s="66">
        <f>'M2'!C7-'M1'!C7</f>
        <v>0.23599999999999977</v>
      </c>
      <c r="D7" s="66">
        <f>'M2'!D7-'M1'!D7</f>
        <v>7.219999999999871E-2</v>
      </c>
      <c r="E7" s="66">
        <f>'M2'!E7-'M1'!E7</f>
        <v>0</v>
      </c>
      <c r="F7" s="66">
        <f>'M2'!F7-'M1'!F7</f>
        <v>-3.0609999999999999</v>
      </c>
      <c r="G7" s="66">
        <f>'M2'!G7-'M1'!G7</f>
        <v>0</v>
      </c>
      <c r="H7" s="66">
        <f>'M2'!H7-'M1'!H7</f>
        <v>6.9129000000000005</v>
      </c>
    </row>
    <row r="8" spans="1:8">
      <c r="A8" s="66" t="s">
        <v>246</v>
      </c>
      <c r="B8" s="66">
        <f>'M2'!B8-'M1'!B8</f>
        <v>3.3762000000000043</v>
      </c>
      <c r="C8" s="66">
        <f>'M2'!C8-'M1'!C8</f>
        <v>-1.35412</v>
      </c>
      <c r="D8" s="66">
        <f>'M2'!D8-'M1'!D8</f>
        <v>-4.4513700000000007</v>
      </c>
      <c r="E8" s="66">
        <f>'M2'!E8-'M1'!E8</f>
        <v>0</v>
      </c>
      <c r="F8" s="66">
        <f>'M2'!F8-'M1'!F8</f>
        <v>12.126200000000001</v>
      </c>
      <c r="G8" s="66">
        <f>'M2'!G8-'M1'!G8</f>
        <v>0</v>
      </c>
      <c r="H8" s="66">
        <f>'M2'!H8-'M1'!H8</f>
        <v>3.7706000000000017</v>
      </c>
    </row>
    <row r="9" spans="1:8">
      <c r="A9" s="66" t="s">
        <v>247</v>
      </c>
      <c r="B9" s="66">
        <f>'M2'!B9-'M1'!B9</f>
        <v>-8.295100000000005</v>
      </c>
      <c r="C9" s="66">
        <f>'M2'!C9-'M1'!C9</f>
        <v>-1.56778</v>
      </c>
      <c r="D9" s="66">
        <f>'M2'!D9-'M1'!D9</f>
        <v>-1.58751</v>
      </c>
      <c r="E9" s="66">
        <f>'M2'!E9-'M1'!E9</f>
        <v>0</v>
      </c>
      <c r="F9" s="66">
        <f>'M2'!F9-'M1'!F9</f>
        <v>-9.7831999999999937</v>
      </c>
      <c r="G9" s="66">
        <f>'M2'!G9-'M1'!G9</f>
        <v>0</v>
      </c>
      <c r="H9" s="66">
        <f>'M2'!H9-'M1'!H9</f>
        <v>-12.599699999999999</v>
      </c>
    </row>
    <row r="10" spans="1:8">
      <c r="A10" s="66" t="s">
        <v>248</v>
      </c>
      <c r="B10" s="66">
        <f>'M2'!B10-'M1'!B10</f>
        <v>-39.156699999999994</v>
      </c>
      <c r="C10" s="66">
        <f>'M2'!C10-'M1'!C10</f>
        <v>-1.2514000000000003</v>
      </c>
      <c r="D10" s="66">
        <f>'M2'!D10-'M1'!D10</f>
        <v>10.114600000000001</v>
      </c>
      <c r="E10" s="66">
        <f>'M2'!E10-'M1'!E10</f>
        <v>0</v>
      </c>
      <c r="F10" s="66">
        <f>'M2'!F10-'M1'!F10</f>
        <v>-27.2515</v>
      </c>
      <c r="G10" s="66">
        <f>'M2'!G10-'M1'!G10</f>
        <v>0</v>
      </c>
      <c r="H10" s="66">
        <f>'M2'!H10-'M1'!H10</f>
        <v>-30.422599999999996</v>
      </c>
    </row>
    <row r="11" spans="1:8">
      <c r="A11" s="66" t="s">
        <v>249</v>
      </c>
      <c r="B11" s="66">
        <f>'M2'!B11-'M1'!B11</f>
        <v>-4.3673999999999982</v>
      </c>
      <c r="C11" s="66">
        <f>'M2'!C11-'M1'!C11</f>
        <v>-1.3023000000000002</v>
      </c>
      <c r="D11" s="66">
        <f>'M2'!D11-'M1'!D11</f>
        <v>-5.3838599999999994</v>
      </c>
      <c r="E11" s="66">
        <f>'M2'!E11-'M1'!E11</f>
        <v>0</v>
      </c>
      <c r="F11" s="66">
        <f>'M2'!F11-'M1'!F11</f>
        <v>1.0640999999999998</v>
      </c>
      <c r="G11" s="66">
        <f>'M2'!G11-'M1'!G11</f>
        <v>0</v>
      </c>
      <c r="H11" s="66">
        <f>'M2'!H11-'M1'!H11</f>
        <v>-4.7117000000000004</v>
      </c>
    </row>
    <row r="12" spans="1:8">
      <c r="A12" s="66" t="s">
        <v>250</v>
      </c>
      <c r="B12" s="66">
        <f>'M2'!B12-'M1'!B12</f>
        <v>-22.654499999999999</v>
      </c>
      <c r="C12" s="66">
        <f>'M2'!C12-'M1'!C12</f>
        <v>-1.1806099999999997</v>
      </c>
      <c r="D12" s="66">
        <f>'M2'!D12-'M1'!D12</f>
        <v>2.1440400000000004</v>
      </c>
      <c r="E12" s="66">
        <f>'M2'!E12-'M1'!E12</f>
        <v>0</v>
      </c>
      <c r="F12" s="66">
        <f>'M2'!F12-'M1'!F12</f>
        <v>-18.083799999999997</v>
      </c>
      <c r="G12" s="66">
        <f>'M2'!G12-'M1'!G12</f>
        <v>0</v>
      </c>
      <c r="H12" s="66">
        <f>'M2'!H12-'M1'!H12</f>
        <v>-23.426699999999997</v>
      </c>
    </row>
    <row r="13" spans="1:8">
      <c r="A13" s="66" t="s">
        <v>251</v>
      </c>
      <c r="B13" s="66">
        <f>'M2'!B13-'M1'!B13</f>
        <v>-4.2198999999999991</v>
      </c>
      <c r="C13" s="66">
        <f>'M2'!C13-'M1'!C13</f>
        <v>-0.54091000000000022</v>
      </c>
      <c r="D13" s="66">
        <f>'M2'!D13-'M1'!D13</f>
        <v>-2.3699999999999832E-2</v>
      </c>
      <c r="E13" s="66">
        <f>'M2'!E13-'M1'!E13</f>
        <v>0</v>
      </c>
      <c r="F13" s="66">
        <f>'M2'!F13-'M1'!F13</f>
        <v>-3.3675000000000015</v>
      </c>
      <c r="G13" s="66">
        <f>'M2'!G13-'M1'!G13</f>
        <v>0</v>
      </c>
      <c r="H13" s="66">
        <f>'M2'!H13-'M1'!H13</f>
        <v>-4.1753</v>
      </c>
    </row>
    <row r="14" spans="1:8">
      <c r="A14" s="66" t="s">
        <v>252</v>
      </c>
      <c r="B14" s="66">
        <f>'M2'!B14-'M1'!B14</f>
        <v>-5.4091000000000022</v>
      </c>
      <c r="C14" s="66">
        <f>'M2'!C14-'M1'!C14</f>
        <v>4.1368100000000005</v>
      </c>
      <c r="D14" s="66">
        <f>'M2'!D14-'M1'!D14</f>
        <v>26.221600000000002</v>
      </c>
      <c r="E14" s="66">
        <f>'M2'!E14-'M1'!E14</f>
        <v>0</v>
      </c>
      <c r="F14" s="66">
        <f>'M2'!F14-'M1'!F14</f>
        <v>-0.74855000000000027</v>
      </c>
      <c r="G14" s="66">
        <f>'M2'!G14-'M1'!G14</f>
        <v>0</v>
      </c>
      <c r="H14" s="66">
        <f>'M2'!H14-'M1'!H14</f>
        <v>-0.25420000000000442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0.13691999999999999</v>
      </c>
      <c r="C18" s="66">
        <f>'M2'!C18-'M1'!C18</f>
        <v>1.71904E-3</v>
      </c>
      <c r="D18" s="66">
        <f>'M2'!D18-'M1'!D18</f>
        <v>3.6845100000000002E-3</v>
      </c>
      <c r="E18" s="66">
        <f>'M2'!E18-'M1'!E18</f>
        <v>0</v>
      </c>
      <c r="F18" s="66">
        <f>'M2'!F18-'M1'!F18</f>
        <v>0.46483999999999998</v>
      </c>
      <c r="G18" s="66">
        <f>'M2'!G18-'M1'!G18</f>
        <v>0</v>
      </c>
      <c r="H18" s="66">
        <f>'M2'!H18-'M1'!H18</f>
        <v>0.46827800000000003</v>
      </c>
    </row>
    <row r="19" spans="1:8">
      <c r="A19" s="66" t="s">
        <v>256</v>
      </c>
      <c r="B19" s="66">
        <f>'M2'!B19-'M1'!B19</f>
        <v>3.1970000000000054E-3</v>
      </c>
      <c r="C19" s="66">
        <f>'M2'!C19-'M1'!C19</f>
        <v>3.1322900000000001E-2</v>
      </c>
      <c r="D19" s="66">
        <f>'M2'!D19-'M1'!D19</f>
        <v>4.81853E-2</v>
      </c>
      <c r="E19" s="66">
        <f>'M2'!E19-'M1'!E19</f>
        <v>0</v>
      </c>
      <c r="F19" s="66">
        <f>'M2'!F19-'M1'!F19</f>
        <v>0.61872700000000003</v>
      </c>
      <c r="G19" s="66">
        <f>'M2'!G19-'M1'!G19</f>
        <v>0</v>
      </c>
      <c r="H19" s="66">
        <f>'M2'!H19-'M1'!H19</f>
        <v>0.68137300000000001</v>
      </c>
    </row>
    <row r="20" spans="1:8">
      <c r="A20" s="66" t="s">
        <v>63</v>
      </c>
      <c r="B20" s="66">
        <f>'M2'!B20-'M1'!B20</f>
        <v>1.6107699999999998E-4</v>
      </c>
      <c r="C20" s="66">
        <f>'M2'!C20-'M1'!C20</f>
        <v>-8.8500000000000037E-4</v>
      </c>
      <c r="D20" s="66">
        <f>'M2'!D20-'M1'!D20</f>
        <v>-18.783300000000004</v>
      </c>
      <c r="E20" s="66">
        <f>'M2'!E20-'M1'!E20</f>
        <v>0</v>
      </c>
      <c r="F20" s="66">
        <f>'M2'!F20-'M1'!F20</f>
        <v>1.2859999999999999E-5</v>
      </c>
      <c r="G20" s="66">
        <f>'M2'!G20-'M1'!G20</f>
        <v>0</v>
      </c>
      <c r="H20" s="66">
        <f>'M2'!H20-'M1'!H20</f>
        <v>-2.2190500000000002E-2</v>
      </c>
    </row>
    <row r="21" spans="1:8">
      <c r="A21" s="66" t="s">
        <v>64</v>
      </c>
      <c r="B21" s="66">
        <f>'M2'!B21-'M1'!B21</f>
        <v>-6.0639999999999999E-3</v>
      </c>
      <c r="C21" s="66">
        <f>'M2'!C21-'M1'!C21</f>
        <v>-1.7906100000000001E-2</v>
      </c>
      <c r="D21" s="66">
        <f>'M2'!D21-'M1'!D21</f>
        <v>-0.20224999999999982</v>
      </c>
      <c r="E21" s="66">
        <f>'M2'!E21-'M1'!E21</f>
        <v>0</v>
      </c>
      <c r="F21" s="66">
        <f>'M2'!F21-'M1'!F21</f>
        <v>-3.2093800000000005E-4</v>
      </c>
      <c r="G21" s="66">
        <f>'M2'!G21-'M1'!G21</f>
        <v>0</v>
      </c>
      <c r="H21" s="66">
        <f>'M2'!H21-'M1'!H21</f>
        <v>-4.1903999999999997E-2</v>
      </c>
    </row>
    <row r="22" spans="1:8">
      <c r="A22" s="66" t="s">
        <v>65</v>
      </c>
      <c r="B22" s="66">
        <f>'M2'!B22-'M1'!B22</f>
        <v>5.2983999999999973</v>
      </c>
      <c r="C22" s="66">
        <f>'M2'!C22-'M1'!C22</f>
        <v>3.3464299999999998</v>
      </c>
      <c r="D22" s="66">
        <f>'M2'!D22-'M1'!D22</f>
        <v>4.8109000000000013E-2</v>
      </c>
      <c r="E22" s="66">
        <f>'M2'!E22-'M1'!E22</f>
        <v>0</v>
      </c>
      <c r="F22" s="66">
        <f>'M2'!F22-'M1'!F22</f>
        <v>1.3239999999999981</v>
      </c>
      <c r="G22" s="66">
        <f>'M2'!G22-'M1'!G22</f>
        <v>0</v>
      </c>
      <c r="H22" s="66">
        <f>'M2'!H22-'M1'!H22</f>
        <v>-3.4710000000000036</v>
      </c>
    </row>
    <row r="23" spans="1:8">
      <c r="A23" s="66" t="s">
        <v>66</v>
      </c>
      <c r="B23" s="66">
        <f>'M2'!B23-'M1'!B23</f>
        <v>3.7211999999999996</v>
      </c>
      <c r="C23" s="66">
        <f>'M2'!C23-'M1'!C23</f>
        <v>1.0622</v>
      </c>
      <c r="D23" s="66">
        <f>'M2'!D23-'M1'!D23</f>
        <v>4.3417700000000004E-2</v>
      </c>
      <c r="E23" s="66">
        <f>'M2'!E23-'M1'!E23</f>
        <v>0</v>
      </c>
      <c r="F23" s="66">
        <f>'M2'!F23-'M1'!F23</f>
        <v>0.88899999999999935</v>
      </c>
      <c r="G23" s="66">
        <f>'M2'!G23-'M1'!G23</f>
        <v>0</v>
      </c>
      <c r="H23" s="66">
        <f>'M2'!H23-'M1'!H23</f>
        <v>4.7292000000000023</v>
      </c>
    </row>
    <row r="24" spans="1:8">
      <c r="A24" s="66" t="s">
        <v>67</v>
      </c>
      <c r="B24" s="66">
        <f>'M2'!B24-'M1'!B24</f>
        <v>1.5458599999999996E-4</v>
      </c>
      <c r="C24" s="66">
        <f>'M2'!C24-'M1'!C24</f>
        <v>-4.0651000000000055E-4</v>
      </c>
      <c r="D24" s="66">
        <f>'M2'!D24-'M1'!D24</f>
        <v>-5.6445000000000007</v>
      </c>
      <c r="E24" s="66">
        <f>'M2'!E24-'M1'!E24</f>
        <v>0</v>
      </c>
      <c r="F24" s="66">
        <f>'M2'!F24-'M1'!F24</f>
        <v>1.4416000000000006E-5</v>
      </c>
      <c r="G24" s="66">
        <f>'M2'!G24-'M1'!G24</f>
        <v>0</v>
      </c>
      <c r="H24" s="66">
        <f>'M2'!H24-'M1'!H24</f>
        <v>-1.6100999999999997E-3</v>
      </c>
    </row>
    <row r="25" spans="1:8">
      <c r="A25" s="66" t="s">
        <v>68</v>
      </c>
      <c r="B25" s="66">
        <f>'M2'!B25-'M1'!B25</f>
        <v>-1.5186100000000004E-2</v>
      </c>
      <c r="C25" s="66">
        <f>'M2'!C25-'M1'!C25</f>
        <v>-1.5316000000000001E-2</v>
      </c>
      <c r="D25" s="66">
        <f>'M2'!D25-'M1'!D25</f>
        <v>-0.20264599999999994</v>
      </c>
      <c r="E25" s="66">
        <f>'M2'!E25-'M1'!E25</f>
        <v>0</v>
      </c>
      <c r="F25" s="66">
        <f>'M2'!F25-'M1'!F25</f>
        <v>-1.6670000000000001E-3</v>
      </c>
      <c r="G25" s="66">
        <f>'M2'!G25-'M1'!G25</f>
        <v>0</v>
      </c>
      <c r="H25" s="66">
        <f>'M2'!H25-'M1'!H25</f>
        <v>-8.7192099999999995E-2</v>
      </c>
    </row>
    <row r="26" spans="1:8">
      <c r="A26" s="66" t="s">
        <v>69</v>
      </c>
      <c r="B26" s="66">
        <f>'M2'!B26-'M1'!B26</f>
        <v>2.6260500000000004E-5</v>
      </c>
      <c r="C26" s="66">
        <f>'M2'!C26-'M1'!C26</f>
        <v>-3.0606999999999987E-5</v>
      </c>
      <c r="D26" s="66">
        <f>'M2'!D26-'M1'!D26</f>
        <v>-3.2697600000000007</v>
      </c>
      <c r="E26" s="66">
        <f>'M2'!E26-'M1'!E26</f>
        <v>0</v>
      </c>
      <c r="F26" s="66">
        <f>'M2'!F26-'M1'!F26</f>
        <v>3.2825600000000003E-6</v>
      </c>
      <c r="G26" s="66">
        <f>'M2'!G26-'M1'!G26</f>
        <v>0</v>
      </c>
      <c r="H26" s="66">
        <f>'M2'!H26-'M1'!H26</f>
        <v>-8.3704999999999977E-4</v>
      </c>
    </row>
    <row r="27" spans="1:8">
      <c r="A27" s="66" t="s">
        <v>70</v>
      </c>
      <c r="B27" s="66">
        <f>'M2'!B27-'M1'!B27</f>
        <v>0</v>
      </c>
      <c r="C27" s="66">
        <f>'M2'!C27-'M1'!C27</f>
        <v>1.5546999999999978E-5</v>
      </c>
      <c r="D27" s="66">
        <f>'M2'!D27-'M1'!D27</f>
        <v>-4.73599999999999</v>
      </c>
      <c r="E27" s="66">
        <f>'M2'!E27-'M1'!E27</f>
        <v>0</v>
      </c>
      <c r="F27" s="66">
        <f>'M2'!F27-'M1'!F27</f>
        <v>6.3024999999999973E-4</v>
      </c>
      <c r="G27" s="66">
        <f>'M2'!G27-'M1'!G27</f>
        <v>0</v>
      </c>
      <c r="H27" s="66">
        <f>'M2'!H27-'M1'!H27</f>
        <v>-3.6107999999999973E-4</v>
      </c>
    </row>
    <row r="28" spans="1:8">
      <c r="A28" s="66" t="s">
        <v>71</v>
      </c>
      <c r="B28" s="66">
        <f>'M2'!B28-'M1'!B28</f>
        <v>-8.7728000000000025E-4</v>
      </c>
      <c r="C28" s="66">
        <f>'M2'!C28-'M1'!C28</f>
        <v>-3.3313699999999997E-3</v>
      </c>
      <c r="D28" s="66">
        <f>'M2'!D28-'M1'!D28</f>
        <v>-0.58572000000000002</v>
      </c>
      <c r="E28" s="66">
        <f>'M2'!E28-'M1'!E28</f>
        <v>0</v>
      </c>
      <c r="F28" s="66">
        <f>'M2'!F28-'M1'!F28</f>
        <v>-5.5338999999999993E-5</v>
      </c>
      <c r="G28" s="66">
        <f>'M2'!G28-'M1'!G28</f>
        <v>0</v>
      </c>
      <c r="H28" s="66">
        <f>'M2'!H28-'M1'!H28</f>
        <v>-1.3600299999999999E-2</v>
      </c>
    </row>
    <row r="29" spans="1:8">
      <c r="A29" s="66" t="s">
        <v>72</v>
      </c>
      <c r="B29" s="66">
        <f>'M2'!B29-'M1'!B29</f>
        <v>-1.4783999999999935</v>
      </c>
      <c r="C29" s="66">
        <f>'M2'!C29-'M1'!C29</f>
        <v>-0.87455999999999978</v>
      </c>
      <c r="D29" s="66">
        <f>'M2'!D29-'M1'!D29</f>
        <v>-1.0717000000000004E-2</v>
      </c>
      <c r="E29" s="66">
        <f>'M2'!E29-'M1'!E29</f>
        <v>0</v>
      </c>
      <c r="F29" s="66">
        <f>'M2'!F29-'M1'!F29</f>
        <v>-1.9679000000000002</v>
      </c>
      <c r="G29" s="66">
        <f>'M2'!G29-'M1'!G29</f>
        <v>0</v>
      </c>
      <c r="H29" s="66">
        <f>'M2'!H29-'M1'!H29</f>
        <v>-4.736699999999999</v>
      </c>
    </row>
    <row r="30" spans="1:8">
      <c r="A30" s="66" t="s">
        <v>73</v>
      </c>
      <c r="B30" s="66">
        <f>'M2'!B30-'M1'!B30</f>
        <v>6.4586000000000006</v>
      </c>
      <c r="C30" s="66">
        <f>'M2'!C30-'M1'!C30</f>
        <v>-2.8782700000000006</v>
      </c>
      <c r="D30" s="66">
        <f>'M2'!D30-'M1'!D30</f>
        <v>-0.15998620000000002</v>
      </c>
      <c r="E30" s="66">
        <f>'M2'!E30-'M1'!E30</f>
        <v>0</v>
      </c>
      <c r="F30" s="66">
        <f>'M2'!F30-'M1'!F30</f>
        <v>11.752099999999999</v>
      </c>
      <c r="G30" s="66">
        <f>'M2'!G30-'M1'!G30</f>
        <v>0</v>
      </c>
      <c r="H30" s="66">
        <f>'M2'!H30-'M1'!H30</f>
        <v>3.9109999999999978</v>
      </c>
    </row>
    <row r="31" spans="1:8">
      <c r="A31" s="66" t="s">
        <v>74</v>
      </c>
      <c r="B31" s="66">
        <f>'M2'!B31-'M1'!B31</f>
        <v>2.4680000000000177</v>
      </c>
      <c r="C31" s="66">
        <f>'M2'!C31-'M1'!C31</f>
        <v>-14.049399999999999</v>
      </c>
      <c r="D31" s="66">
        <f>'M2'!D31-'M1'!D31</f>
        <v>-8.3847000000000033E-2</v>
      </c>
      <c r="E31" s="66">
        <f>'M2'!E31-'M1'!E31</f>
        <v>0</v>
      </c>
      <c r="F31" s="66">
        <f>'M2'!F31-'M1'!F31</f>
        <v>18.863900000000001</v>
      </c>
      <c r="G31" s="66">
        <f>'M2'!G31-'M1'!G31</f>
        <v>0</v>
      </c>
      <c r="H31" s="66">
        <f>'M2'!H31-'M1'!H31</f>
        <v>-7.6679999999999779</v>
      </c>
    </row>
    <row r="32" spans="1:8">
      <c r="A32" s="66" t="s">
        <v>75</v>
      </c>
      <c r="B32" s="66">
        <f>'M2'!B32-'M1'!B32</f>
        <v>1.2410000000000032E-2</v>
      </c>
      <c r="C32" s="66">
        <f>'M2'!C32-'M1'!C32</f>
        <v>2.360000000000001E-3</v>
      </c>
      <c r="D32" s="66">
        <f>'M2'!D32-'M1'!D32</f>
        <v>7.2200000000000042E-4</v>
      </c>
      <c r="E32" s="66">
        <f>'M2'!E32-'M1'!E32</f>
        <v>0</v>
      </c>
      <c r="F32" s="66">
        <f>'M2'!F32-'M1'!F32</f>
        <v>-3.0609999999999998E-2</v>
      </c>
      <c r="G32" s="66">
        <f>'M2'!G32-'M1'!G32</f>
        <v>0</v>
      </c>
      <c r="H32" s="66">
        <f>'M2'!H32-'M1'!H32</f>
        <v>6.9128999999999996E-2</v>
      </c>
    </row>
    <row r="33" spans="1:8">
      <c r="A33" s="66" t="s">
        <v>76</v>
      </c>
      <c r="B33" s="66">
        <f>'M2'!B33-'M1'!B33</f>
        <v>1.0772999999999977E-2</v>
      </c>
      <c r="C33" s="66">
        <f>'M2'!C33-'M1'!C33</f>
        <v>-8.8370000000000115E-4</v>
      </c>
      <c r="D33" s="66">
        <f>'M2'!D33-'M1'!D33</f>
        <v>-3.2693999999999987E-3</v>
      </c>
      <c r="E33" s="66">
        <f>'M2'!E33-'M1'!E33</f>
        <v>0</v>
      </c>
      <c r="F33" s="66">
        <f>'M2'!F33-'M1'!F33</f>
        <v>7.0651999999999993E-2</v>
      </c>
      <c r="G33" s="66">
        <f>'M2'!G33-'M1'!G33</f>
        <v>0</v>
      </c>
      <c r="H33" s="66">
        <f>'M2'!H33-'M1'!H33</f>
        <v>3.3645999999999954E-2</v>
      </c>
    </row>
    <row r="34" spans="1:8">
      <c r="A34" s="66" t="s">
        <v>77</v>
      </c>
      <c r="B34" s="66">
        <f>'M2'!B34-'M1'!B34</f>
        <v>-4.2198999999999987E-2</v>
      </c>
      <c r="C34" s="66">
        <f>'M2'!C34-'M1'!C34</f>
        <v>-5.4091E-3</v>
      </c>
      <c r="D34" s="66">
        <f>'M2'!D34-'M1'!D34</f>
        <v>-2.3700000000001498E-4</v>
      </c>
      <c r="E34" s="66">
        <f>'M2'!E34-'M1'!E34</f>
        <v>0</v>
      </c>
      <c r="F34" s="66">
        <f>'M2'!F34-'M1'!F34</f>
        <v>-3.367500000000001E-2</v>
      </c>
      <c r="G34" s="66">
        <f>'M2'!G34-'M1'!G34</f>
        <v>0</v>
      </c>
      <c r="H34" s="66">
        <f>'M2'!H34-'M1'!H34</f>
        <v>-4.1753000000000012E-2</v>
      </c>
    </row>
    <row r="35" spans="1:8">
      <c r="A35" s="66" t="s">
        <v>78</v>
      </c>
      <c r="B35" s="66">
        <f>'M2'!B35-'M1'!B35</f>
        <v>-1.1492199999999994E-2</v>
      </c>
      <c r="C35" s="66">
        <f>'M2'!C35-'M1'!C35</f>
        <v>8.7530000000000246E-4</v>
      </c>
      <c r="D35" s="66">
        <f>'M2'!D35-'M1'!D35</f>
        <v>5.0069999999999976E-2</v>
      </c>
      <c r="E35" s="66">
        <f>'M2'!E35-'M1'!E35</f>
        <v>0</v>
      </c>
      <c r="F35" s="66">
        <f>'M2'!F35-'M1'!F35</f>
        <v>-4.3289999999999995E-4</v>
      </c>
      <c r="G35" s="66">
        <f>'M2'!G35-'M1'!G35</f>
        <v>0</v>
      </c>
      <c r="H35" s="66">
        <f>'M2'!H35-'M1'!H35</f>
        <v>4.2379999999999918E-3</v>
      </c>
    </row>
    <row r="36" spans="1:8">
      <c r="A36" s="66" t="s">
        <v>79</v>
      </c>
      <c r="B36" s="66">
        <f>'M2'!B36-'M1'!B36</f>
        <v>-4.1969000000000006E-2</v>
      </c>
      <c r="C36" s="66">
        <f>'M2'!C36-'M1'!C36</f>
        <v>-1.5413099999999999E-2</v>
      </c>
      <c r="D36" s="66">
        <f>'M2'!D36-'M1'!D36</f>
        <v>3.5835000000000006E-2</v>
      </c>
      <c r="E36" s="66">
        <f>'M2'!E36-'M1'!E36</f>
        <v>0</v>
      </c>
      <c r="F36" s="66">
        <f>'M2'!F36-'M1'!F36</f>
        <v>-5.6635999999999978E-3</v>
      </c>
      <c r="G36" s="66">
        <f>'M2'!G36-'M1'!G36</f>
        <v>0</v>
      </c>
      <c r="H36" s="66">
        <f>'M2'!H36-'M1'!H36</f>
        <v>-7.1716999999999975E-2</v>
      </c>
    </row>
    <row r="37" spans="1:8">
      <c r="A37" s="66" t="s">
        <v>80</v>
      </c>
      <c r="B37" s="66">
        <f>'M2'!B37-'M1'!B37</f>
        <v>-5.4091E-2</v>
      </c>
      <c r="C37" s="66">
        <f>'M2'!C37-'M1'!C37</f>
        <v>4.1368100000000005E-2</v>
      </c>
      <c r="D37" s="66">
        <f>'M2'!D37-'M1'!D37</f>
        <v>0.262216</v>
      </c>
      <c r="E37" s="66">
        <f>'M2'!E37-'M1'!E37</f>
        <v>0</v>
      </c>
      <c r="F37" s="66">
        <f>'M2'!F37-'M1'!F37</f>
        <v>-7.4854999999999991E-3</v>
      </c>
      <c r="G37" s="66">
        <f>'M2'!G37-'M1'!G37</f>
        <v>0</v>
      </c>
      <c r="H37" s="66">
        <f>'M2'!H37-'M1'!H37</f>
        <v>-2.5419999999999887E-3</v>
      </c>
    </row>
    <row r="38" spans="1:8">
      <c r="A38" s="66" t="s">
        <v>81</v>
      </c>
      <c r="B38" s="66">
        <f>'M2'!B38-'M1'!B38</f>
        <v>-13.863949999999999</v>
      </c>
      <c r="C38" s="66">
        <f>'M2'!C38-'M1'!C38</f>
        <v>22.340000000000003</v>
      </c>
      <c r="D38" s="66">
        <f>'M2'!D38-'M1'!D38</f>
        <v>6.9465000000000003</v>
      </c>
      <c r="E38" s="66">
        <f>'M2'!E38-'M1'!E38</f>
        <v>0</v>
      </c>
      <c r="F38" s="66">
        <f>'M2'!F38-'M1'!F38</f>
        <v>-60.603999999999985</v>
      </c>
      <c r="G38" s="66">
        <f>'M2'!G38-'M1'!G38</f>
        <v>0</v>
      </c>
      <c r="H38" s="66">
        <f>'M2'!H38-'M1'!H38</f>
        <v>64.093000000000004</v>
      </c>
    </row>
    <row r="39" spans="1:8">
      <c r="A39" s="66" t="s">
        <v>82</v>
      </c>
      <c r="B39" s="66">
        <f>'M2'!B39-'M1'!B39</f>
        <v>-2.1849799999999999</v>
      </c>
      <c r="C39" s="66">
        <f>'M2'!C39-'M1'!C39</f>
        <v>1.1971599999999998</v>
      </c>
      <c r="D39" s="66">
        <f>'M2'!D39-'M1'!D39</f>
        <v>4.7377000000000002E-2</v>
      </c>
      <c r="E39" s="66">
        <f>'M2'!E39-'M1'!E39</f>
        <v>0</v>
      </c>
      <c r="F39" s="66">
        <f>'M2'!F39-'M1'!F39</f>
        <v>-8.4200999999999997</v>
      </c>
      <c r="G39" s="66">
        <f>'M2'!G39-'M1'!G39</f>
        <v>0</v>
      </c>
      <c r="H39" s="66">
        <f>'M2'!H39-'M1'!H39</f>
        <v>-3.5684399999999998</v>
      </c>
    </row>
    <row r="40" spans="1:8">
      <c r="A40" s="66" t="s">
        <v>83</v>
      </c>
      <c r="B40" s="66">
        <f>'M2'!B40-'M1'!B40</f>
        <v>-0.87973999999999974</v>
      </c>
      <c r="C40" s="66">
        <f>'M2'!C40-'M1'!C40</f>
        <v>0.26121799999999995</v>
      </c>
      <c r="D40" s="66">
        <f>'M2'!D40-'M1'!D40</f>
        <v>9.9946000000000035E-2</v>
      </c>
      <c r="E40" s="66">
        <f>'M2'!E40-'M1'!E40</f>
        <v>0</v>
      </c>
      <c r="F40" s="66">
        <f>'M2'!F40-'M1'!F40</f>
        <v>-1.9700599999999997</v>
      </c>
      <c r="G40" s="66">
        <f>'M2'!G40-'M1'!G40</f>
        <v>0</v>
      </c>
      <c r="H40" s="66">
        <f>'M2'!H40-'M1'!H40</f>
        <v>-0.95512099999999989</v>
      </c>
    </row>
    <row r="41" spans="1:8">
      <c r="A41" s="66" t="s">
        <v>84</v>
      </c>
      <c r="B41" s="66">
        <f>'M2'!B41-'M1'!B41</f>
        <v>-4.9153700000000002E-2</v>
      </c>
      <c r="C41" s="66">
        <f>'M2'!C41-'M1'!C41</f>
        <v>7.2779000000000038E-2</v>
      </c>
      <c r="D41" s="66">
        <f>'M2'!D41-'M1'!D41</f>
        <v>2.1349400000000003</v>
      </c>
      <c r="E41" s="66">
        <f>'M2'!E41-'M1'!E41</f>
        <v>0</v>
      </c>
      <c r="F41" s="66">
        <f>'M2'!F41-'M1'!F41</f>
        <v>-0.190909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-3.2530000000000003E-2</v>
      </c>
      <c r="C42" s="66">
        <f>'M2'!C42-'M1'!C42</f>
        <v>3.0847999999999987E-3</v>
      </c>
      <c r="D42" s="66">
        <f>'M2'!D42-'M1'!D42</f>
        <v>6.0623999999999956E-2</v>
      </c>
      <c r="E42" s="66">
        <f>'M2'!E42-'M1'!E42</f>
        <v>0</v>
      </c>
      <c r="F42" s="66">
        <f>'M2'!F42-'M1'!F42</f>
        <v>-9.2424000000000006E-2</v>
      </c>
      <c r="G42" s="66">
        <f>'M2'!G42-'M1'!G42</f>
        <v>0</v>
      </c>
      <c r="H42" s="66">
        <f>'M2'!H42-'M1'!H42</f>
        <v>-5.3543499999999994E-2</v>
      </c>
    </row>
    <row r="43" spans="1:8">
      <c r="A43" s="66" t="s">
        <v>86</v>
      </c>
      <c r="B43" s="66">
        <f>'M2'!B43-'M1'!B43</f>
        <v>-0.14782489999999998</v>
      </c>
      <c r="C43" s="66">
        <f>'M2'!C43-'M1'!C43</f>
        <v>-6.1808000000000002E-2</v>
      </c>
      <c r="D43" s="66">
        <f>'M2'!D43-'M1'!D43</f>
        <v>1.9441130000000002</v>
      </c>
      <c r="E43" s="66">
        <f>'M2'!E43-'M1'!E43</f>
        <v>0</v>
      </c>
      <c r="F43" s="66">
        <f>'M2'!F43-'M1'!F43</f>
        <v>-0.12026499999999998</v>
      </c>
      <c r="G43" s="66">
        <f>'M2'!G43-'M1'!G43</f>
        <v>0</v>
      </c>
      <c r="H43" s="66">
        <f>'M2'!H43-'M1'!H43</f>
        <v>-0.21907940000000001</v>
      </c>
    </row>
    <row r="44" spans="1:8">
      <c r="A44" s="66" t="s">
        <v>87</v>
      </c>
      <c r="B44" s="66">
        <f>'M2'!B44-'M1'!B44</f>
        <v>5.0259</v>
      </c>
      <c r="C44" s="66">
        <f>'M2'!C44-'M1'!C44</f>
        <v>-1.7076000000000011</v>
      </c>
      <c r="D44" s="66">
        <f>'M2'!D44-'M1'!D44</f>
        <v>-6.4068000000000014E-2</v>
      </c>
      <c r="E44" s="66">
        <f>'M2'!E44-'M1'!E44</f>
        <v>0</v>
      </c>
      <c r="F44" s="66">
        <f>'M2'!F44-'M1'!F44</f>
        <v>-14.3743</v>
      </c>
      <c r="G44" s="66">
        <f>'M2'!G44-'M1'!G44</f>
        <v>0</v>
      </c>
      <c r="H44" s="66">
        <f>'M2'!H44-'M1'!H44</f>
        <v>-6.4196999999999917</v>
      </c>
    </row>
    <row r="45" spans="1:8">
      <c r="A45" s="66" t="s">
        <v>88</v>
      </c>
      <c r="B45" s="66">
        <f>'M2'!B45-'M1'!B45</f>
        <v>1.363900000000001</v>
      </c>
      <c r="C45" s="66">
        <f>'M2'!C45-'M1'!C45</f>
        <v>1.3351800000000003</v>
      </c>
      <c r="D45" s="66">
        <f>'M2'!D45-'M1'!D45</f>
        <v>2.0436200000000002E-2</v>
      </c>
      <c r="E45" s="66">
        <f>'M2'!E45-'M1'!E45</f>
        <v>0</v>
      </c>
      <c r="F45" s="66">
        <f>'M2'!F45-'M1'!F45</f>
        <v>-7.6364000000000019</v>
      </c>
      <c r="G45" s="66">
        <f>'M2'!G45-'M1'!G45</f>
        <v>0</v>
      </c>
      <c r="H45" s="66">
        <f>'M2'!H45-'M1'!H45</f>
        <v>1.4313000000000073</v>
      </c>
    </row>
    <row r="46" spans="1:8">
      <c r="A46" s="66" t="s">
        <v>89</v>
      </c>
      <c r="B46" s="66">
        <f>'M2'!B46-'M1'!B46</f>
        <v>5.1418000000000035</v>
      </c>
      <c r="C46" s="66">
        <f>'M2'!C46-'M1'!C46</f>
        <v>-3.1708399999999997</v>
      </c>
      <c r="D46" s="66">
        <f>'M2'!D46-'M1'!D46</f>
        <v>-0.10696860000000001</v>
      </c>
      <c r="E46" s="66">
        <f>'M2'!E46-'M1'!E46</f>
        <v>0</v>
      </c>
      <c r="F46" s="66">
        <f>'M2'!F46-'M1'!F46</f>
        <v>17.954699999999999</v>
      </c>
      <c r="G46" s="66">
        <f>'M2'!G46-'M1'!G46</f>
        <v>0</v>
      </c>
      <c r="H46" s="66">
        <f>'M2'!H46-'M1'!H46</f>
        <v>5.9520999999999944</v>
      </c>
    </row>
    <row r="47" spans="1:8">
      <c r="A47" s="66" t="s">
        <v>90</v>
      </c>
      <c r="B47" s="66">
        <f>'M2'!B47-'M1'!B47</f>
        <v>-0.16296100000000002</v>
      </c>
      <c r="C47" s="66">
        <f>'M2'!C47-'M1'!C47</f>
        <v>-0.14490540000000002</v>
      </c>
      <c r="D47" s="66">
        <f>'M2'!D47-'M1'!D47</f>
        <v>-0.20195200000000002</v>
      </c>
      <c r="E47" s="66">
        <f>'M2'!E47-'M1'!E47</f>
        <v>0</v>
      </c>
      <c r="F47" s="66">
        <f>'M2'!F47-'M1'!F47</f>
        <v>-9.5552999999999999E-2</v>
      </c>
      <c r="G47" s="66">
        <f>'M2'!G47-'M1'!G47</f>
        <v>0</v>
      </c>
      <c r="H47" s="66">
        <f>'M2'!H47-'M1'!H47</f>
        <v>-0.450627</v>
      </c>
    </row>
    <row r="48" spans="1:8">
      <c r="A48" s="66" t="s">
        <v>91</v>
      </c>
      <c r="B48" s="66">
        <f>'M2'!B48-'M1'!B48</f>
        <v>-0.24314499999999994</v>
      </c>
      <c r="C48" s="66">
        <f>'M2'!C48-'M1'!C48</f>
        <v>-7.9547900000000005E-2</v>
      </c>
      <c r="D48" s="66">
        <f>'M2'!D48-'M1'!D48</f>
        <v>-5.3822000000000009E-2</v>
      </c>
      <c r="E48" s="66">
        <f>'M2'!E48-'M1'!E48</f>
        <v>0</v>
      </c>
      <c r="F48" s="66">
        <f>'M2'!F48-'M1'!F48</f>
        <v>-0.13349099999999997</v>
      </c>
      <c r="G48" s="66">
        <f>'M2'!G48-'M1'!G48</f>
        <v>0</v>
      </c>
      <c r="H48" s="66">
        <f>'M2'!H48-'M1'!H48</f>
        <v>-0.25973899999999994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40.947600000000001</v>
      </c>
      <c r="C5" s="66">
        <v>8.0294299999999996</v>
      </c>
      <c r="D5" s="66">
        <v>19.609000000000002</v>
      </c>
      <c r="E5" s="66">
        <v>20</v>
      </c>
      <c r="F5" s="66">
        <v>17.924099999999999</v>
      </c>
      <c r="G5" s="66">
        <v>50</v>
      </c>
      <c r="H5" s="66">
        <v>52.921900000000001</v>
      </c>
    </row>
    <row r="6" spans="1:8">
      <c r="A6" s="66" t="s">
        <v>358</v>
      </c>
      <c r="B6" s="66">
        <v>35.8934</v>
      </c>
      <c r="C6" s="66">
        <v>4.44428</v>
      </c>
      <c r="D6" s="66">
        <v>12.3819</v>
      </c>
      <c r="E6" s="66">
        <v>20</v>
      </c>
      <c r="F6" s="66">
        <v>30.376899999999999</v>
      </c>
      <c r="G6" s="66">
        <v>40</v>
      </c>
      <c r="H6" s="66">
        <v>44.646799999999999</v>
      </c>
    </row>
    <row r="7" spans="1:8">
      <c r="A7" s="66" t="s">
        <v>359</v>
      </c>
      <c r="B7" s="66">
        <v>26.495999999999999</v>
      </c>
      <c r="C7" s="66">
        <v>4.6116700000000002</v>
      </c>
      <c r="D7" s="66">
        <v>17.405100000000001</v>
      </c>
      <c r="E7" s="66">
        <v>15</v>
      </c>
      <c r="F7" s="66">
        <v>15.256399999999999</v>
      </c>
      <c r="G7" s="66">
        <v>40</v>
      </c>
      <c r="H7" s="66">
        <v>39.322800000000001</v>
      </c>
    </row>
    <row r="8" spans="1:8">
      <c r="A8" s="66" t="s">
        <v>360</v>
      </c>
      <c r="B8" s="66">
        <v>35.202199999999998</v>
      </c>
      <c r="C8" s="66">
        <v>3.7865799999999998</v>
      </c>
      <c r="D8" s="66">
        <v>10.756600000000001</v>
      </c>
      <c r="E8" s="66">
        <v>20</v>
      </c>
      <c r="F8" s="66">
        <v>21.517900000000001</v>
      </c>
      <c r="G8" s="66">
        <v>50</v>
      </c>
      <c r="H8" s="66">
        <v>39.3996</v>
      </c>
    </row>
    <row r="9" spans="1:8">
      <c r="A9" s="66" t="s">
        <v>361</v>
      </c>
      <c r="B9" s="66">
        <v>67.286100000000005</v>
      </c>
      <c r="C9" s="66">
        <v>5.12073</v>
      </c>
      <c r="D9" s="66">
        <v>7.6103899999999998</v>
      </c>
      <c r="E9" s="66">
        <v>50</v>
      </c>
      <c r="F9" s="66">
        <v>60.495199999999997</v>
      </c>
      <c r="G9" s="66">
        <v>100</v>
      </c>
      <c r="H9" s="66">
        <v>80.001000000000005</v>
      </c>
    </row>
    <row r="10" spans="1:8">
      <c r="A10" s="66" t="s">
        <v>362</v>
      </c>
      <c r="B10" s="66">
        <v>76.979299999999995</v>
      </c>
      <c r="C10" s="66">
        <v>9.9810099999999995</v>
      </c>
      <c r="D10" s="66">
        <v>12.9658</v>
      </c>
      <c r="E10" s="66">
        <v>40</v>
      </c>
      <c r="F10" s="66">
        <v>52.922699999999999</v>
      </c>
      <c r="G10" s="66">
        <v>100</v>
      </c>
      <c r="H10" s="66">
        <v>84.819199999999995</v>
      </c>
    </row>
    <row r="11" spans="1:8">
      <c r="A11" s="66" t="s">
        <v>363</v>
      </c>
      <c r="B11" s="66">
        <v>17.834499999999998</v>
      </c>
      <c r="C11" s="66">
        <v>2.3572700000000002</v>
      </c>
      <c r="D11" s="66">
        <v>13.217499999999999</v>
      </c>
      <c r="E11" s="66">
        <v>10</v>
      </c>
      <c r="F11" s="66">
        <v>11.3911</v>
      </c>
      <c r="G11" s="66">
        <v>50</v>
      </c>
      <c r="H11" s="66">
        <v>22.220600000000001</v>
      </c>
    </row>
    <row r="12" spans="1:8">
      <c r="A12" s="66" t="s">
        <v>364</v>
      </c>
      <c r="B12" s="66">
        <v>71.343299999999999</v>
      </c>
      <c r="C12" s="66">
        <v>7.0053799999999997</v>
      </c>
      <c r="D12" s="66">
        <v>9.8192599999999999</v>
      </c>
      <c r="E12" s="66">
        <v>50</v>
      </c>
      <c r="F12" s="66">
        <v>57.021799999999999</v>
      </c>
      <c r="G12" s="66">
        <v>100</v>
      </c>
      <c r="H12" s="66">
        <v>81.546499999999995</v>
      </c>
    </row>
    <row r="13" spans="1:8">
      <c r="A13" s="66" t="s">
        <v>365</v>
      </c>
      <c r="B13" s="66">
        <v>21.265899999999998</v>
      </c>
      <c r="C13" s="66">
        <v>2.7056100000000001</v>
      </c>
      <c r="D13" s="66">
        <v>12.722799999999999</v>
      </c>
      <c r="E13" s="66">
        <v>10</v>
      </c>
      <c r="F13" s="66">
        <v>16.042200000000001</v>
      </c>
      <c r="G13" s="66">
        <v>25</v>
      </c>
      <c r="H13" s="66">
        <v>27.2347</v>
      </c>
    </row>
    <row r="14" spans="1:8">
      <c r="A14" s="66" t="s">
        <v>366</v>
      </c>
      <c r="B14" s="66">
        <v>27.056100000000001</v>
      </c>
      <c r="C14" s="66">
        <v>7.6999899999999997</v>
      </c>
      <c r="D14" s="66">
        <v>28.459299999999999</v>
      </c>
      <c r="E14" s="66">
        <v>10</v>
      </c>
      <c r="F14" s="66">
        <v>3.1229200000000001</v>
      </c>
      <c r="G14" s="66">
        <v>50</v>
      </c>
      <c r="H14" s="66">
        <v>35.066200000000002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0.32963900000000002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0.64685300000000001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2.5722400000000002E-4</v>
      </c>
      <c r="C20" s="66">
        <v>1.11336E-2</v>
      </c>
      <c r="D20" s="66">
        <v>43.283700000000003</v>
      </c>
      <c r="E20" s="66">
        <v>0</v>
      </c>
      <c r="F20" s="196">
        <v>1.5691900000000001E-5</v>
      </c>
      <c r="G20" s="66">
        <v>0</v>
      </c>
      <c r="H20" s="66">
        <v>0.106992</v>
      </c>
    </row>
    <row r="21" spans="1:8">
      <c r="A21" s="66" t="s">
        <v>373</v>
      </c>
      <c r="B21" s="66">
        <v>2.3513699999999998E-2</v>
      </c>
      <c r="C21" s="66">
        <v>5.5747499999999998E-2</v>
      </c>
      <c r="D21" s="66">
        <v>2.3708499999999999</v>
      </c>
      <c r="E21" s="66">
        <v>0</v>
      </c>
      <c r="F21" s="66">
        <v>7.2789000000000003E-4</v>
      </c>
      <c r="G21" s="66">
        <v>0</v>
      </c>
      <c r="H21" s="66">
        <v>0.252444</v>
      </c>
    </row>
    <row r="22" spans="1:8">
      <c r="A22" s="66" t="s">
        <v>374</v>
      </c>
      <c r="B22" s="66">
        <v>29.1694</v>
      </c>
      <c r="C22" s="66">
        <v>9.2943700000000007</v>
      </c>
      <c r="D22" s="66">
        <v>0.31863399999999997</v>
      </c>
      <c r="E22" s="66">
        <v>0</v>
      </c>
      <c r="F22" s="66">
        <v>17.229900000000001</v>
      </c>
      <c r="G22" s="66">
        <v>0</v>
      </c>
      <c r="H22" s="66">
        <v>62.901600000000002</v>
      </c>
    </row>
    <row r="23" spans="1:8">
      <c r="A23" s="66" t="s">
        <v>375</v>
      </c>
      <c r="B23" s="66">
        <v>14.3996</v>
      </c>
      <c r="C23" s="66">
        <v>1.0658000000000001</v>
      </c>
      <c r="D23" s="66">
        <v>7.4016299999999993E-2</v>
      </c>
      <c r="E23" s="66">
        <v>0</v>
      </c>
      <c r="F23" s="66">
        <v>12.924300000000001</v>
      </c>
      <c r="G23" s="66">
        <v>0</v>
      </c>
      <c r="H23" s="66">
        <v>17.027799999999999</v>
      </c>
    </row>
    <row r="24" spans="1:8">
      <c r="A24" s="66" t="s">
        <v>376</v>
      </c>
      <c r="B24" s="66">
        <v>3.75984E-4</v>
      </c>
      <c r="C24" s="66">
        <v>6.2953000000000002E-3</v>
      </c>
      <c r="D24" s="66">
        <v>16.743500000000001</v>
      </c>
      <c r="E24" s="66">
        <v>0</v>
      </c>
      <c r="F24" s="66">
        <v>1.0207799999999999E-4</v>
      </c>
      <c r="G24" s="66">
        <v>0</v>
      </c>
      <c r="H24" s="66">
        <v>2.69959E-2</v>
      </c>
    </row>
    <row r="25" spans="1:8">
      <c r="A25" s="66" t="s">
        <v>377</v>
      </c>
      <c r="B25" s="66">
        <v>4.4797700000000003E-2</v>
      </c>
      <c r="C25" s="66">
        <v>2.7479300000000002E-2</v>
      </c>
      <c r="D25" s="66">
        <v>0.61340799999999995</v>
      </c>
      <c r="E25" s="66">
        <v>0</v>
      </c>
      <c r="F25" s="66">
        <v>1.33601E-2</v>
      </c>
      <c r="G25" s="66">
        <v>0</v>
      </c>
      <c r="H25" s="66">
        <v>0.153915</v>
      </c>
    </row>
    <row r="26" spans="1:8">
      <c r="A26" s="66" t="s">
        <v>378</v>
      </c>
      <c r="B26" s="196">
        <v>6.8933800000000001E-5</v>
      </c>
      <c r="C26" s="66">
        <v>7.3672400000000002E-4</v>
      </c>
      <c r="D26" s="66">
        <v>10.6874</v>
      </c>
      <c r="E26" s="66">
        <v>0</v>
      </c>
      <c r="F26" s="196">
        <v>6.5651299999999996E-6</v>
      </c>
      <c r="G26" s="66">
        <v>0</v>
      </c>
      <c r="H26" s="66">
        <v>5.5376799999999997E-3</v>
      </c>
    </row>
    <row r="27" spans="1:8">
      <c r="A27" s="66" t="s">
        <v>379</v>
      </c>
      <c r="B27" s="196">
        <v>-3.2825599999999999E-6</v>
      </c>
      <c r="C27" s="66">
        <v>5.7173100000000002E-4</v>
      </c>
      <c r="D27" s="66">
        <v>-174.172</v>
      </c>
      <c r="E27" s="66">
        <v>0</v>
      </c>
      <c r="F27" s="66">
        <v>-4.7695599999999999E-3</v>
      </c>
      <c r="G27" s="66">
        <v>0</v>
      </c>
      <c r="H27" s="66">
        <v>4.0112899999999998E-3</v>
      </c>
    </row>
    <row r="28" spans="1:8">
      <c r="A28" s="66" t="s">
        <v>380</v>
      </c>
      <c r="B28" s="66">
        <v>4.1715500000000004E-3</v>
      </c>
      <c r="C28" s="66">
        <v>6.6659199999999997E-3</v>
      </c>
      <c r="D28" s="66">
        <v>1.59795</v>
      </c>
      <c r="E28" s="66">
        <v>0</v>
      </c>
      <c r="F28" s="66">
        <v>1.7252599999999999E-4</v>
      </c>
      <c r="G28" s="66">
        <v>0</v>
      </c>
      <c r="H28" s="66">
        <v>3.1061200000000001E-2</v>
      </c>
    </row>
    <row r="29" spans="1:8">
      <c r="A29" s="66" t="s">
        <v>381</v>
      </c>
      <c r="B29" s="66">
        <v>67.421499999999995</v>
      </c>
      <c r="C29" s="66">
        <v>7.6540699999999999</v>
      </c>
      <c r="D29" s="66">
        <v>0.113526</v>
      </c>
      <c r="E29" s="66">
        <v>0</v>
      </c>
      <c r="F29" s="66">
        <v>48.919899999999998</v>
      </c>
      <c r="G29" s="66">
        <v>0</v>
      </c>
      <c r="H29" s="66">
        <v>87.472300000000004</v>
      </c>
    </row>
    <row r="30" spans="1:8">
      <c r="A30" s="66" t="s">
        <v>382</v>
      </c>
      <c r="B30" s="66">
        <v>20.555</v>
      </c>
      <c r="C30" s="66">
        <v>4.5941900000000002</v>
      </c>
      <c r="D30" s="66">
        <v>0.22350700000000001</v>
      </c>
      <c r="E30" s="66">
        <v>0</v>
      </c>
      <c r="F30" s="66">
        <v>11.9056</v>
      </c>
      <c r="G30" s="66">
        <v>0</v>
      </c>
      <c r="H30" s="66">
        <v>26.572700000000001</v>
      </c>
    </row>
    <row r="31" spans="1:8">
      <c r="A31" s="66" t="s">
        <v>383</v>
      </c>
      <c r="B31" s="66">
        <v>173.42699999999999</v>
      </c>
      <c r="C31" s="66">
        <v>49.103499999999997</v>
      </c>
      <c r="D31" s="66">
        <v>0.28313700000000003</v>
      </c>
      <c r="E31" s="66">
        <v>0</v>
      </c>
      <c r="F31" s="66">
        <v>88.2791</v>
      </c>
      <c r="G31" s="66">
        <v>0</v>
      </c>
      <c r="H31" s="66">
        <v>238.07499999999999</v>
      </c>
    </row>
    <row r="32" spans="1:8">
      <c r="A32" s="66" t="s">
        <v>384</v>
      </c>
      <c r="B32" s="66">
        <v>0.26495999999999997</v>
      </c>
      <c r="C32" s="66">
        <v>4.6116699999999997E-2</v>
      </c>
      <c r="D32" s="66">
        <v>0.17405100000000001</v>
      </c>
      <c r="E32" s="66">
        <v>0.15</v>
      </c>
      <c r="F32" s="66">
        <v>0.15256400000000001</v>
      </c>
      <c r="G32" s="66">
        <v>0.4</v>
      </c>
      <c r="H32" s="66">
        <v>0.39322800000000002</v>
      </c>
    </row>
    <row r="33" spans="1:8">
      <c r="A33" s="66" t="s">
        <v>385</v>
      </c>
      <c r="B33" s="66">
        <v>0.44356400000000001</v>
      </c>
      <c r="C33" s="66">
        <v>2.4777400000000002E-2</v>
      </c>
      <c r="D33" s="66">
        <v>5.5859699999999998E-2</v>
      </c>
      <c r="E33" s="66">
        <v>0</v>
      </c>
      <c r="F33" s="66">
        <v>0.33306000000000002</v>
      </c>
      <c r="G33" s="66">
        <v>0</v>
      </c>
      <c r="H33" s="66">
        <v>0.47162700000000002</v>
      </c>
    </row>
    <row r="34" spans="1:8">
      <c r="A34" s="66" t="s">
        <v>386</v>
      </c>
      <c r="B34" s="66">
        <v>0.21265899999999999</v>
      </c>
      <c r="C34" s="66">
        <v>2.70561E-2</v>
      </c>
      <c r="D34" s="66">
        <v>0.12722800000000001</v>
      </c>
      <c r="E34" s="66">
        <v>0.1</v>
      </c>
      <c r="F34" s="66">
        <v>0.16042200000000001</v>
      </c>
      <c r="G34" s="66">
        <v>0.25</v>
      </c>
      <c r="H34" s="66">
        <v>0.27234700000000001</v>
      </c>
    </row>
    <row r="35" spans="1:8">
      <c r="A35" s="66" t="s">
        <v>387</v>
      </c>
      <c r="B35" s="66">
        <v>8.4705699999999995E-2</v>
      </c>
      <c r="C35" s="66">
        <v>2.0568099999999999E-2</v>
      </c>
      <c r="D35" s="66">
        <v>0.24281800000000001</v>
      </c>
      <c r="E35" s="66">
        <v>0</v>
      </c>
      <c r="F35" s="66">
        <v>3.9830200000000003E-2</v>
      </c>
      <c r="G35" s="66">
        <v>0</v>
      </c>
      <c r="H35" s="66">
        <v>0.14246500000000001</v>
      </c>
    </row>
    <row r="36" spans="1:8">
      <c r="A36" s="66" t="s">
        <v>388</v>
      </c>
      <c r="B36" s="66">
        <v>0.19536300000000001</v>
      </c>
      <c r="C36" s="66">
        <v>9.73334E-2</v>
      </c>
      <c r="D36" s="66">
        <v>0.49821799999999999</v>
      </c>
      <c r="E36" s="66">
        <v>0</v>
      </c>
      <c r="F36" s="66">
        <v>4.0490699999999998E-2</v>
      </c>
      <c r="G36" s="66">
        <v>0</v>
      </c>
      <c r="H36" s="66">
        <v>0.51041899999999996</v>
      </c>
    </row>
    <row r="37" spans="1:8">
      <c r="A37" s="66" t="s">
        <v>389</v>
      </c>
      <c r="B37" s="66">
        <v>0.270561</v>
      </c>
      <c r="C37" s="66">
        <v>7.6999899999999996E-2</v>
      </c>
      <c r="D37" s="66">
        <v>0.28459299999999998</v>
      </c>
      <c r="E37" s="66">
        <v>0.1</v>
      </c>
      <c r="F37" s="66">
        <v>3.1229199999999999E-2</v>
      </c>
      <c r="G37" s="66">
        <v>0.5</v>
      </c>
      <c r="H37" s="66">
        <v>0.35066199999999997</v>
      </c>
    </row>
    <row r="38" spans="1:8">
      <c r="A38" s="66" t="s">
        <v>390</v>
      </c>
      <c r="B38" s="66">
        <v>-3.70065</v>
      </c>
      <c r="C38" s="66">
        <v>38.531799999999997</v>
      </c>
      <c r="D38" s="66">
        <v>-10.412100000000001</v>
      </c>
      <c r="E38" s="66">
        <v>0</v>
      </c>
      <c r="F38" s="66">
        <v>-198.45699999999999</v>
      </c>
      <c r="G38" s="66">
        <v>0</v>
      </c>
      <c r="H38" s="66">
        <v>103.84099999999999</v>
      </c>
    </row>
    <row r="39" spans="1:8">
      <c r="A39" s="66" t="s">
        <v>391</v>
      </c>
      <c r="B39" s="66">
        <v>-3.9669500000000002</v>
      </c>
      <c r="C39" s="66">
        <v>2.7026500000000002</v>
      </c>
      <c r="D39" s="66">
        <v>-0.68129300000000004</v>
      </c>
      <c r="E39" s="66">
        <v>0</v>
      </c>
      <c r="F39" s="66">
        <v>-10.832700000000001</v>
      </c>
      <c r="G39" s="66">
        <v>0</v>
      </c>
      <c r="H39" s="66">
        <v>5.8689999999999998</v>
      </c>
    </row>
    <row r="40" spans="1:8">
      <c r="A40" s="66" t="s">
        <v>392</v>
      </c>
      <c r="B40" s="66">
        <v>-1.4410000000000001</v>
      </c>
      <c r="C40" s="66">
        <v>0.80781199999999997</v>
      </c>
      <c r="D40" s="66">
        <v>-0.56059000000000003</v>
      </c>
      <c r="E40" s="66">
        <v>0</v>
      </c>
      <c r="F40" s="66">
        <v>-2.60514</v>
      </c>
      <c r="G40" s="66">
        <v>0</v>
      </c>
      <c r="H40" s="66">
        <v>-0.30398900000000001</v>
      </c>
    </row>
    <row r="41" spans="1:8">
      <c r="A41" s="66" t="s">
        <v>393</v>
      </c>
      <c r="B41" s="66">
        <v>-5.8625299999999998E-2</v>
      </c>
      <c r="C41" s="66">
        <v>0.36124499999999998</v>
      </c>
      <c r="D41" s="66">
        <v>-6.1619299999999999</v>
      </c>
      <c r="E41" s="66">
        <v>0</v>
      </c>
      <c r="F41" s="66">
        <v>-0.809091</v>
      </c>
      <c r="G41" s="66">
        <v>0</v>
      </c>
      <c r="H41" s="66">
        <v>1</v>
      </c>
    </row>
    <row r="42" spans="1:8">
      <c r="A42" s="66" t="s">
        <v>394</v>
      </c>
      <c r="B42" s="66">
        <v>-0.176261</v>
      </c>
      <c r="C42" s="66">
        <v>8.5299100000000003E-2</v>
      </c>
      <c r="D42" s="66">
        <v>-0.48393599999999998</v>
      </c>
      <c r="E42" s="66">
        <v>0</v>
      </c>
      <c r="F42" s="66">
        <v>-0.40757599999999999</v>
      </c>
      <c r="G42" s="66">
        <v>0</v>
      </c>
      <c r="H42" s="66">
        <v>8.5763099999999995E-2</v>
      </c>
    </row>
    <row r="43" spans="1:8">
      <c r="A43" s="66" t="s">
        <v>395</v>
      </c>
      <c r="B43" s="66">
        <v>-4.5862100000000003E-2</v>
      </c>
      <c r="C43" s="66">
        <v>9.7647200000000003E-2</v>
      </c>
      <c r="D43" s="66">
        <v>-2.1291500000000001</v>
      </c>
      <c r="E43" s="66">
        <v>0</v>
      </c>
      <c r="F43" s="66">
        <v>-0.17430100000000001</v>
      </c>
      <c r="G43" s="66">
        <v>0</v>
      </c>
      <c r="H43" s="66">
        <v>7.0867399999999997E-2</v>
      </c>
    </row>
    <row r="44" spans="1:8">
      <c r="A44" s="66" t="s">
        <v>396</v>
      </c>
      <c r="B44" s="66">
        <v>46.889600000000002</v>
      </c>
      <c r="C44" s="66">
        <v>15.099500000000001</v>
      </c>
      <c r="D44" s="66">
        <v>0.322023</v>
      </c>
      <c r="E44" s="66">
        <v>0</v>
      </c>
      <c r="F44" s="66">
        <v>28.450099999999999</v>
      </c>
      <c r="G44" s="66">
        <v>0</v>
      </c>
      <c r="H44" s="66">
        <v>78.621499999999997</v>
      </c>
    </row>
    <row r="45" spans="1:8">
      <c r="A45" s="66" t="s">
        <v>397</v>
      </c>
      <c r="B45" s="66">
        <v>57.521599999999999</v>
      </c>
      <c r="C45" s="66">
        <v>5.5568</v>
      </c>
      <c r="D45" s="66">
        <v>9.6603800000000004E-2</v>
      </c>
      <c r="E45" s="66">
        <v>0</v>
      </c>
      <c r="F45" s="66">
        <v>44.736899999999999</v>
      </c>
      <c r="G45" s="66">
        <v>0</v>
      </c>
      <c r="H45" s="66">
        <v>70.688199999999995</v>
      </c>
    </row>
    <row r="46" spans="1:8">
      <c r="A46" s="66" t="s">
        <v>398</v>
      </c>
      <c r="B46" s="66">
        <v>33.585099999999997</v>
      </c>
      <c r="C46" s="66">
        <v>6.3469699999999998</v>
      </c>
      <c r="D46" s="66">
        <v>0.18898200000000001</v>
      </c>
      <c r="E46" s="66">
        <v>0</v>
      </c>
      <c r="F46" s="66">
        <v>13.5075</v>
      </c>
      <c r="G46" s="66">
        <v>0</v>
      </c>
      <c r="H46" s="66">
        <v>35.768900000000002</v>
      </c>
    </row>
    <row r="47" spans="1:8">
      <c r="A47" s="66" t="s">
        <v>399</v>
      </c>
      <c r="B47" s="66">
        <v>0.50903600000000004</v>
      </c>
      <c r="C47" s="66">
        <v>0.23432</v>
      </c>
      <c r="D47" s="66">
        <v>0.46032000000000001</v>
      </c>
      <c r="E47" s="66">
        <v>0</v>
      </c>
      <c r="F47" s="66">
        <v>0.27504899999999999</v>
      </c>
      <c r="G47" s="66">
        <v>0</v>
      </c>
      <c r="H47" s="66">
        <v>1.36005</v>
      </c>
    </row>
    <row r="48" spans="1:8">
      <c r="A48" s="66" t="s">
        <v>400</v>
      </c>
      <c r="B48" s="66">
        <v>0.70229699999999995</v>
      </c>
      <c r="C48" s="66">
        <v>0.158387</v>
      </c>
      <c r="D48" s="66">
        <v>0.22552800000000001</v>
      </c>
      <c r="E48" s="66">
        <v>0</v>
      </c>
      <c r="F48" s="66">
        <v>0.53792499999999999</v>
      </c>
      <c r="G48" s="66">
        <v>0</v>
      </c>
      <c r="H48" s="66">
        <v>1.0381899999999999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401</v>
      </c>
      <c r="B1" s="66" t="s">
        <v>403</v>
      </c>
      <c r="C1" s="66" t="s">
        <v>404</v>
      </c>
      <c r="D1" s="66" t="s">
        <v>405</v>
      </c>
      <c r="E1" s="66" t="s">
        <v>406</v>
      </c>
      <c r="F1" s="66" t="s">
        <v>407</v>
      </c>
      <c r="G1" s="66" t="s">
        <v>408</v>
      </c>
      <c r="H1" s="66" t="s">
        <v>409</v>
      </c>
    </row>
    <row r="2" spans="1:8">
      <c r="A2" s="66" t="s">
        <v>402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410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411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412</v>
      </c>
      <c r="B5" s="66">
        <v>41.079700000000003</v>
      </c>
      <c r="C5" s="66">
        <v>4.5183600000000004</v>
      </c>
      <c r="D5" s="66">
        <v>10.999000000000001</v>
      </c>
      <c r="E5" s="66">
        <v>20</v>
      </c>
      <c r="F5" s="66">
        <v>28.8432</v>
      </c>
      <c r="G5" s="66">
        <v>50</v>
      </c>
      <c r="H5" s="66">
        <v>53.957700000000003</v>
      </c>
    </row>
    <row r="6" spans="1:8">
      <c r="A6" s="66" t="s">
        <v>413</v>
      </c>
      <c r="B6" s="66">
        <v>45.5105</v>
      </c>
      <c r="C6" s="66">
        <v>1.6516299999999999</v>
      </c>
      <c r="D6" s="66">
        <v>3.6291199999999999</v>
      </c>
      <c r="E6" s="66">
        <v>20</v>
      </c>
      <c r="F6" s="66">
        <v>40.505099999999999</v>
      </c>
      <c r="G6" s="66">
        <v>40</v>
      </c>
      <c r="H6" s="66">
        <v>49.7209</v>
      </c>
    </row>
    <row r="7" spans="1:8">
      <c r="A7" s="66" t="s">
        <v>414</v>
      </c>
      <c r="B7" s="66">
        <v>27.736999999999998</v>
      </c>
      <c r="C7" s="66">
        <v>4.8476699999999999</v>
      </c>
      <c r="D7" s="66">
        <v>17.4773</v>
      </c>
      <c r="E7" s="66">
        <v>15</v>
      </c>
      <c r="F7" s="66">
        <v>12.195399999999999</v>
      </c>
      <c r="G7" s="66">
        <v>40</v>
      </c>
      <c r="H7" s="66">
        <v>46.235700000000001</v>
      </c>
    </row>
    <row r="8" spans="1:8">
      <c r="A8" s="66" t="s">
        <v>415</v>
      </c>
      <c r="B8" s="66">
        <v>38.578400000000002</v>
      </c>
      <c r="C8" s="66">
        <v>2.4324599999999998</v>
      </c>
      <c r="D8" s="66">
        <v>6.3052299999999999</v>
      </c>
      <c r="E8" s="66">
        <v>20</v>
      </c>
      <c r="F8" s="66">
        <v>33.644100000000002</v>
      </c>
      <c r="G8" s="66">
        <v>50</v>
      </c>
      <c r="H8" s="66">
        <v>43.170200000000001</v>
      </c>
    </row>
    <row r="9" spans="1:8">
      <c r="A9" s="66" t="s">
        <v>416</v>
      </c>
      <c r="B9" s="66">
        <v>58.991</v>
      </c>
      <c r="C9" s="66">
        <v>3.5529500000000001</v>
      </c>
      <c r="D9" s="66">
        <v>6.0228799999999998</v>
      </c>
      <c r="E9" s="66">
        <v>50</v>
      </c>
      <c r="F9" s="66">
        <v>50.712000000000003</v>
      </c>
      <c r="G9" s="66">
        <v>100</v>
      </c>
      <c r="H9" s="66">
        <v>67.401300000000006</v>
      </c>
    </row>
    <row r="10" spans="1:8">
      <c r="A10" s="66" t="s">
        <v>417</v>
      </c>
      <c r="B10" s="66">
        <v>37.822600000000001</v>
      </c>
      <c r="C10" s="66">
        <v>8.7296099999999992</v>
      </c>
      <c r="D10" s="66">
        <v>23.080400000000001</v>
      </c>
      <c r="E10" s="66">
        <v>40</v>
      </c>
      <c r="F10" s="66">
        <v>25.671199999999999</v>
      </c>
      <c r="G10" s="66">
        <v>100</v>
      </c>
      <c r="H10" s="66">
        <v>54.396599999999999</v>
      </c>
    </row>
    <row r="11" spans="1:8">
      <c r="A11" s="66" t="s">
        <v>418</v>
      </c>
      <c r="B11" s="66">
        <v>13.4671</v>
      </c>
      <c r="C11" s="66">
        <v>1.05497</v>
      </c>
      <c r="D11" s="66">
        <v>7.8336399999999999</v>
      </c>
      <c r="E11" s="66">
        <v>10</v>
      </c>
      <c r="F11" s="66">
        <v>12.4552</v>
      </c>
      <c r="G11" s="66">
        <v>50</v>
      </c>
      <c r="H11" s="66">
        <v>17.508900000000001</v>
      </c>
    </row>
    <row r="12" spans="1:8">
      <c r="A12" s="66" t="s">
        <v>419</v>
      </c>
      <c r="B12" s="66">
        <v>48.688800000000001</v>
      </c>
      <c r="C12" s="66">
        <v>5.82477</v>
      </c>
      <c r="D12" s="66">
        <v>11.9633</v>
      </c>
      <c r="E12" s="66">
        <v>50</v>
      </c>
      <c r="F12" s="66">
        <v>38.938000000000002</v>
      </c>
      <c r="G12" s="66">
        <v>100</v>
      </c>
      <c r="H12" s="66">
        <v>58.119799999999998</v>
      </c>
    </row>
    <row r="13" spans="1:8">
      <c r="A13" s="66" t="s">
        <v>420</v>
      </c>
      <c r="B13" s="66">
        <v>17.045999999999999</v>
      </c>
      <c r="C13" s="66">
        <v>2.1646999999999998</v>
      </c>
      <c r="D13" s="66">
        <v>12.6991</v>
      </c>
      <c r="E13" s="66">
        <v>10</v>
      </c>
      <c r="F13" s="66">
        <v>12.6747</v>
      </c>
      <c r="G13" s="66">
        <v>25</v>
      </c>
      <c r="H13" s="66">
        <v>23.0594</v>
      </c>
    </row>
    <row r="14" spans="1:8">
      <c r="A14" s="66" t="s">
        <v>421</v>
      </c>
      <c r="B14" s="66">
        <v>21.646999999999998</v>
      </c>
      <c r="C14" s="66">
        <v>11.8368</v>
      </c>
      <c r="D14" s="66">
        <v>54.680900000000001</v>
      </c>
      <c r="E14" s="66">
        <v>10</v>
      </c>
      <c r="F14" s="66">
        <v>2.3743699999999999</v>
      </c>
      <c r="G14" s="66">
        <v>50</v>
      </c>
      <c r="H14" s="66">
        <v>34.811999999999998</v>
      </c>
    </row>
    <row r="15" spans="1:8">
      <c r="A15" s="66" t="s">
        <v>422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423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424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425</v>
      </c>
      <c r="B18" s="66">
        <v>0.466559</v>
      </c>
      <c r="C18" s="66">
        <v>1.71904E-3</v>
      </c>
      <c r="D18" s="66">
        <v>3.6845100000000002E-3</v>
      </c>
      <c r="E18" s="66">
        <v>0</v>
      </c>
      <c r="F18" s="66">
        <v>0.46483999999999998</v>
      </c>
      <c r="G18" s="66">
        <v>0</v>
      </c>
      <c r="H18" s="66">
        <v>0.46827800000000003</v>
      </c>
    </row>
    <row r="19" spans="1:8">
      <c r="A19" s="66" t="s">
        <v>426</v>
      </c>
      <c r="B19" s="66">
        <v>0.65005000000000002</v>
      </c>
      <c r="C19" s="66">
        <v>3.1322900000000001E-2</v>
      </c>
      <c r="D19" s="66">
        <v>4.81853E-2</v>
      </c>
      <c r="E19" s="66">
        <v>0</v>
      </c>
      <c r="F19" s="66">
        <v>0.61872700000000003</v>
      </c>
      <c r="G19" s="66">
        <v>0</v>
      </c>
      <c r="H19" s="66">
        <v>0.68137300000000001</v>
      </c>
    </row>
    <row r="20" spans="1:8">
      <c r="A20" s="66" t="s">
        <v>427</v>
      </c>
      <c r="B20" s="66">
        <v>4.1830099999999999E-4</v>
      </c>
      <c r="C20" s="66">
        <v>1.02486E-2</v>
      </c>
      <c r="D20" s="66">
        <v>24.500399999999999</v>
      </c>
      <c r="E20" s="66">
        <v>0</v>
      </c>
      <c r="F20" s="196">
        <v>2.85519E-5</v>
      </c>
      <c r="G20" s="66">
        <v>0</v>
      </c>
      <c r="H20" s="66">
        <v>8.4801500000000002E-2</v>
      </c>
    </row>
    <row r="21" spans="1:8">
      <c r="A21" s="66" t="s">
        <v>428</v>
      </c>
      <c r="B21" s="66">
        <v>1.7449699999999999E-2</v>
      </c>
      <c r="C21" s="66">
        <v>3.7841399999999997E-2</v>
      </c>
      <c r="D21" s="66">
        <v>2.1686000000000001</v>
      </c>
      <c r="E21" s="66">
        <v>0</v>
      </c>
      <c r="F21" s="66">
        <v>4.0695199999999998E-4</v>
      </c>
      <c r="G21" s="66">
        <v>0</v>
      </c>
      <c r="H21" s="66">
        <v>0.21054</v>
      </c>
    </row>
    <row r="22" spans="1:8">
      <c r="A22" s="66" t="s">
        <v>429</v>
      </c>
      <c r="B22" s="66">
        <v>34.467799999999997</v>
      </c>
      <c r="C22" s="66">
        <v>12.6408</v>
      </c>
      <c r="D22" s="66">
        <v>0.36674299999999999</v>
      </c>
      <c r="E22" s="66">
        <v>0</v>
      </c>
      <c r="F22" s="66">
        <v>18.553899999999999</v>
      </c>
      <c r="G22" s="66">
        <v>0</v>
      </c>
      <c r="H22" s="66">
        <v>59.430599999999998</v>
      </c>
    </row>
    <row r="23" spans="1:8">
      <c r="A23" s="66" t="s">
        <v>430</v>
      </c>
      <c r="B23" s="66">
        <v>18.120799999999999</v>
      </c>
      <c r="C23" s="66">
        <v>2.1280000000000001</v>
      </c>
      <c r="D23" s="66">
        <v>0.117434</v>
      </c>
      <c r="E23" s="66">
        <v>0</v>
      </c>
      <c r="F23" s="66">
        <v>13.8133</v>
      </c>
      <c r="G23" s="66">
        <v>0</v>
      </c>
      <c r="H23" s="66">
        <v>21.757000000000001</v>
      </c>
    </row>
    <row r="24" spans="1:8">
      <c r="A24" s="66" t="s">
        <v>431</v>
      </c>
      <c r="B24" s="66">
        <v>5.3056999999999996E-4</v>
      </c>
      <c r="C24" s="66">
        <v>5.8887899999999996E-3</v>
      </c>
      <c r="D24" s="66">
        <v>11.099</v>
      </c>
      <c r="E24" s="66">
        <v>0</v>
      </c>
      <c r="F24" s="66">
        <v>1.16494E-4</v>
      </c>
      <c r="G24" s="66">
        <v>0</v>
      </c>
      <c r="H24" s="66">
        <v>2.53858E-2</v>
      </c>
    </row>
    <row r="25" spans="1:8">
      <c r="A25" s="66" t="s">
        <v>432</v>
      </c>
      <c r="B25" s="66">
        <v>2.9611599999999998E-2</v>
      </c>
      <c r="C25" s="66">
        <v>1.21633E-2</v>
      </c>
      <c r="D25" s="66">
        <v>0.41076200000000002</v>
      </c>
      <c r="E25" s="66">
        <v>0</v>
      </c>
      <c r="F25" s="66">
        <v>1.16931E-2</v>
      </c>
      <c r="G25" s="66">
        <v>0</v>
      </c>
      <c r="H25" s="66">
        <v>6.6722900000000002E-2</v>
      </c>
    </row>
    <row r="26" spans="1:8">
      <c r="A26" s="66" t="s">
        <v>433</v>
      </c>
      <c r="B26" s="196">
        <v>9.5194300000000004E-5</v>
      </c>
      <c r="C26" s="66">
        <v>7.0611700000000003E-4</v>
      </c>
      <c r="D26" s="66">
        <v>7.4176399999999996</v>
      </c>
      <c r="E26" s="66">
        <v>0</v>
      </c>
      <c r="F26" s="196">
        <v>9.8476899999999999E-6</v>
      </c>
      <c r="G26" s="66">
        <v>0</v>
      </c>
      <c r="H26" s="66">
        <v>4.7006299999999999E-3</v>
      </c>
    </row>
    <row r="27" spans="1:8">
      <c r="A27" s="66" t="s">
        <v>434</v>
      </c>
      <c r="B27" s="196">
        <v>-3.2825599999999999E-6</v>
      </c>
      <c r="C27" s="66">
        <v>5.87278E-4</v>
      </c>
      <c r="D27" s="66">
        <v>-178.90799999999999</v>
      </c>
      <c r="E27" s="66">
        <v>0</v>
      </c>
      <c r="F27" s="66">
        <v>-4.1393100000000002E-3</v>
      </c>
      <c r="G27" s="66">
        <v>0</v>
      </c>
      <c r="H27" s="66">
        <v>3.6502100000000001E-3</v>
      </c>
    </row>
    <row r="28" spans="1:8">
      <c r="A28" s="66" t="s">
        <v>435</v>
      </c>
      <c r="B28" s="66">
        <v>3.2942700000000002E-3</v>
      </c>
      <c r="C28" s="66">
        <v>3.3345499999999999E-3</v>
      </c>
      <c r="D28" s="66">
        <v>1.01223</v>
      </c>
      <c r="E28" s="66">
        <v>0</v>
      </c>
      <c r="F28" s="66">
        <v>1.17187E-4</v>
      </c>
      <c r="G28" s="66">
        <v>0</v>
      </c>
      <c r="H28" s="66">
        <v>1.7460900000000001E-2</v>
      </c>
    </row>
    <row r="29" spans="1:8">
      <c r="A29" s="66" t="s">
        <v>436</v>
      </c>
      <c r="B29" s="66">
        <v>65.943100000000001</v>
      </c>
      <c r="C29" s="66">
        <v>6.7795100000000001</v>
      </c>
      <c r="D29" s="66">
        <v>0.102809</v>
      </c>
      <c r="E29" s="66">
        <v>0</v>
      </c>
      <c r="F29" s="66">
        <v>46.951999999999998</v>
      </c>
      <c r="G29" s="66">
        <v>0</v>
      </c>
      <c r="H29" s="66">
        <v>82.735600000000005</v>
      </c>
    </row>
    <row r="30" spans="1:8">
      <c r="A30" s="66" t="s">
        <v>437</v>
      </c>
      <c r="B30" s="66">
        <v>27.0136</v>
      </c>
      <c r="C30" s="66">
        <v>1.7159199999999999</v>
      </c>
      <c r="D30" s="66">
        <v>6.3520800000000002E-2</v>
      </c>
      <c r="E30" s="66">
        <v>0</v>
      </c>
      <c r="F30" s="66">
        <v>23.657699999999998</v>
      </c>
      <c r="G30" s="66">
        <v>0</v>
      </c>
      <c r="H30" s="66">
        <v>30.483699999999999</v>
      </c>
    </row>
    <row r="31" spans="1:8">
      <c r="A31" s="66" t="s">
        <v>438</v>
      </c>
      <c r="B31" s="66">
        <v>175.89500000000001</v>
      </c>
      <c r="C31" s="66">
        <v>35.054099999999998</v>
      </c>
      <c r="D31" s="66">
        <v>0.19928999999999999</v>
      </c>
      <c r="E31" s="66">
        <v>0</v>
      </c>
      <c r="F31" s="66">
        <v>107.143</v>
      </c>
      <c r="G31" s="66">
        <v>0</v>
      </c>
      <c r="H31" s="66">
        <v>230.40700000000001</v>
      </c>
    </row>
    <row r="32" spans="1:8">
      <c r="A32" s="66" t="s">
        <v>439</v>
      </c>
      <c r="B32" s="66">
        <v>0.27737000000000001</v>
      </c>
      <c r="C32" s="66">
        <v>4.8476699999999998E-2</v>
      </c>
      <c r="D32" s="66">
        <v>0.17477300000000001</v>
      </c>
      <c r="E32" s="66">
        <v>0.15</v>
      </c>
      <c r="F32" s="66">
        <v>0.12195400000000001</v>
      </c>
      <c r="G32" s="66">
        <v>0.4</v>
      </c>
      <c r="H32" s="66">
        <v>0.46235700000000002</v>
      </c>
    </row>
    <row r="33" spans="1:8">
      <c r="A33" s="66" t="s">
        <v>440</v>
      </c>
      <c r="B33" s="66">
        <v>0.45433699999999999</v>
      </c>
      <c r="C33" s="66">
        <v>2.38937E-2</v>
      </c>
      <c r="D33" s="66">
        <v>5.25903E-2</v>
      </c>
      <c r="E33" s="66">
        <v>0</v>
      </c>
      <c r="F33" s="66">
        <v>0.40371200000000002</v>
      </c>
      <c r="G33" s="66">
        <v>0</v>
      </c>
      <c r="H33" s="66">
        <v>0.50527299999999997</v>
      </c>
    </row>
    <row r="34" spans="1:8">
      <c r="A34" s="66" t="s">
        <v>441</v>
      </c>
      <c r="B34" s="66">
        <v>0.17046</v>
      </c>
      <c r="C34" s="66">
        <v>2.1647E-2</v>
      </c>
      <c r="D34" s="66">
        <v>0.12699099999999999</v>
      </c>
      <c r="E34" s="66">
        <v>0.1</v>
      </c>
      <c r="F34" s="66">
        <v>0.126747</v>
      </c>
      <c r="G34" s="66">
        <v>0.25</v>
      </c>
      <c r="H34" s="66">
        <v>0.23059399999999999</v>
      </c>
    </row>
    <row r="35" spans="1:8">
      <c r="A35" s="66" t="s">
        <v>442</v>
      </c>
      <c r="B35" s="66">
        <v>7.3213500000000001E-2</v>
      </c>
      <c r="C35" s="66">
        <v>2.1443400000000001E-2</v>
      </c>
      <c r="D35" s="66">
        <v>0.29288799999999998</v>
      </c>
      <c r="E35" s="66">
        <v>0</v>
      </c>
      <c r="F35" s="66">
        <v>3.9397300000000003E-2</v>
      </c>
      <c r="G35" s="66">
        <v>0</v>
      </c>
      <c r="H35" s="66">
        <v>0.146703</v>
      </c>
    </row>
    <row r="36" spans="1:8">
      <c r="A36" s="66" t="s">
        <v>443</v>
      </c>
      <c r="B36" s="66">
        <v>0.153394</v>
      </c>
      <c r="C36" s="66">
        <v>8.1920300000000001E-2</v>
      </c>
      <c r="D36" s="66">
        <v>0.534053</v>
      </c>
      <c r="E36" s="66">
        <v>0</v>
      </c>
      <c r="F36" s="66">
        <v>3.48271E-2</v>
      </c>
      <c r="G36" s="66">
        <v>0</v>
      </c>
      <c r="H36" s="66">
        <v>0.43870199999999998</v>
      </c>
    </row>
    <row r="37" spans="1:8">
      <c r="A37" s="66" t="s">
        <v>444</v>
      </c>
      <c r="B37" s="66">
        <v>0.21647</v>
      </c>
      <c r="C37" s="66">
        <v>0.118368</v>
      </c>
      <c r="D37" s="66">
        <v>0.54680899999999999</v>
      </c>
      <c r="E37" s="66">
        <v>0.1</v>
      </c>
      <c r="F37" s="66">
        <v>2.37437E-2</v>
      </c>
      <c r="G37" s="66">
        <v>0.5</v>
      </c>
      <c r="H37" s="66">
        <v>0.34811999999999999</v>
      </c>
    </row>
    <row r="38" spans="1:8">
      <c r="A38" s="66" t="s">
        <v>445</v>
      </c>
      <c r="B38" s="66">
        <v>-17.564599999999999</v>
      </c>
      <c r="C38" s="66">
        <v>60.8718</v>
      </c>
      <c r="D38" s="66">
        <v>-3.4655999999999998</v>
      </c>
      <c r="E38" s="66">
        <v>0</v>
      </c>
      <c r="F38" s="66">
        <v>-259.06099999999998</v>
      </c>
      <c r="G38" s="66">
        <v>0</v>
      </c>
      <c r="H38" s="66">
        <v>167.934</v>
      </c>
    </row>
    <row r="39" spans="1:8">
      <c r="A39" s="66" t="s">
        <v>446</v>
      </c>
      <c r="B39" s="66">
        <v>-6.1519300000000001</v>
      </c>
      <c r="C39" s="66">
        <v>3.89981</v>
      </c>
      <c r="D39" s="66">
        <v>-0.63391600000000004</v>
      </c>
      <c r="E39" s="66">
        <v>0</v>
      </c>
      <c r="F39" s="66">
        <v>-19.252800000000001</v>
      </c>
      <c r="G39" s="66">
        <v>0</v>
      </c>
      <c r="H39" s="66">
        <v>2.3005599999999999</v>
      </c>
    </row>
    <row r="40" spans="1:8">
      <c r="A40" s="66" t="s">
        <v>447</v>
      </c>
      <c r="B40" s="66">
        <v>-2.3207399999999998</v>
      </c>
      <c r="C40" s="66">
        <v>1.0690299999999999</v>
      </c>
      <c r="D40" s="66">
        <v>-0.460644</v>
      </c>
      <c r="E40" s="66">
        <v>0</v>
      </c>
      <c r="F40" s="66">
        <v>-4.5751999999999997</v>
      </c>
      <c r="G40" s="66">
        <v>0</v>
      </c>
      <c r="H40" s="66">
        <v>-1.25911</v>
      </c>
    </row>
    <row r="41" spans="1:8">
      <c r="A41" s="66" t="s">
        <v>448</v>
      </c>
      <c r="B41" s="66">
        <v>-0.107779</v>
      </c>
      <c r="C41" s="66">
        <v>0.43402400000000002</v>
      </c>
      <c r="D41" s="66">
        <v>-4.0269899999999996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449</v>
      </c>
      <c r="B42" s="66">
        <v>-0.208791</v>
      </c>
      <c r="C42" s="66">
        <v>8.8383900000000001E-2</v>
      </c>
      <c r="D42" s="66">
        <v>-0.42331200000000002</v>
      </c>
      <c r="E42" s="66">
        <v>0</v>
      </c>
      <c r="F42" s="66">
        <v>-0.5</v>
      </c>
      <c r="G42" s="66">
        <v>0</v>
      </c>
      <c r="H42" s="66">
        <v>3.2219600000000001E-2</v>
      </c>
    </row>
    <row r="43" spans="1:8">
      <c r="A43" s="66" t="s">
        <v>450</v>
      </c>
      <c r="B43" s="66">
        <v>-0.193687</v>
      </c>
      <c r="C43" s="66">
        <v>3.5839200000000002E-2</v>
      </c>
      <c r="D43" s="66">
        <v>-0.18503700000000001</v>
      </c>
      <c r="E43" s="66">
        <v>0</v>
      </c>
      <c r="F43" s="66">
        <v>-0.29456599999999999</v>
      </c>
      <c r="G43" s="66">
        <v>0</v>
      </c>
      <c r="H43" s="66">
        <v>-0.14821200000000001</v>
      </c>
    </row>
    <row r="44" spans="1:8">
      <c r="A44" s="66" t="s">
        <v>451</v>
      </c>
      <c r="B44" s="66">
        <v>51.915500000000002</v>
      </c>
      <c r="C44" s="66">
        <v>13.3919</v>
      </c>
      <c r="D44" s="66">
        <v>0.25795499999999999</v>
      </c>
      <c r="E44" s="66">
        <v>0</v>
      </c>
      <c r="F44" s="66">
        <v>14.075799999999999</v>
      </c>
      <c r="G44" s="66">
        <v>0</v>
      </c>
      <c r="H44" s="66">
        <v>72.201800000000006</v>
      </c>
    </row>
    <row r="45" spans="1:8">
      <c r="A45" s="66" t="s">
        <v>452</v>
      </c>
      <c r="B45" s="66">
        <v>58.8855</v>
      </c>
      <c r="C45" s="66">
        <v>6.8919800000000002</v>
      </c>
      <c r="D45" s="66">
        <v>0.11704000000000001</v>
      </c>
      <c r="E45" s="66">
        <v>0</v>
      </c>
      <c r="F45" s="66">
        <v>37.100499999999997</v>
      </c>
      <c r="G45" s="66">
        <v>0</v>
      </c>
      <c r="H45" s="66">
        <v>72.119500000000002</v>
      </c>
    </row>
    <row r="46" spans="1:8">
      <c r="A46" s="66" t="s">
        <v>453</v>
      </c>
      <c r="B46" s="66">
        <v>38.726900000000001</v>
      </c>
      <c r="C46" s="66">
        <v>3.1761300000000001</v>
      </c>
      <c r="D46" s="66">
        <v>8.20134E-2</v>
      </c>
      <c r="E46" s="66">
        <v>0</v>
      </c>
      <c r="F46" s="66">
        <v>31.462199999999999</v>
      </c>
      <c r="G46" s="66">
        <v>0</v>
      </c>
      <c r="H46" s="66">
        <v>41.720999999999997</v>
      </c>
    </row>
    <row r="47" spans="1:8">
      <c r="A47" s="66" t="s">
        <v>454</v>
      </c>
      <c r="B47" s="66">
        <v>0.34607500000000002</v>
      </c>
      <c r="C47" s="66">
        <v>8.9414599999999997E-2</v>
      </c>
      <c r="D47" s="66">
        <v>0.25836799999999999</v>
      </c>
      <c r="E47" s="66">
        <v>0</v>
      </c>
      <c r="F47" s="66">
        <v>0.17949599999999999</v>
      </c>
      <c r="G47" s="66">
        <v>0</v>
      </c>
      <c r="H47" s="66">
        <v>0.90942299999999998</v>
      </c>
    </row>
    <row r="48" spans="1:8">
      <c r="A48" s="66" t="s">
        <v>455</v>
      </c>
      <c r="B48" s="66">
        <v>0.459152</v>
      </c>
      <c r="C48" s="66">
        <v>7.8839099999999995E-2</v>
      </c>
      <c r="D48" s="66">
        <v>0.171706</v>
      </c>
      <c r="E48" s="66">
        <v>0</v>
      </c>
      <c r="F48" s="66">
        <v>0.40443400000000002</v>
      </c>
      <c r="G48" s="66">
        <v>0</v>
      </c>
      <c r="H48" s="66">
        <v>0.778451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456</v>
      </c>
      <c r="B1" s="60" t="s">
        <v>457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73.938176874058257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1.4275606251117925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0.66226503165894757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13140</v>
      </c>
      <c r="B8" s="66">
        <v>13140</v>
      </c>
      <c r="D8">
        <f t="shared" si="0"/>
        <v>0.11169955031155164</v>
      </c>
      <c r="E8">
        <f t="shared" si="0"/>
        <v>0.11169955031155164</v>
      </c>
      <c r="G8">
        <f t="shared" ca="1" si="1"/>
        <v>6</v>
      </c>
      <c r="H8">
        <f t="shared" ca="1" si="2"/>
        <v>0.67019730186930981</v>
      </c>
      <c r="I8">
        <f t="shared" ca="1" si="3"/>
        <v>515.55998387749287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15859</v>
      </c>
      <c r="B10" s="66">
        <v>15859</v>
      </c>
      <c r="D10">
        <f t="shared" si="0"/>
        <v>0.13481302651376692</v>
      </c>
      <c r="E10">
        <f t="shared" si="0"/>
        <v>0.13481302651376692</v>
      </c>
      <c r="G10">
        <f t="shared" ca="1" si="1"/>
        <v>8</v>
      </c>
      <c r="H10">
        <f t="shared" ca="1" si="2"/>
        <v>1.0785042121101354</v>
      </c>
      <c r="I10">
        <f t="shared" ca="1" si="3"/>
        <v>586.14589648407843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20631</v>
      </c>
      <c r="B13" s="66">
        <v>20631</v>
      </c>
      <c r="D13">
        <f t="shared" si="0"/>
        <v>0.17537849486131063</v>
      </c>
      <c r="E13">
        <f t="shared" si="0"/>
        <v>0.17537849486131063</v>
      </c>
      <c r="G13">
        <f t="shared" ca="1" si="1"/>
        <v>11</v>
      </c>
      <c r="H13">
        <f t="shared" ca="1" si="2"/>
        <v>1.9291634434744169</v>
      </c>
      <c r="I13">
        <f t="shared" ca="1" si="3"/>
        <v>694.7117681248086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25417</v>
      </c>
      <c r="B15" s="66">
        <v>25417</v>
      </c>
      <c r="D15">
        <f t="shared" si="0"/>
        <v>0.21606297338422434</v>
      </c>
      <c r="E15">
        <f t="shared" si="0"/>
        <v>0.21606297338422434</v>
      </c>
      <c r="G15">
        <f t="shared" ca="1" si="1"/>
        <v>13</v>
      </c>
      <c r="H15">
        <f t="shared" ca="1" si="2"/>
        <v>2.8088186539949165</v>
      </c>
      <c r="I15">
        <f t="shared" ca="1" si="3"/>
        <v>802.34151179013656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29850</v>
      </c>
      <c r="B18" s="66">
        <v>29850</v>
      </c>
      <c r="D18">
        <f t="shared" si="0"/>
        <v>0.25374669534245176</v>
      </c>
      <c r="E18">
        <f t="shared" si="0"/>
        <v>0.25374669534245176</v>
      </c>
      <c r="G18">
        <f t="shared" ca="1" si="1"/>
        <v>16</v>
      </c>
      <c r="H18">
        <f t="shared" ca="1" si="2"/>
        <v>4.0599471254792281</v>
      </c>
      <c r="I18">
        <f t="shared" ca="1" si="3"/>
        <v>851.78511296417219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39400</v>
      </c>
      <c r="B21" s="66">
        <v>39400</v>
      </c>
      <c r="D21">
        <f t="shared" si="0"/>
        <v>0.33492863639841208</v>
      </c>
      <c r="E21">
        <f t="shared" si="0"/>
        <v>0.33492863639841208</v>
      </c>
      <c r="G21">
        <f t="shared" ca="1" si="1"/>
        <v>19</v>
      </c>
      <c r="H21">
        <f t="shared" ca="1" si="2"/>
        <v>6.3636440915698298</v>
      </c>
      <c r="I21">
        <f t="shared" ca="1" si="3"/>
        <v>1010.8827083559186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50193</v>
      </c>
      <c r="B23" s="66">
        <v>50193</v>
      </c>
      <c r="D23">
        <f t="shared" si="0"/>
        <v>0.4266769808818654</v>
      </c>
      <c r="E23">
        <f t="shared" si="0"/>
        <v>0.4266769808818654</v>
      </c>
      <c r="G23">
        <f t="shared" ca="1" si="1"/>
        <v>21</v>
      </c>
      <c r="H23">
        <f t="shared" ca="1" si="2"/>
        <v>8.9602165985191728</v>
      </c>
      <c r="I23">
        <f t="shared" ca="1" si="3"/>
        <v>1195.7411485978766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59889</v>
      </c>
      <c r="B26" s="66">
        <v>59889</v>
      </c>
      <c r="D26">
        <f t="shared" si="0"/>
        <v>0.50910002805239851</v>
      </c>
      <c r="E26">
        <f t="shared" si="0"/>
        <v>0.50910002805239851</v>
      </c>
      <c r="G26">
        <f t="shared" ca="1" si="1"/>
        <v>24</v>
      </c>
      <c r="H26">
        <f t="shared" ca="1" si="2"/>
        <v>12.218400673257564</v>
      </c>
      <c r="I26">
        <f t="shared" ca="1" si="3"/>
        <v>1269.6046004465313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72330</v>
      </c>
      <c r="B28" s="66">
        <v>72330</v>
      </c>
      <c r="D28">
        <f t="shared" si="0"/>
        <v>0.61485757032226251</v>
      </c>
      <c r="E28">
        <f t="shared" si="0"/>
        <v>0.61485757032226251</v>
      </c>
      <c r="G28">
        <f t="shared" ca="1" si="1"/>
        <v>26</v>
      </c>
      <c r="H28">
        <f t="shared" ca="1" si="2"/>
        <v>15.986296828378826</v>
      </c>
      <c r="I28">
        <f t="shared" ca="1" si="3"/>
        <v>1412.9850000363351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79259</v>
      </c>
      <c r="B31" s="66">
        <v>79259</v>
      </c>
      <c r="D31">
        <f t="shared" si="0"/>
        <v>0.67375910640359749</v>
      </c>
      <c r="E31">
        <f t="shared" si="0"/>
        <v>0.67375910640359749</v>
      </c>
      <c r="G31">
        <f t="shared" ca="1" si="1"/>
        <v>29</v>
      </c>
      <c r="H31">
        <f t="shared" ca="1" si="2"/>
        <v>19.539014085704327</v>
      </c>
      <c r="I31">
        <f t="shared" ca="1" si="3"/>
        <v>1360.6159151731624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89221</v>
      </c>
      <c r="B33" s="66">
        <v>89221</v>
      </c>
      <c r="D33">
        <f t="shared" si="0"/>
        <v>0.75844334690616044</v>
      </c>
      <c r="E33">
        <f t="shared" si="0"/>
        <v>0.75844334690616044</v>
      </c>
      <c r="G33">
        <f t="shared" ca="1" si="1"/>
        <v>31</v>
      </c>
      <c r="H33">
        <f t="shared" ca="1" si="2"/>
        <v>23.511743754090972</v>
      </c>
      <c r="I33">
        <f t="shared" ca="1" si="3"/>
        <v>1398.3321641592042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91715</v>
      </c>
      <c r="B36" s="66">
        <v>91715</v>
      </c>
      <c r="D36">
        <f t="shared" si="0"/>
        <v>0.7796441595756437</v>
      </c>
      <c r="E36">
        <f t="shared" si="0"/>
        <v>0.7796441595756437</v>
      </c>
      <c r="G36">
        <f t="shared" ca="1" si="1"/>
        <v>34</v>
      </c>
      <c r="H36">
        <f t="shared" ca="1" si="2"/>
        <v>26.507901425571887</v>
      </c>
      <c r="I36">
        <f t="shared" ca="1" si="3"/>
        <v>1243.5776320727405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95664</v>
      </c>
      <c r="B39" s="66">
        <v>95664</v>
      </c>
      <c r="D39">
        <f t="shared" si="0"/>
        <v>0.81321352975679417</v>
      </c>
      <c r="E39">
        <f t="shared" si="0"/>
        <v>0.81321352975679417</v>
      </c>
      <c r="G39">
        <f t="shared" ca="1" si="1"/>
        <v>37</v>
      </c>
      <c r="H39">
        <f t="shared" ca="1" si="2"/>
        <v>30.088900601001384</v>
      </c>
      <c r="I39">
        <f t="shared" ca="1" si="3"/>
        <v>1109.5720506369812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92801</v>
      </c>
      <c r="B41" s="66">
        <v>92801</v>
      </c>
      <c r="D41">
        <f t="shared" si="0"/>
        <v>0.78887594889363044</v>
      </c>
      <c r="E41">
        <f t="shared" si="0"/>
        <v>0.78887594889363044</v>
      </c>
      <c r="G41">
        <f t="shared" ca="1" si="1"/>
        <v>39</v>
      </c>
      <c r="H41">
        <f t="shared" ca="1" si="2"/>
        <v>30.766162006851587</v>
      </c>
      <c r="I41">
        <f t="shared" ca="1" si="3"/>
        <v>962.96209815673444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95816</v>
      </c>
      <c r="B44" s="66">
        <v>95816</v>
      </c>
      <c r="D44">
        <f t="shared" si="0"/>
        <v>0.81450564023223981</v>
      </c>
      <c r="E44">
        <f t="shared" si="0"/>
        <v>0.81450564023223981</v>
      </c>
      <c r="G44">
        <f t="shared" ca="1" si="1"/>
        <v>42</v>
      </c>
      <c r="H44">
        <f t="shared" ca="1" si="2"/>
        <v>34.209236889754074</v>
      </c>
      <c r="I44">
        <f t="shared" ca="1" si="3"/>
        <v>830.83415049324049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99101</v>
      </c>
      <c r="B46" s="66">
        <v>99101</v>
      </c>
      <c r="D46">
        <f t="shared" si="0"/>
        <v>0.84243052781012773</v>
      </c>
      <c r="E46">
        <f t="shared" si="0"/>
        <v>0.84243052781012773</v>
      </c>
      <c r="G46">
        <f t="shared" ca="1" si="1"/>
        <v>44</v>
      </c>
      <c r="H46">
        <f t="shared" ca="1" si="2"/>
        <v>37.066943223645623</v>
      </c>
      <c r="I46">
        <f t="shared" ca="1" si="3"/>
        <v>755.06579356483121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100116</v>
      </c>
      <c r="B49" s="66">
        <v>100116</v>
      </c>
      <c r="D49">
        <f t="shared" si="0"/>
        <v>0.85105876552445237</v>
      </c>
      <c r="E49">
        <f t="shared" si="0"/>
        <v>0.85105876552445237</v>
      </c>
      <c r="G49">
        <f t="shared" ca="1" si="1"/>
        <v>47</v>
      </c>
      <c r="H49">
        <f t="shared" ca="1" si="2"/>
        <v>39.999761979649264</v>
      </c>
      <c r="I49">
        <f t="shared" ca="1" si="3"/>
        <v>617.58387678287693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103352</v>
      </c>
      <c r="B51" s="66">
        <v>103352</v>
      </c>
      <c r="D51">
        <f t="shared" si="0"/>
        <v>0.87856711748854532</v>
      </c>
      <c r="E51">
        <f t="shared" si="0"/>
        <v>0.87856711748854532</v>
      </c>
      <c r="G51">
        <f t="shared" ca="1" si="1"/>
        <v>49</v>
      </c>
      <c r="H51">
        <f t="shared" ca="1" si="2"/>
        <v>43.049788756938717</v>
      </c>
      <c r="I51">
        <f t="shared" ca="1" si="3"/>
        <v>546.39201812311683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110554</v>
      </c>
      <c r="B54" s="66">
        <v>110554</v>
      </c>
      <c r="D54">
        <f t="shared" si="0"/>
        <v>0.93978935198959512</v>
      </c>
      <c r="E54">
        <f t="shared" si="0"/>
        <v>0.93978935198959512</v>
      </c>
      <c r="G54">
        <f t="shared" ca="1" si="1"/>
        <v>52</v>
      </c>
      <c r="H54">
        <f t="shared" ca="1" si="2"/>
        <v>48.869046303458944</v>
      </c>
      <c r="I54">
        <f t="shared" ca="1" si="3"/>
        <v>452.30520685027614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113968</v>
      </c>
      <c r="B57" s="66">
        <v>113968</v>
      </c>
      <c r="D57">
        <f t="shared" si="0"/>
        <v>0.9688108333262494</v>
      </c>
      <c r="E57">
        <f t="shared" si="0"/>
        <v>0.9688108333262494</v>
      </c>
      <c r="G57">
        <f t="shared" ca="1" si="1"/>
        <v>55</v>
      </c>
      <c r="H57">
        <f t="shared" ca="1" si="2"/>
        <v>53.284595832943715</v>
      </c>
      <c r="I57">
        <f t="shared" ca="1" si="3"/>
        <v>347.4684069834243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117079</v>
      </c>
      <c r="B59" s="66">
        <v>117079</v>
      </c>
      <c r="D59">
        <f t="shared" si="0"/>
        <v>0.99525659443882453</v>
      </c>
      <c r="E59">
        <f t="shared" si="0"/>
        <v>0.99525659443882453</v>
      </c>
      <c r="G59">
        <f t="shared" ca="1" si="1"/>
        <v>57</v>
      </c>
      <c r="H59">
        <f t="shared" ca="1" si="2"/>
        <v>56.729625883013</v>
      </c>
      <c r="I59">
        <f t="shared" ca="1" si="3"/>
        <v>285.54094405335667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117637</v>
      </c>
      <c r="B62" s="66">
        <v>117637</v>
      </c>
      <c r="D62">
        <f t="shared" si="0"/>
        <v>1</v>
      </c>
      <c r="E62">
        <f t="shared" si="0"/>
        <v>1</v>
      </c>
      <c r="G62">
        <f t="shared" ca="1" si="1"/>
        <v>60</v>
      </c>
      <c r="H62">
        <f t="shared" ca="1" si="2"/>
        <v>60</v>
      </c>
      <c r="I62">
        <f t="shared" ca="1" si="3"/>
        <v>194.2727745725324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106768</v>
      </c>
      <c r="B64" s="66">
        <v>106768</v>
      </c>
      <c r="D64">
        <f t="shared" si="0"/>
        <v>0.90760560027882387</v>
      </c>
      <c r="E64">
        <f t="shared" si="0"/>
        <v>0.90760560027882387</v>
      </c>
      <c r="G64">
        <f t="shared" ca="1" si="1"/>
        <v>62</v>
      </c>
      <c r="H64">
        <f t="shared" ca="1" si="2"/>
        <v>56.271547217287079</v>
      </c>
      <c r="I64">
        <f t="shared" ca="1" si="3"/>
        <v>129.35201103056292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112239</v>
      </c>
      <c r="B67" s="66">
        <v>112239</v>
      </c>
      <c r="D67">
        <f t="shared" ref="D67:E130" si="4">IFERROR( A67/MAX(A$2:A$257), 0 )</f>
        <v>0.95411307666805512</v>
      </c>
      <c r="E67">
        <f t="shared" si="4"/>
        <v>0.95411307666805512</v>
      </c>
      <c r="G67">
        <f t="shared" ref="G67:G130" ca="1" si="5">CELL("row",D67)-2</f>
        <v>65</v>
      </c>
      <c r="H67">
        <f t="shared" ref="H67:H130" ca="1" si="6">D67*G67</f>
        <v>62.017349983423586</v>
      </c>
      <c r="I67">
        <f t="shared" ref="I67:I130" ca="1" si="7">D67*((G67-$L$1)^2)</f>
        <v>76.225053372427197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107046</v>
      </c>
      <c r="B69" s="66">
        <v>107046</v>
      </c>
      <c r="D69">
        <f t="shared" si="4"/>
        <v>0.90996880233259947</v>
      </c>
      <c r="E69">
        <f t="shared" si="4"/>
        <v>0.90996880233259947</v>
      </c>
      <c r="G69">
        <f t="shared" ca="1" si="5"/>
        <v>67</v>
      </c>
      <c r="H69">
        <f t="shared" ca="1" si="6"/>
        <v>60.967909756284165</v>
      </c>
      <c r="I69">
        <f t="shared" ca="1" si="7"/>
        <v>43.804349682881593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106437</v>
      </c>
      <c r="B72" s="66">
        <v>106437</v>
      </c>
      <c r="D72">
        <f t="shared" si="4"/>
        <v>0.90479185970400466</v>
      </c>
      <c r="E72">
        <f t="shared" si="4"/>
        <v>0.90479185970400466</v>
      </c>
      <c r="G72">
        <f t="shared" ca="1" si="5"/>
        <v>70</v>
      </c>
      <c r="H72">
        <f t="shared" ca="1" si="6"/>
        <v>63.33543017928033</v>
      </c>
      <c r="I72">
        <f t="shared" ca="1" si="7"/>
        <v>14.032631470488518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95327</v>
      </c>
      <c r="B75" s="66">
        <v>95327</v>
      </c>
      <c r="D75">
        <f t="shared" si="4"/>
        <v>0.81034878482110217</v>
      </c>
      <c r="E75">
        <f t="shared" si="4"/>
        <v>0.81034878482110217</v>
      </c>
      <c r="G75">
        <f t="shared" ca="1" si="5"/>
        <v>73</v>
      </c>
      <c r="H75">
        <f t="shared" ca="1" si="6"/>
        <v>59.155461291940462</v>
      </c>
      <c r="I75">
        <f t="shared" ca="1" si="7"/>
        <v>0.71324942805969616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97528</v>
      </c>
      <c r="B77" s="66">
        <v>97528</v>
      </c>
      <c r="D77">
        <f t="shared" si="4"/>
        <v>0.82905888453462773</v>
      </c>
      <c r="E77">
        <f t="shared" si="4"/>
        <v>0.82905888453462773</v>
      </c>
      <c r="G77">
        <f t="shared" ca="1" si="5"/>
        <v>75</v>
      </c>
      <c r="H77">
        <f t="shared" ca="1" si="6"/>
        <v>62.179416340097077</v>
      </c>
      <c r="I77">
        <f t="shared" ca="1" si="7"/>
        <v>0.93473765324965485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85550</v>
      </c>
      <c r="B80" s="66">
        <v>85550</v>
      </c>
      <c r="D80">
        <f t="shared" si="4"/>
        <v>0.72723717877878558</v>
      </c>
      <c r="E80">
        <f t="shared" si="4"/>
        <v>0.72723717877878558</v>
      </c>
      <c r="G80">
        <f t="shared" ca="1" si="5"/>
        <v>78</v>
      </c>
      <c r="H80">
        <f t="shared" ca="1" si="6"/>
        <v>56.724499944745276</v>
      </c>
      <c r="I80">
        <f t="shared" ca="1" si="7"/>
        <v>11.998255038427768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87312</v>
      </c>
      <c r="B82" s="66">
        <v>87312</v>
      </c>
      <c r="D82">
        <f t="shared" si="4"/>
        <v>0.74221545942178058</v>
      </c>
      <c r="E82">
        <f t="shared" si="4"/>
        <v>0.74221545942178058</v>
      </c>
      <c r="G82">
        <f t="shared" ca="1" si="5"/>
        <v>80</v>
      </c>
      <c r="H82">
        <f t="shared" ca="1" si="6"/>
        <v>59.377236753742444</v>
      </c>
      <c r="I82">
        <f t="shared" ca="1" si="7"/>
        <v>27.273226317960912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87002</v>
      </c>
      <c r="B85" s="66">
        <v>87002</v>
      </c>
      <c r="D85">
        <f t="shared" si="4"/>
        <v>0.73958023411001639</v>
      </c>
      <c r="E85">
        <f t="shared" si="4"/>
        <v>0.73958023411001639</v>
      </c>
      <c r="G85">
        <f t="shared" ca="1" si="5"/>
        <v>83</v>
      </c>
      <c r="H85">
        <f t="shared" ca="1" si="6"/>
        <v>61.385159431131363</v>
      </c>
      <c r="I85">
        <f t="shared" ca="1" si="7"/>
        <v>60.731842626944804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93061</v>
      </c>
      <c r="B88" s="66">
        <v>93061</v>
      </c>
      <c r="D88">
        <f t="shared" si="4"/>
        <v>0.79108613786478743</v>
      </c>
      <c r="E88">
        <f t="shared" si="4"/>
        <v>0.79108613786478743</v>
      </c>
      <c r="G88">
        <f t="shared" ca="1" si="5"/>
        <v>86</v>
      </c>
      <c r="H88">
        <f t="shared" ca="1" si="6"/>
        <v>68.033407856371724</v>
      </c>
      <c r="I88">
        <f t="shared" ca="1" si="7"/>
        <v>115.09320549235524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89649</v>
      </c>
      <c r="B90" s="66">
        <v>89649</v>
      </c>
      <c r="D90">
        <f t="shared" si="4"/>
        <v>0.76208165798175742</v>
      </c>
      <c r="E90">
        <f t="shared" si="4"/>
        <v>0.76208165798175742</v>
      </c>
      <c r="G90">
        <f t="shared" ca="1" si="5"/>
        <v>88</v>
      </c>
      <c r="H90">
        <f t="shared" ca="1" si="6"/>
        <v>67.06318590239465</v>
      </c>
      <c r="I90">
        <f t="shared" ca="1" si="7"/>
        <v>150.69011728483241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87896</v>
      </c>
      <c r="B93" s="66">
        <v>87896</v>
      </c>
      <c r="D93">
        <f t="shared" si="4"/>
        <v>0.74717988388007173</v>
      </c>
      <c r="E93">
        <f t="shared" si="4"/>
        <v>0.74717988388007173</v>
      </c>
      <c r="G93">
        <f t="shared" ca="1" si="5"/>
        <v>91</v>
      </c>
      <c r="H93">
        <f t="shared" ca="1" si="6"/>
        <v>67.993369433086528</v>
      </c>
      <c r="I93">
        <f t="shared" ca="1" si="7"/>
        <v>217.50840410287054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87882</v>
      </c>
      <c r="B95" s="66">
        <v>87882</v>
      </c>
      <c r="D95">
        <f t="shared" si="4"/>
        <v>0.74706087370470176</v>
      </c>
      <c r="E95">
        <f t="shared" si="4"/>
        <v>0.74706087370470176</v>
      </c>
      <c r="G95">
        <f t="shared" ca="1" si="5"/>
        <v>93</v>
      </c>
      <c r="H95">
        <f t="shared" ca="1" si="6"/>
        <v>69.476661254537262</v>
      </c>
      <c r="I95">
        <f t="shared" ca="1" si="7"/>
        <v>271.44688501022722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84832</v>
      </c>
      <c r="B98" s="66">
        <v>84832</v>
      </c>
      <c r="D98">
        <f t="shared" si="4"/>
        <v>0.72113365692766729</v>
      </c>
      <c r="E98">
        <f t="shared" si="4"/>
        <v>0.72113365692766729</v>
      </c>
      <c r="G98">
        <f t="shared" ca="1" si="5"/>
        <v>96</v>
      </c>
      <c r="H98">
        <f t="shared" ca="1" si="6"/>
        <v>69.228831065056056</v>
      </c>
      <c r="I98">
        <f t="shared" ca="1" si="7"/>
        <v>350.99308662044376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83950</v>
      </c>
      <c r="B100" s="66">
        <v>83950</v>
      </c>
      <c r="D100">
        <f t="shared" si="4"/>
        <v>0.71363601587935765</v>
      </c>
      <c r="E100">
        <f t="shared" si="4"/>
        <v>0.71363601587935765</v>
      </c>
      <c r="G100">
        <f t="shared" ca="1" si="5"/>
        <v>98</v>
      </c>
      <c r="H100">
        <f t="shared" ca="1" si="6"/>
        <v>69.936329556177057</v>
      </c>
      <c r="I100">
        <f t="shared" ca="1" si="7"/>
        <v>413.17479477968328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88832</v>
      </c>
      <c r="B103" s="66">
        <v>88832</v>
      </c>
      <c r="D103">
        <f t="shared" si="4"/>
        <v>0.75513656417623709</v>
      </c>
      <c r="E103">
        <f t="shared" si="4"/>
        <v>0.75513656417623709</v>
      </c>
      <c r="G103">
        <f t="shared" ca="1" si="5"/>
        <v>101</v>
      </c>
      <c r="H103">
        <f t="shared" ca="1" si="6"/>
        <v>76.268792981799947</v>
      </c>
      <c r="I103">
        <f t="shared" ca="1" si="7"/>
        <v>553.01842624826429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81571</v>
      </c>
      <c r="B106" s="66">
        <v>81571</v>
      </c>
      <c r="D106">
        <f t="shared" si="4"/>
        <v>0.69341278679327079</v>
      </c>
      <c r="E106">
        <f t="shared" si="4"/>
        <v>0.69341278679327079</v>
      </c>
      <c r="G106">
        <f t="shared" ca="1" si="5"/>
        <v>104</v>
      </c>
      <c r="H106">
        <f t="shared" ca="1" si="6"/>
        <v>72.114929826500159</v>
      </c>
      <c r="I106">
        <f t="shared" ca="1" si="7"/>
        <v>626.64629516904631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77992</v>
      </c>
      <c r="B108" s="66">
        <v>77992</v>
      </c>
      <c r="D108">
        <f t="shared" si="4"/>
        <v>0.66298868553261303</v>
      </c>
      <c r="E108">
        <f t="shared" si="4"/>
        <v>0.66298868553261303</v>
      </c>
      <c r="G108">
        <f t="shared" ca="1" si="5"/>
        <v>106</v>
      </c>
      <c r="H108">
        <f t="shared" ca="1" si="6"/>
        <v>70.276800666456978</v>
      </c>
      <c r="I108">
        <f t="shared" ca="1" si="7"/>
        <v>681.52618210595483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77294</v>
      </c>
      <c r="B111" s="66">
        <v>77294</v>
      </c>
      <c r="D111">
        <f t="shared" si="4"/>
        <v>0.65705517821773762</v>
      </c>
      <c r="E111">
        <f t="shared" si="4"/>
        <v>0.65705517821773762</v>
      </c>
      <c r="G111">
        <f t="shared" ca="1" si="5"/>
        <v>109</v>
      </c>
      <c r="H111">
        <f t="shared" ca="1" si="6"/>
        <v>71.619014425733397</v>
      </c>
      <c r="I111">
        <f t="shared" ca="1" si="7"/>
        <v>807.73858899895731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72025</v>
      </c>
      <c r="B113" s="66">
        <v>72025</v>
      </c>
      <c r="D113">
        <f t="shared" si="4"/>
        <v>0.6122648486445591</v>
      </c>
      <c r="E113">
        <f t="shared" si="4"/>
        <v>0.6122648486445591</v>
      </c>
      <c r="G113">
        <f t="shared" ca="1" si="5"/>
        <v>111</v>
      </c>
      <c r="H113">
        <f t="shared" ca="1" si="6"/>
        <v>67.961398199546053</v>
      </c>
      <c r="I113">
        <f t="shared" ca="1" si="7"/>
        <v>840.99397531791828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68359</v>
      </c>
      <c r="B116" s="66">
        <v>68359</v>
      </c>
      <c r="D116">
        <f t="shared" si="4"/>
        <v>0.5811011841512449</v>
      </c>
      <c r="E116">
        <f t="shared" si="4"/>
        <v>0.5811011841512449</v>
      </c>
      <c r="G116">
        <f t="shared" ca="1" si="5"/>
        <v>114</v>
      </c>
      <c r="H116">
        <f t="shared" ca="1" si="6"/>
        <v>66.245534993241918</v>
      </c>
      <c r="I116">
        <f t="shared" ca="1" si="7"/>
        <v>932.63815500360363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58657</v>
      </c>
      <c r="B118" s="66">
        <v>58657</v>
      </c>
      <c r="D118">
        <f t="shared" si="4"/>
        <v>0.49862713261983899</v>
      </c>
      <c r="E118">
        <f t="shared" si="4"/>
        <v>0.49862713261983899</v>
      </c>
      <c r="G118">
        <f t="shared" ca="1" si="5"/>
        <v>116</v>
      </c>
      <c r="H118">
        <f t="shared" ca="1" si="6"/>
        <v>57.840747383901324</v>
      </c>
      <c r="I118">
        <f t="shared" ca="1" si="7"/>
        <v>882.16960953711748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60530</v>
      </c>
      <c r="B121" s="66">
        <v>60530</v>
      </c>
      <c r="D121">
        <f t="shared" si="4"/>
        <v>0.51454899393898179</v>
      </c>
      <c r="E121">
        <f t="shared" si="4"/>
        <v>0.51454899393898179</v>
      </c>
      <c r="G121">
        <f t="shared" ca="1" si="5"/>
        <v>119</v>
      </c>
      <c r="H121">
        <f t="shared" ca="1" si="6"/>
        <v>61.231330278738831</v>
      </c>
      <c r="I121">
        <f t="shared" ca="1" si="7"/>
        <v>1044.8266718365762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58400</v>
      </c>
      <c r="B124" s="66">
        <v>58400</v>
      </c>
      <c r="D124">
        <f t="shared" si="4"/>
        <v>0.4964424458291184</v>
      </c>
      <c r="E124">
        <f t="shared" si="4"/>
        <v>0.4964424458291184</v>
      </c>
      <c r="G124">
        <f t="shared" ca="1" si="5"/>
        <v>122</v>
      </c>
      <c r="H124">
        <f t="shared" ca="1" si="6"/>
        <v>60.565978391152441</v>
      </c>
      <c r="I124">
        <f t="shared" ca="1" si="7"/>
        <v>1146.7516885321422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54180</v>
      </c>
      <c r="B126" s="66">
        <v>54180</v>
      </c>
      <c r="D126">
        <f t="shared" si="4"/>
        <v>0.46056937868187731</v>
      </c>
      <c r="E126">
        <f t="shared" si="4"/>
        <v>0.46056937868187731</v>
      </c>
      <c r="G126">
        <f t="shared" ca="1" si="5"/>
        <v>124</v>
      </c>
      <c r="H126">
        <f t="shared" ca="1" si="6"/>
        <v>57.110602956552789</v>
      </c>
      <c r="I126">
        <f t="shared" ca="1" si="7"/>
        <v>1154.2725909167254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50610</v>
      </c>
      <c r="B129" s="66">
        <v>50610</v>
      </c>
      <c r="D129">
        <f t="shared" si="4"/>
        <v>0.4302217839625288</v>
      </c>
      <c r="E129">
        <f t="shared" si="4"/>
        <v>0.4302217839625288</v>
      </c>
      <c r="G129">
        <f t="shared" ca="1" si="5"/>
        <v>127</v>
      </c>
      <c r="H129">
        <f t="shared" ca="1" si="6"/>
        <v>54.638166563241157</v>
      </c>
      <c r="I129">
        <f t="shared" ca="1" si="7"/>
        <v>1211.3139869874276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44100</v>
      </c>
      <c r="B131" s="66">
        <v>44100</v>
      </c>
      <c r="D131">
        <f t="shared" ref="D131:E194" si="8">IFERROR( A131/MAX(A$2:A$257), 0 )</f>
        <v>0.3748820524154815</v>
      </c>
      <c r="E131">
        <f t="shared" si="8"/>
        <v>0.3748820524154815</v>
      </c>
      <c r="G131">
        <f t="shared" ref="G131:G194" ca="1" si="9">CELL("row",D131)-2</f>
        <v>129</v>
      </c>
      <c r="H131">
        <f t="shared" ref="H131:H194" ca="1" si="10">D131*G131</f>
        <v>48.359784761597112</v>
      </c>
      <c r="I131">
        <f t="shared" ref="I131:I194" ca="1" si="11">D131*((G131-$L$1)^2)</f>
        <v>1136.569043230488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47278</v>
      </c>
      <c r="B134" s="66">
        <v>47278</v>
      </c>
      <c r="D134">
        <f t="shared" si="8"/>
        <v>0.4018973622244702</v>
      </c>
      <c r="E134">
        <f t="shared" si="8"/>
        <v>0.4018973622244702</v>
      </c>
      <c r="G134">
        <f t="shared" ca="1" si="9"/>
        <v>132</v>
      </c>
      <c r="H134">
        <f t="shared" ca="1" si="10"/>
        <v>53.050451813630069</v>
      </c>
      <c r="I134">
        <f t="shared" ca="1" si="11"/>
        <v>1354.8664625584775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39055</v>
      </c>
      <c r="B136" s="66">
        <v>39055</v>
      </c>
      <c r="D136">
        <f t="shared" si="8"/>
        <v>0.33199588564822291</v>
      </c>
      <c r="E136">
        <f t="shared" si="8"/>
        <v>0.33199588564822291</v>
      </c>
      <c r="G136">
        <f t="shared" ca="1" si="9"/>
        <v>134</v>
      </c>
      <c r="H136">
        <f t="shared" ca="1" si="10"/>
        <v>44.487448676861867</v>
      </c>
      <c r="I136">
        <f t="shared" ca="1" si="11"/>
        <v>1197.6494600687806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31900</v>
      </c>
      <c r="B139" s="66">
        <v>31900</v>
      </c>
      <c r="D139">
        <f t="shared" si="8"/>
        <v>0.2711731853073438</v>
      </c>
      <c r="E139">
        <f t="shared" si="8"/>
        <v>0.2711731853073438</v>
      </c>
      <c r="G139">
        <f t="shared" ca="1" si="9"/>
        <v>137</v>
      </c>
      <c r="H139">
        <f t="shared" ca="1" si="10"/>
        <v>37.150726387106104</v>
      </c>
      <c r="I139">
        <f t="shared" ca="1" si="11"/>
        <v>1078.3997704579783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25716</v>
      </c>
      <c r="B142" s="66">
        <v>25716</v>
      </c>
      <c r="D142">
        <f t="shared" si="8"/>
        <v>0.21860469070105493</v>
      </c>
      <c r="E142">
        <f t="shared" si="8"/>
        <v>0.21860469070105493</v>
      </c>
      <c r="G142">
        <f t="shared" ca="1" si="9"/>
        <v>140</v>
      </c>
      <c r="H142">
        <f t="shared" ca="1" si="10"/>
        <v>30.604656698147689</v>
      </c>
      <c r="I142">
        <f t="shared" ca="1" si="11"/>
        <v>954.02682516539949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22702</v>
      </c>
      <c r="B144" s="66">
        <v>22702</v>
      </c>
      <c r="D144">
        <f t="shared" si="8"/>
        <v>0.19298350008925763</v>
      </c>
      <c r="E144">
        <f t="shared" si="8"/>
        <v>0.19298350008925763</v>
      </c>
      <c r="G144">
        <f t="shared" ca="1" si="9"/>
        <v>142</v>
      </c>
      <c r="H144">
        <f t="shared" ca="1" si="10"/>
        <v>27.403657012674582</v>
      </c>
      <c r="I144">
        <f t="shared" ca="1" si="11"/>
        <v>893.97903669412574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16230</v>
      </c>
      <c r="B147" s="66">
        <v>16230</v>
      </c>
      <c r="D147">
        <f t="shared" si="8"/>
        <v>0.13796679616107177</v>
      </c>
      <c r="E147">
        <f t="shared" si="8"/>
        <v>0.13796679616107177</v>
      </c>
      <c r="G147">
        <f t="shared" ca="1" si="9"/>
        <v>145</v>
      </c>
      <c r="H147">
        <f t="shared" ca="1" si="10"/>
        <v>20.005185443355408</v>
      </c>
      <c r="I147">
        <f t="shared" ca="1" si="11"/>
        <v>696.70234125401078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9529</v>
      </c>
      <c r="B149" s="66">
        <v>9529</v>
      </c>
      <c r="D149">
        <f t="shared" si="8"/>
        <v>8.1003425792905287E-2</v>
      </c>
      <c r="E149">
        <f t="shared" si="8"/>
        <v>8.1003425792905287E-2</v>
      </c>
      <c r="G149">
        <f t="shared" ca="1" si="9"/>
        <v>147</v>
      </c>
      <c r="H149">
        <f t="shared" ca="1" si="10"/>
        <v>11.907503591557077</v>
      </c>
      <c r="I149">
        <f t="shared" ca="1" si="11"/>
        <v>432.3987168626951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8716</v>
      </c>
      <c r="B152" s="66">
        <v>8716</v>
      </c>
      <c r="D152">
        <f t="shared" si="8"/>
        <v>7.4092334894633488E-2</v>
      </c>
      <c r="E152">
        <f t="shared" si="8"/>
        <v>7.4092334894633488E-2</v>
      </c>
      <c r="G152">
        <f t="shared" ca="1" si="9"/>
        <v>150</v>
      </c>
      <c r="H152">
        <f t="shared" ca="1" si="10"/>
        <v>11.113850234195024</v>
      </c>
      <c r="I152">
        <f t="shared" ca="1" si="11"/>
        <v>428.65386374186414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7672</v>
      </c>
      <c r="B154" s="66">
        <v>7672</v>
      </c>
      <c r="D154">
        <f t="shared" si="8"/>
        <v>6.5217576102756789E-2</v>
      </c>
      <c r="E154">
        <f t="shared" si="8"/>
        <v>6.5217576102756789E-2</v>
      </c>
      <c r="G154">
        <f t="shared" ca="1" si="9"/>
        <v>152</v>
      </c>
      <c r="H154">
        <f t="shared" ca="1" si="10"/>
        <v>9.9130715676190313</v>
      </c>
      <c r="I154">
        <f t="shared" ca="1" si="11"/>
        <v>397.41296716687674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6332</v>
      </c>
      <c r="B157" s="66">
        <v>6332</v>
      </c>
      <c r="D157">
        <f t="shared" si="8"/>
        <v>5.382660217448592E-2</v>
      </c>
      <c r="E157">
        <f t="shared" si="8"/>
        <v>5.382660217448592E-2</v>
      </c>
      <c r="G157">
        <f t="shared" ca="1" si="9"/>
        <v>155</v>
      </c>
      <c r="H157">
        <f t="shared" ca="1" si="10"/>
        <v>8.3431233370453182</v>
      </c>
      <c r="I157">
        <f t="shared" ca="1" si="11"/>
        <v>353.69563466384955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6376</v>
      </c>
      <c r="B160" s="66">
        <v>6376</v>
      </c>
      <c r="D160">
        <f t="shared" si="8"/>
        <v>5.4200634154220183E-2</v>
      </c>
      <c r="E160">
        <f t="shared" si="8"/>
        <v>5.4200634154220183E-2</v>
      </c>
      <c r="G160">
        <f t="shared" ca="1" si="9"/>
        <v>158</v>
      </c>
      <c r="H160">
        <f t="shared" ca="1" si="10"/>
        <v>8.5637001963667885</v>
      </c>
      <c r="I160">
        <f t="shared" ca="1" si="11"/>
        <v>383.00282499444359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5449</v>
      </c>
      <c r="B162" s="66">
        <v>5449</v>
      </c>
      <c r="D162">
        <f t="shared" si="8"/>
        <v>4.6320460399364147E-2</v>
      </c>
      <c r="E162">
        <f t="shared" si="8"/>
        <v>4.6320460399364147E-2</v>
      </c>
      <c r="G162">
        <f t="shared" ca="1" si="9"/>
        <v>160</v>
      </c>
      <c r="H162">
        <f t="shared" ca="1" si="10"/>
        <v>7.4112736638982639</v>
      </c>
      <c r="I162">
        <f t="shared" ca="1" si="11"/>
        <v>343.07885436807334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5200</v>
      </c>
      <c r="B165" s="66">
        <v>5200</v>
      </c>
      <c r="D165">
        <f t="shared" si="8"/>
        <v>4.4203779423140681E-2</v>
      </c>
      <c r="E165">
        <f t="shared" si="8"/>
        <v>4.4203779423140681E-2</v>
      </c>
      <c r="G165">
        <f t="shared" ca="1" si="9"/>
        <v>163</v>
      </c>
      <c r="H165">
        <f t="shared" ca="1" si="10"/>
        <v>7.2052160459719312</v>
      </c>
      <c r="I165">
        <f t="shared" ca="1" si="11"/>
        <v>350.62474697829737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2511</v>
      </c>
      <c r="B167" s="66">
        <v>2511</v>
      </c>
      <c r="D167">
        <f t="shared" si="8"/>
        <v>2.1345325025289661E-2</v>
      </c>
      <c r="E167">
        <f t="shared" si="8"/>
        <v>2.1345325025289661E-2</v>
      </c>
      <c r="G167">
        <f t="shared" ca="1" si="9"/>
        <v>165</v>
      </c>
      <c r="H167">
        <f t="shared" ca="1" si="10"/>
        <v>3.5219786291727941</v>
      </c>
      <c r="I167">
        <f t="shared" ca="1" si="11"/>
        <v>177.00089163691669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1816</v>
      </c>
      <c r="B170" s="66">
        <v>1816</v>
      </c>
      <c r="D170">
        <f t="shared" si="8"/>
        <v>1.5437319890850667E-2</v>
      </c>
      <c r="E170">
        <f t="shared" si="8"/>
        <v>1.5437319890850667E-2</v>
      </c>
      <c r="G170">
        <f t="shared" ca="1" si="9"/>
        <v>168</v>
      </c>
      <c r="H170">
        <f t="shared" ca="1" si="10"/>
        <v>2.5934697416629122</v>
      </c>
      <c r="I170">
        <f t="shared" ca="1" si="11"/>
        <v>136.58364163242109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1432</v>
      </c>
      <c r="B173" s="66">
        <v>1432</v>
      </c>
      <c r="D173">
        <f t="shared" si="8"/>
        <v>1.2173040794987971E-2</v>
      </c>
      <c r="E173">
        <f t="shared" si="8"/>
        <v>1.2173040794987971E-2</v>
      </c>
      <c r="G173">
        <f t="shared" ca="1" si="9"/>
        <v>171</v>
      </c>
      <c r="H173">
        <f t="shared" ca="1" si="10"/>
        <v>2.081589975942943</v>
      </c>
      <c r="I173">
        <f t="shared" ca="1" si="11"/>
        <v>114.6821870008352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741</v>
      </c>
      <c r="B175" s="66">
        <v>741</v>
      </c>
      <c r="D175">
        <f t="shared" si="8"/>
        <v>6.2990385677975467E-3</v>
      </c>
      <c r="E175">
        <f t="shared" si="8"/>
        <v>6.2990385677975467E-3</v>
      </c>
      <c r="G175">
        <f t="shared" ca="1" si="9"/>
        <v>173</v>
      </c>
      <c r="H175">
        <f t="shared" ca="1" si="10"/>
        <v>1.0897336722289757</v>
      </c>
      <c r="I175">
        <f t="shared" ca="1" si="11"/>
        <v>61.814007476960526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455</v>
      </c>
      <c r="B178" s="66">
        <v>455</v>
      </c>
      <c r="D178">
        <f t="shared" si="8"/>
        <v>3.8678306995248092E-3</v>
      </c>
      <c r="E178">
        <f t="shared" si="8"/>
        <v>3.8678306995248092E-3</v>
      </c>
      <c r="G178">
        <f t="shared" ca="1" si="9"/>
        <v>176</v>
      </c>
      <c r="H178">
        <f t="shared" ca="1" si="10"/>
        <v>0.68073820311636646</v>
      </c>
      <c r="I178">
        <f t="shared" ca="1" si="11"/>
        <v>40.28970614351703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388</v>
      </c>
      <c r="B180" s="66">
        <v>388</v>
      </c>
      <c r="D180">
        <f t="shared" si="8"/>
        <v>3.2982820031112661E-3</v>
      </c>
      <c r="E180">
        <f t="shared" si="8"/>
        <v>3.2982820031112661E-3</v>
      </c>
      <c r="G180">
        <f t="shared" ca="1" si="9"/>
        <v>178</v>
      </c>
      <c r="H180">
        <f t="shared" ca="1" si="10"/>
        <v>0.58709419655380535</v>
      </c>
      <c r="I180">
        <f t="shared" ca="1" si="11"/>
        <v>35.716644053574775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49</v>
      </c>
      <c r="B183" s="66">
        <v>49</v>
      </c>
      <c r="D183">
        <f t="shared" si="8"/>
        <v>4.1653561379497946E-4</v>
      </c>
      <c r="E183">
        <f t="shared" si="8"/>
        <v>4.1653561379497946E-4</v>
      </c>
      <c r="G183">
        <f t="shared" ca="1" si="9"/>
        <v>181</v>
      </c>
      <c r="H183">
        <f t="shared" ca="1" si="10"/>
        <v>7.5392946096891289E-2</v>
      </c>
      <c r="I183">
        <f t="shared" ca="1" si="11"/>
        <v>4.7744286625931576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458</v>
      </c>
      <c r="B1" s="66" t="s">
        <v>459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76.167683917232765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1.4706068104899723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0.61749139643373718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2339</v>
      </c>
      <c r="B8" s="66">
        <v>2339</v>
      </c>
      <c r="D8">
        <f t="shared" si="0"/>
        <v>3.7238700227667128</v>
      </c>
      <c r="E8">
        <f t="shared" si="1"/>
        <v>3.7238700227667128</v>
      </c>
      <c r="G8">
        <f t="shared" ca="1" si="2"/>
        <v>6</v>
      </c>
      <c r="H8">
        <f t="shared" ca="1" si="3"/>
        <v>22.343220136600277</v>
      </c>
      <c r="I8">
        <f t="shared" ca="1" si="4"/>
        <v>18334.488454722923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3331</v>
      </c>
      <c r="B10" s="66">
        <v>3331</v>
      </c>
      <c r="D10">
        <f t="shared" si="0"/>
        <v>5.3032112209644806</v>
      </c>
      <c r="E10">
        <f t="shared" si="1"/>
        <v>5.3032112209644806</v>
      </c>
      <c r="G10">
        <f t="shared" ca="1" si="2"/>
        <v>8</v>
      </c>
      <c r="H10">
        <f t="shared" ca="1" si="3"/>
        <v>42.425689767715845</v>
      </c>
      <c r="I10">
        <f t="shared" ca="1" si="4"/>
        <v>24643.137600358255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5860</v>
      </c>
      <c r="B13" s="66">
        <v>5860</v>
      </c>
      <c r="D13">
        <f t="shared" si="0"/>
        <v>9.3295760296763302</v>
      </c>
      <c r="E13">
        <f t="shared" si="1"/>
        <v>9.3295760296763302</v>
      </c>
      <c r="G13">
        <f t="shared" ca="1" si="2"/>
        <v>11</v>
      </c>
      <c r="H13">
        <f t="shared" ca="1" si="3"/>
        <v>102.62533632643964</v>
      </c>
      <c r="I13">
        <f t="shared" ca="1" si="4"/>
        <v>39621.095634552956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5834</v>
      </c>
      <c r="B15" s="66">
        <v>5834</v>
      </c>
      <c r="D15">
        <f t="shared" si="0"/>
        <v>9.28818200633647</v>
      </c>
      <c r="E15">
        <f t="shared" si="1"/>
        <v>9.28818200633647</v>
      </c>
      <c r="G15">
        <f t="shared" ca="1" si="2"/>
        <v>13</v>
      </c>
      <c r="H15">
        <f t="shared" ca="1" si="3"/>
        <v>120.74636608237411</v>
      </c>
      <c r="I15">
        <f t="shared" ca="1" si="4"/>
        <v>37061.297868878013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8417</v>
      </c>
      <c r="B18" s="66">
        <v>8417</v>
      </c>
      <c r="D18">
        <f t="shared" si="0"/>
        <v>13.40051901736957</v>
      </c>
      <c r="E18">
        <f t="shared" si="1"/>
        <v>13.40051901736957</v>
      </c>
      <c r="G18">
        <f t="shared" ca="1" si="2"/>
        <v>16</v>
      </c>
      <c r="H18">
        <f t="shared" ca="1" si="3"/>
        <v>214.40830427791312</v>
      </c>
      <c r="I18">
        <f t="shared" ca="1" si="4"/>
        <v>48511.891439546016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11333</v>
      </c>
      <c r="B21" s="66">
        <v>11333</v>
      </c>
      <c r="D21">
        <f t="shared" si="0"/>
        <v>18.043017942717039</v>
      </c>
      <c r="E21">
        <f t="shared" si="1"/>
        <v>18.043017942717039</v>
      </c>
      <c r="G21">
        <f t="shared" ca="1" si="2"/>
        <v>19</v>
      </c>
      <c r="H21">
        <f t="shared" ca="1" si="3"/>
        <v>342.81734091162377</v>
      </c>
      <c r="I21">
        <f t="shared" ca="1" si="4"/>
        <v>58967.182355307763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14275</v>
      </c>
      <c r="B23" s="66">
        <v>14275</v>
      </c>
      <c r="D23">
        <f t="shared" si="0"/>
        <v>22.726910891404373</v>
      </c>
      <c r="E23">
        <f t="shared" si="1"/>
        <v>22.726910891404373</v>
      </c>
      <c r="G23">
        <f t="shared" ca="1" si="2"/>
        <v>21</v>
      </c>
      <c r="H23">
        <f t="shared" ca="1" si="3"/>
        <v>477.26512871949183</v>
      </c>
      <c r="I23">
        <f t="shared" ca="1" si="4"/>
        <v>69168.747598353089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20920</v>
      </c>
      <c r="B26" s="66">
        <v>20920</v>
      </c>
      <c r="D26">
        <f t="shared" si="0"/>
        <v>33.30626801038035</v>
      </c>
      <c r="E26">
        <f t="shared" si="1"/>
        <v>33.30626801038035</v>
      </c>
      <c r="G26">
        <f t="shared" ca="1" si="2"/>
        <v>24</v>
      </c>
      <c r="H26">
        <f t="shared" ca="1" si="3"/>
        <v>799.3504322491284</v>
      </c>
      <c r="I26">
        <f t="shared" ca="1" si="4"/>
        <v>90641.917453043847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28240</v>
      </c>
      <c r="B28" s="66">
        <v>28240</v>
      </c>
      <c r="D28">
        <f t="shared" si="0"/>
        <v>44.960277658371943</v>
      </c>
      <c r="E28">
        <f t="shared" si="1"/>
        <v>44.960277658371943</v>
      </c>
      <c r="G28">
        <f t="shared" ca="1" si="2"/>
        <v>26</v>
      </c>
      <c r="H28">
        <f t="shared" ca="1" si="3"/>
        <v>1168.9672191176705</v>
      </c>
      <c r="I28">
        <f t="shared" ca="1" si="4"/>
        <v>113155.86988210847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33605</v>
      </c>
      <c r="B31" s="66">
        <v>33605</v>
      </c>
      <c r="D31">
        <f t="shared" si="0"/>
        <v>53.501775166770152</v>
      </c>
      <c r="E31">
        <f t="shared" si="1"/>
        <v>53.501775166770152</v>
      </c>
      <c r="G31">
        <f t="shared" ca="1" si="2"/>
        <v>29</v>
      </c>
      <c r="H31">
        <f t="shared" ca="1" si="3"/>
        <v>1551.5514798363345</v>
      </c>
      <c r="I31">
        <f t="shared" ca="1" si="4"/>
        <v>119030.23610120434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40402</v>
      </c>
      <c r="B33" s="66">
        <v>40402</v>
      </c>
      <c r="D33">
        <f t="shared" si="0"/>
        <v>64.323128114502239</v>
      </c>
      <c r="E33">
        <f t="shared" si="1"/>
        <v>64.323128114502239</v>
      </c>
      <c r="G33">
        <f t="shared" ca="1" si="2"/>
        <v>31</v>
      </c>
      <c r="H33">
        <f t="shared" ca="1" si="3"/>
        <v>1994.0169715495695</v>
      </c>
      <c r="I33">
        <f t="shared" ca="1" si="4"/>
        <v>131226.8789310815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40555</v>
      </c>
      <c r="B36" s="66">
        <v>40555</v>
      </c>
      <c r="D36">
        <f t="shared" si="0"/>
        <v>64.566716021079117</v>
      </c>
      <c r="E36">
        <f t="shared" si="1"/>
        <v>64.566716021079117</v>
      </c>
      <c r="G36">
        <f t="shared" ca="1" si="2"/>
        <v>34</v>
      </c>
      <c r="H36">
        <f t="shared" ca="1" si="3"/>
        <v>2195.2683447166901</v>
      </c>
      <c r="I36">
        <f t="shared" ca="1" si="4"/>
        <v>114806.95373007875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42851</v>
      </c>
      <c r="B39" s="66">
        <v>42851</v>
      </c>
      <c r="D39">
        <f t="shared" si="0"/>
        <v>68.22212669755298</v>
      </c>
      <c r="E39">
        <f t="shared" si="1"/>
        <v>68.22212669755298</v>
      </c>
      <c r="G39">
        <f t="shared" ca="1" si="2"/>
        <v>37</v>
      </c>
      <c r="H39">
        <f t="shared" ca="1" si="3"/>
        <v>2524.2186878094603</v>
      </c>
      <c r="I39">
        <f t="shared" ca="1" si="4"/>
        <v>104660.07373848265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43917</v>
      </c>
      <c r="B41" s="66">
        <v>43917</v>
      </c>
      <c r="D41">
        <f t="shared" si="0"/>
        <v>69.919281654487278</v>
      </c>
      <c r="E41">
        <f t="shared" si="1"/>
        <v>69.919281654487278</v>
      </c>
      <c r="G41">
        <f t="shared" ca="1" si="2"/>
        <v>39</v>
      </c>
      <c r="H41">
        <f t="shared" ca="1" si="3"/>
        <v>2726.8519845250039</v>
      </c>
      <c r="I41">
        <f t="shared" ca="1" si="4"/>
        <v>96589.063656896411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50633</v>
      </c>
      <c r="B44" s="66">
        <v>50633</v>
      </c>
      <c r="D44">
        <f t="shared" si="0"/>
        <v>80.611676298737478</v>
      </c>
      <c r="E44">
        <f t="shared" si="1"/>
        <v>80.611676298737478</v>
      </c>
      <c r="G44">
        <f t="shared" ca="1" si="2"/>
        <v>42</v>
      </c>
      <c r="H44">
        <f t="shared" ca="1" si="3"/>
        <v>3385.6904045469742</v>
      </c>
      <c r="I44">
        <f t="shared" ca="1" si="4"/>
        <v>94108.53958471911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52024</v>
      </c>
      <c r="B46" s="66">
        <v>52024</v>
      </c>
      <c r="D46">
        <f t="shared" si="0"/>
        <v>82.826256547420044</v>
      </c>
      <c r="E46">
        <f t="shared" si="1"/>
        <v>82.826256547420044</v>
      </c>
      <c r="G46">
        <f t="shared" ca="1" si="2"/>
        <v>44</v>
      </c>
      <c r="H46">
        <f t="shared" ca="1" si="3"/>
        <v>3644.3552880864818</v>
      </c>
      <c r="I46">
        <f t="shared" ca="1" si="4"/>
        <v>85705.287998080195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54187</v>
      </c>
      <c r="B49" s="66">
        <v>54187</v>
      </c>
      <c r="D49">
        <f t="shared" si="0"/>
        <v>86.269920873732303</v>
      </c>
      <c r="E49">
        <f t="shared" si="1"/>
        <v>86.269920873732303</v>
      </c>
      <c r="G49">
        <f t="shared" ca="1" si="2"/>
        <v>47</v>
      </c>
      <c r="H49">
        <f t="shared" ca="1" si="3"/>
        <v>4054.6862810654184</v>
      </c>
      <c r="I49">
        <f t="shared" ca="1" si="4"/>
        <v>73394.46172322557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55860</v>
      </c>
      <c r="B51" s="66">
        <v>55860</v>
      </c>
      <c r="D51">
        <f t="shared" si="0"/>
        <v>88.933467067870282</v>
      </c>
      <c r="E51">
        <f t="shared" si="1"/>
        <v>88.933467067870282</v>
      </c>
      <c r="G51">
        <f t="shared" ca="1" si="2"/>
        <v>49</v>
      </c>
      <c r="H51">
        <f t="shared" ca="1" si="3"/>
        <v>4357.739886325644</v>
      </c>
      <c r="I51">
        <f t="shared" ca="1" si="4"/>
        <v>65640.284569539828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60516</v>
      </c>
      <c r="B54" s="66">
        <v>60516</v>
      </c>
      <c r="D54">
        <f t="shared" si="0"/>
        <v>96.346181401346897</v>
      </c>
      <c r="E54">
        <f t="shared" si="1"/>
        <v>96.346181401346897</v>
      </c>
      <c r="G54">
        <f t="shared" ca="1" si="2"/>
        <v>52</v>
      </c>
      <c r="H54">
        <f t="shared" ca="1" si="3"/>
        <v>5010.001432870039</v>
      </c>
      <c r="I54">
        <f t="shared" ca="1" si="4"/>
        <v>56273.583384268168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61677</v>
      </c>
      <c r="B57" s="66">
        <v>61677</v>
      </c>
      <c r="D57">
        <f t="shared" si="0"/>
        <v>98.194583751253759</v>
      </c>
      <c r="E57">
        <f t="shared" si="1"/>
        <v>98.194583751253759</v>
      </c>
      <c r="G57">
        <f t="shared" ca="1" si="2"/>
        <v>55</v>
      </c>
      <c r="H57">
        <f t="shared" ca="1" si="3"/>
        <v>5400.7021063189568</v>
      </c>
      <c r="I57">
        <f t="shared" ca="1" si="4"/>
        <v>43998.129862493202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62462</v>
      </c>
      <c r="B59" s="66">
        <v>62462</v>
      </c>
      <c r="D59">
        <f t="shared" si="0"/>
        <v>99.444364840553405</v>
      </c>
      <c r="E59">
        <f t="shared" si="1"/>
        <v>99.444364840553405</v>
      </c>
      <c r="G59">
        <f t="shared" ca="1" si="2"/>
        <v>57</v>
      </c>
      <c r="H59">
        <f t="shared" ca="1" si="3"/>
        <v>5668.3287959115441</v>
      </c>
      <c r="I59">
        <f t="shared" ca="1" si="4"/>
        <v>36535.870258199102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60491</v>
      </c>
      <c r="B62" s="66">
        <v>60491</v>
      </c>
      <c r="D62">
        <f t="shared" si="0"/>
        <v>96.306379455827795</v>
      </c>
      <c r="E62">
        <f t="shared" si="1"/>
        <v>96.306379455827795</v>
      </c>
      <c r="G62">
        <f t="shared" ca="1" si="2"/>
        <v>60</v>
      </c>
      <c r="H62">
        <f t="shared" ca="1" si="3"/>
        <v>5778.382767349668</v>
      </c>
      <c r="I62">
        <f t="shared" ca="1" si="4"/>
        <v>25173.910064236145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55875</v>
      </c>
      <c r="B64" s="66">
        <v>55875</v>
      </c>
      <c r="D64">
        <f t="shared" si="0"/>
        <v>88.95734823518174</v>
      </c>
      <c r="E64">
        <f t="shared" si="1"/>
        <v>88.95734823518174</v>
      </c>
      <c r="G64">
        <f t="shared" ca="1" si="2"/>
        <v>62</v>
      </c>
      <c r="H64">
        <f t="shared" ca="1" si="3"/>
        <v>5515.3555905812682</v>
      </c>
      <c r="I64">
        <f t="shared" ca="1" si="4"/>
        <v>17855.809612894504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62811</v>
      </c>
      <c r="B67" s="66">
        <v>62811</v>
      </c>
      <c r="D67">
        <f t="shared" ref="D67:D130" si="5">IFERROR( 100*A67/MAX(A$2:A$257), 0 )</f>
        <v>100</v>
      </c>
      <c r="E67">
        <f t="shared" ref="E67:E130" si="6">IFERROR( 100*B67/MAX(B$2:B$257), 0 )</f>
        <v>100</v>
      </c>
      <c r="G67">
        <f t="shared" ref="G67:G130" ca="1" si="7">CELL("row",D67)-2</f>
        <v>65</v>
      </c>
      <c r="H67">
        <f t="shared" ref="H67:H130" ca="1" si="8">D67*G67</f>
        <v>6500</v>
      </c>
      <c r="I67">
        <f t="shared" ref="I67:I130" ca="1" si="9">D67*((G67-$L$1)^2)</f>
        <v>12471.716407521935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56179</v>
      </c>
      <c r="B69" s="66">
        <v>56179</v>
      </c>
      <c r="D69">
        <f t="shared" si="5"/>
        <v>89.441339892693961</v>
      </c>
      <c r="E69">
        <f t="shared" si="6"/>
        <v>89.441339892693961</v>
      </c>
      <c r="G69">
        <f t="shared" ca="1" si="7"/>
        <v>67</v>
      </c>
      <c r="H69">
        <f t="shared" ca="1" si="8"/>
        <v>5992.5697728104951</v>
      </c>
      <c r="I69">
        <f t="shared" ca="1" si="9"/>
        <v>7517.2251698537993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56470</v>
      </c>
      <c r="B72" s="66">
        <v>56470</v>
      </c>
      <c r="D72">
        <f t="shared" si="5"/>
        <v>89.904634538536243</v>
      </c>
      <c r="E72">
        <f t="shared" si="6"/>
        <v>89.904634538536243</v>
      </c>
      <c r="G72">
        <f t="shared" ca="1" si="7"/>
        <v>70</v>
      </c>
      <c r="H72">
        <f t="shared" ca="1" si="8"/>
        <v>6293.3244176975368</v>
      </c>
      <c r="I72">
        <f t="shared" ca="1" si="9"/>
        <v>3420.001508121657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52888</v>
      </c>
      <c r="B75" s="66">
        <v>52888</v>
      </c>
      <c r="D75">
        <f t="shared" si="5"/>
        <v>84.201811784560036</v>
      </c>
      <c r="E75">
        <f t="shared" si="6"/>
        <v>84.201811784560036</v>
      </c>
      <c r="G75">
        <f t="shared" ca="1" si="7"/>
        <v>73</v>
      </c>
      <c r="H75">
        <f t="shared" ca="1" si="8"/>
        <v>6146.7322602728827</v>
      </c>
      <c r="I75">
        <f t="shared" ca="1" si="9"/>
        <v>844.89962168489205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55817</v>
      </c>
      <c r="B77" s="66">
        <v>55817</v>
      </c>
      <c r="D77">
        <f t="shared" si="5"/>
        <v>88.865007721577427</v>
      </c>
      <c r="E77">
        <f t="shared" si="6"/>
        <v>88.865007721577427</v>
      </c>
      <c r="G77">
        <f t="shared" ca="1" si="7"/>
        <v>75</v>
      </c>
      <c r="H77">
        <f t="shared" ca="1" si="8"/>
        <v>6664.8755791183066</v>
      </c>
      <c r="I77">
        <f t="shared" ca="1" si="9"/>
        <v>121.1661699748353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49630</v>
      </c>
      <c r="B80" s="66">
        <v>49630</v>
      </c>
      <c r="D80">
        <f t="shared" si="5"/>
        <v>79.014822244511308</v>
      </c>
      <c r="E80">
        <f t="shared" si="6"/>
        <v>79.014822244511308</v>
      </c>
      <c r="G80">
        <f t="shared" ca="1" si="7"/>
        <v>78</v>
      </c>
      <c r="H80">
        <f t="shared" ca="1" si="8"/>
        <v>6163.1561350718821</v>
      </c>
      <c r="I80">
        <f t="shared" ca="1" si="9"/>
        <v>265.28295988651882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48581</v>
      </c>
      <c r="B82" s="66">
        <v>48581</v>
      </c>
      <c r="D82">
        <f t="shared" si="5"/>
        <v>77.344732610530002</v>
      </c>
      <c r="E82">
        <f t="shared" si="6"/>
        <v>77.344732610530002</v>
      </c>
      <c r="G82">
        <f t="shared" ca="1" si="7"/>
        <v>80</v>
      </c>
      <c r="H82">
        <f t="shared" ca="1" si="8"/>
        <v>6187.5786088424002</v>
      </c>
      <c r="I82">
        <f t="shared" ca="1" si="9"/>
        <v>1135.9347509921556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50047</v>
      </c>
      <c r="B85" s="66">
        <v>50047</v>
      </c>
      <c r="D85">
        <f t="shared" si="5"/>
        <v>79.678718695769845</v>
      </c>
      <c r="E85">
        <f t="shared" si="6"/>
        <v>79.678718695769845</v>
      </c>
      <c r="G85">
        <f t="shared" ca="1" si="7"/>
        <v>83</v>
      </c>
      <c r="H85">
        <f t="shared" ca="1" si="8"/>
        <v>6613.333651748897</v>
      </c>
      <c r="I85">
        <f t="shared" ca="1" si="9"/>
        <v>3719.4458586323544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50618</v>
      </c>
      <c r="B88" s="66">
        <v>50618</v>
      </c>
      <c r="D88">
        <f t="shared" si="5"/>
        <v>80.58779513142602</v>
      </c>
      <c r="E88">
        <f t="shared" si="6"/>
        <v>80.58779513142602</v>
      </c>
      <c r="G88">
        <f t="shared" ca="1" si="7"/>
        <v>86</v>
      </c>
      <c r="H88">
        <f t="shared" ca="1" si="8"/>
        <v>6930.550381302638</v>
      </c>
      <c r="I88">
        <f t="shared" ca="1" si="9"/>
        <v>7790.7799290171361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52215</v>
      </c>
      <c r="B90" s="66">
        <v>52215</v>
      </c>
      <c r="D90">
        <f t="shared" si="5"/>
        <v>83.130343411185933</v>
      </c>
      <c r="E90">
        <f t="shared" si="6"/>
        <v>83.130343411185933</v>
      </c>
      <c r="G90">
        <f t="shared" ca="1" si="7"/>
        <v>88</v>
      </c>
      <c r="H90">
        <f t="shared" ca="1" si="8"/>
        <v>7315.470220184362</v>
      </c>
      <c r="I90">
        <f t="shared" ca="1" si="9"/>
        <v>11638.555982591222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54844</v>
      </c>
      <c r="B93" s="66">
        <v>54844</v>
      </c>
      <c r="D93">
        <f t="shared" si="5"/>
        <v>87.315916001974173</v>
      </c>
      <c r="E93">
        <f t="shared" si="6"/>
        <v>87.315916001974173</v>
      </c>
      <c r="G93">
        <f t="shared" ca="1" si="7"/>
        <v>91</v>
      </c>
      <c r="H93">
        <f t="shared" ca="1" si="8"/>
        <v>7945.7483561796498</v>
      </c>
      <c r="I93">
        <f t="shared" ca="1" si="9"/>
        <v>19209.291995338739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56003</v>
      </c>
      <c r="B95" s="66">
        <v>56003</v>
      </c>
      <c r="D95">
        <f t="shared" si="5"/>
        <v>89.161134196239516</v>
      </c>
      <c r="E95">
        <f t="shared" si="6"/>
        <v>89.161134196239516</v>
      </c>
      <c r="G95">
        <f t="shared" ca="1" si="7"/>
        <v>93</v>
      </c>
      <c r="H95">
        <f t="shared" ca="1" si="8"/>
        <v>8291.9854802502741</v>
      </c>
      <c r="I95">
        <f t="shared" ca="1" si="9"/>
        <v>25261.744605824559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53465</v>
      </c>
      <c r="B98" s="66">
        <v>53465</v>
      </c>
      <c r="D98">
        <f t="shared" si="5"/>
        <v>85.120440687140785</v>
      </c>
      <c r="E98">
        <f t="shared" si="6"/>
        <v>85.120440687140785</v>
      </c>
      <c r="G98">
        <f t="shared" ca="1" si="7"/>
        <v>96</v>
      </c>
      <c r="H98">
        <f t="shared" ca="1" si="8"/>
        <v>8171.5623059655154</v>
      </c>
      <c r="I98">
        <f t="shared" ca="1" si="9"/>
        <v>33479.636525323462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53106</v>
      </c>
      <c r="B100" s="66">
        <v>53106</v>
      </c>
      <c r="D100">
        <f t="shared" si="5"/>
        <v>84.548884749486561</v>
      </c>
      <c r="E100">
        <f t="shared" si="6"/>
        <v>84.548884749486561</v>
      </c>
      <c r="G100">
        <f t="shared" ca="1" si="7"/>
        <v>98</v>
      </c>
      <c r="H100">
        <f t="shared" ca="1" si="8"/>
        <v>8285.7907054496827</v>
      </c>
      <c r="I100">
        <f t="shared" ca="1" si="9"/>
        <v>40300.22807504009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51869</v>
      </c>
      <c r="B103" s="66">
        <v>51869</v>
      </c>
      <c r="D103">
        <f t="shared" si="5"/>
        <v>82.579484485201633</v>
      </c>
      <c r="E103">
        <f t="shared" si="6"/>
        <v>82.579484485201633</v>
      </c>
      <c r="G103">
        <f t="shared" ca="1" si="7"/>
        <v>101</v>
      </c>
      <c r="H103">
        <f t="shared" ca="1" si="8"/>
        <v>8340.5279330053654</v>
      </c>
      <c r="I103">
        <f t="shared" ca="1" si="9"/>
        <v>50922.137192538597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48649</v>
      </c>
      <c r="B106" s="66">
        <v>48649</v>
      </c>
      <c r="D106">
        <f t="shared" si="5"/>
        <v>77.452993902341944</v>
      </c>
      <c r="E106">
        <f t="shared" si="6"/>
        <v>77.452993902341944</v>
      </c>
      <c r="G106">
        <f t="shared" ca="1" si="7"/>
        <v>104</v>
      </c>
      <c r="H106">
        <f t="shared" ca="1" si="8"/>
        <v>8055.1113658435625</v>
      </c>
      <c r="I106">
        <f t="shared" ca="1" si="9"/>
        <v>59998.018235209936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44606</v>
      </c>
      <c r="B108" s="66">
        <v>44606</v>
      </c>
      <c r="D108">
        <f t="shared" si="5"/>
        <v>71.016223272993585</v>
      </c>
      <c r="E108">
        <f t="shared" si="6"/>
        <v>71.016223272993585</v>
      </c>
      <c r="G108">
        <f t="shared" ca="1" si="7"/>
        <v>106</v>
      </c>
      <c r="H108">
        <f t="shared" ca="1" si="8"/>
        <v>7527.7196669373197</v>
      </c>
      <c r="I108">
        <f t="shared" ca="1" si="9"/>
        <v>63202.101062151996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41559</v>
      </c>
      <c r="B111" s="66">
        <v>41559</v>
      </c>
      <c r="D111">
        <f t="shared" si="5"/>
        <v>66.165162153126047</v>
      </c>
      <c r="E111">
        <f t="shared" si="6"/>
        <v>66.165162153126047</v>
      </c>
      <c r="G111">
        <f t="shared" ca="1" si="7"/>
        <v>109</v>
      </c>
      <c r="H111">
        <f t="shared" ca="1" si="8"/>
        <v>7212.0026746907388</v>
      </c>
      <c r="I111">
        <f t="shared" ca="1" si="9"/>
        <v>71323.462994013331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38981</v>
      </c>
      <c r="B113" s="66">
        <v>38981</v>
      </c>
      <c r="D113">
        <f t="shared" si="5"/>
        <v>62.060785531196764</v>
      </c>
      <c r="E113">
        <f t="shared" si="6"/>
        <v>62.060785531196764</v>
      </c>
      <c r="G113">
        <f t="shared" ca="1" si="7"/>
        <v>111</v>
      </c>
      <c r="H113">
        <f t="shared" ca="1" si="8"/>
        <v>6888.7471939628404</v>
      </c>
      <c r="I113">
        <f t="shared" ca="1" si="9"/>
        <v>75297.745600726455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37165</v>
      </c>
      <c r="B116" s="66">
        <v>37165</v>
      </c>
      <c r="D116">
        <f t="shared" si="5"/>
        <v>59.169572208689559</v>
      </c>
      <c r="E116">
        <f t="shared" si="6"/>
        <v>59.169572208689559</v>
      </c>
      <c r="G116">
        <f t="shared" ca="1" si="7"/>
        <v>114</v>
      </c>
      <c r="H116">
        <f t="shared" ca="1" si="8"/>
        <v>6745.3312317906093</v>
      </c>
      <c r="I116">
        <f t="shared" ca="1" si="9"/>
        <v>84688.47028391184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30123</v>
      </c>
      <c r="B118" s="66">
        <v>30123</v>
      </c>
      <c r="D118">
        <f t="shared" si="5"/>
        <v>47.958160194870324</v>
      </c>
      <c r="E118">
        <f t="shared" si="6"/>
        <v>47.958160194870324</v>
      </c>
      <c r="G118">
        <f t="shared" ca="1" si="7"/>
        <v>116</v>
      </c>
      <c r="H118">
        <f t="shared" ca="1" si="8"/>
        <v>5563.146582604958</v>
      </c>
      <c r="I118">
        <f t="shared" ca="1" si="9"/>
        <v>76091.059821177769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30300</v>
      </c>
      <c r="B121" s="66">
        <v>30300</v>
      </c>
      <c r="D121">
        <f t="shared" si="5"/>
        <v>48.239957969145529</v>
      </c>
      <c r="E121">
        <f t="shared" si="6"/>
        <v>48.239957969145529</v>
      </c>
      <c r="G121">
        <f t="shared" ca="1" si="7"/>
        <v>119</v>
      </c>
      <c r="H121">
        <f t="shared" ca="1" si="8"/>
        <v>5740.5549983283181</v>
      </c>
      <c r="I121">
        <f t="shared" ca="1" si="9"/>
        <v>88501.379090806775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29801</v>
      </c>
      <c r="B124" s="66">
        <v>29801</v>
      </c>
      <c r="D124">
        <f t="shared" si="5"/>
        <v>47.445511136584358</v>
      </c>
      <c r="E124">
        <f t="shared" si="6"/>
        <v>47.445511136584358</v>
      </c>
      <c r="G124">
        <f t="shared" ca="1" si="7"/>
        <v>122</v>
      </c>
      <c r="H124">
        <f t="shared" ca="1" si="8"/>
        <v>5788.3523586632919</v>
      </c>
      <c r="I124">
        <f t="shared" ca="1" si="9"/>
        <v>99664.097510015592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25699</v>
      </c>
      <c r="B126" s="66">
        <v>25699</v>
      </c>
      <c r="D126">
        <f t="shared" si="5"/>
        <v>40.914807915810925</v>
      </c>
      <c r="E126">
        <f t="shared" si="6"/>
        <v>40.914807915810925</v>
      </c>
      <c r="G126">
        <f t="shared" ca="1" si="7"/>
        <v>124</v>
      </c>
      <c r="H126">
        <f t="shared" ca="1" si="8"/>
        <v>5073.4361815605544</v>
      </c>
      <c r="I126">
        <f t="shared" ca="1" si="9"/>
        <v>93610.23537098791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22940</v>
      </c>
      <c r="B129" s="66">
        <v>22940</v>
      </c>
      <c r="D129">
        <f t="shared" si="5"/>
        <v>36.522265208323383</v>
      </c>
      <c r="E129">
        <f t="shared" si="6"/>
        <v>36.522265208323383</v>
      </c>
      <c r="G129">
        <f t="shared" ca="1" si="7"/>
        <v>127</v>
      </c>
      <c r="H129">
        <f t="shared" ca="1" si="8"/>
        <v>4638.32768145707</v>
      </c>
      <c r="I129">
        <f t="shared" ca="1" si="9"/>
        <v>94370.77069348027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19994</v>
      </c>
      <c r="B131" s="66">
        <v>19994</v>
      </c>
      <c r="D131">
        <f t="shared" ref="D131:D194" si="10">IFERROR( 100*A131/MAX(A$2:A$257), 0 )</f>
        <v>31.832003948352995</v>
      </c>
      <c r="E131">
        <f t="shared" ref="E131:E194" si="11">IFERROR( 100*B131/MAX(B$2:B$257), 0 )</f>
        <v>31.832003948352995</v>
      </c>
      <c r="G131">
        <f t="shared" ref="G131:G194" ca="1" si="12">CELL("row",D131)-2</f>
        <v>129</v>
      </c>
      <c r="H131">
        <f t="shared" ref="H131:H194" ca="1" si="13">D131*G131</f>
        <v>4106.3285093375362</v>
      </c>
      <c r="I131">
        <f t="shared" ref="I131:I194" ca="1" si="14">D131*((G131-$L$1)^2)</f>
        <v>88851.19633766776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22681</v>
      </c>
      <c r="B134" s="66">
        <v>22681</v>
      </c>
      <c r="D134">
        <f t="shared" si="10"/>
        <v>36.109917052745537</v>
      </c>
      <c r="E134">
        <f t="shared" si="11"/>
        <v>36.109917052745537</v>
      </c>
      <c r="G134">
        <f t="shared" ca="1" si="12"/>
        <v>132</v>
      </c>
      <c r="H134">
        <f t="shared" ca="1" si="13"/>
        <v>4766.5090509624106</v>
      </c>
      <c r="I134">
        <f t="shared" ca="1" si="14"/>
        <v>112563.54934996211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16984</v>
      </c>
      <c r="B136" s="66">
        <v>16984</v>
      </c>
      <c r="D136">
        <f t="shared" si="10"/>
        <v>27.039849707853719</v>
      </c>
      <c r="E136">
        <f t="shared" si="11"/>
        <v>27.039849707853719</v>
      </c>
      <c r="G136">
        <f t="shared" ca="1" si="12"/>
        <v>134</v>
      </c>
      <c r="H136">
        <f t="shared" ca="1" si="13"/>
        <v>3623.3398608523985</v>
      </c>
      <c r="I136">
        <f t="shared" ca="1" si="14"/>
        <v>90436.853562138334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13429</v>
      </c>
      <c r="B139" s="66">
        <v>13429</v>
      </c>
      <c r="D139">
        <f t="shared" si="10"/>
        <v>21.38001305503813</v>
      </c>
      <c r="E139">
        <f t="shared" si="11"/>
        <v>21.38001305503813</v>
      </c>
      <c r="G139">
        <f t="shared" ca="1" si="12"/>
        <v>137</v>
      </c>
      <c r="H139">
        <f t="shared" ca="1" si="13"/>
        <v>2929.0617885402239</v>
      </c>
      <c r="I139">
        <f t="shared" ca="1" si="14"/>
        <v>79118.249449356663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11042</v>
      </c>
      <c r="B142" s="66">
        <v>11042</v>
      </c>
      <c r="D142">
        <f t="shared" si="10"/>
        <v>17.57972329687475</v>
      </c>
      <c r="E142">
        <f t="shared" si="11"/>
        <v>17.57972329687475</v>
      </c>
      <c r="G142">
        <f t="shared" ca="1" si="12"/>
        <v>140</v>
      </c>
      <c r="H142">
        <f t="shared" ca="1" si="13"/>
        <v>2461.1612615624649</v>
      </c>
      <c r="I142">
        <f t="shared" ca="1" si="14"/>
        <v>71629.717809947208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9822</v>
      </c>
      <c r="B144" s="66">
        <v>9822</v>
      </c>
      <c r="D144">
        <f t="shared" si="10"/>
        <v>15.63738835554282</v>
      </c>
      <c r="E144">
        <f t="shared" si="11"/>
        <v>15.63738835554282</v>
      </c>
      <c r="G144">
        <f t="shared" ca="1" si="12"/>
        <v>142</v>
      </c>
      <c r="H144">
        <f t="shared" ca="1" si="13"/>
        <v>2220.5091464870802</v>
      </c>
      <c r="I144">
        <f t="shared" ca="1" si="14"/>
        <v>67770.781080618894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6746</v>
      </c>
      <c r="B147" s="66">
        <v>6746</v>
      </c>
      <c r="D147">
        <f t="shared" si="10"/>
        <v>10.740156978873127</v>
      </c>
      <c r="E147">
        <f t="shared" si="11"/>
        <v>10.740156978873127</v>
      </c>
      <c r="G147">
        <f t="shared" ca="1" si="12"/>
        <v>145</v>
      </c>
      <c r="H147">
        <f t="shared" ca="1" si="13"/>
        <v>1557.3227619366035</v>
      </c>
      <c r="I147">
        <f t="shared" ca="1" si="14"/>
        <v>50885.658047073077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3976</v>
      </c>
      <c r="B149" s="66">
        <v>3976</v>
      </c>
      <c r="D149">
        <f t="shared" si="10"/>
        <v>6.3301014153571824</v>
      </c>
      <c r="E149">
        <f t="shared" si="11"/>
        <v>6.3301014153571824</v>
      </c>
      <c r="G149">
        <f t="shared" ca="1" si="12"/>
        <v>147</v>
      </c>
      <c r="H149">
        <f t="shared" ca="1" si="13"/>
        <v>930.52490805750585</v>
      </c>
      <c r="I149">
        <f t="shared" ca="1" si="14"/>
        <v>31759.492443292747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4430</v>
      </c>
      <c r="B152" s="66">
        <v>4430</v>
      </c>
      <c r="D152">
        <f t="shared" si="10"/>
        <v>7.0529047459839838</v>
      </c>
      <c r="E152">
        <f t="shared" si="11"/>
        <v>7.0529047459839838</v>
      </c>
      <c r="G152">
        <f t="shared" ca="1" si="12"/>
        <v>150</v>
      </c>
      <c r="H152">
        <f t="shared" ca="1" si="13"/>
        <v>1057.9357118975975</v>
      </c>
      <c r="I152">
        <f t="shared" ca="1" si="14"/>
        <v>38446.871214891064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3940</v>
      </c>
      <c r="B154" s="66">
        <v>3940</v>
      </c>
      <c r="D154">
        <f t="shared" si="10"/>
        <v>6.2727866138096831</v>
      </c>
      <c r="E154">
        <f t="shared" si="11"/>
        <v>6.2727866138096831</v>
      </c>
      <c r="G154">
        <f t="shared" ca="1" si="12"/>
        <v>152</v>
      </c>
      <c r="H154">
        <f t="shared" ca="1" si="13"/>
        <v>953.46356529907177</v>
      </c>
      <c r="I154">
        <f t="shared" ca="1" si="14"/>
        <v>36071.911353358919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2833</v>
      </c>
      <c r="B157" s="66">
        <v>2833</v>
      </c>
      <c r="D157">
        <f t="shared" si="10"/>
        <v>4.5103564662240689</v>
      </c>
      <c r="E157">
        <f t="shared" si="11"/>
        <v>4.5103564662240689</v>
      </c>
      <c r="G157">
        <f t="shared" ca="1" si="12"/>
        <v>155</v>
      </c>
      <c r="H157">
        <f t="shared" ca="1" si="13"/>
        <v>699.10525226473067</v>
      </c>
      <c r="I157">
        <f t="shared" ca="1" si="14"/>
        <v>28029.763877460031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2365</v>
      </c>
      <c r="B160" s="66">
        <v>2365</v>
      </c>
      <c r="D160">
        <f t="shared" si="10"/>
        <v>3.7652640461065738</v>
      </c>
      <c r="E160">
        <f t="shared" si="11"/>
        <v>3.7652640461065738</v>
      </c>
      <c r="G160">
        <f t="shared" ca="1" si="12"/>
        <v>158</v>
      </c>
      <c r="H160">
        <f t="shared" ca="1" si="13"/>
        <v>594.91171928483868</v>
      </c>
      <c r="I160">
        <f t="shared" ca="1" si="14"/>
        <v>25214.195944478473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2082</v>
      </c>
      <c r="B162" s="66">
        <v>2082</v>
      </c>
      <c r="D162">
        <f t="shared" si="10"/>
        <v>3.3147060228303959</v>
      </c>
      <c r="E162">
        <f t="shared" si="11"/>
        <v>3.3147060228303959</v>
      </c>
      <c r="G162">
        <f t="shared" ca="1" si="12"/>
        <v>160</v>
      </c>
      <c r="H162">
        <f t="shared" ca="1" si="13"/>
        <v>530.35296365286331</v>
      </c>
      <c r="I162">
        <f t="shared" ca="1" si="14"/>
        <v>23295.280654066439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2400</v>
      </c>
      <c r="B165" s="66">
        <v>2400</v>
      </c>
      <c r="D165">
        <f t="shared" si="10"/>
        <v>3.8209867698333095</v>
      </c>
      <c r="E165">
        <f t="shared" si="11"/>
        <v>3.8209867698333095</v>
      </c>
      <c r="G165">
        <f t="shared" ca="1" si="12"/>
        <v>163</v>
      </c>
      <c r="H165">
        <f t="shared" ca="1" si="13"/>
        <v>622.82084348282945</v>
      </c>
      <c r="I165">
        <f t="shared" ca="1" si="14"/>
        <v>28809.67136188603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1263</v>
      </c>
      <c r="B167" s="66">
        <v>1263</v>
      </c>
      <c r="D167">
        <f t="shared" si="10"/>
        <v>2.0107942876247793</v>
      </c>
      <c r="E167">
        <f t="shared" si="11"/>
        <v>2.0107942876247793</v>
      </c>
      <c r="G167">
        <f t="shared" ca="1" si="12"/>
        <v>165</v>
      </c>
      <c r="H167">
        <f t="shared" ca="1" si="13"/>
        <v>331.78105745808858</v>
      </c>
      <c r="I167">
        <f t="shared" ca="1" si="14"/>
        <v>15867.540431984853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749</v>
      </c>
      <c r="B170" s="66">
        <v>749</v>
      </c>
      <c r="D170">
        <f t="shared" si="10"/>
        <v>1.1924662877521452</v>
      </c>
      <c r="E170">
        <f t="shared" si="11"/>
        <v>1.1924662877521452</v>
      </c>
      <c r="G170">
        <f t="shared" ca="1" si="12"/>
        <v>168</v>
      </c>
      <c r="H170">
        <f t="shared" ca="1" si="13"/>
        <v>200.33433634236042</v>
      </c>
      <c r="I170">
        <f t="shared" ca="1" si="14"/>
        <v>10056.276024210452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679</v>
      </c>
      <c r="B173" s="66">
        <v>679</v>
      </c>
      <c r="D173">
        <f t="shared" si="10"/>
        <v>1.0810208402986738</v>
      </c>
      <c r="E173">
        <f t="shared" si="11"/>
        <v>1.0810208402986738</v>
      </c>
      <c r="G173">
        <f t="shared" ca="1" si="12"/>
        <v>171</v>
      </c>
      <c r="H173">
        <f t="shared" ca="1" si="13"/>
        <v>184.85456369107322</v>
      </c>
      <c r="I173">
        <f t="shared" ca="1" si="14"/>
        <v>9721.8022159960074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142</v>
      </c>
      <c r="B175" s="66">
        <v>142</v>
      </c>
      <c r="D175">
        <f t="shared" si="10"/>
        <v>0.2260750505484708</v>
      </c>
      <c r="E175">
        <f t="shared" si="11"/>
        <v>0.2260750505484708</v>
      </c>
      <c r="G175">
        <f t="shared" ca="1" si="12"/>
        <v>173</v>
      </c>
      <c r="H175">
        <f t="shared" ca="1" si="13"/>
        <v>39.110983744885445</v>
      </c>
      <c r="I175">
        <f t="shared" ca="1" si="14"/>
        <v>2119.7921322528186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373</v>
      </c>
      <c r="B178" s="66">
        <v>373</v>
      </c>
      <c r="D178">
        <f t="shared" si="10"/>
        <v>0.59384502714492682</v>
      </c>
      <c r="E178">
        <f t="shared" si="11"/>
        <v>0.59384502714492682</v>
      </c>
      <c r="G178">
        <f t="shared" ca="1" si="12"/>
        <v>176</v>
      </c>
      <c r="H178">
        <f t="shared" ca="1" si="13"/>
        <v>104.51672477750712</v>
      </c>
      <c r="I178">
        <f t="shared" ca="1" si="14"/>
        <v>5918.551317045868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388</v>
      </c>
      <c r="B180" s="66">
        <v>388</v>
      </c>
      <c r="D180">
        <f t="shared" si="10"/>
        <v>0.61772619445638499</v>
      </c>
      <c r="E180">
        <f t="shared" si="11"/>
        <v>0.61772619445638499</v>
      </c>
      <c r="G180">
        <f t="shared" ca="1" si="12"/>
        <v>178</v>
      </c>
      <c r="H180">
        <f t="shared" ca="1" si="13"/>
        <v>109.95526261323653</v>
      </c>
      <c r="I180">
        <f t="shared" ca="1" si="14"/>
        <v>6405.7098156801803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49</v>
      </c>
      <c r="B183" s="66">
        <v>49</v>
      </c>
      <c r="D183">
        <f t="shared" si="10"/>
        <v>7.8011813217430073E-2</v>
      </c>
      <c r="E183">
        <f t="shared" si="11"/>
        <v>7.8011813217430073E-2</v>
      </c>
      <c r="G183">
        <f t="shared" ca="1" si="12"/>
        <v>181</v>
      </c>
      <c r="H183">
        <f t="shared" ca="1" si="13"/>
        <v>14.120138192354844</v>
      </c>
      <c r="I183">
        <f t="shared" ca="1" si="14"/>
        <v>857.33535569977187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458</v>
      </c>
      <c r="B1" s="66" t="s">
        <v>459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71.70108428392524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1.3843679818600798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0.7018860633940297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10829</v>
      </c>
      <c r="B8" s="66">
        <v>10829</v>
      </c>
      <c r="D8">
        <f t="shared" si="0"/>
        <v>18.441443435908788</v>
      </c>
      <c r="E8">
        <f t="shared" si="1"/>
        <v>18.441443435908788</v>
      </c>
      <c r="G8">
        <f t="shared" ca="1" si="2"/>
        <v>6</v>
      </c>
      <c r="H8">
        <f t="shared" ca="1" si="3"/>
        <v>110.64866061545273</v>
      </c>
      <c r="I8">
        <f t="shared" ca="1" si="4"/>
        <v>79604.933641299809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12660</v>
      </c>
      <c r="B10" s="66">
        <v>12660</v>
      </c>
      <c r="D10">
        <f t="shared" si="0"/>
        <v>21.559578345055431</v>
      </c>
      <c r="E10">
        <f t="shared" si="1"/>
        <v>21.559578345055431</v>
      </c>
      <c r="G10">
        <f t="shared" ca="1" si="2"/>
        <v>8</v>
      </c>
      <c r="H10">
        <f t="shared" ca="1" si="3"/>
        <v>172.47662676044345</v>
      </c>
      <c r="I10">
        <f t="shared" ca="1" si="4"/>
        <v>87485.063672414442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14943</v>
      </c>
      <c r="B13" s="66">
        <v>14943</v>
      </c>
      <c r="D13">
        <f t="shared" si="0"/>
        <v>25.447454913914953</v>
      </c>
      <c r="E13">
        <f t="shared" si="1"/>
        <v>25.447454913914953</v>
      </c>
      <c r="G13">
        <f t="shared" ca="1" si="2"/>
        <v>11</v>
      </c>
      <c r="H13">
        <f t="shared" ca="1" si="3"/>
        <v>279.92200405306448</v>
      </c>
      <c r="I13">
        <f t="shared" ca="1" si="4"/>
        <v>93764.242886817359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19732</v>
      </c>
      <c r="B15" s="66">
        <v>19732</v>
      </c>
      <c r="D15">
        <f t="shared" si="0"/>
        <v>33.602969976669335</v>
      </c>
      <c r="E15">
        <f t="shared" si="1"/>
        <v>33.602969976669335</v>
      </c>
      <c r="G15">
        <f t="shared" ca="1" si="2"/>
        <v>13</v>
      </c>
      <c r="H15">
        <f t="shared" ca="1" si="3"/>
        <v>436.83860969670138</v>
      </c>
      <c r="I15">
        <f t="shared" ca="1" si="4"/>
        <v>115789.69514622165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21605</v>
      </c>
      <c r="B18" s="66">
        <v>21605</v>
      </c>
      <c r="D18">
        <f t="shared" si="0"/>
        <v>36.792629553311421</v>
      </c>
      <c r="E18">
        <f t="shared" si="1"/>
        <v>36.792629553311421</v>
      </c>
      <c r="G18">
        <f t="shared" ca="1" si="2"/>
        <v>16</v>
      </c>
      <c r="H18">
        <f t="shared" ca="1" si="3"/>
        <v>588.68207285298274</v>
      </c>
      <c r="I18">
        <f t="shared" ca="1" si="4"/>
        <v>114153.20945947584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28327</v>
      </c>
      <c r="B21" s="66">
        <v>28327</v>
      </c>
      <c r="D21">
        <f t="shared" si="0"/>
        <v>48.239982289129955</v>
      </c>
      <c r="E21">
        <f t="shared" si="1"/>
        <v>48.239982289129955</v>
      </c>
      <c r="G21">
        <f t="shared" ca="1" si="2"/>
        <v>19</v>
      </c>
      <c r="H21">
        <f t="shared" ca="1" si="3"/>
        <v>916.55966349346909</v>
      </c>
      <c r="I21">
        <f t="shared" ca="1" si="4"/>
        <v>133981.93350374879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36184</v>
      </c>
      <c r="B23" s="66">
        <v>36184</v>
      </c>
      <c r="D23">
        <f t="shared" si="0"/>
        <v>61.620204015599192</v>
      </c>
      <c r="E23">
        <f t="shared" si="1"/>
        <v>61.620204015599192</v>
      </c>
      <c r="G23">
        <f t="shared" ca="1" si="2"/>
        <v>21</v>
      </c>
      <c r="H23">
        <f t="shared" ca="1" si="3"/>
        <v>1294.024284327583</v>
      </c>
      <c r="I23">
        <f t="shared" ca="1" si="4"/>
        <v>158400.89321148646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39400</v>
      </c>
      <c r="B26" s="66">
        <v>39400</v>
      </c>
      <c r="D26">
        <f t="shared" si="0"/>
        <v>67.096949983821801</v>
      </c>
      <c r="E26">
        <f t="shared" si="1"/>
        <v>67.096949983821801</v>
      </c>
      <c r="G26">
        <f t="shared" ca="1" si="2"/>
        <v>24</v>
      </c>
      <c r="H26">
        <f t="shared" ca="1" si="3"/>
        <v>1610.3267996117233</v>
      </c>
      <c r="I26">
        <f t="shared" ca="1" si="4"/>
        <v>152671.95996214013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44360</v>
      </c>
      <c r="B28" s="66">
        <v>44360</v>
      </c>
      <c r="D28">
        <f t="shared" si="0"/>
        <v>75.543672621379059</v>
      </c>
      <c r="E28">
        <f t="shared" si="1"/>
        <v>75.543672621379059</v>
      </c>
      <c r="G28">
        <f t="shared" ca="1" si="2"/>
        <v>26</v>
      </c>
      <c r="H28">
        <f t="shared" ca="1" si="3"/>
        <v>1964.1354881558555</v>
      </c>
      <c r="I28">
        <f t="shared" ca="1" si="4"/>
        <v>157779.69156803325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46408</v>
      </c>
      <c r="B31" s="66">
        <v>46408</v>
      </c>
      <c r="D31">
        <f t="shared" si="0"/>
        <v>79.031351645918832</v>
      </c>
      <c r="E31">
        <f t="shared" si="1"/>
        <v>79.031351645918832</v>
      </c>
      <c r="G31">
        <f t="shared" ca="1" si="2"/>
        <v>29</v>
      </c>
      <c r="H31">
        <f t="shared" ca="1" si="3"/>
        <v>2291.9091977316461</v>
      </c>
      <c r="I31">
        <f t="shared" ca="1" si="4"/>
        <v>144104.39136842723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49319</v>
      </c>
      <c r="B33" s="66">
        <v>49319</v>
      </c>
      <c r="D33">
        <f t="shared" si="0"/>
        <v>83.988692290662627</v>
      </c>
      <c r="E33">
        <f t="shared" si="1"/>
        <v>83.988692290662627</v>
      </c>
      <c r="G33">
        <f t="shared" ca="1" si="2"/>
        <v>31</v>
      </c>
      <c r="H33">
        <f t="shared" ca="1" si="3"/>
        <v>2603.6494610105415</v>
      </c>
      <c r="I33">
        <f t="shared" ca="1" si="4"/>
        <v>139133.8418930436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51885</v>
      </c>
      <c r="B36" s="66">
        <v>51885</v>
      </c>
      <c r="D36">
        <f t="shared" si="0"/>
        <v>88.358508880979542</v>
      </c>
      <c r="E36">
        <f t="shared" si="1"/>
        <v>88.358508880979542</v>
      </c>
      <c r="G36">
        <f t="shared" ca="1" si="2"/>
        <v>34</v>
      </c>
      <c r="H36">
        <f t="shared" ca="1" si="3"/>
        <v>3004.1893019533045</v>
      </c>
      <c r="I36">
        <f t="shared" ca="1" si="4"/>
        <v>125590.28894192517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54174</v>
      </c>
      <c r="B39" s="66">
        <v>54174</v>
      </c>
      <c r="D39">
        <f t="shared" si="0"/>
        <v>92.256603259481281</v>
      </c>
      <c r="E39">
        <f t="shared" si="1"/>
        <v>92.256603259481281</v>
      </c>
      <c r="G39">
        <f t="shared" ca="1" si="2"/>
        <v>37</v>
      </c>
      <c r="H39">
        <f t="shared" ca="1" si="3"/>
        <v>3413.4943206008074</v>
      </c>
      <c r="I39">
        <f t="shared" ca="1" si="4"/>
        <v>111092.19577239496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50297</v>
      </c>
      <c r="B41" s="66">
        <v>50297</v>
      </c>
      <c r="D41">
        <f t="shared" si="0"/>
        <v>85.654195262342256</v>
      </c>
      <c r="E41">
        <f t="shared" si="1"/>
        <v>85.654195262342256</v>
      </c>
      <c r="G41">
        <f t="shared" ca="1" si="2"/>
        <v>39</v>
      </c>
      <c r="H41">
        <f t="shared" ca="1" si="3"/>
        <v>3340.513615231348</v>
      </c>
      <c r="I41">
        <f t="shared" ca="1" si="4"/>
        <v>91595.24847751639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46490</v>
      </c>
      <c r="B44" s="66">
        <v>46490</v>
      </c>
      <c r="D44">
        <f t="shared" si="0"/>
        <v>79.170995044362328</v>
      </c>
      <c r="E44">
        <f t="shared" si="1"/>
        <v>79.170995044362328</v>
      </c>
      <c r="G44">
        <f t="shared" ca="1" si="2"/>
        <v>42</v>
      </c>
      <c r="H44">
        <f t="shared" ca="1" si="3"/>
        <v>3325.1817918632178</v>
      </c>
      <c r="I44">
        <f t="shared" ca="1" si="4"/>
        <v>69841.042235694607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48134</v>
      </c>
      <c r="B46" s="66">
        <v>48134</v>
      </c>
      <c r="D46">
        <f t="shared" si="0"/>
        <v>81.970674886326861</v>
      </c>
      <c r="E46">
        <f t="shared" si="1"/>
        <v>81.970674886326861</v>
      </c>
      <c r="G46">
        <f t="shared" ca="1" si="2"/>
        <v>44</v>
      </c>
      <c r="H46">
        <f t="shared" ca="1" si="3"/>
        <v>3606.709694998382</v>
      </c>
      <c r="I46">
        <f t="shared" ca="1" si="4"/>
        <v>62900.203153376002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47242</v>
      </c>
      <c r="B49" s="66">
        <v>47242</v>
      </c>
      <c r="D49">
        <f t="shared" si="0"/>
        <v>80.451627186185519</v>
      </c>
      <c r="E49">
        <f t="shared" si="1"/>
        <v>80.451627186185519</v>
      </c>
      <c r="G49">
        <f t="shared" ca="1" si="2"/>
        <v>47</v>
      </c>
      <c r="H49">
        <f t="shared" ca="1" si="3"/>
        <v>3781.2264777507194</v>
      </c>
      <c r="I49">
        <f t="shared" ca="1" si="4"/>
        <v>49087.042605466813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48967</v>
      </c>
      <c r="B51" s="66">
        <v>48967</v>
      </c>
      <c r="D51">
        <f t="shared" si="0"/>
        <v>83.389247458319858</v>
      </c>
      <c r="E51">
        <f t="shared" si="1"/>
        <v>83.389247458319858</v>
      </c>
      <c r="G51">
        <f t="shared" ca="1" si="2"/>
        <v>49</v>
      </c>
      <c r="H51">
        <f t="shared" ca="1" si="3"/>
        <v>4086.0731254576731</v>
      </c>
      <c r="I51">
        <f t="shared" ca="1" si="4"/>
        <v>42973.750380809295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51406</v>
      </c>
      <c r="B54" s="66">
        <v>51406</v>
      </c>
      <c r="D54">
        <f t="shared" si="0"/>
        <v>87.542787077876739</v>
      </c>
      <c r="E54">
        <f t="shared" si="1"/>
        <v>87.542787077876739</v>
      </c>
      <c r="G54">
        <f t="shared" ca="1" si="2"/>
        <v>52</v>
      </c>
      <c r="H54">
        <f t="shared" ca="1" si="3"/>
        <v>4552.2249280495907</v>
      </c>
      <c r="I54">
        <f t="shared" ca="1" si="4"/>
        <v>33978.220236704648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53600</v>
      </c>
      <c r="B57" s="66">
        <v>53600</v>
      </c>
      <c r="D57">
        <f t="shared" si="0"/>
        <v>91.279099470376863</v>
      </c>
      <c r="E57">
        <f t="shared" si="1"/>
        <v>91.279099470376863</v>
      </c>
      <c r="G57">
        <f t="shared" ca="1" si="2"/>
        <v>55</v>
      </c>
      <c r="H57">
        <f t="shared" ca="1" si="3"/>
        <v>5020.3504708707278</v>
      </c>
      <c r="I57">
        <f t="shared" ca="1" si="4"/>
        <v>25460.133838780541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55547</v>
      </c>
      <c r="B59" s="66">
        <v>55547</v>
      </c>
      <c r="D59">
        <f t="shared" si="0"/>
        <v>94.594778699272837</v>
      </c>
      <c r="E59">
        <f t="shared" si="1"/>
        <v>94.594778699272837</v>
      </c>
      <c r="G59">
        <f t="shared" ca="1" si="2"/>
        <v>57</v>
      </c>
      <c r="H59">
        <f t="shared" ca="1" si="3"/>
        <v>5391.9023858585515</v>
      </c>
      <c r="I59">
        <f t="shared" ca="1" si="4"/>
        <v>20444.001327718153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58721</v>
      </c>
      <c r="B62" s="66">
        <v>58721</v>
      </c>
      <c r="D62">
        <f t="shared" si="0"/>
        <v>100</v>
      </c>
      <c r="E62">
        <f t="shared" si="1"/>
        <v>100</v>
      </c>
      <c r="G62">
        <f t="shared" ca="1" si="2"/>
        <v>60</v>
      </c>
      <c r="H62">
        <f t="shared" ca="1" si="3"/>
        <v>6000</v>
      </c>
      <c r="I62">
        <f t="shared" ca="1" si="4"/>
        <v>13691.537341952228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51881</v>
      </c>
      <c r="B64" s="66">
        <v>51881</v>
      </c>
      <c r="D64">
        <f t="shared" si="0"/>
        <v>88.351697007884738</v>
      </c>
      <c r="E64">
        <f t="shared" si="1"/>
        <v>88.351697007884738</v>
      </c>
      <c r="G64">
        <f t="shared" ca="1" si="2"/>
        <v>62</v>
      </c>
      <c r="H64">
        <f t="shared" ca="1" si="3"/>
        <v>5477.8052144888534</v>
      </c>
      <c r="I64">
        <f t="shared" ca="1" si="4"/>
        <v>8314.8697628462251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50468</v>
      </c>
      <c r="B67" s="66">
        <v>50468</v>
      </c>
      <c r="D67">
        <f t="shared" ref="D67:D130" si="5">IFERROR(100*A67/MAX(A$2:A$257), 0 )</f>
        <v>85.945402837145139</v>
      </c>
      <c r="E67">
        <f t="shared" ref="E67:E130" si="6">IFERROR(100*B67/MAX(B$2:B$257), 0 )</f>
        <v>85.945402837145139</v>
      </c>
      <c r="G67">
        <f t="shared" ref="G67:G130" ca="1" si="7">CELL("row",D67)-2</f>
        <v>65</v>
      </c>
      <c r="H67">
        <f t="shared" ref="H67:H130" ca="1" si="8">D67*G67</f>
        <v>5586.4511844144345</v>
      </c>
      <c r="I67">
        <f t="shared" ref="I67:I130" ca="1" si="9">D67*((G67-$L$1)^2)</f>
        <v>3859.3379699341949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51728</v>
      </c>
      <c r="B69" s="66">
        <v>51728</v>
      </c>
      <c r="D69">
        <f t="shared" si="5"/>
        <v>88.091142862008482</v>
      </c>
      <c r="E69">
        <f t="shared" si="6"/>
        <v>88.091142862008482</v>
      </c>
      <c r="G69">
        <f t="shared" ca="1" si="7"/>
        <v>67</v>
      </c>
      <c r="H69">
        <f t="shared" ca="1" si="8"/>
        <v>5902.106571754568</v>
      </c>
      <c r="I69">
        <f t="shared" ca="1" si="9"/>
        <v>1946.8312980035414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51071</v>
      </c>
      <c r="B72" s="66">
        <v>51071</v>
      </c>
      <c r="D72">
        <f t="shared" si="5"/>
        <v>86.972292706186877</v>
      </c>
      <c r="E72">
        <f t="shared" si="6"/>
        <v>86.972292706186877</v>
      </c>
      <c r="G72">
        <f t="shared" ca="1" si="7"/>
        <v>70</v>
      </c>
      <c r="H72">
        <f t="shared" ca="1" si="8"/>
        <v>6088.0604894330818</v>
      </c>
      <c r="I72">
        <f t="shared" ca="1" si="9"/>
        <v>251.67065721207419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43547</v>
      </c>
      <c r="B75" s="66">
        <v>43547</v>
      </c>
      <c r="D75">
        <f t="shared" si="5"/>
        <v>74.159159414860099</v>
      </c>
      <c r="E75">
        <f t="shared" si="6"/>
        <v>74.159159414860099</v>
      </c>
      <c r="G75">
        <f t="shared" ca="1" si="7"/>
        <v>73</v>
      </c>
      <c r="H75">
        <f t="shared" ca="1" si="8"/>
        <v>5413.6186372847869</v>
      </c>
      <c r="I75">
        <f t="shared" ca="1" si="9"/>
        <v>125.12000167832996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42634</v>
      </c>
      <c r="B77" s="66">
        <v>42634</v>
      </c>
      <c r="D77">
        <f t="shared" si="5"/>
        <v>72.60434938097103</v>
      </c>
      <c r="E77">
        <f t="shared" si="6"/>
        <v>72.60434938097103</v>
      </c>
      <c r="G77">
        <f t="shared" ca="1" si="7"/>
        <v>75</v>
      </c>
      <c r="H77">
        <f t="shared" ca="1" si="8"/>
        <v>5445.3262035728276</v>
      </c>
      <c r="I77">
        <f t="shared" ca="1" si="9"/>
        <v>790.14187350666862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37278</v>
      </c>
      <c r="B80" s="66">
        <v>37278</v>
      </c>
      <c r="D80">
        <f t="shared" si="5"/>
        <v>63.483251307028148</v>
      </c>
      <c r="E80">
        <f t="shared" si="6"/>
        <v>63.483251307028148</v>
      </c>
      <c r="G80">
        <f t="shared" ca="1" si="7"/>
        <v>78</v>
      </c>
      <c r="H80">
        <f t="shared" ca="1" si="8"/>
        <v>4951.6936019481955</v>
      </c>
      <c r="I80">
        <f t="shared" ca="1" si="9"/>
        <v>2518.7830122630853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39681</v>
      </c>
      <c r="B82" s="66">
        <v>39681</v>
      </c>
      <c r="D82">
        <f t="shared" si="5"/>
        <v>67.575484068731797</v>
      </c>
      <c r="E82">
        <f t="shared" si="6"/>
        <v>67.575484068731797</v>
      </c>
      <c r="G82">
        <f t="shared" ca="1" si="7"/>
        <v>80</v>
      </c>
      <c r="H82">
        <f t="shared" ca="1" si="8"/>
        <v>5406.0387254985435</v>
      </c>
      <c r="I82">
        <f t="shared" ca="1" si="9"/>
        <v>4654.0588781569859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37397</v>
      </c>
      <c r="B85" s="66">
        <v>37397</v>
      </c>
      <c r="D85">
        <f t="shared" si="5"/>
        <v>63.685904531598574</v>
      </c>
      <c r="E85">
        <f t="shared" si="6"/>
        <v>63.685904531598574</v>
      </c>
      <c r="G85">
        <f t="shared" ca="1" si="7"/>
        <v>83</v>
      </c>
      <c r="H85">
        <f t="shared" ca="1" si="8"/>
        <v>5285.9300761226814</v>
      </c>
      <c r="I85">
        <f t="shared" ca="1" si="9"/>
        <v>8130.4926130959475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43616</v>
      </c>
      <c r="B88" s="66">
        <v>43616</v>
      </c>
      <c r="D88">
        <f t="shared" si="5"/>
        <v>74.276664225745478</v>
      </c>
      <c r="E88">
        <f t="shared" si="6"/>
        <v>74.276664225745478</v>
      </c>
      <c r="G88">
        <f t="shared" ca="1" si="7"/>
        <v>86</v>
      </c>
      <c r="H88">
        <f t="shared" ca="1" si="8"/>
        <v>6387.7931234141115</v>
      </c>
      <c r="I88">
        <f t="shared" ca="1" si="9"/>
        <v>15186.531796846702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38603</v>
      </c>
      <c r="B90" s="66">
        <v>38603</v>
      </c>
      <c r="D90">
        <f t="shared" si="5"/>
        <v>65.739684269682058</v>
      </c>
      <c r="E90">
        <f t="shared" si="6"/>
        <v>65.739684269682058</v>
      </c>
      <c r="G90">
        <f t="shared" ca="1" si="7"/>
        <v>88</v>
      </c>
      <c r="H90">
        <f t="shared" ca="1" si="8"/>
        <v>5785.092215732021</v>
      </c>
      <c r="I90">
        <f t="shared" ca="1" si="9"/>
        <v>17464.053047157438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34288</v>
      </c>
      <c r="B93" s="66">
        <v>34288</v>
      </c>
      <c r="D93">
        <f t="shared" si="5"/>
        <v>58.391376168661978</v>
      </c>
      <c r="E93">
        <f t="shared" si="6"/>
        <v>58.391376168661978</v>
      </c>
      <c r="G93">
        <f t="shared" ca="1" si="7"/>
        <v>91</v>
      </c>
      <c r="H93">
        <f t="shared" ca="1" si="8"/>
        <v>5313.6152313482398</v>
      </c>
      <c r="I93">
        <f t="shared" ca="1" si="9"/>
        <v>21747.759902454665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32731</v>
      </c>
      <c r="B95" s="66">
        <v>32731</v>
      </c>
      <c r="D95">
        <f t="shared" si="5"/>
        <v>55.739854566509429</v>
      </c>
      <c r="E95">
        <f t="shared" si="6"/>
        <v>55.739854566509429</v>
      </c>
      <c r="G95">
        <f t="shared" ca="1" si="7"/>
        <v>93</v>
      </c>
      <c r="H95">
        <f t="shared" ca="1" si="8"/>
        <v>5183.806474685377</v>
      </c>
      <c r="I95">
        <f t="shared" ca="1" si="9"/>
        <v>25286.040032325778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32762</v>
      </c>
      <c r="B98" s="66">
        <v>32762</v>
      </c>
      <c r="D98">
        <f t="shared" si="5"/>
        <v>55.792646582994159</v>
      </c>
      <c r="E98">
        <f t="shared" si="6"/>
        <v>55.792646582994159</v>
      </c>
      <c r="G98">
        <f t="shared" ca="1" si="7"/>
        <v>96</v>
      </c>
      <c r="H98">
        <f t="shared" ca="1" si="8"/>
        <v>5356.094071967439</v>
      </c>
      <c r="I98">
        <f t="shared" ca="1" si="9"/>
        <v>32942.059885991992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32312</v>
      </c>
      <c r="B100" s="66">
        <v>32312</v>
      </c>
      <c r="D100">
        <f t="shared" si="5"/>
        <v>55.026310859828683</v>
      </c>
      <c r="E100">
        <f t="shared" si="6"/>
        <v>55.026310859828683</v>
      </c>
      <c r="G100">
        <f t="shared" ca="1" si="7"/>
        <v>98</v>
      </c>
      <c r="H100">
        <f t="shared" ca="1" si="8"/>
        <v>5392.5784642632107</v>
      </c>
      <c r="I100">
        <f t="shared" ca="1" si="9"/>
        <v>38058.010689335984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38908</v>
      </c>
      <c r="B103" s="66">
        <v>38908</v>
      </c>
      <c r="D103">
        <f t="shared" si="5"/>
        <v>66.25908959316088</v>
      </c>
      <c r="E103">
        <f t="shared" si="6"/>
        <v>66.25908959316088</v>
      </c>
      <c r="G103">
        <f t="shared" ca="1" si="7"/>
        <v>101</v>
      </c>
      <c r="H103">
        <f t="shared" ca="1" si="8"/>
        <v>6692.1680489092487</v>
      </c>
      <c r="I103">
        <f t="shared" ca="1" si="9"/>
        <v>56878.555863918846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34513</v>
      </c>
      <c r="B106" s="66">
        <v>34513</v>
      </c>
      <c r="D106">
        <f t="shared" si="5"/>
        <v>58.774544030244719</v>
      </c>
      <c r="E106">
        <f t="shared" si="6"/>
        <v>58.774544030244719</v>
      </c>
      <c r="G106">
        <f t="shared" ca="1" si="7"/>
        <v>104</v>
      </c>
      <c r="H106">
        <f t="shared" ca="1" si="8"/>
        <v>6112.5525791454511</v>
      </c>
      <c r="I106">
        <f t="shared" ca="1" si="9"/>
        <v>61314.777262666052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34600</v>
      </c>
      <c r="B108" s="66">
        <v>34600</v>
      </c>
      <c r="D108">
        <f t="shared" si="5"/>
        <v>58.92270227005671</v>
      </c>
      <c r="E108">
        <f t="shared" si="6"/>
        <v>58.92270227005671</v>
      </c>
      <c r="G108">
        <f t="shared" ca="1" si="7"/>
        <v>106</v>
      </c>
      <c r="H108">
        <f t="shared" ca="1" si="8"/>
        <v>6245.806440626011</v>
      </c>
      <c r="I108">
        <f t="shared" ca="1" si="9"/>
        <v>69317.587281764005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37083</v>
      </c>
      <c r="B111" s="66">
        <v>37083</v>
      </c>
      <c r="D111">
        <f t="shared" si="5"/>
        <v>63.151172493656446</v>
      </c>
      <c r="E111">
        <f t="shared" si="6"/>
        <v>63.151172493656446</v>
      </c>
      <c r="G111">
        <f t="shared" ca="1" si="7"/>
        <v>109</v>
      </c>
      <c r="H111">
        <f t="shared" ca="1" si="8"/>
        <v>6883.4778018085526</v>
      </c>
      <c r="I111">
        <f t="shared" ca="1" si="9"/>
        <v>87856.486707375181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34132</v>
      </c>
      <c r="B113" s="66">
        <v>34132</v>
      </c>
      <c r="D113">
        <f t="shared" si="5"/>
        <v>58.125713117964615</v>
      </c>
      <c r="E113">
        <f t="shared" si="6"/>
        <v>58.125713117964615</v>
      </c>
      <c r="G113">
        <f t="shared" ca="1" si="7"/>
        <v>111</v>
      </c>
      <c r="H113">
        <f t="shared" ca="1" si="8"/>
        <v>6451.9541560940725</v>
      </c>
      <c r="I113">
        <f t="shared" ca="1" si="9"/>
        <v>89769.628974478692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32002</v>
      </c>
      <c r="B116" s="66">
        <v>32002</v>
      </c>
      <c r="D116">
        <f t="shared" si="5"/>
        <v>54.498390694981353</v>
      </c>
      <c r="E116">
        <f t="shared" si="6"/>
        <v>54.498390694981353</v>
      </c>
      <c r="G116">
        <f t="shared" ca="1" si="7"/>
        <v>114</v>
      </c>
      <c r="H116">
        <f t="shared" ca="1" si="8"/>
        <v>6212.8165392278743</v>
      </c>
      <c r="I116">
        <f t="shared" ca="1" si="9"/>
        <v>97508.426390423512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29090</v>
      </c>
      <c r="B118" s="66">
        <v>29090</v>
      </c>
      <c r="D118">
        <f t="shared" si="5"/>
        <v>49.539347081963861</v>
      </c>
      <c r="E118">
        <f t="shared" si="6"/>
        <v>49.539347081963861</v>
      </c>
      <c r="G118">
        <f t="shared" ca="1" si="7"/>
        <v>116</v>
      </c>
      <c r="H118">
        <f t="shared" ca="1" si="8"/>
        <v>5746.5642615078077</v>
      </c>
      <c r="I118">
        <f t="shared" ca="1" si="9"/>
        <v>97215.714189136343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30678</v>
      </c>
      <c r="B121" s="66">
        <v>30678</v>
      </c>
      <c r="D121">
        <f t="shared" si="5"/>
        <v>52.243660700601147</v>
      </c>
      <c r="E121">
        <f t="shared" si="6"/>
        <v>52.243660700601147</v>
      </c>
      <c r="G121">
        <f t="shared" ca="1" si="7"/>
        <v>119</v>
      </c>
      <c r="H121">
        <f t="shared" ca="1" si="8"/>
        <v>6216.9956233715366</v>
      </c>
      <c r="I121">
        <f t="shared" ca="1" si="9"/>
        <v>116878.86090771206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29097</v>
      </c>
      <c r="B124" s="66">
        <v>29097</v>
      </c>
      <c r="D124">
        <f t="shared" si="5"/>
        <v>49.551267859879772</v>
      </c>
      <c r="E124">
        <f t="shared" si="6"/>
        <v>49.551267859879772</v>
      </c>
      <c r="G124">
        <f t="shared" ca="1" si="7"/>
        <v>122</v>
      </c>
      <c r="H124">
        <f t="shared" ca="1" si="8"/>
        <v>6045.2546789053322</v>
      </c>
      <c r="I124">
        <f t="shared" ca="1" si="9"/>
        <v>125363.76235695173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29262</v>
      </c>
      <c r="B126" s="66">
        <v>29262</v>
      </c>
      <c r="D126">
        <f t="shared" si="5"/>
        <v>49.832257625040448</v>
      </c>
      <c r="E126">
        <f t="shared" si="6"/>
        <v>49.832257625040448</v>
      </c>
      <c r="G126">
        <f t="shared" ca="1" si="7"/>
        <v>124</v>
      </c>
      <c r="H126">
        <f t="shared" ca="1" si="8"/>
        <v>6179.1999455050154</v>
      </c>
      <c r="I126">
        <f t="shared" ca="1" si="9"/>
        <v>136300.02423754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28045</v>
      </c>
      <c r="B129" s="66">
        <v>28045</v>
      </c>
      <c r="D129">
        <f t="shared" si="5"/>
        <v>47.759745235946255</v>
      </c>
      <c r="E129">
        <f t="shared" si="6"/>
        <v>47.759745235946255</v>
      </c>
      <c r="G129">
        <f t="shared" ca="1" si="7"/>
        <v>127</v>
      </c>
      <c r="H129">
        <f t="shared" ca="1" si="8"/>
        <v>6065.4876449651747</v>
      </c>
      <c r="I129">
        <f t="shared" ca="1" si="9"/>
        <v>146047.87193002662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24307</v>
      </c>
      <c r="B131" s="66">
        <v>24307</v>
      </c>
      <c r="D131">
        <f t="shared" ref="D131:D194" si="10">IFERROR(100*A131/MAX(A$2:A$257), 0 )</f>
        <v>41.394049828851692</v>
      </c>
      <c r="E131">
        <f t="shared" ref="E131:E194" si="11">IFERROR(100*B131/MAX(B$2:B$257), 0 )</f>
        <v>41.394049828851692</v>
      </c>
      <c r="G131">
        <f t="shared" ref="G131:G194" ca="1" si="12">CELL("row",D131)-2</f>
        <v>129</v>
      </c>
      <c r="H131">
        <f t="shared" ref="H131:H194" ca="1" si="13">D131*G131</f>
        <v>5339.8324279218687</v>
      </c>
      <c r="I131">
        <f t="shared" ref="I131:I194" ca="1" si="14">D131*((G131-$L$1)^2)</f>
        <v>135903.52633057194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25060</v>
      </c>
      <c r="B134" s="66">
        <v>25060</v>
      </c>
      <c r="D134">
        <f t="shared" si="10"/>
        <v>42.676384938948587</v>
      </c>
      <c r="E134">
        <f t="shared" si="11"/>
        <v>42.676384938948587</v>
      </c>
      <c r="G134">
        <f t="shared" ca="1" si="12"/>
        <v>132</v>
      </c>
      <c r="H134">
        <f t="shared" ca="1" si="13"/>
        <v>5633.2828119412134</v>
      </c>
      <c r="I134">
        <f t="shared" ca="1" si="14"/>
        <v>155169.59600066289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22333</v>
      </c>
      <c r="B136" s="66">
        <v>22333</v>
      </c>
      <c r="D136">
        <f t="shared" si="10"/>
        <v>38.032390456565793</v>
      </c>
      <c r="E136">
        <f t="shared" si="11"/>
        <v>38.032390456565793</v>
      </c>
      <c r="G136">
        <f t="shared" ca="1" si="12"/>
        <v>134</v>
      </c>
      <c r="H136">
        <f t="shared" ca="1" si="13"/>
        <v>5096.3403211798159</v>
      </c>
      <c r="I136">
        <f t="shared" ca="1" si="14"/>
        <v>147609.59855634038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18677</v>
      </c>
      <c r="B139" s="66">
        <v>18677</v>
      </c>
      <c r="D139">
        <f t="shared" si="10"/>
        <v>31.806338447914715</v>
      </c>
      <c r="E139">
        <f t="shared" si="11"/>
        <v>31.806338447914715</v>
      </c>
      <c r="G139">
        <f t="shared" ca="1" si="12"/>
        <v>137</v>
      </c>
      <c r="H139">
        <f t="shared" ca="1" si="13"/>
        <v>4357.4683673643158</v>
      </c>
      <c r="I139">
        <f t="shared" ca="1" si="14"/>
        <v>135620.5857343066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15122</v>
      </c>
      <c r="B142" s="66">
        <v>15122</v>
      </c>
      <c r="D142">
        <f t="shared" si="10"/>
        <v>25.752286234907444</v>
      </c>
      <c r="E142">
        <f t="shared" si="11"/>
        <v>25.752286234907444</v>
      </c>
      <c r="G142">
        <f t="shared" ca="1" si="12"/>
        <v>140</v>
      </c>
      <c r="H142">
        <f t="shared" ca="1" si="13"/>
        <v>3605.3200728870424</v>
      </c>
      <c r="I142">
        <f t="shared" ca="1" si="14"/>
        <v>120127.76831151926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13557</v>
      </c>
      <c r="B144" s="66">
        <v>13557</v>
      </c>
      <c r="D144">
        <f t="shared" si="10"/>
        <v>23.087140886565283</v>
      </c>
      <c r="E144">
        <f t="shared" si="11"/>
        <v>23.087140886565283</v>
      </c>
      <c r="G144">
        <f t="shared" ca="1" si="12"/>
        <v>142</v>
      </c>
      <c r="H144">
        <f t="shared" ca="1" si="13"/>
        <v>3278.3740058922704</v>
      </c>
      <c r="I144">
        <f t="shared" ca="1" si="14"/>
        <v>114095.20848921486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9731</v>
      </c>
      <c r="B147" s="66">
        <v>9731</v>
      </c>
      <c r="D147">
        <f t="shared" si="10"/>
        <v>16.571584271385024</v>
      </c>
      <c r="E147">
        <f t="shared" si="11"/>
        <v>16.571584271385024</v>
      </c>
      <c r="G147">
        <f t="shared" ca="1" si="12"/>
        <v>145</v>
      </c>
      <c r="H147">
        <f t="shared" ca="1" si="13"/>
        <v>2402.8797193508285</v>
      </c>
      <c r="I147">
        <f t="shared" ca="1" si="14"/>
        <v>89034.66528222675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5553</v>
      </c>
      <c r="B149" s="66">
        <v>5553</v>
      </c>
      <c r="D149">
        <f t="shared" si="10"/>
        <v>9.4565828238619911</v>
      </c>
      <c r="E149">
        <f t="shared" si="11"/>
        <v>9.4565828238619911</v>
      </c>
      <c r="G149">
        <f t="shared" ca="1" si="12"/>
        <v>147</v>
      </c>
      <c r="H149">
        <f t="shared" ca="1" si="13"/>
        <v>1390.1176751077128</v>
      </c>
      <c r="I149">
        <f t="shared" ca="1" si="14"/>
        <v>53618.131519585484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4286</v>
      </c>
      <c r="B152" s="66">
        <v>4286</v>
      </c>
      <c r="D152">
        <f t="shared" si="10"/>
        <v>7.2989220210827472</v>
      </c>
      <c r="E152">
        <f t="shared" si="11"/>
        <v>7.2989220210827472</v>
      </c>
      <c r="G152">
        <f t="shared" ca="1" si="12"/>
        <v>150</v>
      </c>
      <c r="H152">
        <f t="shared" ca="1" si="13"/>
        <v>1094.8383031624121</v>
      </c>
      <c r="I152">
        <f t="shared" ca="1" si="14"/>
        <v>44747.64868975908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3732</v>
      </c>
      <c r="B154" s="66">
        <v>3732</v>
      </c>
      <c r="D154">
        <f t="shared" si="10"/>
        <v>6.3554775974523592</v>
      </c>
      <c r="E154">
        <f t="shared" si="11"/>
        <v>6.3554775974523592</v>
      </c>
      <c r="G154">
        <f t="shared" ca="1" si="12"/>
        <v>152</v>
      </c>
      <c r="H154">
        <f t="shared" ca="1" si="13"/>
        <v>966.03259481275859</v>
      </c>
      <c r="I154">
        <f t="shared" ca="1" si="14"/>
        <v>40979.584831391832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3499</v>
      </c>
      <c r="B157" s="66">
        <v>3499</v>
      </c>
      <c r="D157">
        <f t="shared" si="10"/>
        <v>5.9586859896800126</v>
      </c>
      <c r="E157">
        <f t="shared" si="11"/>
        <v>5.9586859896800126</v>
      </c>
      <c r="G157">
        <f t="shared" ca="1" si="12"/>
        <v>155</v>
      </c>
      <c r="H157">
        <f t="shared" ca="1" si="13"/>
        <v>923.59632840040194</v>
      </c>
      <c r="I157">
        <f t="shared" ca="1" si="14"/>
        <v>41345.590246757667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4011</v>
      </c>
      <c r="B160" s="66">
        <v>4011</v>
      </c>
      <c r="D160">
        <f t="shared" si="10"/>
        <v>6.8306057458149558</v>
      </c>
      <c r="E160">
        <f t="shared" si="11"/>
        <v>6.8306057458149558</v>
      </c>
      <c r="G160">
        <f t="shared" ca="1" si="12"/>
        <v>158</v>
      </c>
      <c r="H160">
        <f t="shared" ca="1" si="13"/>
        <v>1079.2357078387631</v>
      </c>
      <c r="I160">
        <f t="shared" ca="1" si="14"/>
        <v>50870.955784935839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3367</v>
      </c>
      <c r="B162" s="66">
        <v>3367</v>
      </c>
      <c r="D162">
        <f t="shared" si="10"/>
        <v>5.7338941775514725</v>
      </c>
      <c r="E162">
        <f t="shared" si="11"/>
        <v>5.7338941775514725</v>
      </c>
      <c r="G162">
        <f t="shared" ca="1" si="12"/>
        <v>160</v>
      </c>
      <c r="H162">
        <f t="shared" ca="1" si="13"/>
        <v>917.42306840823562</v>
      </c>
      <c r="I162">
        <f t="shared" ca="1" si="14"/>
        <v>44705.444228654611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2800</v>
      </c>
      <c r="B165" s="66">
        <v>2800</v>
      </c>
      <c r="D165">
        <f t="shared" si="10"/>
        <v>4.7683111663629703</v>
      </c>
      <c r="E165">
        <f t="shared" si="11"/>
        <v>4.7683111663629703</v>
      </c>
      <c r="G165">
        <f t="shared" ca="1" si="12"/>
        <v>163</v>
      </c>
      <c r="H165">
        <f t="shared" ca="1" si="13"/>
        <v>777.2347201171641</v>
      </c>
      <c r="I165">
        <f t="shared" ca="1" si="14"/>
        <v>39746.219632851244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1248</v>
      </c>
      <c r="B167" s="66">
        <v>1248</v>
      </c>
      <c r="D167">
        <f t="shared" si="10"/>
        <v>2.1253044055789241</v>
      </c>
      <c r="E167">
        <f t="shared" si="11"/>
        <v>2.1253044055789241</v>
      </c>
      <c r="G167">
        <f t="shared" ca="1" si="12"/>
        <v>165</v>
      </c>
      <c r="H167">
        <f t="shared" ca="1" si="13"/>
        <v>350.67522692052245</v>
      </c>
      <c r="I167">
        <f t="shared" ca="1" si="14"/>
        <v>18500.111062305543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1067</v>
      </c>
      <c r="B170" s="66">
        <v>1067</v>
      </c>
      <c r="D170">
        <f t="shared" si="10"/>
        <v>1.8170671480390321</v>
      </c>
      <c r="E170">
        <f t="shared" si="11"/>
        <v>1.8170671480390321</v>
      </c>
      <c r="G170">
        <f t="shared" ca="1" si="12"/>
        <v>168</v>
      </c>
      <c r="H170">
        <f t="shared" ca="1" si="13"/>
        <v>305.26728087055739</v>
      </c>
      <c r="I170">
        <f t="shared" ca="1" si="14"/>
        <v>16850.537978498003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753</v>
      </c>
      <c r="B173" s="66">
        <v>753</v>
      </c>
      <c r="D173">
        <f t="shared" si="10"/>
        <v>1.2823351100968989</v>
      </c>
      <c r="E173">
        <f t="shared" si="11"/>
        <v>1.2823351100968989</v>
      </c>
      <c r="G173">
        <f t="shared" ca="1" si="12"/>
        <v>171</v>
      </c>
      <c r="H173">
        <f t="shared" ca="1" si="13"/>
        <v>219.27930382656973</v>
      </c>
      <c r="I173">
        <f t="shared" ca="1" si="14"/>
        <v>12644.176394779131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599</v>
      </c>
      <c r="B175" s="66">
        <v>599</v>
      </c>
      <c r="D175">
        <f t="shared" si="10"/>
        <v>1.0200779959469355</v>
      </c>
      <c r="E175">
        <f t="shared" si="11"/>
        <v>1.0200779959469355</v>
      </c>
      <c r="G175">
        <f t="shared" ca="1" si="12"/>
        <v>173</v>
      </c>
      <c r="H175">
        <f t="shared" ca="1" si="13"/>
        <v>176.47349329881985</v>
      </c>
      <c r="I175">
        <f t="shared" ca="1" si="14"/>
        <v>10467.500084852434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82</v>
      </c>
      <c r="B178" s="66">
        <v>82</v>
      </c>
      <c r="D178">
        <f t="shared" si="10"/>
        <v>0.139643398443487</v>
      </c>
      <c r="E178">
        <f t="shared" si="11"/>
        <v>0.139643398443487</v>
      </c>
      <c r="G178">
        <f t="shared" ca="1" si="12"/>
        <v>176</v>
      </c>
      <c r="H178">
        <f t="shared" ca="1" si="13"/>
        <v>24.577238126053711</v>
      </c>
      <c r="I178">
        <f t="shared" ca="1" si="14"/>
        <v>1519.0777289266312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460</v>
      </c>
      <c r="B1" s="68" t="s">
        <v>461</v>
      </c>
      <c r="C1" s="32" t="s">
        <v>462</v>
      </c>
      <c r="D1" s="32" t="s">
        <v>463</v>
      </c>
      <c r="E1" s="32" t="s">
        <v>464</v>
      </c>
    </row>
    <row r="2" spans="1:5">
      <c r="A2" s="68">
        <v>0.26777200000000001</v>
      </c>
      <c r="B2" s="68">
        <v>0.46163199999999999</v>
      </c>
      <c r="C2" s="68">
        <v>0</v>
      </c>
      <c r="D2" s="68">
        <v>1</v>
      </c>
      <c r="E2" s="68" t="s">
        <v>465</v>
      </c>
    </row>
    <row r="3" spans="1:5">
      <c r="A3" s="68">
        <v>0.274009</v>
      </c>
      <c r="B3" s="68">
        <v>0.453623</v>
      </c>
      <c r="C3" s="68">
        <v>0.40791699999999997</v>
      </c>
      <c r="D3" s="89">
        <v>1</v>
      </c>
      <c r="E3" s="68" t="s">
        <v>466</v>
      </c>
    </row>
    <row r="4" spans="1:5">
      <c r="A4" s="68">
        <v>0.280026</v>
      </c>
      <c r="B4" s="68">
        <v>0.44502000000000003</v>
      </c>
      <c r="C4" s="68">
        <v>0.81150699999999998</v>
      </c>
      <c r="D4" s="89">
        <v>1</v>
      </c>
      <c r="E4" s="68" t="s">
        <v>467</v>
      </c>
    </row>
    <row r="5" spans="1:5">
      <c r="A5" s="89">
        <v>0.28619099999999997</v>
      </c>
      <c r="B5" s="89">
        <v>0.43504199999999998</v>
      </c>
      <c r="C5" s="89">
        <v>1.2148300000000001</v>
      </c>
      <c r="D5" s="89">
        <v>1</v>
      </c>
      <c r="E5" s="68" t="s">
        <v>468</v>
      </c>
    </row>
    <row r="6" spans="1:5">
      <c r="A6" s="68">
        <v>0.29226400000000002</v>
      </c>
      <c r="B6" s="68">
        <v>0.42503600000000002</v>
      </c>
      <c r="C6" s="68">
        <v>1.62164</v>
      </c>
      <c r="D6" s="68">
        <v>1</v>
      </c>
      <c r="E6" s="68" t="s">
        <v>469</v>
      </c>
    </row>
    <row r="7" spans="1:5">
      <c r="A7" s="68">
        <v>0.29799300000000001</v>
      </c>
      <c r="B7" s="68">
        <v>0.41560599999999998</v>
      </c>
      <c r="C7" s="68">
        <v>2.0315799999999999</v>
      </c>
      <c r="D7" s="68">
        <v>1</v>
      </c>
      <c r="E7" s="68" t="s">
        <v>470</v>
      </c>
    </row>
    <row r="8" spans="1:5">
      <c r="A8" s="68">
        <v>0.303456</v>
      </c>
      <c r="B8" s="68">
        <v>0.406441</v>
      </c>
      <c r="C8" s="68">
        <v>2.4354900000000002</v>
      </c>
      <c r="D8" s="68">
        <v>1</v>
      </c>
      <c r="E8" s="68" t="s">
        <v>471</v>
      </c>
    </row>
    <row r="9" spans="1:5">
      <c r="A9" s="68">
        <v>0.30868099999999998</v>
      </c>
      <c r="B9" s="68">
        <v>0.39811000000000002</v>
      </c>
      <c r="C9" s="68">
        <v>2.8409200000000001</v>
      </c>
      <c r="D9" s="68">
        <v>1</v>
      </c>
      <c r="E9" s="68" t="s">
        <v>472</v>
      </c>
    </row>
    <row r="10" spans="1:5">
      <c r="A10" s="68">
        <v>0.31334800000000002</v>
      </c>
      <c r="B10" s="68">
        <v>0.39088600000000001</v>
      </c>
      <c r="C10" s="68">
        <v>3.2503500000000001</v>
      </c>
      <c r="D10" s="68">
        <v>1</v>
      </c>
      <c r="E10" s="68" t="s">
        <v>473</v>
      </c>
    </row>
    <row r="11" spans="1:5">
      <c r="A11" s="68">
        <v>0.317492</v>
      </c>
      <c r="B11" s="68">
        <v>0.38408799999999998</v>
      </c>
      <c r="C11" s="68">
        <v>3.6562199999999998</v>
      </c>
      <c r="D11" s="68">
        <v>1</v>
      </c>
      <c r="E11" s="68" t="s">
        <v>474</v>
      </c>
    </row>
    <row r="12" spans="1:5">
      <c r="A12" s="68">
        <v>0.32095499999999999</v>
      </c>
      <c r="B12" s="68">
        <v>0.37828400000000001</v>
      </c>
      <c r="C12" s="68">
        <v>4.06419</v>
      </c>
      <c r="D12" s="68">
        <v>1</v>
      </c>
      <c r="E12" s="68" t="s">
        <v>475</v>
      </c>
    </row>
    <row r="13" spans="1:5">
      <c r="A13" s="68">
        <v>0.32381300000000002</v>
      </c>
      <c r="B13" s="68">
        <v>0.37292799999999998</v>
      </c>
      <c r="C13" s="68">
        <v>4.4682199999999996</v>
      </c>
      <c r="D13" s="68">
        <v>1</v>
      </c>
      <c r="E13" s="68" t="s">
        <v>476</v>
      </c>
    </row>
    <row r="14" spans="1:5">
      <c r="A14" s="68">
        <v>0.32614799999999999</v>
      </c>
      <c r="B14" s="68">
        <v>0.36819800000000003</v>
      </c>
      <c r="C14" s="68">
        <v>4.8730200000000004</v>
      </c>
      <c r="D14" s="68">
        <v>1</v>
      </c>
      <c r="E14" s="68" t="s">
        <v>477</v>
      </c>
    </row>
    <row r="15" spans="1:5">
      <c r="A15" s="68">
        <v>0.32817200000000002</v>
      </c>
      <c r="B15" s="68">
        <v>0.36341400000000001</v>
      </c>
      <c r="C15" s="68">
        <v>5.27902</v>
      </c>
      <c r="D15" s="68">
        <v>1</v>
      </c>
      <c r="E15" s="68" t="s">
        <v>478</v>
      </c>
    </row>
    <row r="16" spans="1:5">
      <c r="A16" s="68">
        <v>0.32996700000000001</v>
      </c>
      <c r="B16" s="68">
        <v>0.35919600000000002</v>
      </c>
      <c r="C16" s="68">
        <v>5.6898</v>
      </c>
      <c r="D16" s="68">
        <v>1</v>
      </c>
      <c r="E16" s="68" t="s">
        <v>479</v>
      </c>
    </row>
    <row r="17" spans="1:5">
      <c r="A17" s="68">
        <v>0.33148699999999998</v>
      </c>
      <c r="B17" s="68">
        <v>0.35545100000000002</v>
      </c>
      <c r="C17" s="68">
        <v>6.0964099999999997</v>
      </c>
      <c r="D17" s="68">
        <v>1</v>
      </c>
      <c r="E17" s="68" t="s">
        <v>480</v>
      </c>
    </row>
    <row r="18" spans="1:5">
      <c r="A18" s="68">
        <v>0.33266400000000002</v>
      </c>
      <c r="B18" s="68">
        <v>0.35227399999999998</v>
      </c>
      <c r="C18" s="68">
        <v>6.4996499999999999</v>
      </c>
      <c r="D18" s="68">
        <v>1</v>
      </c>
      <c r="E18" s="68" t="s">
        <v>481</v>
      </c>
    </row>
    <row r="19" spans="1:5">
      <c r="A19" s="68">
        <v>0.33354899999999998</v>
      </c>
      <c r="B19" s="68">
        <v>0.35020099999999998</v>
      </c>
      <c r="C19" s="68">
        <v>6.9036799999999996</v>
      </c>
      <c r="D19" s="68">
        <v>1</v>
      </c>
      <c r="E19" s="68" t="s">
        <v>482</v>
      </c>
    </row>
    <row r="20" spans="1:5">
      <c r="A20" s="68">
        <v>0.33426099999999997</v>
      </c>
      <c r="B20" s="68">
        <v>0.34824899999999998</v>
      </c>
      <c r="C20" s="68">
        <v>7.3105399999999996</v>
      </c>
      <c r="D20" s="68">
        <v>1</v>
      </c>
      <c r="E20" s="68" t="s">
        <v>483</v>
      </c>
    </row>
    <row r="21" spans="1:5">
      <c r="A21" s="68">
        <v>0.33444099999999999</v>
      </c>
      <c r="B21" s="68">
        <v>0.34670200000000001</v>
      </c>
      <c r="C21" s="68">
        <v>7.71936</v>
      </c>
      <c r="D21" s="68">
        <v>1</v>
      </c>
      <c r="E21" s="68" t="s">
        <v>484</v>
      </c>
    </row>
    <row r="22" spans="1:5">
      <c r="A22" s="68">
        <v>0.33419500000000002</v>
      </c>
      <c r="B22" s="68">
        <v>0.34498800000000002</v>
      </c>
      <c r="C22" s="68">
        <v>8.1242699999999992</v>
      </c>
      <c r="D22" s="68">
        <v>1</v>
      </c>
      <c r="E22" s="68" t="s">
        <v>485</v>
      </c>
    </row>
    <row r="23" spans="1:5">
      <c r="A23" s="68">
        <v>0.333565</v>
      </c>
      <c r="B23" s="68">
        <v>0.34315600000000002</v>
      </c>
      <c r="C23" s="68">
        <v>8.5322099999999992</v>
      </c>
      <c r="D23" s="68">
        <v>1</v>
      </c>
      <c r="E23" s="68" t="s">
        <v>486</v>
      </c>
    </row>
    <row r="24" spans="1:5">
      <c r="A24" s="68">
        <v>0.33278600000000003</v>
      </c>
      <c r="B24" s="68">
        <v>0.34145900000000001</v>
      </c>
      <c r="C24" s="68">
        <v>8.9371500000000008</v>
      </c>
      <c r="D24" s="68">
        <v>1</v>
      </c>
      <c r="E24" s="68" t="s">
        <v>487</v>
      </c>
    </row>
    <row r="25" spans="1:5">
      <c r="A25" s="68">
        <v>0.33193400000000001</v>
      </c>
      <c r="B25" s="68">
        <v>0.33985900000000002</v>
      </c>
      <c r="C25" s="68">
        <v>9.3422499999999999</v>
      </c>
      <c r="D25" s="68">
        <v>1</v>
      </c>
      <c r="E25" s="68" t="s">
        <v>488</v>
      </c>
    </row>
    <row r="26" spans="1:5">
      <c r="A26" s="68">
        <v>0.33101599999999998</v>
      </c>
      <c r="B26" s="68">
        <v>0.33874300000000002</v>
      </c>
      <c r="C26" s="68">
        <v>9.7549600000000005</v>
      </c>
      <c r="D26" s="68">
        <v>1</v>
      </c>
      <c r="E26" s="68" t="s">
        <v>489</v>
      </c>
    </row>
    <row r="27" spans="1:5">
      <c r="A27" s="68">
        <v>0.32974100000000001</v>
      </c>
      <c r="B27" s="68">
        <v>0.337619</v>
      </c>
      <c r="C27" s="68">
        <v>10.1579</v>
      </c>
      <c r="D27" s="68">
        <v>1</v>
      </c>
      <c r="E27" s="68" t="s">
        <v>490</v>
      </c>
    </row>
    <row r="28" spans="1:5">
      <c r="A28" s="68">
        <v>0.32803399999999999</v>
      </c>
      <c r="B28" s="68">
        <v>0.33659600000000001</v>
      </c>
      <c r="C28" s="68">
        <v>10.5639</v>
      </c>
      <c r="D28" s="68">
        <v>1</v>
      </c>
      <c r="E28" s="68" t="s">
        <v>491</v>
      </c>
    </row>
    <row r="29" spans="1:5">
      <c r="A29" s="68">
        <v>0.325992</v>
      </c>
      <c r="B29" s="68">
        <v>0.33575199999999999</v>
      </c>
      <c r="C29" s="68">
        <v>10.968</v>
      </c>
      <c r="D29" s="68">
        <v>1</v>
      </c>
      <c r="E29" s="68" t="s">
        <v>492</v>
      </c>
    </row>
    <row r="30" spans="1:5">
      <c r="A30" s="68">
        <v>0.32345400000000002</v>
      </c>
      <c r="B30" s="68">
        <v>0.33573799999999998</v>
      </c>
      <c r="C30" s="68">
        <v>11.374700000000001</v>
      </c>
      <c r="D30" s="68">
        <v>1</v>
      </c>
      <c r="E30" s="68" t="s">
        <v>493</v>
      </c>
    </row>
    <row r="31" spans="1:5">
      <c r="A31" s="68">
        <v>0.32072299999999998</v>
      </c>
      <c r="B31" s="68">
        <v>0.33667999999999998</v>
      </c>
      <c r="C31" s="68">
        <v>11.782500000000001</v>
      </c>
      <c r="D31" s="68">
        <v>1</v>
      </c>
      <c r="E31" s="68" t="s">
        <v>494</v>
      </c>
    </row>
    <row r="32" spans="1:5">
      <c r="A32" s="68">
        <v>0.318046</v>
      </c>
      <c r="B32" s="68">
        <v>0.33851599999999998</v>
      </c>
      <c r="C32" s="68">
        <v>12.1884</v>
      </c>
      <c r="D32" s="68">
        <v>1</v>
      </c>
      <c r="E32" s="68" t="s">
        <v>495</v>
      </c>
    </row>
    <row r="33" spans="1:5">
      <c r="A33" s="68">
        <v>0.31540800000000002</v>
      </c>
      <c r="B33" s="68">
        <v>0.341061</v>
      </c>
      <c r="C33" s="68">
        <v>12.5943</v>
      </c>
      <c r="D33" s="68">
        <v>1</v>
      </c>
      <c r="E33" s="68" t="s">
        <v>496</v>
      </c>
    </row>
    <row r="34" spans="1:5">
      <c r="A34" s="68">
        <v>0.312863</v>
      </c>
      <c r="B34" s="68">
        <v>0.34420000000000001</v>
      </c>
      <c r="C34" s="68">
        <v>12.9983</v>
      </c>
      <c r="D34" s="68">
        <v>1</v>
      </c>
      <c r="E34" s="68" t="s">
        <v>497</v>
      </c>
    </row>
    <row r="35" spans="1:5">
      <c r="A35" s="68">
        <v>0.31051899999999999</v>
      </c>
      <c r="B35" s="68">
        <v>0.34745100000000001</v>
      </c>
      <c r="C35" s="68">
        <v>13.407400000000001</v>
      </c>
      <c r="D35" s="68">
        <v>1</v>
      </c>
      <c r="E35" s="68" t="s">
        <v>498</v>
      </c>
    </row>
    <row r="36" spans="1:5">
      <c r="A36" s="68">
        <v>0.30831700000000001</v>
      </c>
      <c r="B36" s="68">
        <v>0.350601</v>
      </c>
      <c r="C36" s="68">
        <v>13.811199999999999</v>
      </c>
      <c r="D36" s="68">
        <v>1</v>
      </c>
      <c r="E36" s="68" t="s">
        <v>499</v>
      </c>
    </row>
    <row r="37" spans="1:5">
      <c r="A37" s="68">
        <v>0.30647000000000002</v>
      </c>
      <c r="B37" s="68">
        <v>0.35358200000000001</v>
      </c>
      <c r="C37" s="68">
        <v>14.219099999999999</v>
      </c>
      <c r="D37" s="68">
        <v>1</v>
      </c>
      <c r="E37" s="68" t="s">
        <v>500</v>
      </c>
    </row>
    <row r="38" spans="1:5">
      <c r="A38" s="68">
        <v>0.30476500000000001</v>
      </c>
      <c r="B38" s="68">
        <v>0.35636800000000002</v>
      </c>
      <c r="C38" s="68">
        <v>14.6259</v>
      </c>
      <c r="D38" s="68">
        <v>1</v>
      </c>
      <c r="E38" s="68" t="s">
        <v>501</v>
      </c>
    </row>
    <row r="39" spans="1:5">
      <c r="A39" s="68">
        <v>0.30318400000000001</v>
      </c>
      <c r="B39" s="68">
        <v>0.35899300000000001</v>
      </c>
      <c r="C39" s="68">
        <v>15.0299</v>
      </c>
      <c r="D39" s="68">
        <v>1</v>
      </c>
      <c r="E39" s="68" t="s">
        <v>502</v>
      </c>
    </row>
    <row r="40" spans="1:5">
      <c r="A40" s="68">
        <v>0.301568</v>
      </c>
      <c r="B40" s="68">
        <v>0.36197299999999999</v>
      </c>
      <c r="C40" s="68">
        <v>15.4358</v>
      </c>
      <c r="D40" s="68">
        <v>1</v>
      </c>
      <c r="E40" s="68" t="s">
        <v>503</v>
      </c>
    </row>
    <row r="41" spans="1:5">
      <c r="A41" s="68">
        <v>0.30013899999999999</v>
      </c>
      <c r="B41" s="68">
        <v>0.36477799999999999</v>
      </c>
      <c r="C41" s="68">
        <v>15.842700000000001</v>
      </c>
      <c r="D41" s="68">
        <v>1</v>
      </c>
      <c r="E41" s="68" t="s">
        <v>504</v>
      </c>
    </row>
    <row r="42" spans="1:5">
      <c r="A42" s="68">
        <v>0.29871199999999998</v>
      </c>
      <c r="B42" s="68">
        <v>0.36729899999999999</v>
      </c>
      <c r="C42" s="68">
        <v>16.2517</v>
      </c>
      <c r="D42" s="68">
        <v>1</v>
      </c>
      <c r="E42" s="68" t="s">
        <v>505</v>
      </c>
    </row>
    <row r="43" spans="1:5">
      <c r="A43" s="68">
        <v>0.29743999999999998</v>
      </c>
      <c r="B43" s="68">
        <v>0.36945699999999998</v>
      </c>
      <c r="C43" s="68">
        <v>16.6585</v>
      </c>
      <c r="D43" s="68">
        <v>1</v>
      </c>
      <c r="E43" s="68" t="s">
        <v>506</v>
      </c>
    </row>
    <row r="44" spans="1:5">
      <c r="A44" s="68">
        <v>0.29611900000000002</v>
      </c>
      <c r="B44" s="68">
        <v>0.37093999999999999</v>
      </c>
      <c r="C44" s="68">
        <v>17.061399999999999</v>
      </c>
      <c r="D44" s="68">
        <v>1</v>
      </c>
      <c r="E44" s="68" t="s">
        <v>507</v>
      </c>
    </row>
    <row r="45" spans="1:5">
      <c r="A45" s="68">
        <v>0.29476200000000002</v>
      </c>
      <c r="B45" s="68">
        <v>0.372448</v>
      </c>
      <c r="C45" s="68">
        <v>17.468399999999999</v>
      </c>
      <c r="D45" s="68">
        <v>1</v>
      </c>
      <c r="E45" s="68" t="s">
        <v>508</v>
      </c>
    </row>
    <row r="46" spans="1:5">
      <c r="A46" s="68">
        <v>0.29336800000000002</v>
      </c>
      <c r="B46" s="68">
        <v>0.37371100000000002</v>
      </c>
      <c r="C46" s="68">
        <v>17.871300000000002</v>
      </c>
      <c r="D46" s="68">
        <v>1</v>
      </c>
      <c r="E46" s="68" t="s">
        <v>509</v>
      </c>
    </row>
    <row r="47" spans="1:5">
      <c r="A47" s="68">
        <v>0.29195199999999999</v>
      </c>
      <c r="B47" s="68">
        <v>0.37540699999999999</v>
      </c>
      <c r="C47" s="68">
        <v>18.280200000000001</v>
      </c>
      <c r="D47" s="68">
        <v>1</v>
      </c>
      <c r="E47" s="68" t="s">
        <v>510</v>
      </c>
    </row>
    <row r="48" spans="1:5">
      <c r="A48" s="68">
        <v>0.29101100000000002</v>
      </c>
      <c r="B48" s="68">
        <v>0.376892</v>
      </c>
      <c r="C48" s="68">
        <v>18.6873</v>
      </c>
      <c r="D48" s="68">
        <v>1</v>
      </c>
      <c r="E48" s="68" t="s">
        <v>511</v>
      </c>
    </row>
    <row r="49" spans="1:5">
      <c r="A49" s="68">
        <v>0.29063</v>
      </c>
      <c r="B49" s="68">
        <v>0.377743</v>
      </c>
      <c r="C49" s="68">
        <v>19.093</v>
      </c>
      <c r="D49" s="68">
        <v>1</v>
      </c>
      <c r="E49" s="68" t="s">
        <v>512</v>
      </c>
    </row>
    <row r="50" spans="1:5">
      <c r="A50" s="68">
        <v>0.29037099999999999</v>
      </c>
      <c r="B50" s="68">
        <v>0.37867600000000001</v>
      </c>
      <c r="C50" s="68">
        <v>19.501300000000001</v>
      </c>
      <c r="D50" s="68">
        <v>1</v>
      </c>
      <c r="E50" s="68" t="s">
        <v>513</v>
      </c>
    </row>
    <row r="51" spans="1:5">
      <c r="A51" s="68">
        <v>0.29008699999999998</v>
      </c>
      <c r="B51" s="68">
        <v>0.37950699999999998</v>
      </c>
      <c r="C51" s="68">
        <v>19.9069</v>
      </c>
      <c r="D51" s="68">
        <v>1</v>
      </c>
      <c r="E51" s="68" t="s">
        <v>514</v>
      </c>
    </row>
    <row r="52" spans="1:5">
      <c r="A52" s="68">
        <v>0.28987499999999999</v>
      </c>
      <c r="B52" s="68">
        <v>0.380469</v>
      </c>
      <c r="C52" s="68">
        <v>20.310700000000001</v>
      </c>
      <c r="D52" s="68">
        <v>1</v>
      </c>
      <c r="E52" s="68" t="s">
        <v>515</v>
      </c>
    </row>
    <row r="53" spans="1:5">
      <c r="A53" s="68">
        <v>0.28995100000000001</v>
      </c>
      <c r="B53" s="68">
        <v>0.38132899999999997</v>
      </c>
      <c r="C53" s="68">
        <v>20.716699999999999</v>
      </c>
      <c r="D53" s="68">
        <v>1</v>
      </c>
      <c r="E53" s="68" t="s">
        <v>516</v>
      </c>
    </row>
    <row r="54" spans="1:5">
      <c r="A54" s="68">
        <v>0.29026099999999999</v>
      </c>
      <c r="B54" s="68">
        <v>0.38210100000000002</v>
      </c>
      <c r="C54" s="68">
        <v>21.124600000000001</v>
      </c>
      <c r="D54" s="68">
        <v>1</v>
      </c>
      <c r="E54" s="68" t="s">
        <v>517</v>
      </c>
    </row>
    <row r="55" spans="1:5">
      <c r="A55" s="68">
        <v>0.29033300000000001</v>
      </c>
      <c r="B55" s="68">
        <v>0.382714</v>
      </c>
      <c r="C55" s="68">
        <v>21.532499999999999</v>
      </c>
      <c r="D55" s="68">
        <v>1</v>
      </c>
      <c r="E55" s="68" t="s">
        <v>518</v>
      </c>
    </row>
    <row r="56" spans="1:5">
      <c r="A56" s="68">
        <v>0.290356</v>
      </c>
      <c r="B56" s="68">
        <v>0.38311200000000001</v>
      </c>
      <c r="C56" s="68">
        <v>21.941400000000002</v>
      </c>
      <c r="D56" s="68">
        <v>1</v>
      </c>
      <c r="E56" s="68" t="s">
        <v>519</v>
      </c>
    </row>
    <row r="57" spans="1:5">
      <c r="A57" s="68">
        <v>0.29027700000000001</v>
      </c>
      <c r="B57" s="68">
        <v>0.38325700000000001</v>
      </c>
      <c r="C57" s="68">
        <v>22.343399999999999</v>
      </c>
      <c r="D57" s="68">
        <v>1</v>
      </c>
      <c r="E57" s="68" t="s">
        <v>520</v>
      </c>
    </row>
    <row r="58" spans="1:5">
      <c r="A58" s="68">
        <v>0.28986800000000001</v>
      </c>
      <c r="B58" s="68">
        <v>0.38392100000000001</v>
      </c>
      <c r="C58" s="68">
        <v>22.748200000000001</v>
      </c>
      <c r="D58" s="68">
        <v>1</v>
      </c>
      <c r="E58" s="68" t="s">
        <v>521</v>
      </c>
    </row>
    <row r="59" spans="1:5">
      <c r="A59" s="68">
        <v>0.28905500000000001</v>
      </c>
      <c r="B59" s="68">
        <v>0.38474999999999998</v>
      </c>
      <c r="C59" s="68">
        <v>23.154599999999999</v>
      </c>
      <c r="D59" s="68">
        <v>1</v>
      </c>
      <c r="E59" s="68" t="s">
        <v>522</v>
      </c>
    </row>
    <row r="60" spans="1:5">
      <c r="A60" s="68">
        <v>0.28812500000000002</v>
      </c>
      <c r="B60" s="68">
        <v>0.38531300000000002</v>
      </c>
      <c r="C60" s="68">
        <v>23.565200000000001</v>
      </c>
      <c r="D60" s="68">
        <v>1</v>
      </c>
      <c r="E60" s="68" t="s">
        <v>523</v>
      </c>
    </row>
    <row r="61" spans="1:5">
      <c r="A61" s="68">
        <v>0.286935</v>
      </c>
      <c r="B61" s="68">
        <v>0.38573099999999999</v>
      </c>
      <c r="C61" s="68">
        <v>23.97</v>
      </c>
      <c r="D61" s="68">
        <v>1</v>
      </c>
      <c r="E61" s="68" t="s">
        <v>524</v>
      </c>
    </row>
    <row r="62" spans="1:5">
      <c r="A62" s="68">
        <v>0.28560600000000003</v>
      </c>
      <c r="B62" s="68">
        <v>0.38566899999999998</v>
      </c>
      <c r="C62" s="68">
        <v>24.3749</v>
      </c>
      <c r="D62" s="68">
        <v>1</v>
      </c>
      <c r="E62" s="68" t="s">
        <v>525</v>
      </c>
    </row>
    <row r="63" spans="1:5">
      <c r="A63" s="68">
        <v>0.284165</v>
      </c>
      <c r="B63" s="68">
        <v>0.38572000000000001</v>
      </c>
      <c r="C63" s="68">
        <v>24.779800000000002</v>
      </c>
      <c r="D63" s="68">
        <v>1</v>
      </c>
      <c r="E63" s="68" t="s">
        <v>526</v>
      </c>
    </row>
    <row r="64" spans="1:5">
      <c r="A64" s="68">
        <v>0.28267399999999998</v>
      </c>
      <c r="B64" s="68">
        <v>0.38545299999999999</v>
      </c>
      <c r="C64" s="68">
        <v>25.1859</v>
      </c>
      <c r="D64" s="68">
        <v>1</v>
      </c>
      <c r="E64" s="68" t="s">
        <v>527</v>
      </c>
    </row>
    <row r="65" spans="1:5">
      <c r="A65" s="68">
        <v>0.281227</v>
      </c>
      <c r="B65" s="68">
        <v>0.38480199999999998</v>
      </c>
      <c r="C65" s="68">
        <v>25.596599999999999</v>
      </c>
      <c r="D65" s="68">
        <v>1</v>
      </c>
      <c r="E65" s="68" t="s">
        <v>528</v>
      </c>
    </row>
    <row r="66" spans="1:5">
      <c r="A66" s="68">
        <v>0.27973300000000001</v>
      </c>
      <c r="B66" s="68">
        <v>0.38395499999999999</v>
      </c>
      <c r="C66" s="68">
        <v>26.0016</v>
      </c>
      <c r="D66" s="68">
        <v>1</v>
      </c>
      <c r="E66" s="68" t="s">
        <v>529</v>
      </c>
    </row>
    <row r="67" spans="1:5">
      <c r="A67" s="68">
        <v>0.27837600000000001</v>
      </c>
      <c r="B67" s="68">
        <v>0.383133</v>
      </c>
      <c r="C67" s="68">
        <v>26.406500000000001</v>
      </c>
      <c r="D67" s="68">
        <v>1</v>
      </c>
      <c r="E67" s="68" t="s">
        <v>530</v>
      </c>
    </row>
    <row r="68" spans="1:5">
      <c r="A68" s="68">
        <v>0.27692499999999998</v>
      </c>
      <c r="B68" s="68">
        <v>0.382191</v>
      </c>
      <c r="C68" s="68">
        <v>26.810400000000001</v>
      </c>
      <c r="D68" s="68">
        <v>1</v>
      </c>
      <c r="E68" s="68" t="s">
        <v>531</v>
      </c>
    </row>
    <row r="69" spans="1:5">
      <c r="A69" s="68">
        <v>0.27546900000000002</v>
      </c>
      <c r="B69" s="68">
        <v>0.38110300000000003</v>
      </c>
      <c r="C69" s="68">
        <v>27.223299999999998</v>
      </c>
      <c r="D69" s="68">
        <v>1</v>
      </c>
      <c r="E69" s="68" t="s">
        <v>532</v>
      </c>
    </row>
    <row r="70" spans="1:5">
      <c r="A70" s="68">
        <v>0.27422299999999999</v>
      </c>
      <c r="B70" s="68">
        <v>0.380054</v>
      </c>
      <c r="C70" s="68">
        <v>27.626200000000001</v>
      </c>
      <c r="D70" s="68">
        <v>1</v>
      </c>
      <c r="E70" s="68" t="s">
        <v>533</v>
      </c>
    </row>
    <row r="71" spans="1:5">
      <c r="A71" s="68">
        <v>0.27325899999999997</v>
      </c>
      <c r="B71" s="68">
        <v>0.37856200000000001</v>
      </c>
      <c r="C71" s="68">
        <v>28.033100000000001</v>
      </c>
      <c r="D71" s="68">
        <v>1</v>
      </c>
      <c r="E71" s="68" t="s">
        <v>534</v>
      </c>
    </row>
    <row r="72" spans="1:5">
      <c r="A72" s="68">
        <v>0.272399</v>
      </c>
      <c r="B72" s="68">
        <v>0.37657099999999999</v>
      </c>
      <c r="C72" s="68">
        <v>28.436299999999999</v>
      </c>
      <c r="D72" s="68">
        <v>1</v>
      </c>
      <c r="E72" s="68" t="s">
        <v>535</v>
      </c>
    </row>
    <row r="73" spans="1:5">
      <c r="A73" s="68">
        <v>0.27146300000000001</v>
      </c>
      <c r="B73" s="68">
        <v>0.37504100000000001</v>
      </c>
      <c r="C73" s="68">
        <v>28.841000000000001</v>
      </c>
      <c r="D73" s="68">
        <v>1</v>
      </c>
      <c r="E73" s="68" t="s">
        <v>536</v>
      </c>
    </row>
    <row r="74" spans="1:5">
      <c r="A74" s="68">
        <v>0.27006599999999997</v>
      </c>
      <c r="B74" s="68">
        <v>0.37404100000000001</v>
      </c>
      <c r="C74" s="68">
        <v>29.2499</v>
      </c>
      <c r="D74" s="68">
        <v>1</v>
      </c>
      <c r="E74" s="68" t="s">
        <v>537</v>
      </c>
    </row>
    <row r="75" spans="1:5">
      <c r="A75" s="68">
        <v>0.26858100000000001</v>
      </c>
      <c r="B75" s="68">
        <v>0.37321700000000002</v>
      </c>
      <c r="C75" s="68">
        <v>29.6539</v>
      </c>
      <c r="D75" s="68">
        <v>1</v>
      </c>
      <c r="E75" s="68" t="s">
        <v>538</v>
      </c>
    </row>
    <row r="76" spans="1:5">
      <c r="A76" s="68">
        <v>0.26715499999999998</v>
      </c>
      <c r="B76" s="68">
        <v>0.37233100000000002</v>
      </c>
      <c r="C76" s="68">
        <v>30.061699999999998</v>
      </c>
      <c r="D76" s="68">
        <v>2</v>
      </c>
      <c r="E76" s="68" t="s">
        <v>539</v>
      </c>
    </row>
    <row r="77" spans="1:5">
      <c r="A77" s="68">
        <v>0.26595800000000003</v>
      </c>
      <c r="B77" s="68">
        <v>0.37089899999999998</v>
      </c>
      <c r="C77" s="68">
        <v>30.468599999999999</v>
      </c>
      <c r="D77" s="68">
        <v>2</v>
      </c>
      <c r="E77" s="68" t="s">
        <v>540</v>
      </c>
    </row>
    <row r="78" spans="1:5">
      <c r="A78" s="68">
        <v>0.26482499999999998</v>
      </c>
      <c r="B78" s="68">
        <v>0.36976100000000001</v>
      </c>
      <c r="C78" s="68">
        <v>30.872499999999999</v>
      </c>
      <c r="D78" s="68">
        <v>2</v>
      </c>
      <c r="E78" s="68" t="s">
        <v>541</v>
      </c>
    </row>
    <row r="79" spans="1:5">
      <c r="A79" s="68">
        <v>0.26380700000000001</v>
      </c>
      <c r="B79" s="68">
        <v>0.36815399999999998</v>
      </c>
      <c r="C79" s="68">
        <v>31.2807</v>
      </c>
      <c r="D79" s="68">
        <v>2</v>
      </c>
      <c r="E79" s="68" t="s">
        <v>542</v>
      </c>
    </row>
    <row r="80" spans="1:5">
      <c r="A80" s="68">
        <v>0.26340599999999997</v>
      </c>
      <c r="B80" s="68">
        <v>0.36596800000000002</v>
      </c>
      <c r="C80" s="68">
        <v>31.688300000000002</v>
      </c>
      <c r="D80" s="68">
        <v>2</v>
      </c>
      <c r="E80" s="68" t="s">
        <v>543</v>
      </c>
    </row>
    <row r="81" spans="1:5">
      <c r="A81" s="68">
        <v>0.263266</v>
      </c>
      <c r="B81" s="68">
        <v>0.363373</v>
      </c>
      <c r="C81" s="68">
        <v>32.097200000000001</v>
      </c>
      <c r="D81" s="68">
        <v>2</v>
      </c>
      <c r="E81" s="68" t="s">
        <v>544</v>
      </c>
    </row>
    <row r="82" spans="1:5">
      <c r="A82" s="68">
        <v>0.26319500000000001</v>
      </c>
      <c r="B82" s="68">
        <v>0.36062499999999997</v>
      </c>
      <c r="C82" s="68">
        <v>32.5015</v>
      </c>
      <c r="D82" s="68">
        <v>2</v>
      </c>
      <c r="E82" s="68" t="s">
        <v>545</v>
      </c>
    </row>
    <row r="83" spans="1:5">
      <c r="A83" s="68">
        <v>0.263656</v>
      </c>
      <c r="B83" s="68">
        <v>0.35616300000000001</v>
      </c>
      <c r="C83" s="68">
        <v>32.905099999999997</v>
      </c>
      <c r="D83" s="68">
        <v>2</v>
      </c>
      <c r="E83" s="68" t="s">
        <v>546</v>
      </c>
    </row>
    <row r="84" spans="1:5">
      <c r="A84" s="68">
        <v>0.26463500000000001</v>
      </c>
      <c r="B84" s="68">
        <v>0.35051399999999999</v>
      </c>
      <c r="C84" s="68">
        <v>33.308999999999997</v>
      </c>
      <c r="D84" s="68">
        <v>2</v>
      </c>
      <c r="E84" s="68" t="s">
        <v>547</v>
      </c>
    </row>
    <row r="85" spans="1:5">
      <c r="A85" s="68">
        <v>0.26590000000000003</v>
      </c>
      <c r="B85" s="68">
        <v>0.34360000000000002</v>
      </c>
      <c r="C85" s="68">
        <v>33.7151</v>
      </c>
      <c r="D85" s="68">
        <v>2</v>
      </c>
      <c r="E85" s="68" t="s">
        <v>548</v>
      </c>
    </row>
    <row r="86" spans="1:5">
      <c r="A86" s="68">
        <v>0.26730799999999999</v>
      </c>
      <c r="B86" s="68">
        <v>0.33701100000000001</v>
      </c>
      <c r="C86" s="68">
        <v>34.121699999999997</v>
      </c>
      <c r="D86" s="68">
        <v>2</v>
      </c>
      <c r="E86" s="68" t="s">
        <v>549</v>
      </c>
    </row>
    <row r="87" spans="1:5">
      <c r="A87" s="68">
        <v>0.26886199999999999</v>
      </c>
      <c r="B87" s="68">
        <v>0.33055899999999999</v>
      </c>
      <c r="C87" s="68">
        <v>34.531700000000001</v>
      </c>
      <c r="D87" s="68">
        <v>2</v>
      </c>
      <c r="E87" s="68" t="s">
        <v>550</v>
      </c>
    </row>
    <row r="88" spans="1:5">
      <c r="A88" s="68">
        <v>0.27058199999999999</v>
      </c>
      <c r="B88" s="68">
        <v>0.32386100000000001</v>
      </c>
      <c r="C88" s="68">
        <v>34.935099999999998</v>
      </c>
      <c r="D88" s="68">
        <v>2</v>
      </c>
      <c r="E88" s="68" t="s">
        <v>551</v>
      </c>
    </row>
    <row r="89" spans="1:5">
      <c r="A89" s="68">
        <v>0.27265099999999998</v>
      </c>
      <c r="B89" s="68">
        <v>0.31669399999999998</v>
      </c>
      <c r="C89" s="68">
        <v>35.345500000000001</v>
      </c>
      <c r="D89" s="68">
        <v>2</v>
      </c>
      <c r="E89" s="68" t="s">
        <v>552</v>
      </c>
    </row>
    <row r="90" spans="1:5">
      <c r="A90" s="68">
        <v>0.27441100000000002</v>
      </c>
      <c r="B90" s="68">
        <v>0.30992999999999998</v>
      </c>
      <c r="C90" s="68">
        <v>35.749499999999998</v>
      </c>
      <c r="D90" s="68">
        <v>2</v>
      </c>
      <c r="E90" s="68" t="s">
        <v>553</v>
      </c>
    </row>
    <row r="91" spans="1:5">
      <c r="A91" s="68">
        <v>0.276007</v>
      </c>
      <c r="B91" s="68">
        <v>0.303624</v>
      </c>
      <c r="C91" s="68">
        <v>36.1554</v>
      </c>
      <c r="D91" s="68">
        <v>2</v>
      </c>
      <c r="E91" s="68" t="s">
        <v>554</v>
      </c>
    </row>
    <row r="92" spans="1:5">
      <c r="A92" s="68">
        <v>0.27738800000000002</v>
      </c>
      <c r="B92" s="68">
        <v>0.29820999999999998</v>
      </c>
      <c r="C92" s="68">
        <v>36.561500000000002</v>
      </c>
      <c r="D92" s="68">
        <v>2</v>
      </c>
      <c r="E92" s="68" t="s">
        <v>555</v>
      </c>
    </row>
    <row r="93" spans="1:5">
      <c r="A93" s="68">
        <v>0.27880899999999997</v>
      </c>
      <c r="B93" s="68">
        <v>0.29319699999999999</v>
      </c>
      <c r="C93" s="68">
        <v>36.968400000000003</v>
      </c>
      <c r="D93" s="68">
        <v>2</v>
      </c>
      <c r="E93" s="68" t="s">
        <v>556</v>
      </c>
    </row>
    <row r="94" spans="1:5">
      <c r="A94" s="68">
        <v>0.280445</v>
      </c>
      <c r="B94" s="68">
        <v>0.28841800000000001</v>
      </c>
      <c r="C94" s="68">
        <v>37.376100000000001</v>
      </c>
      <c r="D94" s="68">
        <v>2</v>
      </c>
      <c r="E94" s="68" t="s">
        <v>557</v>
      </c>
    </row>
    <row r="95" spans="1:5">
      <c r="A95" s="68">
        <v>0.28203</v>
      </c>
      <c r="B95" s="68">
        <v>0.283725</v>
      </c>
      <c r="C95" s="68">
        <v>37.783000000000001</v>
      </c>
      <c r="D95" s="68">
        <v>2</v>
      </c>
      <c r="E95" s="68" t="s">
        <v>558</v>
      </c>
    </row>
    <row r="96" spans="1:5">
      <c r="A96" s="68">
        <v>0.283304</v>
      </c>
      <c r="B96" s="68">
        <v>0.27966800000000003</v>
      </c>
      <c r="C96" s="68">
        <v>38.184199999999997</v>
      </c>
      <c r="D96" s="68">
        <v>2</v>
      </c>
      <c r="E96" s="68" t="s">
        <v>559</v>
      </c>
    </row>
    <row r="97" spans="1:5">
      <c r="A97" s="68">
        <v>0.28428799999999999</v>
      </c>
      <c r="B97" s="68">
        <v>0.27648099999999998</v>
      </c>
      <c r="C97" s="68">
        <v>38.592100000000002</v>
      </c>
      <c r="D97" s="68">
        <v>2</v>
      </c>
      <c r="E97" s="68" t="s">
        <v>560</v>
      </c>
    </row>
    <row r="98" spans="1:5">
      <c r="A98" s="68">
        <v>0.28492000000000001</v>
      </c>
      <c r="B98" s="68">
        <v>0.27336500000000002</v>
      </c>
      <c r="C98" s="68">
        <v>39.002200000000002</v>
      </c>
      <c r="D98" s="68">
        <v>2</v>
      </c>
      <c r="E98" s="68" t="s">
        <v>561</v>
      </c>
    </row>
    <row r="99" spans="1:5">
      <c r="A99" s="68">
        <v>0.28519600000000001</v>
      </c>
      <c r="B99" s="68">
        <v>0.270841</v>
      </c>
      <c r="C99" s="68">
        <v>39.407699999999998</v>
      </c>
      <c r="D99" s="68">
        <v>2</v>
      </c>
      <c r="E99" s="68" t="s">
        <v>562</v>
      </c>
    </row>
    <row r="100" spans="1:5">
      <c r="A100" s="68">
        <v>0.285389</v>
      </c>
      <c r="B100" s="68">
        <v>0.26816600000000002</v>
      </c>
      <c r="C100" s="68">
        <v>39.813800000000001</v>
      </c>
      <c r="D100" s="68">
        <v>2</v>
      </c>
      <c r="E100" s="68" t="s">
        <v>563</v>
      </c>
    </row>
    <row r="101" spans="1:5">
      <c r="A101" s="68">
        <v>0.28574100000000002</v>
      </c>
      <c r="B101" s="68">
        <v>0.26500600000000002</v>
      </c>
      <c r="C101" s="68">
        <v>40.2194</v>
      </c>
      <c r="D101" s="68">
        <v>2</v>
      </c>
      <c r="E101" s="68" t="s">
        <v>564</v>
      </c>
    </row>
    <row r="102" spans="1:5">
      <c r="A102" s="68">
        <v>0.28606999999999999</v>
      </c>
      <c r="B102" s="68">
        <v>0.26186799999999999</v>
      </c>
      <c r="C102" s="68">
        <v>40.6265</v>
      </c>
      <c r="D102" s="68">
        <v>2</v>
      </c>
      <c r="E102" s="68" t="s">
        <v>565</v>
      </c>
    </row>
    <row r="103" spans="1:5">
      <c r="A103" s="68">
        <v>0.286435</v>
      </c>
      <c r="B103" s="68">
        <v>0.258573</v>
      </c>
      <c r="C103" s="68">
        <v>41.034799999999997</v>
      </c>
      <c r="D103" s="68">
        <v>2</v>
      </c>
      <c r="E103" s="68" t="s">
        <v>566</v>
      </c>
    </row>
    <row r="104" spans="1:5">
      <c r="A104" s="68">
        <v>0.28657700000000003</v>
      </c>
      <c r="B104" s="68">
        <v>0.255579</v>
      </c>
      <c r="C104" s="68">
        <v>41.4375</v>
      </c>
      <c r="D104" s="68">
        <v>2</v>
      </c>
      <c r="E104" s="68" t="s">
        <v>567</v>
      </c>
    </row>
    <row r="105" spans="1:5">
      <c r="A105" s="68">
        <v>0.28671000000000002</v>
      </c>
      <c r="B105" s="68">
        <v>0.25220500000000001</v>
      </c>
      <c r="C105" s="68">
        <v>41.844299999999997</v>
      </c>
      <c r="D105" s="68">
        <v>2</v>
      </c>
      <c r="E105" s="68" t="s">
        <v>568</v>
      </c>
    </row>
    <row r="106" spans="1:5">
      <c r="A106" s="68">
        <v>0.28667100000000001</v>
      </c>
      <c r="B106" s="68">
        <v>0.24934400000000001</v>
      </c>
      <c r="C106" s="68">
        <v>42.247199999999999</v>
      </c>
      <c r="D106" s="68">
        <v>2</v>
      </c>
      <c r="E106" s="68" t="s">
        <v>569</v>
      </c>
    </row>
    <row r="107" spans="1:5">
      <c r="A107" s="68">
        <v>0.286609</v>
      </c>
      <c r="B107" s="68">
        <v>0.246697</v>
      </c>
      <c r="C107" s="68">
        <v>42.653100000000002</v>
      </c>
      <c r="D107" s="68">
        <v>2</v>
      </c>
      <c r="E107" s="68" t="s">
        <v>570</v>
      </c>
    </row>
    <row r="108" spans="1:5">
      <c r="A108" s="68">
        <v>0.28645500000000002</v>
      </c>
      <c r="B108" s="68">
        <v>0.24421599999999999</v>
      </c>
      <c r="C108" s="68">
        <v>43.062100000000001</v>
      </c>
      <c r="D108" s="68">
        <v>2</v>
      </c>
      <c r="E108" s="68" t="s">
        <v>571</v>
      </c>
    </row>
    <row r="109" spans="1:5">
      <c r="A109" s="68">
        <v>0.28625099999999998</v>
      </c>
      <c r="B109" s="68">
        <v>0.24149999999999999</v>
      </c>
      <c r="C109" s="68">
        <v>43.466799999999999</v>
      </c>
      <c r="D109" s="68">
        <v>2</v>
      </c>
      <c r="E109" s="68" t="s">
        <v>572</v>
      </c>
    </row>
    <row r="110" spans="1:5">
      <c r="A110" s="68">
        <v>0.28595300000000001</v>
      </c>
      <c r="B110" s="68">
        <v>0.23960400000000001</v>
      </c>
      <c r="C110" s="68">
        <v>43.874899999999997</v>
      </c>
      <c r="D110" s="68">
        <v>2</v>
      </c>
      <c r="E110" s="68" t="s">
        <v>573</v>
      </c>
    </row>
    <row r="111" spans="1:5">
      <c r="A111" s="68">
        <v>0.28576499999999999</v>
      </c>
      <c r="B111" s="68">
        <v>0.237901</v>
      </c>
      <c r="C111" s="68">
        <v>44.277799999999999</v>
      </c>
      <c r="D111" s="68">
        <v>2</v>
      </c>
      <c r="E111" s="68" t="s">
        <v>574</v>
      </c>
    </row>
    <row r="112" spans="1:5">
      <c r="A112" s="68">
        <v>0.28564800000000001</v>
      </c>
      <c r="B112" s="68">
        <v>0.23599100000000001</v>
      </c>
      <c r="C112" s="68">
        <v>44.689</v>
      </c>
      <c r="D112" s="68">
        <v>2</v>
      </c>
      <c r="E112" s="68" t="s">
        <v>575</v>
      </c>
    </row>
    <row r="113" spans="1:5">
      <c r="A113" s="68">
        <v>0.28554600000000002</v>
      </c>
      <c r="B113" s="68">
        <v>0.23443900000000001</v>
      </c>
      <c r="C113" s="68">
        <v>45.090600000000002</v>
      </c>
      <c r="D113" s="68">
        <v>2</v>
      </c>
      <c r="E113" s="68" t="s">
        <v>576</v>
      </c>
    </row>
    <row r="114" spans="1:5">
      <c r="A114" s="68">
        <v>0.28528100000000001</v>
      </c>
      <c r="B114" s="68">
        <v>0.23339199999999999</v>
      </c>
      <c r="C114" s="68">
        <v>45.500500000000002</v>
      </c>
      <c r="D114" s="68">
        <v>2</v>
      </c>
      <c r="E114" s="68" t="s">
        <v>577</v>
      </c>
    </row>
    <row r="115" spans="1:5">
      <c r="A115" s="68">
        <v>0.28550799999999998</v>
      </c>
      <c r="B115" s="68">
        <v>0.23311699999999999</v>
      </c>
      <c r="C115" s="68">
        <v>45.908299999999997</v>
      </c>
      <c r="D115" s="68">
        <v>2</v>
      </c>
      <c r="E115" s="68" t="s">
        <v>578</v>
      </c>
    </row>
    <row r="116" spans="1:5">
      <c r="A116" s="68">
        <v>0.28589199999999998</v>
      </c>
      <c r="B116" s="68">
        <v>0.23263</v>
      </c>
      <c r="C116" s="68">
        <v>46.308300000000003</v>
      </c>
      <c r="D116" s="68">
        <v>2</v>
      </c>
      <c r="E116" s="68" t="s">
        <v>579</v>
      </c>
    </row>
    <row r="117" spans="1:5">
      <c r="A117" s="68">
        <v>0.28633999999999998</v>
      </c>
      <c r="B117" s="68">
        <v>0.23174800000000001</v>
      </c>
      <c r="C117" s="68">
        <v>46.716200000000001</v>
      </c>
      <c r="D117" s="68">
        <v>2</v>
      </c>
      <c r="E117" s="68" t="s">
        <v>580</v>
      </c>
    </row>
    <row r="118" spans="1:5">
      <c r="A118" s="68">
        <v>0.286883</v>
      </c>
      <c r="B118" s="68">
        <v>0.23033899999999999</v>
      </c>
      <c r="C118" s="68">
        <v>47.1282</v>
      </c>
      <c r="D118" s="68">
        <v>2</v>
      </c>
      <c r="E118" s="68" t="s">
        <v>581</v>
      </c>
    </row>
    <row r="119" spans="1:5">
      <c r="A119" s="68">
        <v>0.28701300000000002</v>
      </c>
      <c r="B119" s="68">
        <v>0.229319</v>
      </c>
      <c r="C119" s="68">
        <v>47.533099999999997</v>
      </c>
      <c r="D119" s="68">
        <v>2</v>
      </c>
      <c r="E119" s="68" t="s">
        <v>582</v>
      </c>
    </row>
    <row r="120" spans="1:5">
      <c r="A120" s="68">
        <v>0.28681899999999999</v>
      </c>
      <c r="B120" s="68">
        <v>0.228546</v>
      </c>
      <c r="C120" s="68">
        <v>47.936900000000001</v>
      </c>
      <c r="D120" s="68">
        <v>2</v>
      </c>
      <c r="E120" s="68" t="s">
        <v>583</v>
      </c>
    </row>
    <row r="121" spans="1:5">
      <c r="A121" s="68">
        <v>0.28693000000000002</v>
      </c>
      <c r="B121" s="68">
        <v>0.227021</v>
      </c>
      <c r="C121" s="68">
        <v>48.341000000000001</v>
      </c>
      <c r="D121" s="68">
        <v>2</v>
      </c>
      <c r="E121" s="68" t="s">
        <v>584</v>
      </c>
    </row>
    <row r="122" spans="1:5">
      <c r="A122" s="68">
        <v>0.28702699999999998</v>
      </c>
      <c r="B122" s="68">
        <v>0.225523</v>
      </c>
      <c r="C122" s="68">
        <v>48.7468</v>
      </c>
      <c r="D122" s="68">
        <v>2</v>
      </c>
      <c r="E122" s="68" t="s">
        <v>585</v>
      </c>
    </row>
    <row r="123" spans="1:5">
      <c r="A123" s="68">
        <v>0.28708</v>
      </c>
      <c r="B123" s="68">
        <v>0.22475999999999999</v>
      </c>
      <c r="C123" s="68">
        <v>49.155700000000003</v>
      </c>
      <c r="D123" s="68">
        <v>2</v>
      </c>
      <c r="E123" s="68" t="s">
        <v>586</v>
      </c>
    </row>
    <row r="124" spans="1:5">
      <c r="A124" s="68">
        <v>0.28755399999999998</v>
      </c>
      <c r="B124" s="68">
        <v>0.223664</v>
      </c>
      <c r="C124" s="68">
        <v>49.564599999999999</v>
      </c>
      <c r="D124" s="68">
        <v>2</v>
      </c>
      <c r="E124" s="68" t="s">
        <v>587</v>
      </c>
    </row>
    <row r="125" spans="1:5">
      <c r="A125" s="68">
        <v>0.287941</v>
      </c>
      <c r="B125" s="68">
        <v>0.223135</v>
      </c>
      <c r="C125" s="68">
        <v>49.970500000000001</v>
      </c>
      <c r="D125" s="68">
        <v>2</v>
      </c>
      <c r="E125" s="68" t="s">
        <v>588</v>
      </c>
    </row>
    <row r="126" spans="1:5">
      <c r="A126" s="68">
        <v>0.28824699999999998</v>
      </c>
      <c r="B126" s="68">
        <v>0.22231200000000001</v>
      </c>
      <c r="C126" s="68">
        <v>50.376399999999997</v>
      </c>
      <c r="D126" s="68">
        <v>2</v>
      </c>
      <c r="E126" s="68" t="s">
        <v>589</v>
      </c>
    </row>
    <row r="127" spans="1:5">
      <c r="A127" s="68">
        <v>0.28854000000000002</v>
      </c>
      <c r="B127" s="68">
        <v>0.22159699999999999</v>
      </c>
      <c r="C127" s="68">
        <v>50.781599999999997</v>
      </c>
      <c r="D127" s="68">
        <v>2</v>
      </c>
      <c r="E127" s="68" t="s">
        <v>590</v>
      </c>
    </row>
    <row r="128" spans="1:5">
      <c r="A128" s="68">
        <v>0.28879300000000002</v>
      </c>
      <c r="B128" s="68">
        <v>0.22087999999999999</v>
      </c>
      <c r="C128" s="68">
        <v>51.188200000000002</v>
      </c>
      <c r="D128" s="68">
        <v>2</v>
      </c>
      <c r="E128" s="68" t="s">
        <v>591</v>
      </c>
    </row>
    <row r="129" spans="1:5">
      <c r="A129" s="68">
        <v>0.28916399999999998</v>
      </c>
      <c r="B129" s="68">
        <v>0.22028300000000001</v>
      </c>
      <c r="C129" s="68">
        <v>51.591200000000001</v>
      </c>
      <c r="D129" s="68">
        <v>2</v>
      </c>
      <c r="E129" s="68" t="s">
        <v>592</v>
      </c>
    </row>
    <row r="130" spans="1:5">
      <c r="A130" s="68">
        <v>0.289497</v>
      </c>
      <c r="B130" s="68">
        <v>0.220029</v>
      </c>
      <c r="C130" s="68">
        <v>51.999200000000002</v>
      </c>
      <c r="D130" s="68">
        <v>2</v>
      </c>
      <c r="E130" s="68" t="s">
        <v>593</v>
      </c>
    </row>
    <row r="131" spans="1:5">
      <c r="A131" s="68">
        <v>0.289908</v>
      </c>
      <c r="B131" s="68">
        <v>0.21934899999999999</v>
      </c>
      <c r="C131" s="68">
        <v>52.406999999999996</v>
      </c>
      <c r="D131" s="68">
        <v>2</v>
      </c>
      <c r="E131" s="68" t="s">
        <v>594</v>
      </c>
    </row>
    <row r="132" spans="1:5">
      <c r="A132" s="68">
        <v>0.29036699999999999</v>
      </c>
      <c r="B132" s="68">
        <v>0.21833900000000001</v>
      </c>
      <c r="C132" s="68">
        <v>52.8108</v>
      </c>
      <c r="D132" s="68">
        <v>2</v>
      </c>
      <c r="E132" s="68" t="s">
        <v>595</v>
      </c>
    </row>
    <row r="133" spans="1:5">
      <c r="A133" s="68">
        <v>0.290684</v>
      </c>
      <c r="B133" s="68">
        <v>0.21770999999999999</v>
      </c>
      <c r="C133" s="68">
        <v>53.219799999999999</v>
      </c>
      <c r="D133" s="68">
        <v>2</v>
      </c>
      <c r="E133" s="68" t="s">
        <v>596</v>
      </c>
    </row>
    <row r="134" spans="1:5">
      <c r="A134" s="68">
        <v>0.29103000000000001</v>
      </c>
      <c r="B134" s="68">
        <v>0.21793199999999999</v>
      </c>
      <c r="C134" s="68">
        <v>53.623800000000003</v>
      </c>
      <c r="D134" s="68">
        <v>2</v>
      </c>
      <c r="E134" s="68" t="s">
        <v>597</v>
      </c>
    </row>
    <row r="135" spans="1:5">
      <c r="A135" s="68">
        <v>0.29140100000000002</v>
      </c>
      <c r="B135" s="68">
        <v>0.218387</v>
      </c>
      <c r="C135" s="68">
        <v>54.028500000000001</v>
      </c>
      <c r="D135" s="68">
        <v>2</v>
      </c>
      <c r="E135" s="68" t="s">
        <v>598</v>
      </c>
    </row>
    <row r="136" spans="1:5">
      <c r="A136" s="68">
        <v>0.29178100000000001</v>
      </c>
      <c r="B136" s="68">
        <v>0.21878800000000001</v>
      </c>
      <c r="C136" s="68">
        <v>54.435600000000001</v>
      </c>
      <c r="D136" s="68">
        <v>2</v>
      </c>
      <c r="E136" s="68" t="s">
        <v>599</v>
      </c>
    </row>
    <row r="137" spans="1:5">
      <c r="A137" s="68">
        <v>0.29194300000000001</v>
      </c>
      <c r="B137" s="68">
        <v>0.21984500000000001</v>
      </c>
      <c r="C137" s="68">
        <v>54.8444</v>
      </c>
      <c r="D137" s="68">
        <v>2</v>
      </c>
      <c r="E137" s="68" t="s">
        <v>600</v>
      </c>
    </row>
    <row r="138" spans="1:5">
      <c r="A138" s="68">
        <v>0.29203800000000002</v>
      </c>
      <c r="B138" s="68">
        <v>0.220585</v>
      </c>
      <c r="C138" s="68">
        <v>55.250300000000003</v>
      </c>
      <c r="D138" s="68">
        <v>2</v>
      </c>
      <c r="E138" s="68" t="s">
        <v>601</v>
      </c>
    </row>
    <row r="139" spans="1:5">
      <c r="A139" s="68">
        <v>0.29204400000000003</v>
      </c>
      <c r="B139" s="68">
        <v>0.22170999999999999</v>
      </c>
      <c r="C139" s="68">
        <v>55.656300000000002</v>
      </c>
      <c r="D139" s="68">
        <v>2</v>
      </c>
      <c r="E139" s="68" t="s">
        <v>602</v>
      </c>
    </row>
    <row r="140" spans="1:5">
      <c r="A140" s="68">
        <v>0.29147899999999999</v>
      </c>
      <c r="B140" s="68">
        <v>0.221827</v>
      </c>
      <c r="C140" s="68">
        <v>56.059100000000001</v>
      </c>
      <c r="D140" s="68">
        <v>2</v>
      </c>
      <c r="E140" s="68" t="s">
        <v>603</v>
      </c>
    </row>
    <row r="141" spans="1:5">
      <c r="A141" s="68">
        <v>0.29058</v>
      </c>
      <c r="B141" s="68">
        <v>0.222667</v>
      </c>
      <c r="C141" s="68">
        <v>56.466999999999999</v>
      </c>
      <c r="D141" s="68">
        <v>2</v>
      </c>
      <c r="E141" s="68" t="s">
        <v>604</v>
      </c>
    </row>
    <row r="142" spans="1:5">
      <c r="A142" s="68">
        <v>0.28974100000000003</v>
      </c>
      <c r="B142" s="68">
        <v>0.22317400000000001</v>
      </c>
      <c r="C142" s="68">
        <v>56.875999999999998</v>
      </c>
      <c r="D142" s="68">
        <v>2</v>
      </c>
      <c r="E142" s="68" t="s">
        <v>605</v>
      </c>
    </row>
    <row r="143" spans="1:5">
      <c r="A143" s="68">
        <v>0.28838799999999998</v>
      </c>
      <c r="B143" s="68">
        <v>0.22516800000000001</v>
      </c>
      <c r="C143" s="68">
        <v>57.279000000000003</v>
      </c>
      <c r="D143" s="68">
        <v>2</v>
      </c>
      <c r="E143" s="68" t="s">
        <v>606</v>
      </c>
    </row>
    <row r="144" spans="1:5">
      <c r="A144" s="68">
        <v>0.287439</v>
      </c>
      <c r="B144" s="68">
        <v>0.22631499999999999</v>
      </c>
      <c r="C144" s="68">
        <v>57.6858</v>
      </c>
      <c r="D144" s="68">
        <v>2</v>
      </c>
      <c r="E144" s="68" t="s">
        <v>607</v>
      </c>
    </row>
    <row r="145" spans="1:5">
      <c r="A145" s="68">
        <v>0.28721000000000002</v>
      </c>
      <c r="B145" s="68">
        <v>0.22661700000000001</v>
      </c>
      <c r="C145" s="68">
        <v>58.090699999999998</v>
      </c>
      <c r="D145" s="68">
        <v>2</v>
      </c>
      <c r="E145" s="68" t="s">
        <v>608</v>
      </c>
    </row>
    <row r="146" spans="1:5">
      <c r="A146" s="68">
        <v>0.28589199999999998</v>
      </c>
      <c r="B146" s="68">
        <v>0.230435</v>
      </c>
      <c r="C146" s="68">
        <v>58.502699999999997</v>
      </c>
      <c r="D146" s="68">
        <v>2</v>
      </c>
      <c r="E146" s="68" t="s">
        <v>609</v>
      </c>
    </row>
    <row r="147" spans="1:5">
      <c r="A147" s="68">
        <v>0.28536</v>
      </c>
      <c r="B147" s="68">
        <v>0.234596</v>
      </c>
      <c r="C147" s="68">
        <v>58.907600000000002</v>
      </c>
      <c r="D147" s="68">
        <v>2</v>
      </c>
      <c r="E147" s="68" t="s">
        <v>610</v>
      </c>
    </row>
    <row r="148" spans="1:5">
      <c r="A148" s="68">
        <v>0.28577799999999998</v>
      </c>
      <c r="B148" s="68">
        <v>0.235737</v>
      </c>
      <c r="C148" s="68">
        <v>59.313600000000001</v>
      </c>
      <c r="D148" s="68">
        <v>2</v>
      </c>
      <c r="E148" s="68" t="s">
        <v>611</v>
      </c>
    </row>
    <row r="149" spans="1:5">
      <c r="A149" s="68">
        <v>0.28482299999999999</v>
      </c>
      <c r="B149" s="68">
        <v>0.239588</v>
      </c>
      <c r="C149" s="68">
        <v>59.720399999999998</v>
      </c>
      <c r="D149" s="68">
        <v>2</v>
      </c>
      <c r="E149" s="68" t="s">
        <v>612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462</v>
      </c>
      <c r="B1" s="66" t="s">
        <v>613</v>
      </c>
      <c r="C1" s="66" t="s">
        <v>615</v>
      </c>
      <c r="D1" s="66" t="s">
        <v>616</v>
      </c>
      <c r="E1" s="66" t="s">
        <v>617</v>
      </c>
      <c r="F1" s="66" t="s">
        <v>348</v>
      </c>
      <c r="G1" s="66" t="s">
        <v>349</v>
      </c>
      <c r="H1" s="66" t="s">
        <v>618</v>
      </c>
      <c r="I1" s="66" t="s">
        <v>619</v>
      </c>
      <c r="J1" s="66" t="s">
        <v>620</v>
      </c>
      <c r="K1" s="66" t="s">
        <v>621</v>
      </c>
      <c r="L1" s="66" t="s">
        <v>622</v>
      </c>
      <c r="M1" s="66" t="s">
        <v>623</v>
      </c>
      <c r="N1" s="66"/>
    </row>
    <row r="2" spans="1:14">
      <c r="A2" s="75">
        <v>43607.438530092593</v>
      </c>
      <c r="B2" s="66" t="s">
        <v>614</v>
      </c>
      <c r="C2" s="66"/>
      <c r="D2" s="66"/>
      <c r="E2" s="66">
        <v>4.9234099999999996</v>
      </c>
      <c r="F2" s="66">
        <v>1.3809499999999999</v>
      </c>
      <c r="G2" s="66">
        <v>0.70419900000000002</v>
      </c>
      <c r="H2" s="66">
        <v>0</v>
      </c>
      <c r="I2" s="66">
        <v>58721</v>
      </c>
      <c r="J2" s="66">
        <v>60</v>
      </c>
      <c r="K2" s="66">
        <v>60</v>
      </c>
      <c r="L2" s="66">
        <v>0</v>
      </c>
      <c r="M2" s="66" t="s">
        <v>624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2019-05-22T02:32:05Z</cp:lastPrinted>
  <dcterms:created xsi:type="dcterms:W3CDTF">2010-10-29T12:53:05Z</dcterms:created>
  <dcterms:modified xsi:type="dcterms:W3CDTF">2019-05-22T02:32:45Z</dcterms:modified>
</cp:coreProperties>
</file>