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<sst xmlns="http://schemas.openxmlformats.org/spreadsheetml/2006/main" count="701" uniqueCount="572">
  <si>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</si>
  <si>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</si>
  <si>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</si>
  <si>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</si>
  <si>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</si>
  <si>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</si>
  <si>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</si>
  <si>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</si>
  <si>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</si>
  <si>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</si>
  <si>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</si>
  <si>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</si>
  <si>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</si>
  <si>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</si>
  <si>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</si>
  <si>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</si>
  <si>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</si>
  <si>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</si>
  <si>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</si>
  <si>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</si>
  <si>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</si>
  <si>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</si>
  <si>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</si>
  <si>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</si>
  <si>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</si>
  <si>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</si>
  <si>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</si>
  <si>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</si>
  <si>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</si>
  <si>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</si>
  <si>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</si>
  <si>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</si>
  <si>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</si>
  <si>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</si>
  <si>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</si>
  <si>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</si>
  <si>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</si>
  <si>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</si>
  <si>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</si>
  <si>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</si>
  <si>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</si>
  <si>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</si>
  <si>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</si>
  <si>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</si>
  <si>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</si>
  <si>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</si>
  <si>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</si>
  <si>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</si>
  <si>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</si>
  <si>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</si>
  <si>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</si>
  <si>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</si>
  <si>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</si>
  <si>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</si>
  <si>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</si>
  <si>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</si>
  <si>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</si>
  <si>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</si>
  <si>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</si>
  <si>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</si>
  <si>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</si>
  <si>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</si>
  <si>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</si>
  <si>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</si>
  <si>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</si>
  <si>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</si>
  <si>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</si>
  <si>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</si>
  <si>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</si>
  <si>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</si>
  <si>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</si>
  <si>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</si>
  <si>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</si>
  <si>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</si>
  <si>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</si>
  <si>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</si>
  <si>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</si>
  <si>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</si>
  <si>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</si>
  <si>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</si>
  <si>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</si>
  <si>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</si>
  <si>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</si>
  <si>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</si>
  <si>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</si>
  <si>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</si>
  <si>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</si>
  <si>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</si>
  <si>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</si>
  <si>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</si>
  <si>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</si>
  <si>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</si>
  <si>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</si>
  <si>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</si>
  <si>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</si>
  <si>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</si>
  <si>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</si>
  <si>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</si>
  <si>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</si>
  <si>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</si>
  <si>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</si>
  <si>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</si>
  <si>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</si>
  <si>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</si>
  <si>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</si>
  <si>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</si>
  <si>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</si>
  <si>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</si>
  <si>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</si>
  <si>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</si>
  <si>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</si>
  <si>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</si>
  <si>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</si>
  <si>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</si>
  <si>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</si>
  <si>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</si>
  <si>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</si>
  <si>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</si>
  <si>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</si>
  <si>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</si>
  <si>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</si>
  <si>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</si>
  <si>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</si>
  <si>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</si>
  <si>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</si>
  <si>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</si>
  <si>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</si>
  <si>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</si>
  <si>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</si>
  <si>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</si>
  <si>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</si>
  <si>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</si>
  <si>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</si>
  <si>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</si>
  <si>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</si>
  <si>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</si>
  <si>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</si>
  <si>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</si>
  <si>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</si>
  <si>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</si>
  <si>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</si>
  <si>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</si>
  <si>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</si>
  <si>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</si>
  <si>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</si>
  <si>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</si>
  <si>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</si>
  <si>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</si>
  <si>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</si>
  <si>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</si>
  <si>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</si>
  <si>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</si>
  <si>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</si>
  <si>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</si>
  <si>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</si>
  <si>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</si>
  <si>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</si>
  <si>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</si>
  <si>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</si>
  <si>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</si>
  <si>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</si>
  <si>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</si>
  <si>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</si>
  <si>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</si>
  <si>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</si>
  <si>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</si>
  <si>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</si>
  <si>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</si>
  <si>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</si>
  <si>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</si>
  <si>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</si>
  <si>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</si>
  <si>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</si>
  <si>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</si>
  <si>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</si>
  <si>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</si>
  <si>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</si>
  <si>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</si>
  <si>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</si>
  <si>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</si>
  <si>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</si>
  <si>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</si>
  <si>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</si>
  <si>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</si>
  <si>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</si>
  <si>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</si>
  <si>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</si>
  <si>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</si>
  <si>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</si>
  <si>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</si>
  <si>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</si>
  <si>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</si>
  <si>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</si>
  <si>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</si>
  <si>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</si>
  <si>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</si>
  <si>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</si>
  <si>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</si>
  <si>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</si>
  <si>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</si>
  <si>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</si>
  <si>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</si>
  <si>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</si>
  <si>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</si>
  <si>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</si>
  <si>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</si>
  <si>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</si>
  <si>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</si>
  <si>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</si>
  <si>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</si>
  <si>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</si>
  <si>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</si>
  <si>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</si>
  <si>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</si>
  <si>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</si>
  <si>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</si>
  <si>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</si>
  <si>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</si>
  <si>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</si>
  <si>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</si>
  <si>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</si>
  <si>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</si>
  <si>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</si>
  <si>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</si>
  <si>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</si>
  <si>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</si>
  <si>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</si>
  <si>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</si>
  <si>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</si>
  <si>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</si>
  <si>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</si>
  <si>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</si>
  <si>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</si>
  <si>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</si>
  <si>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</si>
  <si>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</si>
  <si>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</si>
  <si>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</si>
  <si>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</si>
  <si>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</si>
  <si>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</si>
  <si>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</si>
  <si>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</si>
  <si>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</si>
  <si>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</si>
  <si>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</si>
  <si>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</si>
  <si>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</si>
  <si>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</si>
  <si>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</si>
  <si>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</si>
  <si>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</si>
  <si>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</si>
  <si>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</si>
  <si>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</si>
  <si>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</si>
  <si>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</si>
  <si>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</si>
  <si>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</si>
  <si>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</si>
  <si>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</si>
  <si>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</si>
  <si>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</si>
  <si>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</si>
  <si>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</si>
  <si>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</si>
  <si>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</si>
  <si>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</si>
  <si>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</si>
  <si>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</si>
  <si>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</si>
  <si>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</si>
  <si>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</si>
  <si>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</si>
  <si>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</si>
  <si>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</si>
  <si>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</si>
  <si>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</si>
  <si>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</si>
  <si>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</si>
  <si>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</si>
  <si>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</si>
  <si>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</si>
  <si>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</si>
  <si>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</si>
  <si>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</si>
  <si>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</si>
  <si>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</si>
  <si>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</si>
  <si>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</si>
  <si>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</si>
  <si>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</si>
  <si>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</si>
  <si>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</si>
  <si>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</si>
  <si>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</si>
  <si>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</si>
  <si>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</si>
  <si>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</si>
  <si>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</si>
  <si>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</si>
  <si>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</si>
  <si>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</si>
  <si>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</si>
  <si>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</si>
  <si>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</si>
  <si>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</si>
  <si>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</si>
  <si>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</si>
  <si>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</si>
  <si>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</si>
  <si>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</si>
  <si>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</si>
  <si>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</si>
  <si>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</si>
  <si>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</si>
  <si>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</si>
  <si>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</si>
  <si>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</si>
  <si>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</si>
  <si>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</si>
  <si>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</si>
  <si>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</si>
  <si>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</si>
  <si>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</si>
  <si>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</si>
  <si>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</si>
  <si>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</si>
  <si>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</si>
  <si>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</si>
  <si>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</si>
  <si>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</si>
  <si>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</si>
  <si>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</si>
  <si>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</si>
  <si>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</si>
  <si>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</si>
  <si>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</si>
  <si>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</si>
  <si>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</si>
  <si>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</si>
  <si>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</si>
  <si>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</si>
  <si>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</si>
  <si>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</si>
  <si>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</si>
  <si>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</si>
  <si>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</si>
  <si>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</si>
  <si>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</si>
  <si>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</si>
  <si>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</si>
  <si>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</si>
  <si>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</si>
  <si>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</si>
  <si>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</si>
  <si>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</si>
  <si>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</si>
  <si>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</si>
  <si>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</si>
  <si>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</si>
  <si>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</si>
  <si>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</si>
  <si>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</si>
  <si>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</si>
  <si>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</si>
  <si>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</si>
  <si>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</si>
  <si>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</si>
  <si>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</si>
  <si>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</si>
  <si>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</si>
  <si>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</si>
  <si>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</si>
  <si>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</si>
  <si>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</si>
  <si>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</si>
  <si>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</si>
  <si>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</si>
  <si>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</si>
  <si>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</si>
  <si>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</si>
  <si>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</si>
  <si>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</si>
  <si>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</si>
  <si>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</si>
  <si>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</si>
  <si>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</si>
  <si>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</si>
  <si>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</si>
  <si>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</si>
  <si>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</si>
  <si>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</si>
  <si>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</si>
  <si>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</si>
  <si>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</si>
  <si>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</si>
  <si>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</si>
  <si>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</si>
  <si>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</si>
  <si>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</si>
  <si>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</si>
  <si>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</si>
  <si>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</si>
  <si>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</si>
  <si>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</si>
  <si>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</si>
  <si>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</si>
  <si>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</si>
  <si>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</si>
  <si>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</si>
  <si>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[0.407822]</t>
  </si>
  <si>
    <t>1 [0.813614]</t>
  </si>
  <si>
    <t>1 [1.217676]</t>
  </si>
  <si>
    <t>1 [1.622571]</t>
  </si>
  <si>
    <t>1 [2.028510]</t>
  </si>
  <si>
    <t>1 [2.433329]</t>
  </si>
  <si>
    <t>1 [2.846170]</t>
  </si>
  <si>
    <t>1 [3.251113]</t>
  </si>
  <si>
    <t>1 [3.653164]</t>
  </si>
  <si>
    <t>1 [4.063009]</t>
  </si>
  <si>
    <t>1 [4.469982]</t>
  </si>
  <si>
    <t>1 [4.872735]</t>
  </si>
  <si>
    <t>1 [5.280689]</t>
  </si>
  <si>
    <t>1 [5.687769]</t>
  </si>
  <si>
    <t>1 [6.092617]</t>
  </si>
  <si>
    <t>1 [6.495556]</t>
  </si>
  <si>
    <t>1 [6.907566]</t>
  </si>
  <si>
    <t>1 [7.314290]</t>
  </si>
  <si>
    <t>1 [7.720979]</t>
  </si>
  <si>
    <t>1 [8.124207]</t>
  </si>
  <si>
    <t>1 [8.532004]</t>
  </si>
  <si>
    <t>1 [8.939932]</t>
  </si>
  <si>
    <t>1 [9.343833]</t>
  </si>
  <si>
    <t>1 [9.748741]</t>
  </si>
  <si>
    <t>1 [10.156812]</t>
  </si>
  <si>
    <t>1 [10.562582]</t>
  </si>
  <si>
    <t>1 [10.966451]</t>
  </si>
  <si>
    <t>1 [11.374387]</t>
  </si>
  <si>
    <t>1 [11.777061]</t>
  </si>
  <si>
    <t>1 [12.185514]</t>
  </si>
  <si>
    <t>1 [12.593189]</t>
  </si>
  <si>
    <t>1 [13.003093]</t>
  </si>
  <si>
    <t>1 [13.410001]</t>
  </si>
  <si>
    <t>1 [13.812878]</t>
  </si>
  <si>
    <t>1 [14.216837]</t>
  </si>
  <si>
    <t>1 [14.624749]</t>
  </si>
  <si>
    <t>1 [15.032599]</t>
  </si>
  <si>
    <t>1 [15.437667]</t>
  </si>
  <si>
    <t>1 [15.845421]</t>
  </si>
  <si>
    <t>1 [16.252726]</t>
  </si>
  <si>
    <t>1 [16.653568]</t>
  </si>
  <si>
    <t>1 [17.058419]</t>
  </si>
  <si>
    <t>1 [17.468184]</t>
  </si>
  <si>
    <t>1 [17.875141]</t>
  </si>
  <si>
    <t>1 [18.281980]</t>
  </si>
  <si>
    <t>1 [18.688882]</t>
  </si>
  <si>
    <t>1 [19.093824]</t>
  </si>
  <si>
    <t>1 [19.496713]</t>
  </si>
  <si>
    <t>1 [19.906694]</t>
  </si>
  <si>
    <t>1 [20.313641]</t>
  </si>
  <si>
    <t>1 [20.716430]</t>
  </si>
  <si>
    <t>1 [21.125474]</t>
  </si>
  <si>
    <t>1 [21.530275]</t>
  </si>
  <si>
    <t>1 [21.938269]</t>
  </si>
  <si>
    <t>1 [22.345143]</t>
  </si>
  <si>
    <t>1 [22.750080]</t>
  </si>
  <si>
    <t>1 [23.155717]</t>
  </si>
  <si>
    <t>1 [23.562830]</t>
  </si>
  <si>
    <t>1 [23.968021]</t>
  </si>
  <si>
    <t>1 [24.374656]</t>
  </si>
  <si>
    <t>1 [24.783632]</t>
  </si>
  <si>
    <t>1 [25.188581]</t>
  </si>
  <si>
    <t>1 [25.592441]</t>
  </si>
  <si>
    <t>1 [25.999517]</t>
  </si>
  <si>
    <t>1 [26.406228]</t>
  </si>
  <si>
    <t>1 [26.814237]</t>
  </si>
  <si>
    <t>1 [27.219435]</t>
  </si>
  <si>
    <t>1 [27.625047]</t>
  </si>
  <si>
    <t>1 [28.032004]</t>
  </si>
  <si>
    <t>1 [28.439828]</t>
  </si>
  <si>
    <t>1 [28.843765]</t>
  </si>
  <si>
    <t>1 [29.253365]</t>
  </si>
  <si>
    <t>1 [29.652757]</t>
  </si>
  <si>
    <t>2 [30.062748]</t>
  </si>
  <si>
    <t>2 [30.502705]</t>
  </si>
  <si>
    <t>2 [30.908352]</t>
  </si>
  <si>
    <t>2 [31.311039]</t>
  </si>
  <si>
    <t>2 [31.719362]</t>
  </si>
  <si>
    <t>2 [32.121995]</t>
  </si>
  <si>
    <t>2 [32.533842]</t>
  </si>
  <si>
    <t>2 [32.940835]</t>
  </si>
  <si>
    <t>2 [33.341356]</t>
  </si>
  <si>
    <t>2 [33.749616]</t>
  </si>
  <si>
    <t>2 [34.156649]</t>
  </si>
  <si>
    <t>2 [34.561424]</t>
  </si>
  <si>
    <t>2 [34.967126]</t>
  </si>
  <si>
    <t>2 [35.379328]</t>
  </si>
  <si>
    <t>2 [35.780246]</t>
  </si>
  <si>
    <t>2 [36.185463]</t>
  </si>
  <si>
    <t>2 [36.592966]</t>
  </si>
  <si>
    <t>2 [37.002194]</t>
  </si>
  <si>
    <t>2 [37.404959]</t>
  </si>
  <si>
    <t>2 [37.812880]</t>
  </si>
  <si>
    <t>2 [38.215773]</t>
  </si>
  <si>
    <t>2 [38.621914]</t>
  </si>
  <si>
    <t>2 [39.031575]</t>
  </si>
  <si>
    <t>2 [39.437514]</t>
  </si>
  <si>
    <t>2 [39.843327]</t>
  </si>
  <si>
    <t>2 [40.249344]</t>
  </si>
  <si>
    <t>2 [40.654761]</t>
  </si>
  <si>
    <t>2 [41.063009]</t>
  </si>
  <si>
    <t>2 [41.470097]</t>
  </si>
  <si>
    <t>2 [41.873883]</t>
  </si>
  <si>
    <t>2 [42.279886]</t>
  </si>
  <si>
    <t>2 [42.684800]</t>
  </si>
  <si>
    <t>2 [43.091737]</t>
  </si>
  <si>
    <t>2 [43.497683]</t>
  </si>
  <si>
    <t>2 [43.909963]</t>
  </si>
  <si>
    <t>2 [44.315559]</t>
  </si>
  <si>
    <t>2 [44.719508]</t>
  </si>
  <si>
    <t>2 [45.124203]</t>
  </si>
  <si>
    <t>2 [45.531139]</t>
  </si>
  <si>
    <t>2 [45.937072]</t>
  </si>
  <si>
    <t>2 [46.342905]</t>
  </si>
  <si>
    <t>2 [46.749994]</t>
  </si>
  <si>
    <t>2 [47.157850]</t>
  </si>
  <si>
    <t>2 [47.561670]</t>
  </si>
  <si>
    <t>2 [47.968920]</t>
  </si>
  <si>
    <t>2 [48.375446]</t>
  </si>
  <si>
    <t>2 [48.782501]</t>
  </si>
  <si>
    <t>2 [49.185547]</t>
  </si>
  <si>
    <t>2 [49.591227]</t>
  </si>
  <si>
    <t>2 [49.999329]</t>
  </si>
  <si>
    <t>2 [50.409054]</t>
  </si>
  <si>
    <t>2 [50.816041]</t>
  </si>
  <si>
    <t>2 [51.221889]</t>
  </si>
  <si>
    <t>2 [51.621819]</t>
  </si>
  <si>
    <t>2 [52.030959]</t>
  </si>
  <si>
    <t>2 [52.440703]</t>
  </si>
  <si>
    <t>2 [52.843820]</t>
  </si>
  <si>
    <t>2 [53.249491]</t>
  </si>
  <si>
    <t>2 [53.656423]</t>
  </si>
  <si>
    <t>2 [54.062795]</t>
  </si>
  <si>
    <t>2 [54.470323]</t>
  </si>
  <si>
    <t>2 [54.876192]</t>
  </si>
  <si>
    <t>2 [55.280138]</t>
  </si>
  <si>
    <t>2 [55.686917]</t>
  </si>
  <si>
    <t>2 [56.092968]</t>
  </si>
  <si>
    <t>2 [56.499776]</t>
  </si>
  <si>
    <t>2 [56.908759]</t>
  </si>
  <si>
    <t>2 [57.314584]</t>
  </si>
  <si>
    <t>2 [57.717610]</t>
  </si>
  <si>
    <t>2 [58.124526]</t>
  </si>
  <si>
    <t>2 [58.535598]</t>
  </si>
  <si>
    <t>2 [58.940311]</t>
  </si>
  <si>
    <t>2 [59.347217]</t>
  </si>
  <si>
    <t>2 [59.750112]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</si>
  <si>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</si>
  <si>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</si>
  <si>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</si>
  <si>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</si>
  <si>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</si>
  <si>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</si>
  <si>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</si>
  <si>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</si>
  <si>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</si>
  <si>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</si>
  <si>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</si>
  <si>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</si>
  <si>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</si>
  <si>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甄志敏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</si>
</sst>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37.998100000000001</c:v>
                </c:pt>
                <c:pt idx="1">
                  <c:v>28.1111</c:v>
                </c:pt>
                <c:pt idx="2">
                  <c:v>30.654199999999999</c:v>
                </c:pt>
                <c:pt idx="3">
                  <c:v>31.980899999999998</c:v>
                </c:pt>
                <c:pt idx="4">
                  <c:v>52.520099999999999</c:v>
                </c:pt>
                <c:pt idx="5">
                  <c:v>68.634</c:v>
                </c:pt>
                <c:pt idx="6">
                  <c:v>19.7943</c:v>
                </c:pt>
                <c:pt idx="7">
                  <c:v>60.284599999999998</c:v>
                </c:pt>
                <c:pt idx="8">
                  <c:v>13.3597</c:v>
                </c:pt>
                <c:pt idx="9">
                  <c:v>25.556100000000001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0.49344926018044238</c:v>
                </c:pt>
                <c:pt idx="1">
                  <c:v>0.31569762209701657</c:v>
                </c:pt>
                <c:pt idx="2">
                  <c:v>0.19085311772254115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4251</c:v>
                </c:pt>
                <c:pt idx="7">
                  <c:v>0</c:v>
                </c:pt>
                <c:pt idx="8">
                  <c:v>11488</c:v>
                </c:pt>
                <c:pt idx="9">
                  <c:v>0</c:v>
                </c:pt>
                <c:pt idx="10">
                  <c:v>0</c:v>
                </c:pt>
                <c:pt idx="11">
                  <c:v>18134</c:v>
                </c:pt>
                <c:pt idx="12">
                  <c:v>0</c:v>
                </c:pt>
                <c:pt idx="13">
                  <c:v>28336</c:v>
                </c:pt>
                <c:pt idx="14">
                  <c:v>0</c:v>
                </c:pt>
                <c:pt idx="15">
                  <c:v>0</c:v>
                </c:pt>
                <c:pt idx="16">
                  <c:v>34997</c:v>
                </c:pt>
                <c:pt idx="17">
                  <c:v>0</c:v>
                </c:pt>
                <c:pt idx="18">
                  <c:v>0</c:v>
                </c:pt>
                <c:pt idx="19">
                  <c:v>33237</c:v>
                </c:pt>
                <c:pt idx="20">
                  <c:v>0</c:v>
                </c:pt>
                <c:pt idx="21">
                  <c:v>44216</c:v>
                </c:pt>
                <c:pt idx="22">
                  <c:v>0</c:v>
                </c:pt>
                <c:pt idx="23">
                  <c:v>0</c:v>
                </c:pt>
                <c:pt idx="24">
                  <c:v>43142</c:v>
                </c:pt>
                <c:pt idx="25">
                  <c:v>0</c:v>
                </c:pt>
                <c:pt idx="26">
                  <c:v>48580</c:v>
                </c:pt>
                <c:pt idx="27">
                  <c:v>0</c:v>
                </c:pt>
                <c:pt idx="28">
                  <c:v>0</c:v>
                </c:pt>
                <c:pt idx="29">
                  <c:v>68677</c:v>
                </c:pt>
                <c:pt idx="30">
                  <c:v>0</c:v>
                </c:pt>
                <c:pt idx="31">
                  <c:v>75483</c:v>
                </c:pt>
                <c:pt idx="32">
                  <c:v>0</c:v>
                </c:pt>
                <c:pt idx="33">
                  <c:v>0</c:v>
                </c:pt>
                <c:pt idx="34">
                  <c:v>87252</c:v>
                </c:pt>
                <c:pt idx="35">
                  <c:v>0</c:v>
                </c:pt>
                <c:pt idx="36">
                  <c:v>0</c:v>
                </c:pt>
                <c:pt idx="37">
                  <c:v>94317</c:v>
                </c:pt>
                <c:pt idx="38">
                  <c:v>0</c:v>
                </c:pt>
                <c:pt idx="39">
                  <c:v>83593</c:v>
                </c:pt>
                <c:pt idx="40">
                  <c:v>0</c:v>
                </c:pt>
                <c:pt idx="41">
                  <c:v>0</c:v>
                </c:pt>
                <c:pt idx="42">
                  <c:v>97367</c:v>
                </c:pt>
                <c:pt idx="43">
                  <c:v>0</c:v>
                </c:pt>
                <c:pt idx="44">
                  <c:v>108383</c:v>
                </c:pt>
                <c:pt idx="45">
                  <c:v>0</c:v>
                </c:pt>
                <c:pt idx="46">
                  <c:v>0</c:v>
                </c:pt>
                <c:pt idx="47">
                  <c:v>106153</c:v>
                </c:pt>
                <c:pt idx="48">
                  <c:v>0</c:v>
                </c:pt>
                <c:pt idx="49">
                  <c:v>108698</c:v>
                </c:pt>
                <c:pt idx="50">
                  <c:v>0</c:v>
                </c:pt>
                <c:pt idx="51">
                  <c:v>0</c:v>
                </c:pt>
                <c:pt idx="52">
                  <c:v>110773</c:v>
                </c:pt>
                <c:pt idx="53">
                  <c:v>0</c:v>
                </c:pt>
                <c:pt idx="54">
                  <c:v>0</c:v>
                </c:pt>
                <c:pt idx="55">
                  <c:v>112271</c:v>
                </c:pt>
                <c:pt idx="56">
                  <c:v>0</c:v>
                </c:pt>
                <c:pt idx="57">
                  <c:v>116101</c:v>
                </c:pt>
                <c:pt idx="58">
                  <c:v>0</c:v>
                </c:pt>
                <c:pt idx="59">
                  <c:v>0</c:v>
                </c:pt>
                <c:pt idx="60">
                  <c:v>119566</c:v>
                </c:pt>
                <c:pt idx="61">
                  <c:v>0</c:v>
                </c:pt>
                <c:pt idx="62">
                  <c:v>124668</c:v>
                </c:pt>
                <c:pt idx="63">
                  <c:v>0</c:v>
                </c:pt>
                <c:pt idx="64">
                  <c:v>0</c:v>
                </c:pt>
                <c:pt idx="65">
                  <c:v>123665</c:v>
                </c:pt>
                <c:pt idx="66">
                  <c:v>0</c:v>
                </c:pt>
                <c:pt idx="67">
                  <c:v>132175</c:v>
                </c:pt>
                <c:pt idx="68">
                  <c:v>0</c:v>
                </c:pt>
                <c:pt idx="69">
                  <c:v>0</c:v>
                </c:pt>
                <c:pt idx="70">
                  <c:v>138473</c:v>
                </c:pt>
                <c:pt idx="71">
                  <c:v>0</c:v>
                </c:pt>
                <c:pt idx="72">
                  <c:v>0</c:v>
                </c:pt>
                <c:pt idx="73">
                  <c:v>142174</c:v>
                </c:pt>
                <c:pt idx="74">
                  <c:v>0</c:v>
                </c:pt>
                <c:pt idx="75">
                  <c:v>150246</c:v>
                </c:pt>
                <c:pt idx="76">
                  <c:v>0</c:v>
                </c:pt>
                <c:pt idx="77">
                  <c:v>0</c:v>
                </c:pt>
                <c:pt idx="78">
                  <c:v>152818</c:v>
                </c:pt>
                <c:pt idx="79">
                  <c:v>0</c:v>
                </c:pt>
                <c:pt idx="80">
                  <c:v>158189</c:v>
                </c:pt>
                <c:pt idx="81">
                  <c:v>0</c:v>
                </c:pt>
                <c:pt idx="82">
                  <c:v>0</c:v>
                </c:pt>
                <c:pt idx="83">
                  <c:v>164223</c:v>
                </c:pt>
                <c:pt idx="84">
                  <c:v>0</c:v>
                </c:pt>
                <c:pt idx="85">
                  <c:v>0</c:v>
                </c:pt>
                <c:pt idx="86">
                  <c:v>161483</c:v>
                </c:pt>
                <c:pt idx="87">
                  <c:v>0</c:v>
                </c:pt>
                <c:pt idx="88">
                  <c:v>183782</c:v>
                </c:pt>
                <c:pt idx="89">
                  <c:v>0</c:v>
                </c:pt>
                <c:pt idx="90">
                  <c:v>0</c:v>
                </c:pt>
                <c:pt idx="91">
                  <c:v>186541</c:v>
                </c:pt>
                <c:pt idx="92">
                  <c:v>0</c:v>
                </c:pt>
                <c:pt idx="93">
                  <c:v>195864</c:v>
                </c:pt>
                <c:pt idx="94">
                  <c:v>0</c:v>
                </c:pt>
                <c:pt idx="95">
                  <c:v>0</c:v>
                </c:pt>
                <c:pt idx="96">
                  <c:v>214079</c:v>
                </c:pt>
                <c:pt idx="97">
                  <c:v>0</c:v>
                </c:pt>
                <c:pt idx="98">
                  <c:v>210584</c:v>
                </c:pt>
                <c:pt idx="99">
                  <c:v>0</c:v>
                </c:pt>
                <c:pt idx="100">
                  <c:v>0</c:v>
                </c:pt>
                <c:pt idx="101">
                  <c:v>234647</c:v>
                </c:pt>
                <c:pt idx="102">
                  <c:v>0</c:v>
                </c:pt>
                <c:pt idx="103">
                  <c:v>0</c:v>
                </c:pt>
                <c:pt idx="104">
                  <c:v>249864</c:v>
                </c:pt>
                <c:pt idx="105">
                  <c:v>0</c:v>
                </c:pt>
                <c:pt idx="106">
                  <c:v>247455</c:v>
                </c:pt>
                <c:pt idx="107">
                  <c:v>0</c:v>
                </c:pt>
                <c:pt idx="108">
                  <c:v>0</c:v>
                </c:pt>
                <c:pt idx="109">
                  <c:v>238542</c:v>
                </c:pt>
                <c:pt idx="110">
                  <c:v>0</c:v>
                </c:pt>
                <c:pt idx="111">
                  <c:v>226341</c:v>
                </c:pt>
                <c:pt idx="112">
                  <c:v>0</c:v>
                </c:pt>
                <c:pt idx="113">
                  <c:v>0</c:v>
                </c:pt>
                <c:pt idx="114">
                  <c:v>200408</c:v>
                </c:pt>
                <c:pt idx="115">
                  <c:v>0</c:v>
                </c:pt>
                <c:pt idx="116">
                  <c:v>174300</c:v>
                </c:pt>
                <c:pt idx="117">
                  <c:v>0</c:v>
                </c:pt>
                <c:pt idx="118">
                  <c:v>0</c:v>
                </c:pt>
                <c:pt idx="119">
                  <c:v>128620</c:v>
                </c:pt>
                <c:pt idx="120">
                  <c:v>0</c:v>
                </c:pt>
                <c:pt idx="121">
                  <c:v>0</c:v>
                </c:pt>
                <c:pt idx="122">
                  <c:v>84317</c:v>
                </c:pt>
                <c:pt idx="123">
                  <c:v>0</c:v>
                </c:pt>
                <c:pt idx="124">
                  <c:v>58112</c:v>
                </c:pt>
                <c:pt idx="125">
                  <c:v>0</c:v>
                </c:pt>
                <c:pt idx="126">
                  <c:v>0</c:v>
                </c:pt>
                <c:pt idx="127">
                  <c:v>32893</c:v>
                </c:pt>
                <c:pt idx="128">
                  <c:v>0</c:v>
                </c:pt>
                <c:pt idx="129">
                  <c:v>15875</c:v>
                </c:pt>
                <c:pt idx="130">
                  <c:v>0</c:v>
                </c:pt>
                <c:pt idx="131">
                  <c:v>0</c:v>
                </c:pt>
                <c:pt idx="132">
                  <c:v>9761</c:v>
                </c:pt>
                <c:pt idx="133">
                  <c:v>0</c:v>
                </c:pt>
                <c:pt idx="134">
                  <c:v>4045</c:v>
                </c:pt>
                <c:pt idx="135">
                  <c:v>0</c:v>
                </c:pt>
                <c:pt idx="136">
                  <c:v>0</c:v>
                </c:pt>
                <c:pt idx="137">
                  <c:v>3215</c:v>
                </c:pt>
                <c:pt idx="138">
                  <c:v>0</c:v>
                </c:pt>
                <c:pt idx="139">
                  <c:v>0</c:v>
                </c:pt>
                <c:pt idx="140">
                  <c:v>1487</c:v>
                </c:pt>
                <c:pt idx="141">
                  <c:v>0</c:v>
                </c:pt>
                <c:pt idx="142">
                  <c:v>810</c:v>
                </c:pt>
                <c:pt idx="143">
                  <c:v>0</c:v>
                </c:pt>
                <c:pt idx="144">
                  <c:v>0</c:v>
                </c:pt>
                <c:pt idx="145">
                  <c:v>352</c:v>
                </c:pt>
                <c:pt idx="146">
                  <c:v>0</c:v>
                </c:pt>
                <c:pt idx="147">
                  <c:v>116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  <c:pt idx="74">
                  <c:v>3.6932799999999997</c:v>
                </c:pt>
                <c:pt idx="75">
                  <c:v>3.6956099999999998</c:v>
                </c:pt>
                <c:pt idx="76">
                  <c:v>3.6983800000000002</c:v>
                </c:pt>
                <c:pt idx="77">
                  <c:v>3.6997</c:v>
                </c:pt>
                <c:pt idx="78">
                  <c:v>3.69801</c:v>
                </c:pt>
                <c:pt idx="79">
                  <c:v>3.6931799999999999</c:v>
                </c:pt>
                <c:pt idx="80">
                  <c:v>3.6860399999999998</c:v>
                </c:pt>
                <c:pt idx="81">
                  <c:v>3.6774100000000001</c:v>
                </c:pt>
                <c:pt idx="82">
                  <c:v>3.6654799999999996</c:v>
                </c:pt>
                <c:pt idx="83">
                  <c:v>3.6508500000000002</c:v>
                </c:pt>
                <c:pt idx="84">
                  <c:v>3.6346800000000004</c:v>
                </c:pt>
                <c:pt idx="85">
                  <c:v>3.6166300000000002</c:v>
                </c:pt>
                <c:pt idx="86">
                  <c:v>3.5979999999999999</c:v>
                </c:pt>
                <c:pt idx="87">
                  <c:v>3.5769800000000003</c:v>
                </c:pt>
                <c:pt idx="88">
                  <c:v>3.5532900000000001</c:v>
                </c:pt>
                <c:pt idx="89">
                  <c:v>3.5271400000000002</c:v>
                </c:pt>
                <c:pt idx="90">
                  <c:v>3.5015900000000002</c:v>
                </c:pt>
                <c:pt idx="91">
                  <c:v>3.4743400000000002</c:v>
                </c:pt>
                <c:pt idx="92">
                  <c:v>3.4497800000000001</c:v>
                </c:pt>
                <c:pt idx="93">
                  <c:v>3.4240700000000004</c:v>
                </c:pt>
                <c:pt idx="94">
                  <c:v>3.3980500000000005</c:v>
                </c:pt>
                <c:pt idx="95">
                  <c:v>3.36951</c:v>
                </c:pt>
                <c:pt idx="96">
                  <c:v>3.34152</c:v>
                </c:pt>
                <c:pt idx="97">
                  <c:v>3.3192500000000003</c:v>
                </c:pt>
                <c:pt idx="98">
                  <c:v>3.29847</c:v>
                </c:pt>
                <c:pt idx="99">
                  <c:v>3.2749299999999999</c:v>
                </c:pt>
                <c:pt idx="100">
                  <c:v>3.2559300000000002</c:v>
                </c:pt>
                <c:pt idx="101">
                  <c:v>3.23665</c:v>
                </c:pt>
                <c:pt idx="102">
                  <c:v>3.2178100000000001</c:v>
                </c:pt>
                <c:pt idx="103">
                  <c:v>3.1975599999999997</c:v>
                </c:pt>
                <c:pt idx="104">
                  <c:v>3.1794199999999999</c:v>
                </c:pt>
                <c:pt idx="105">
                  <c:v>3.1652100000000001</c:v>
                </c:pt>
                <c:pt idx="106">
                  <c:v>3.1498399999999998</c:v>
                </c:pt>
                <c:pt idx="107">
                  <c:v>3.1365500000000002</c:v>
                </c:pt>
                <c:pt idx="108">
                  <c:v>3.1264799999999999</c:v>
                </c:pt>
                <c:pt idx="109">
                  <c:v>3.1167199999999999</c:v>
                </c:pt>
                <c:pt idx="110">
                  <c:v>3.1048999999999998</c:v>
                </c:pt>
                <c:pt idx="111">
                  <c:v>3.0897299999999999</c:v>
                </c:pt>
                <c:pt idx="112">
                  <c:v>3.07544</c:v>
                </c:pt>
                <c:pt idx="113">
                  <c:v>3.0643099999999999</c:v>
                </c:pt>
                <c:pt idx="114">
                  <c:v>3.0577500000000004</c:v>
                </c:pt>
                <c:pt idx="115">
                  <c:v>3.0517699999999999</c:v>
                </c:pt>
                <c:pt idx="116">
                  <c:v>3.0498500000000002</c:v>
                </c:pt>
                <c:pt idx="117">
                  <c:v>3.0470100000000002</c:v>
                </c:pt>
                <c:pt idx="118">
                  <c:v>3.0417399999999999</c:v>
                </c:pt>
                <c:pt idx="119">
                  <c:v>3.0327100000000002</c:v>
                </c:pt>
                <c:pt idx="120">
                  <c:v>3.0223599999999999</c:v>
                </c:pt>
                <c:pt idx="121">
                  <c:v>3.0129099999999998</c:v>
                </c:pt>
                <c:pt idx="122">
                  <c:v>3.0040699999999996</c:v>
                </c:pt>
                <c:pt idx="123">
                  <c:v>2.9959000000000002</c:v>
                </c:pt>
                <c:pt idx="124">
                  <c:v>2.9969600000000001</c:v>
                </c:pt>
                <c:pt idx="125">
                  <c:v>2.9946800000000002</c:v>
                </c:pt>
                <c:pt idx="126">
                  <c:v>2.9879600000000002</c:v>
                </c:pt>
                <c:pt idx="127">
                  <c:v>2.9775200000000002</c:v>
                </c:pt>
                <c:pt idx="128">
                  <c:v>2.9689900000000002</c:v>
                </c:pt>
                <c:pt idx="129">
                  <c:v>2.9611399999999999</c:v>
                </c:pt>
                <c:pt idx="130">
                  <c:v>2.9520999999999997</c:v>
                </c:pt>
                <c:pt idx="131">
                  <c:v>2.9481099999999998</c:v>
                </c:pt>
                <c:pt idx="132">
                  <c:v>2.9442699999999999</c:v>
                </c:pt>
                <c:pt idx="133">
                  <c:v>2.9380699999999997</c:v>
                </c:pt>
                <c:pt idx="134">
                  <c:v>2.92746</c:v>
                </c:pt>
                <c:pt idx="135">
                  <c:v>2.915</c:v>
                </c:pt>
                <c:pt idx="136">
                  <c:v>2.90517</c:v>
                </c:pt>
                <c:pt idx="137">
                  <c:v>2.8984999999999999</c:v>
                </c:pt>
                <c:pt idx="138">
                  <c:v>2.8921099999999997</c:v>
                </c:pt>
                <c:pt idx="139">
                  <c:v>2.88381</c:v>
                </c:pt>
                <c:pt idx="140">
                  <c:v>2.8807899999999997</c:v>
                </c:pt>
                <c:pt idx="141">
                  <c:v>2.8776899999999999</c:v>
                </c:pt>
                <c:pt idx="142">
                  <c:v>2.8658699999999997</c:v>
                </c:pt>
                <c:pt idx="143">
                  <c:v>2.84985</c:v>
                </c:pt>
                <c:pt idx="144">
                  <c:v>2.8361599999999996</c:v>
                </c:pt>
                <c:pt idx="145">
                  <c:v>2.8359000000000001</c:v>
                </c:pt>
                <c:pt idx="146">
                  <c:v>2.83623</c:v>
                </c:pt>
                <c:pt idx="147">
                  <c:v>2.8216900000000003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  <c:pt idx="74">
                  <c:v>52.3748</c:v>
                </c:pt>
                <c:pt idx="75">
                  <c:v>52.117400000000004</c:v>
                </c:pt>
                <c:pt idx="76">
                  <c:v>51.748199999999997</c:v>
                </c:pt>
                <c:pt idx="77">
                  <c:v>51.357900000000001</c:v>
                </c:pt>
                <c:pt idx="78">
                  <c:v>50.992000000000004</c:v>
                </c:pt>
                <c:pt idx="79">
                  <c:v>50.6815</c:v>
                </c:pt>
                <c:pt idx="80">
                  <c:v>50.406500000000001</c:v>
                </c:pt>
                <c:pt idx="81">
                  <c:v>50.064100000000003</c:v>
                </c:pt>
                <c:pt idx="82">
                  <c:v>49.755000000000003</c:v>
                </c:pt>
                <c:pt idx="83">
                  <c:v>49.502400000000002</c:v>
                </c:pt>
                <c:pt idx="84">
                  <c:v>49.288699999999999</c:v>
                </c:pt>
                <c:pt idx="85">
                  <c:v>49.063899999999997</c:v>
                </c:pt>
                <c:pt idx="86">
                  <c:v>48.805100000000003</c:v>
                </c:pt>
                <c:pt idx="87">
                  <c:v>48.505099999999999</c:v>
                </c:pt>
                <c:pt idx="88">
                  <c:v>48.222099999999998</c:v>
                </c:pt>
                <c:pt idx="89">
                  <c:v>47.817100000000003</c:v>
                </c:pt>
                <c:pt idx="90">
                  <c:v>47.371699999999997</c:v>
                </c:pt>
                <c:pt idx="91">
                  <c:v>46.8782</c:v>
                </c:pt>
                <c:pt idx="92">
                  <c:v>46.3324</c:v>
                </c:pt>
                <c:pt idx="93">
                  <c:v>45.873100000000001</c:v>
                </c:pt>
                <c:pt idx="94">
                  <c:v>45.450200000000002</c:v>
                </c:pt>
                <c:pt idx="95">
                  <c:v>45.0976</c:v>
                </c:pt>
                <c:pt idx="96">
                  <c:v>44.7577</c:v>
                </c:pt>
                <c:pt idx="97">
                  <c:v>44.295000000000002</c:v>
                </c:pt>
                <c:pt idx="98">
                  <c:v>43.820799999999998</c:v>
                </c:pt>
                <c:pt idx="99">
                  <c:v>43.4786</c:v>
                </c:pt>
                <c:pt idx="100">
                  <c:v>43.110900000000001</c:v>
                </c:pt>
                <c:pt idx="101">
                  <c:v>42.896999999999998</c:v>
                </c:pt>
                <c:pt idx="102">
                  <c:v>42.754899999999999</c:v>
                </c:pt>
                <c:pt idx="103">
                  <c:v>42.704099999999997</c:v>
                </c:pt>
                <c:pt idx="104">
                  <c:v>42.643100000000004</c:v>
                </c:pt>
                <c:pt idx="105">
                  <c:v>42.471499999999999</c:v>
                </c:pt>
                <c:pt idx="106">
                  <c:v>42.363599999999998</c:v>
                </c:pt>
                <c:pt idx="107">
                  <c:v>42.1967</c:v>
                </c:pt>
                <c:pt idx="108">
                  <c:v>41.939799999999998</c:v>
                </c:pt>
                <c:pt idx="109">
                  <c:v>41.732700000000001</c:v>
                </c:pt>
                <c:pt idx="110">
                  <c:v>41.792400000000001</c:v>
                </c:pt>
                <c:pt idx="111">
                  <c:v>42.084700000000005</c:v>
                </c:pt>
                <c:pt idx="112">
                  <c:v>42.423499999999997</c:v>
                </c:pt>
                <c:pt idx="113">
                  <c:v>42.6751</c:v>
                </c:pt>
                <c:pt idx="114">
                  <c:v>42.9129</c:v>
                </c:pt>
                <c:pt idx="115">
                  <c:v>43.161999999999999</c:v>
                </c:pt>
                <c:pt idx="116">
                  <c:v>43.3703</c:v>
                </c:pt>
                <c:pt idx="117">
                  <c:v>43.7258</c:v>
                </c:pt>
                <c:pt idx="118">
                  <c:v>44.185499999999998</c:v>
                </c:pt>
                <c:pt idx="119">
                  <c:v>44.7789</c:v>
                </c:pt>
                <c:pt idx="120">
                  <c:v>45.366700000000002</c:v>
                </c:pt>
                <c:pt idx="121">
                  <c:v>45.887799999999999</c:v>
                </c:pt>
                <c:pt idx="122">
                  <c:v>46.363900000000001</c:v>
                </c:pt>
                <c:pt idx="123">
                  <c:v>46.794599999999996</c:v>
                </c:pt>
                <c:pt idx="124">
                  <c:v>46.997399999999999</c:v>
                </c:pt>
                <c:pt idx="125">
                  <c:v>47.328499999999998</c:v>
                </c:pt>
                <c:pt idx="126">
                  <c:v>47.794599999999996</c:v>
                </c:pt>
                <c:pt idx="127">
                  <c:v>48.393900000000002</c:v>
                </c:pt>
                <c:pt idx="128">
                  <c:v>48.903500000000001</c:v>
                </c:pt>
                <c:pt idx="129">
                  <c:v>49.306800000000003</c:v>
                </c:pt>
                <c:pt idx="130">
                  <c:v>49.685200000000002</c:v>
                </c:pt>
                <c:pt idx="131">
                  <c:v>49.916400000000003</c:v>
                </c:pt>
                <c:pt idx="132">
                  <c:v>50.141500000000008</c:v>
                </c:pt>
                <c:pt idx="133">
                  <c:v>50.465400000000002</c:v>
                </c:pt>
                <c:pt idx="134">
                  <c:v>50.937200000000004</c:v>
                </c:pt>
                <c:pt idx="135">
                  <c:v>51.338099999999997</c:v>
                </c:pt>
                <c:pt idx="136">
                  <c:v>51.474600000000002</c:v>
                </c:pt>
                <c:pt idx="137">
                  <c:v>51.512599999999999</c:v>
                </c:pt>
                <c:pt idx="138">
                  <c:v>51.5946</c:v>
                </c:pt>
                <c:pt idx="139">
                  <c:v>51.722900000000003</c:v>
                </c:pt>
                <c:pt idx="140">
                  <c:v>51.696799999999996</c:v>
                </c:pt>
                <c:pt idx="141">
                  <c:v>51.658300000000004</c:v>
                </c:pt>
                <c:pt idx="142">
                  <c:v>51.865899999999996</c:v>
                </c:pt>
                <c:pt idx="143">
                  <c:v>52.211200000000005</c:v>
                </c:pt>
                <c:pt idx="144">
                  <c:v>52.495800000000003</c:v>
                </c:pt>
                <c:pt idx="145">
                  <c:v>52.172399999999996</c:v>
                </c:pt>
                <c:pt idx="146">
                  <c:v>51.635399999999997</c:v>
                </c:pt>
                <c:pt idx="147">
                  <c:v>51.730699999999999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3.68757</c:v>
                </c:pt>
                <c:pt idx="1">
                  <c:v>3.6932799999999997</c:v>
                </c:pt>
                <c:pt idx="2">
                  <c:v>3.6956099999999998</c:v>
                </c:pt>
                <c:pt idx="3">
                  <c:v>3.6983800000000002</c:v>
                </c:pt>
                <c:pt idx="4">
                  <c:v>3.6997</c:v>
                </c:pt>
                <c:pt idx="5">
                  <c:v>3.69801</c:v>
                </c:pt>
                <c:pt idx="6">
                  <c:v>3.6931799999999999</c:v>
                </c:pt>
                <c:pt idx="7">
                  <c:v>3.6860399999999998</c:v>
                </c:pt>
                <c:pt idx="8">
                  <c:v>3.6774100000000001</c:v>
                </c:pt>
                <c:pt idx="9">
                  <c:v>3.6654799999999996</c:v>
                </c:pt>
                <c:pt idx="10">
                  <c:v>3.6508500000000002</c:v>
                </c:pt>
                <c:pt idx="11">
                  <c:v>3.6346800000000004</c:v>
                </c:pt>
                <c:pt idx="12">
                  <c:v>3.6166300000000002</c:v>
                </c:pt>
                <c:pt idx="13">
                  <c:v>3.5979999999999999</c:v>
                </c:pt>
                <c:pt idx="14">
                  <c:v>3.5769800000000003</c:v>
                </c:pt>
                <c:pt idx="15">
                  <c:v>3.5532900000000001</c:v>
                </c:pt>
                <c:pt idx="16">
                  <c:v>3.5271400000000002</c:v>
                </c:pt>
                <c:pt idx="17">
                  <c:v>3.5015900000000002</c:v>
                </c:pt>
                <c:pt idx="18">
                  <c:v>3.4743400000000002</c:v>
                </c:pt>
                <c:pt idx="19">
                  <c:v>3.4497800000000001</c:v>
                </c:pt>
                <c:pt idx="20">
                  <c:v>3.4240700000000004</c:v>
                </c:pt>
                <c:pt idx="21">
                  <c:v>3.3980500000000005</c:v>
                </c:pt>
                <c:pt idx="22">
                  <c:v>3.36951</c:v>
                </c:pt>
                <c:pt idx="23">
                  <c:v>3.34152</c:v>
                </c:pt>
                <c:pt idx="24">
                  <c:v>3.3192500000000003</c:v>
                </c:pt>
                <c:pt idx="25">
                  <c:v>3.29847</c:v>
                </c:pt>
                <c:pt idx="26">
                  <c:v>3.2749299999999999</c:v>
                </c:pt>
                <c:pt idx="27">
                  <c:v>3.2559300000000002</c:v>
                </c:pt>
                <c:pt idx="28">
                  <c:v>3.23665</c:v>
                </c:pt>
                <c:pt idx="29">
                  <c:v>3.2178100000000001</c:v>
                </c:pt>
                <c:pt idx="30">
                  <c:v>3.1975599999999997</c:v>
                </c:pt>
                <c:pt idx="31">
                  <c:v>3.1794199999999999</c:v>
                </c:pt>
                <c:pt idx="32">
                  <c:v>3.1652100000000001</c:v>
                </c:pt>
                <c:pt idx="33">
                  <c:v>3.1498399999999998</c:v>
                </c:pt>
                <c:pt idx="34">
                  <c:v>3.1365500000000002</c:v>
                </c:pt>
                <c:pt idx="35">
                  <c:v>3.1264799999999999</c:v>
                </c:pt>
                <c:pt idx="36">
                  <c:v>3.1167199999999999</c:v>
                </c:pt>
                <c:pt idx="37">
                  <c:v>3.1048999999999998</c:v>
                </c:pt>
                <c:pt idx="38">
                  <c:v>3.0897299999999999</c:v>
                </c:pt>
                <c:pt idx="39">
                  <c:v>3.07544</c:v>
                </c:pt>
                <c:pt idx="40">
                  <c:v>3.0643099999999999</c:v>
                </c:pt>
                <c:pt idx="41">
                  <c:v>3.0577500000000004</c:v>
                </c:pt>
                <c:pt idx="42">
                  <c:v>3.0517699999999999</c:v>
                </c:pt>
                <c:pt idx="43">
                  <c:v>3.0498500000000002</c:v>
                </c:pt>
                <c:pt idx="44">
                  <c:v>3.0470100000000002</c:v>
                </c:pt>
                <c:pt idx="45">
                  <c:v>3.0417399999999999</c:v>
                </c:pt>
                <c:pt idx="46">
                  <c:v>3.0327100000000002</c:v>
                </c:pt>
                <c:pt idx="47">
                  <c:v>3.0223599999999999</c:v>
                </c:pt>
                <c:pt idx="48">
                  <c:v>3.0129099999999998</c:v>
                </c:pt>
                <c:pt idx="49">
                  <c:v>3.0040699999999996</c:v>
                </c:pt>
                <c:pt idx="50">
                  <c:v>2.9959000000000002</c:v>
                </c:pt>
                <c:pt idx="51">
                  <c:v>2.9969600000000001</c:v>
                </c:pt>
                <c:pt idx="52">
                  <c:v>2.9946800000000002</c:v>
                </c:pt>
                <c:pt idx="53">
                  <c:v>2.9879600000000002</c:v>
                </c:pt>
                <c:pt idx="54">
                  <c:v>2.9775200000000002</c:v>
                </c:pt>
                <c:pt idx="55">
                  <c:v>2.9689900000000002</c:v>
                </c:pt>
                <c:pt idx="56">
                  <c:v>2.9611399999999999</c:v>
                </c:pt>
                <c:pt idx="57">
                  <c:v>2.9520999999999997</c:v>
                </c:pt>
                <c:pt idx="58">
                  <c:v>2.9481099999999998</c:v>
                </c:pt>
                <c:pt idx="59">
                  <c:v>2.9442699999999999</c:v>
                </c:pt>
                <c:pt idx="60">
                  <c:v>2.9380699999999997</c:v>
                </c:pt>
                <c:pt idx="61">
                  <c:v>2.92746</c:v>
                </c:pt>
                <c:pt idx="62">
                  <c:v>2.915</c:v>
                </c:pt>
                <c:pt idx="63">
                  <c:v>2.90517</c:v>
                </c:pt>
                <c:pt idx="64">
                  <c:v>2.8984999999999999</c:v>
                </c:pt>
                <c:pt idx="65">
                  <c:v>2.8921099999999997</c:v>
                </c:pt>
                <c:pt idx="66">
                  <c:v>2.88381</c:v>
                </c:pt>
                <c:pt idx="67">
                  <c:v>2.8807899999999997</c:v>
                </c:pt>
                <c:pt idx="68">
                  <c:v>2.8776899999999999</c:v>
                </c:pt>
                <c:pt idx="69">
                  <c:v>2.8658699999999997</c:v>
                </c:pt>
                <c:pt idx="70">
                  <c:v>2.84985</c:v>
                </c:pt>
                <c:pt idx="71">
                  <c:v>2.8361599999999996</c:v>
                </c:pt>
                <c:pt idx="72">
                  <c:v>2.8359000000000001</c:v>
                </c:pt>
                <c:pt idx="73">
                  <c:v>2.83623</c:v>
                </c:pt>
                <c:pt idx="74">
                  <c:v>2.8216900000000003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52.579600000000006</c:v>
                </c:pt>
                <c:pt idx="1">
                  <c:v>52.3748</c:v>
                </c:pt>
                <c:pt idx="2">
                  <c:v>52.117400000000004</c:v>
                </c:pt>
                <c:pt idx="3">
                  <c:v>51.748199999999997</c:v>
                </c:pt>
                <c:pt idx="4">
                  <c:v>51.357900000000001</c:v>
                </c:pt>
                <c:pt idx="5">
                  <c:v>50.992000000000004</c:v>
                </c:pt>
                <c:pt idx="6">
                  <c:v>50.6815</c:v>
                </c:pt>
                <c:pt idx="7">
                  <c:v>50.406500000000001</c:v>
                </c:pt>
                <c:pt idx="8">
                  <c:v>50.064100000000003</c:v>
                </c:pt>
                <c:pt idx="9">
                  <c:v>49.755000000000003</c:v>
                </c:pt>
                <c:pt idx="10">
                  <c:v>49.502400000000002</c:v>
                </c:pt>
                <c:pt idx="11">
                  <c:v>49.288699999999999</c:v>
                </c:pt>
                <c:pt idx="12">
                  <c:v>49.063899999999997</c:v>
                </c:pt>
                <c:pt idx="13">
                  <c:v>48.805100000000003</c:v>
                </c:pt>
                <c:pt idx="14">
                  <c:v>48.505099999999999</c:v>
                </c:pt>
                <c:pt idx="15">
                  <c:v>48.222099999999998</c:v>
                </c:pt>
                <c:pt idx="16">
                  <c:v>47.817100000000003</c:v>
                </c:pt>
                <c:pt idx="17">
                  <c:v>47.371699999999997</c:v>
                </c:pt>
                <c:pt idx="18">
                  <c:v>46.8782</c:v>
                </c:pt>
                <c:pt idx="19">
                  <c:v>46.3324</c:v>
                </c:pt>
                <c:pt idx="20">
                  <c:v>45.873100000000001</c:v>
                </c:pt>
                <c:pt idx="21">
                  <c:v>45.450200000000002</c:v>
                </c:pt>
                <c:pt idx="22">
                  <c:v>45.0976</c:v>
                </c:pt>
                <c:pt idx="23">
                  <c:v>44.7577</c:v>
                </c:pt>
                <c:pt idx="24">
                  <c:v>44.295000000000002</c:v>
                </c:pt>
                <c:pt idx="25">
                  <c:v>43.820799999999998</c:v>
                </c:pt>
                <c:pt idx="26">
                  <c:v>43.4786</c:v>
                </c:pt>
                <c:pt idx="27">
                  <c:v>43.110900000000001</c:v>
                </c:pt>
                <c:pt idx="28">
                  <c:v>42.896999999999998</c:v>
                </c:pt>
                <c:pt idx="29">
                  <c:v>42.754899999999999</c:v>
                </c:pt>
                <c:pt idx="30">
                  <c:v>42.704099999999997</c:v>
                </c:pt>
                <c:pt idx="31">
                  <c:v>42.643100000000004</c:v>
                </c:pt>
                <c:pt idx="32">
                  <c:v>42.471499999999999</c:v>
                </c:pt>
                <c:pt idx="33">
                  <c:v>42.363599999999998</c:v>
                </c:pt>
                <c:pt idx="34">
                  <c:v>42.1967</c:v>
                </c:pt>
                <c:pt idx="35">
                  <c:v>41.939799999999998</c:v>
                </c:pt>
                <c:pt idx="36">
                  <c:v>41.732700000000001</c:v>
                </c:pt>
                <c:pt idx="37">
                  <c:v>41.792400000000001</c:v>
                </c:pt>
                <c:pt idx="38">
                  <c:v>42.084700000000005</c:v>
                </c:pt>
                <c:pt idx="39">
                  <c:v>42.423499999999997</c:v>
                </c:pt>
                <c:pt idx="40">
                  <c:v>42.6751</c:v>
                </c:pt>
                <c:pt idx="41">
                  <c:v>42.9129</c:v>
                </c:pt>
                <c:pt idx="42">
                  <c:v>43.161999999999999</c:v>
                </c:pt>
                <c:pt idx="43">
                  <c:v>43.3703</c:v>
                </c:pt>
                <c:pt idx="44">
                  <c:v>43.7258</c:v>
                </c:pt>
                <c:pt idx="45">
                  <c:v>44.185499999999998</c:v>
                </c:pt>
                <c:pt idx="46">
                  <c:v>44.7789</c:v>
                </c:pt>
                <c:pt idx="47">
                  <c:v>45.366700000000002</c:v>
                </c:pt>
                <c:pt idx="48">
                  <c:v>45.887799999999999</c:v>
                </c:pt>
                <c:pt idx="49">
                  <c:v>46.363900000000001</c:v>
                </c:pt>
                <c:pt idx="50">
                  <c:v>46.794599999999996</c:v>
                </c:pt>
                <c:pt idx="51">
                  <c:v>46.997399999999999</c:v>
                </c:pt>
                <c:pt idx="52">
                  <c:v>47.328499999999998</c:v>
                </c:pt>
                <c:pt idx="53">
                  <c:v>47.794599999999996</c:v>
                </c:pt>
                <c:pt idx="54">
                  <c:v>48.393900000000002</c:v>
                </c:pt>
                <c:pt idx="55">
                  <c:v>48.903500000000001</c:v>
                </c:pt>
                <c:pt idx="56">
                  <c:v>49.306800000000003</c:v>
                </c:pt>
                <c:pt idx="57">
                  <c:v>49.685200000000002</c:v>
                </c:pt>
                <c:pt idx="58">
                  <c:v>49.916400000000003</c:v>
                </c:pt>
                <c:pt idx="59">
                  <c:v>50.141500000000008</c:v>
                </c:pt>
                <c:pt idx="60">
                  <c:v>50.465400000000002</c:v>
                </c:pt>
                <c:pt idx="61">
                  <c:v>50.937200000000004</c:v>
                </c:pt>
                <c:pt idx="62">
                  <c:v>51.338099999999997</c:v>
                </c:pt>
                <c:pt idx="63">
                  <c:v>51.474600000000002</c:v>
                </c:pt>
                <c:pt idx="64">
                  <c:v>51.512599999999999</c:v>
                </c:pt>
                <c:pt idx="65">
                  <c:v>51.5946</c:v>
                </c:pt>
                <c:pt idx="66">
                  <c:v>51.722900000000003</c:v>
                </c:pt>
                <c:pt idx="67">
                  <c:v>51.696799999999996</c:v>
                </c:pt>
                <c:pt idx="68">
                  <c:v>51.658300000000004</c:v>
                </c:pt>
                <c:pt idx="69">
                  <c:v>51.865899999999996</c:v>
                </c:pt>
                <c:pt idx="70">
                  <c:v>52.211200000000005</c:v>
                </c:pt>
                <c:pt idx="71">
                  <c:v>52.495800000000003</c:v>
                </c:pt>
                <c:pt idx="72">
                  <c:v>52.172399999999996</c:v>
                </c:pt>
                <c:pt idx="73">
                  <c:v>51.635399999999997</c:v>
                </c:pt>
                <c:pt idx="74">
                  <c:v>51.730699999999999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2.8759981081081083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53.98029864864867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3.1965516216216217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47.396962162162161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3.1965516216216217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47.396962162162161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0.28792718158579111</c:v>
                </c:pt>
                <c:pt idx="1">
                  <c:v>0.31864086525931712</c:v>
                </c:pt>
                <c:pt idx="2">
                  <c:v>0.3934319531548916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  <c:pt idx="74">
                  <c:v>30.0627</c:v>
                </c:pt>
                <c:pt idx="75">
                  <c:v>30.502700000000001</c:v>
                </c:pt>
                <c:pt idx="76">
                  <c:v>30.9084</c:v>
                </c:pt>
                <c:pt idx="77">
                  <c:v>31.311</c:v>
                </c:pt>
                <c:pt idx="78">
                  <c:v>31.7194</c:v>
                </c:pt>
                <c:pt idx="79">
                  <c:v>32.122</c:v>
                </c:pt>
                <c:pt idx="80">
                  <c:v>32.533799999999999</c:v>
                </c:pt>
                <c:pt idx="81">
                  <c:v>32.940800000000003</c:v>
                </c:pt>
                <c:pt idx="82">
                  <c:v>33.3414</c:v>
                </c:pt>
                <c:pt idx="83">
                  <c:v>33.749600000000001</c:v>
                </c:pt>
                <c:pt idx="84">
                  <c:v>34.156599999999997</c:v>
                </c:pt>
                <c:pt idx="85">
                  <c:v>34.561399999999999</c:v>
                </c:pt>
                <c:pt idx="86">
                  <c:v>34.967100000000002</c:v>
                </c:pt>
                <c:pt idx="87">
                  <c:v>35.379300000000001</c:v>
                </c:pt>
                <c:pt idx="88">
                  <c:v>35.780200000000001</c:v>
                </c:pt>
                <c:pt idx="89">
                  <c:v>36.185499999999998</c:v>
                </c:pt>
                <c:pt idx="90">
                  <c:v>36.593000000000004</c:v>
                </c:pt>
                <c:pt idx="91">
                  <c:v>37.002200000000002</c:v>
                </c:pt>
                <c:pt idx="92">
                  <c:v>37.405000000000001</c:v>
                </c:pt>
                <c:pt idx="93">
                  <c:v>37.812899999999999</c:v>
                </c:pt>
                <c:pt idx="94">
                  <c:v>38.215800000000002</c:v>
                </c:pt>
                <c:pt idx="95">
                  <c:v>38.621899999999997</c:v>
                </c:pt>
                <c:pt idx="96">
                  <c:v>39.031599999999997</c:v>
                </c:pt>
                <c:pt idx="97">
                  <c:v>39.4375</c:v>
                </c:pt>
                <c:pt idx="98">
                  <c:v>39.843299999999999</c:v>
                </c:pt>
                <c:pt idx="99">
                  <c:v>40.249299999999998</c:v>
                </c:pt>
                <c:pt idx="100">
                  <c:v>40.654800000000002</c:v>
                </c:pt>
                <c:pt idx="101">
                  <c:v>41.063000000000002</c:v>
                </c:pt>
                <c:pt idx="102">
                  <c:v>41.470100000000002</c:v>
                </c:pt>
                <c:pt idx="103">
                  <c:v>41.873899999999999</c:v>
                </c:pt>
                <c:pt idx="104">
                  <c:v>42.279899999999998</c:v>
                </c:pt>
                <c:pt idx="105">
                  <c:v>42.684800000000003</c:v>
                </c:pt>
                <c:pt idx="106">
                  <c:v>43.091700000000003</c:v>
                </c:pt>
                <c:pt idx="107">
                  <c:v>43.497700000000002</c:v>
                </c:pt>
                <c:pt idx="108">
                  <c:v>43.91</c:v>
                </c:pt>
                <c:pt idx="109">
                  <c:v>44.315600000000003</c:v>
                </c:pt>
                <c:pt idx="110">
                  <c:v>44.719499999999996</c:v>
                </c:pt>
                <c:pt idx="111">
                  <c:v>45.124200000000002</c:v>
                </c:pt>
                <c:pt idx="112">
                  <c:v>45.531100000000002</c:v>
                </c:pt>
                <c:pt idx="113">
                  <c:v>45.937100000000001</c:v>
                </c:pt>
                <c:pt idx="114">
                  <c:v>46.3429</c:v>
                </c:pt>
                <c:pt idx="115">
                  <c:v>46.75</c:v>
                </c:pt>
                <c:pt idx="116">
                  <c:v>47.157800000000002</c:v>
                </c:pt>
                <c:pt idx="117">
                  <c:v>47.561700000000002</c:v>
                </c:pt>
                <c:pt idx="118">
                  <c:v>47.968899999999998</c:v>
                </c:pt>
                <c:pt idx="119">
                  <c:v>48.375399999999999</c:v>
                </c:pt>
                <c:pt idx="120">
                  <c:v>48.782499999999999</c:v>
                </c:pt>
                <c:pt idx="121">
                  <c:v>49.185499999999998</c:v>
                </c:pt>
                <c:pt idx="122">
                  <c:v>49.591200000000001</c:v>
                </c:pt>
                <c:pt idx="123">
                  <c:v>49.999299999999998</c:v>
                </c:pt>
                <c:pt idx="124">
                  <c:v>50.409100000000002</c:v>
                </c:pt>
                <c:pt idx="125">
                  <c:v>50.816000000000003</c:v>
                </c:pt>
                <c:pt idx="126">
                  <c:v>51.221899999999998</c:v>
                </c:pt>
                <c:pt idx="127">
                  <c:v>51.6218</c:v>
                </c:pt>
                <c:pt idx="128">
                  <c:v>52.030999999999999</c:v>
                </c:pt>
                <c:pt idx="129">
                  <c:v>52.4407</c:v>
                </c:pt>
                <c:pt idx="130">
                  <c:v>52.843800000000002</c:v>
                </c:pt>
                <c:pt idx="131">
                  <c:v>53.249499999999998</c:v>
                </c:pt>
                <c:pt idx="132">
                  <c:v>53.656399999999998</c:v>
                </c:pt>
                <c:pt idx="133">
                  <c:v>54.062800000000003</c:v>
                </c:pt>
                <c:pt idx="134">
                  <c:v>54.470300000000002</c:v>
                </c:pt>
                <c:pt idx="135">
                  <c:v>54.876199999999997</c:v>
                </c:pt>
                <c:pt idx="136">
                  <c:v>55.280099999999997</c:v>
                </c:pt>
                <c:pt idx="137">
                  <c:v>55.686900000000001</c:v>
                </c:pt>
                <c:pt idx="138">
                  <c:v>56.093000000000004</c:v>
                </c:pt>
                <c:pt idx="139">
                  <c:v>56.4998</c:v>
                </c:pt>
                <c:pt idx="140">
                  <c:v>56.908799999999999</c:v>
                </c:pt>
                <c:pt idx="141">
                  <c:v>57.314599999999999</c:v>
                </c:pt>
                <c:pt idx="142">
                  <c:v>57.717599999999997</c:v>
                </c:pt>
                <c:pt idx="143">
                  <c:v>58.124499999999998</c:v>
                </c:pt>
                <c:pt idx="144">
                  <c:v>58.535600000000002</c:v>
                </c:pt>
                <c:pt idx="145">
                  <c:v>58.940300000000001</c:v>
                </c:pt>
                <c:pt idx="146">
                  <c:v>59.347200000000001</c:v>
                </c:pt>
                <c:pt idx="147">
                  <c:v>59.750100000000003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  <c:pt idx="74">
                  <c:v>3.6932799999999997</c:v>
                </c:pt>
                <c:pt idx="75">
                  <c:v>3.6956099999999998</c:v>
                </c:pt>
                <c:pt idx="76">
                  <c:v>3.6983800000000002</c:v>
                </c:pt>
                <c:pt idx="77">
                  <c:v>3.6997</c:v>
                </c:pt>
                <c:pt idx="78">
                  <c:v>3.69801</c:v>
                </c:pt>
                <c:pt idx="79">
                  <c:v>3.6931799999999999</c:v>
                </c:pt>
                <c:pt idx="80">
                  <c:v>3.6860399999999998</c:v>
                </c:pt>
                <c:pt idx="81">
                  <c:v>3.6774100000000001</c:v>
                </c:pt>
                <c:pt idx="82">
                  <c:v>3.6654799999999996</c:v>
                </c:pt>
                <c:pt idx="83">
                  <c:v>3.6508500000000002</c:v>
                </c:pt>
                <c:pt idx="84">
                  <c:v>3.6346800000000004</c:v>
                </c:pt>
                <c:pt idx="85">
                  <c:v>3.6166300000000002</c:v>
                </c:pt>
                <c:pt idx="86">
                  <c:v>3.5979999999999999</c:v>
                </c:pt>
                <c:pt idx="87">
                  <c:v>3.5769800000000003</c:v>
                </c:pt>
                <c:pt idx="88">
                  <c:v>3.5532900000000001</c:v>
                </c:pt>
                <c:pt idx="89">
                  <c:v>3.5271400000000002</c:v>
                </c:pt>
                <c:pt idx="90">
                  <c:v>3.5015900000000002</c:v>
                </c:pt>
                <c:pt idx="91">
                  <c:v>3.4743400000000002</c:v>
                </c:pt>
                <c:pt idx="92">
                  <c:v>3.4497800000000001</c:v>
                </c:pt>
                <c:pt idx="93">
                  <c:v>3.4240700000000004</c:v>
                </c:pt>
                <c:pt idx="94">
                  <c:v>3.3980500000000005</c:v>
                </c:pt>
                <c:pt idx="95">
                  <c:v>3.36951</c:v>
                </c:pt>
                <c:pt idx="96">
                  <c:v>3.34152</c:v>
                </c:pt>
                <c:pt idx="97">
                  <c:v>3.3192500000000003</c:v>
                </c:pt>
                <c:pt idx="98">
                  <c:v>3.29847</c:v>
                </c:pt>
                <c:pt idx="99">
                  <c:v>3.2749299999999999</c:v>
                </c:pt>
                <c:pt idx="100">
                  <c:v>3.2559300000000002</c:v>
                </c:pt>
                <c:pt idx="101">
                  <c:v>3.23665</c:v>
                </c:pt>
                <c:pt idx="102">
                  <c:v>3.2178100000000001</c:v>
                </c:pt>
                <c:pt idx="103">
                  <c:v>3.1975599999999997</c:v>
                </c:pt>
                <c:pt idx="104">
                  <c:v>3.1794199999999999</c:v>
                </c:pt>
                <c:pt idx="105">
                  <c:v>3.1652100000000001</c:v>
                </c:pt>
                <c:pt idx="106">
                  <c:v>3.1498399999999998</c:v>
                </c:pt>
                <c:pt idx="107">
                  <c:v>3.1365500000000002</c:v>
                </c:pt>
                <c:pt idx="108">
                  <c:v>3.1264799999999999</c:v>
                </c:pt>
                <c:pt idx="109">
                  <c:v>3.1167199999999999</c:v>
                </c:pt>
                <c:pt idx="110">
                  <c:v>3.1048999999999998</c:v>
                </c:pt>
                <c:pt idx="111">
                  <c:v>3.0897299999999999</c:v>
                </c:pt>
                <c:pt idx="112">
                  <c:v>3.07544</c:v>
                </c:pt>
                <c:pt idx="113">
                  <c:v>3.0643099999999999</c:v>
                </c:pt>
                <c:pt idx="114">
                  <c:v>3.0577500000000004</c:v>
                </c:pt>
                <c:pt idx="115">
                  <c:v>3.0517699999999999</c:v>
                </c:pt>
                <c:pt idx="116">
                  <c:v>3.0498500000000002</c:v>
                </c:pt>
                <c:pt idx="117">
                  <c:v>3.0470100000000002</c:v>
                </c:pt>
                <c:pt idx="118">
                  <c:v>3.0417399999999999</c:v>
                </c:pt>
                <c:pt idx="119">
                  <c:v>3.0327100000000002</c:v>
                </c:pt>
                <c:pt idx="120">
                  <c:v>3.0223599999999999</c:v>
                </c:pt>
                <c:pt idx="121">
                  <c:v>3.0129099999999998</c:v>
                </c:pt>
                <c:pt idx="122">
                  <c:v>3.0040699999999996</c:v>
                </c:pt>
                <c:pt idx="123">
                  <c:v>2.9959000000000002</c:v>
                </c:pt>
                <c:pt idx="124">
                  <c:v>2.9969600000000001</c:v>
                </c:pt>
                <c:pt idx="125">
                  <c:v>2.9946800000000002</c:v>
                </c:pt>
                <c:pt idx="126">
                  <c:v>2.9879600000000002</c:v>
                </c:pt>
                <c:pt idx="127">
                  <c:v>2.9775200000000002</c:v>
                </c:pt>
                <c:pt idx="128">
                  <c:v>2.9689900000000002</c:v>
                </c:pt>
                <c:pt idx="129">
                  <c:v>2.9611399999999999</c:v>
                </c:pt>
                <c:pt idx="130">
                  <c:v>2.9520999999999997</c:v>
                </c:pt>
                <c:pt idx="131">
                  <c:v>2.9481099999999998</c:v>
                </c:pt>
                <c:pt idx="132">
                  <c:v>2.9442699999999999</c:v>
                </c:pt>
                <c:pt idx="133">
                  <c:v>2.9380699999999997</c:v>
                </c:pt>
                <c:pt idx="134">
                  <c:v>2.92746</c:v>
                </c:pt>
                <c:pt idx="135">
                  <c:v>2.915</c:v>
                </c:pt>
                <c:pt idx="136">
                  <c:v>2.90517</c:v>
                </c:pt>
                <c:pt idx="137">
                  <c:v>2.8984999999999999</c:v>
                </c:pt>
                <c:pt idx="138">
                  <c:v>2.8921099999999997</c:v>
                </c:pt>
                <c:pt idx="139">
                  <c:v>2.88381</c:v>
                </c:pt>
                <c:pt idx="140">
                  <c:v>2.8807899999999997</c:v>
                </c:pt>
                <c:pt idx="141">
                  <c:v>2.8776899999999999</c:v>
                </c:pt>
                <c:pt idx="142">
                  <c:v>2.8658699999999997</c:v>
                </c:pt>
                <c:pt idx="143">
                  <c:v>2.84985</c:v>
                </c:pt>
                <c:pt idx="144">
                  <c:v>2.8361599999999996</c:v>
                </c:pt>
                <c:pt idx="145">
                  <c:v>2.8359000000000001</c:v>
                </c:pt>
                <c:pt idx="146">
                  <c:v>2.83623</c:v>
                </c:pt>
                <c:pt idx="147">
                  <c:v>2.8216900000000003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30.0627</c:v>
                </c:pt>
                <c:pt idx="2">
                  <c:v>30.502700000000001</c:v>
                </c:pt>
                <c:pt idx="3">
                  <c:v>30.9084</c:v>
                </c:pt>
                <c:pt idx="4">
                  <c:v>31.311</c:v>
                </c:pt>
                <c:pt idx="5">
                  <c:v>31.7194</c:v>
                </c:pt>
                <c:pt idx="6">
                  <c:v>32.122</c:v>
                </c:pt>
                <c:pt idx="7">
                  <c:v>32.533799999999999</c:v>
                </c:pt>
                <c:pt idx="8">
                  <c:v>32.940800000000003</c:v>
                </c:pt>
                <c:pt idx="9">
                  <c:v>33.3414</c:v>
                </c:pt>
                <c:pt idx="10">
                  <c:v>33.749600000000001</c:v>
                </c:pt>
                <c:pt idx="11">
                  <c:v>34.156599999999997</c:v>
                </c:pt>
                <c:pt idx="12">
                  <c:v>34.561399999999999</c:v>
                </c:pt>
                <c:pt idx="13">
                  <c:v>34.967100000000002</c:v>
                </c:pt>
                <c:pt idx="14">
                  <c:v>35.379300000000001</c:v>
                </c:pt>
                <c:pt idx="15">
                  <c:v>35.780200000000001</c:v>
                </c:pt>
                <c:pt idx="16">
                  <c:v>36.185499999999998</c:v>
                </c:pt>
                <c:pt idx="17">
                  <c:v>36.593000000000004</c:v>
                </c:pt>
                <c:pt idx="18">
                  <c:v>37.002200000000002</c:v>
                </c:pt>
                <c:pt idx="19">
                  <c:v>37.405000000000001</c:v>
                </c:pt>
                <c:pt idx="20">
                  <c:v>37.812899999999999</c:v>
                </c:pt>
                <c:pt idx="21">
                  <c:v>38.215800000000002</c:v>
                </c:pt>
                <c:pt idx="22">
                  <c:v>38.621899999999997</c:v>
                </c:pt>
                <c:pt idx="23">
                  <c:v>39.031599999999997</c:v>
                </c:pt>
                <c:pt idx="24">
                  <c:v>39.4375</c:v>
                </c:pt>
                <c:pt idx="25">
                  <c:v>39.843299999999999</c:v>
                </c:pt>
                <c:pt idx="26">
                  <c:v>40.249299999999998</c:v>
                </c:pt>
                <c:pt idx="27">
                  <c:v>40.654800000000002</c:v>
                </c:pt>
                <c:pt idx="28">
                  <c:v>41.063000000000002</c:v>
                </c:pt>
                <c:pt idx="29">
                  <c:v>41.470100000000002</c:v>
                </c:pt>
                <c:pt idx="30">
                  <c:v>41.873899999999999</c:v>
                </c:pt>
                <c:pt idx="31">
                  <c:v>42.279899999999998</c:v>
                </c:pt>
                <c:pt idx="32">
                  <c:v>42.684800000000003</c:v>
                </c:pt>
                <c:pt idx="33">
                  <c:v>43.091700000000003</c:v>
                </c:pt>
                <c:pt idx="34">
                  <c:v>43.497700000000002</c:v>
                </c:pt>
                <c:pt idx="35">
                  <c:v>43.91</c:v>
                </c:pt>
                <c:pt idx="36">
                  <c:v>44.315600000000003</c:v>
                </c:pt>
                <c:pt idx="37">
                  <c:v>44.719499999999996</c:v>
                </c:pt>
                <c:pt idx="38">
                  <c:v>45.124200000000002</c:v>
                </c:pt>
                <c:pt idx="39">
                  <c:v>45.531100000000002</c:v>
                </c:pt>
                <c:pt idx="40">
                  <c:v>45.937100000000001</c:v>
                </c:pt>
                <c:pt idx="41">
                  <c:v>46.3429</c:v>
                </c:pt>
                <c:pt idx="42">
                  <c:v>46.75</c:v>
                </c:pt>
                <c:pt idx="43">
                  <c:v>47.157800000000002</c:v>
                </c:pt>
                <c:pt idx="44">
                  <c:v>47.561700000000002</c:v>
                </c:pt>
                <c:pt idx="45">
                  <c:v>47.968899999999998</c:v>
                </c:pt>
                <c:pt idx="46">
                  <c:v>48.375399999999999</c:v>
                </c:pt>
                <c:pt idx="47">
                  <c:v>48.782499999999999</c:v>
                </c:pt>
                <c:pt idx="48">
                  <c:v>49.185499999999998</c:v>
                </c:pt>
                <c:pt idx="49">
                  <c:v>49.591200000000001</c:v>
                </c:pt>
                <c:pt idx="50">
                  <c:v>49.999299999999998</c:v>
                </c:pt>
                <c:pt idx="51">
                  <c:v>50.409100000000002</c:v>
                </c:pt>
                <c:pt idx="52">
                  <c:v>50.816000000000003</c:v>
                </c:pt>
                <c:pt idx="53">
                  <c:v>51.221899999999998</c:v>
                </c:pt>
                <c:pt idx="54">
                  <c:v>51.6218</c:v>
                </c:pt>
                <c:pt idx="55">
                  <c:v>52.030999999999999</c:v>
                </c:pt>
                <c:pt idx="56">
                  <c:v>52.4407</c:v>
                </c:pt>
                <c:pt idx="57">
                  <c:v>52.843800000000002</c:v>
                </c:pt>
                <c:pt idx="58">
                  <c:v>53.249499999999998</c:v>
                </c:pt>
                <c:pt idx="59">
                  <c:v>53.656399999999998</c:v>
                </c:pt>
                <c:pt idx="60">
                  <c:v>54.062800000000003</c:v>
                </c:pt>
                <c:pt idx="61">
                  <c:v>54.470300000000002</c:v>
                </c:pt>
                <c:pt idx="62">
                  <c:v>54.876199999999997</c:v>
                </c:pt>
                <c:pt idx="63">
                  <c:v>55.280099999999997</c:v>
                </c:pt>
                <c:pt idx="64">
                  <c:v>55.686900000000001</c:v>
                </c:pt>
                <c:pt idx="65">
                  <c:v>56.093000000000004</c:v>
                </c:pt>
                <c:pt idx="66">
                  <c:v>56.4998</c:v>
                </c:pt>
                <c:pt idx="67">
                  <c:v>56.908799999999999</c:v>
                </c:pt>
                <c:pt idx="68">
                  <c:v>57.314599999999999</c:v>
                </c:pt>
                <c:pt idx="69">
                  <c:v>57.717599999999997</c:v>
                </c:pt>
                <c:pt idx="70">
                  <c:v>58.124499999999998</c:v>
                </c:pt>
                <c:pt idx="71">
                  <c:v>58.535600000000002</c:v>
                </c:pt>
                <c:pt idx="72">
                  <c:v>58.940300000000001</c:v>
                </c:pt>
                <c:pt idx="73">
                  <c:v>59.347200000000001</c:v>
                </c:pt>
                <c:pt idx="74">
                  <c:v>59.750100000000003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3.68757</c:v>
                </c:pt>
                <c:pt idx="1">
                  <c:v>3.6932799999999997</c:v>
                </c:pt>
                <c:pt idx="2">
                  <c:v>3.6956099999999998</c:v>
                </c:pt>
                <c:pt idx="3">
                  <c:v>3.6983800000000002</c:v>
                </c:pt>
                <c:pt idx="4">
                  <c:v>3.6997</c:v>
                </c:pt>
                <c:pt idx="5">
                  <c:v>3.69801</c:v>
                </c:pt>
                <c:pt idx="6">
                  <c:v>3.6931799999999999</c:v>
                </c:pt>
                <c:pt idx="7">
                  <c:v>3.6860399999999998</c:v>
                </c:pt>
                <c:pt idx="8">
                  <c:v>3.6774100000000001</c:v>
                </c:pt>
                <c:pt idx="9">
                  <c:v>3.6654799999999996</c:v>
                </c:pt>
                <c:pt idx="10">
                  <c:v>3.6508500000000002</c:v>
                </c:pt>
                <c:pt idx="11">
                  <c:v>3.6346800000000004</c:v>
                </c:pt>
                <c:pt idx="12">
                  <c:v>3.6166300000000002</c:v>
                </c:pt>
                <c:pt idx="13">
                  <c:v>3.5979999999999999</c:v>
                </c:pt>
                <c:pt idx="14">
                  <c:v>3.5769800000000003</c:v>
                </c:pt>
                <c:pt idx="15">
                  <c:v>3.5532900000000001</c:v>
                </c:pt>
                <c:pt idx="16">
                  <c:v>3.5271400000000002</c:v>
                </c:pt>
                <c:pt idx="17">
                  <c:v>3.5015900000000002</c:v>
                </c:pt>
                <c:pt idx="18">
                  <c:v>3.4743400000000002</c:v>
                </c:pt>
                <c:pt idx="19">
                  <c:v>3.4497800000000001</c:v>
                </c:pt>
                <c:pt idx="20">
                  <c:v>3.4240700000000004</c:v>
                </c:pt>
                <c:pt idx="21">
                  <c:v>3.3980500000000005</c:v>
                </c:pt>
                <c:pt idx="22">
                  <c:v>3.36951</c:v>
                </c:pt>
                <c:pt idx="23">
                  <c:v>3.34152</c:v>
                </c:pt>
                <c:pt idx="24">
                  <c:v>3.3192500000000003</c:v>
                </c:pt>
                <c:pt idx="25">
                  <c:v>3.29847</c:v>
                </c:pt>
                <c:pt idx="26">
                  <c:v>3.2749299999999999</c:v>
                </c:pt>
                <c:pt idx="27">
                  <c:v>3.2559300000000002</c:v>
                </c:pt>
                <c:pt idx="28">
                  <c:v>3.23665</c:v>
                </c:pt>
                <c:pt idx="29">
                  <c:v>3.2178100000000001</c:v>
                </c:pt>
                <c:pt idx="30">
                  <c:v>3.1975599999999997</c:v>
                </c:pt>
                <c:pt idx="31">
                  <c:v>3.1794199999999999</c:v>
                </c:pt>
                <c:pt idx="32">
                  <c:v>3.1652100000000001</c:v>
                </c:pt>
                <c:pt idx="33">
                  <c:v>3.1498399999999998</c:v>
                </c:pt>
                <c:pt idx="34">
                  <c:v>3.1365500000000002</c:v>
                </c:pt>
                <c:pt idx="35">
                  <c:v>3.1264799999999999</c:v>
                </c:pt>
                <c:pt idx="36">
                  <c:v>3.1167199999999999</c:v>
                </c:pt>
                <c:pt idx="37">
                  <c:v>3.1048999999999998</c:v>
                </c:pt>
                <c:pt idx="38">
                  <c:v>3.0897299999999999</c:v>
                </c:pt>
                <c:pt idx="39">
                  <c:v>3.07544</c:v>
                </c:pt>
                <c:pt idx="40">
                  <c:v>3.0643099999999999</c:v>
                </c:pt>
                <c:pt idx="41">
                  <c:v>3.0577500000000004</c:v>
                </c:pt>
                <c:pt idx="42">
                  <c:v>3.0517699999999999</c:v>
                </c:pt>
                <c:pt idx="43">
                  <c:v>3.0498500000000002</c:v>
                </c:pt>
                <c:pt idx="44">
                  <c:v>3.0470100000000002</c:v>
                </c:pt>
                <c:pt idx="45">
                  <c:v>3.0417399999999999</c:v>
                </c:pt>
                <c:pt idx="46">
                  <c:v>3.0327100000000002</c:v>
                </c:pt>
                <c:pt idx="47">
                  <c:v>3.0223599999999999</c:v>
                </c:pt>
                <c:pt idx="48">
                  <c:v>3.0129099999999998</c:v>
                </c:pt>
                <c:pt idx="49">
                  <c:v>3.0040699999999996</c:v>
                </c:pt>
                <c:pt idx="50">
                  <c:v>2.9959000000000002</c:v>
                </c:pt>
                <c:pt idx="51">
                  <c:v>2.9969600000000001</c:v>
                </c:pt>
                <c:pt idx="52">
                  <c:v>2.9946800000000002</c:v>
                </c:pt>
                <c:pt idx="53">
                  <c:v>2.9879600000000002</c:v>
                </c:pt>
                <c:pt idx="54">
                  <c:v>2.9775200000000002</c:v>
                </c:pt>
                <c:pt idx="55">
                  <c:v>2.9689900000000002</c:v>
                </c:pt>
                <c:pt idx="56">
                  <c:v>2.9611399999999999</c:v>
                </c:pt>
                <c:pt idx="57">
                  <c:v>2.9520999999999997</c:v>
                </c:pt>
                <c:pt idx="58">
                  <c:v>2.9481099999999998</c:v>
                </c:pt>
                <c:pt idx="59">
                  <c:v>2.9442699999999999</c:v>
                </c:pt>
                <c:pt idx="60">
                  <c:v>2.9380699999999997</c:v>
                </c:pt>
                <c:pt idx="61">
                  <c:v>2.92746</c:v>
                </c:pt>
                <c:pt idx="62">
                  <c:v>2.915</c:v>
                </c:pt>
                <c:pt idx="63">
                  <c:v>2.90517</c:v>
                </c:pt>
                <c:pt idx="64">
                  <c:v>2.8984999999999999</c:v>
                </c:pt>
                <c:pt idx="65">
                  <c:v>2.8921099999999997</c:v>
                </c:pt>
                <c:pt idx="66">
                  <c:v>2.88381</c:v>
                </c:pt>
                <c:pt idx="67">
                  <c:v>2.8807899999999997</c:v>
                </c:pt>
                <c:pt idx="68">
                  <c:v>2.8776899999999999</c:v>
                </c:pt>
                <c:pt idx="69">
                  <c:v>2.8658699999999997</c:v>
                </c:pt>
                <c:pt idx="70">
                  <c:v>2.84985</c:v>
                </c:pt>
                <c:pt idx="71">
                  <c:v>2.8361599999999996</c:v>
                </c:pt>
                <c:pt idx="72">
                  <c:v>2.8359000000000001</c:v>
                </c:pt>
                <c:pt idx="73">
                  <c:v>2.83623</c:v>
                </c:pt>
                <c:pt idx="74">
                  <c:v>2.8216900000000003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14.937525000000001</c:v>
                </c:pt>
                <c:pt idx="1">
                  <c:v>44.812575000000002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2.8759981081081083</c:v>
                </c:pt>
                <c:pt idx="1">
                  <c:v>3.1965516216216217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  <c:pt idx="74">
                  <c:v>30.0627</c:v>
                </c:pt>
                <c:pt idx="75">
                  <c:v>30.502700000000001</c:v>
                </c:pt>
                <c:pt idx="76">
                  <c:v>30.9084</c:v>
                </c:pt>
                <c:pt idx="77">
                  <c:v>31.311</c:v>
                </c:pt>
                <c:pt idx="78">
                  <c:v>31.7194</c:v>
                </c:pt>
                <c:pt idx="79">
                  <c:v>32.122</c:v>
                </c:pt>
                <c:pt idx="80">
                  <c:v>32.533799999999999</c:v>
                </c:pt>
                <c:pt idx="81">
                  <c:v>32.940800000000003</c:v>
                </c:pt>
                <c:pt idx="82">
                  <c:v>33.3414</c:v>
                </c:pt>
                <c:pt idx="83">
                  <c:v>33.749600000000001</c:v>
                </c:pt>
                <c:pt idx="84">
                  <c:v>34.156599999999997</c:v>
                </c:pt>
                <c:pt idx="85">
                  <c:v>34.561399999999999</c:v>
                </c:pt>
                <c:pt idx="86">
                  <c:v>34.967100000000002</c:v>
                </c:pt>
                <c:pt idx="87">
                  <c:v>35.379300000000001</c:v>
                </c:pt>
                <c:pt idx="88">
                  <c:v>35.780200000000001</c:v>
                </c:pt>
                <c:pt idx="89">
                  <c:v>36.185499999999998</c:v>
                </c:pt>
                <c:pt idx="90">
                  <c:v>36.593000000000004</c:v>
                </c:pt>
                <c:pt idx="91">
                  <c:v>37.002200000000002</c:v>
                </c:pt>
                <c:pt idx="92">
                  <c:v>37.405000000000001</c:v>
                </c:pt>
                <c:pt idx="93">
                  <c:v>37.812899999999999</c:v>
                </c:pt>
                <c:pt idx="94">
                  <c:v>38.215800000000002</c:v>
                </c:pt>
                <c:pt idx="95">
                  <c:v>38.621899999999997</c:v>
                </c:pt>
                <c:pt idx="96">
                  <c:v>39.031599999999997</c:v>
                </c:pt>
                <c:pt idx="97">
                  <c:v>39.4375</c:v>
                </c:pt>
                <c:pt idx="98">
                  <c:v>39.843299999999999</c:v>
                </c:pt>
                <c:pt idx="99">
                  <c:v>40.249299999999998</c:v>
                </c:pt>
                <c:pt idx="100">
                  <c:v>40.654800000000002</c:v>
                </c:pt>
                <c:pt idx="101">
                  <c:v>41.063000000000002</c:v>
                </c:pt>
                <c:pt idx="102">
                  <c:v>41.470100000000002</c:v>
                </c:pt>
                <c:pt idx="103">
                  <c:v>41.873899999999999</c:v>
                </c:pt>
                <c:pt idx="104">
                  <c:v>42.279899999999998</c:v>
                </c:pt>
                <c:pt idx="105">
                  <c:v>42.684800000000003</c:v>
                </c:pt>
                <c:pt idx="106">
                  <c:v>43.091700000000003</c:v>
                </c:pt>
                <c:pt idx="107">
                  <c:v>43.497700000000002</c:v>
                </c:pt>
                <c:pt idx="108">
                  <c:v>43.91</c:v>
                </c:pt>
                <c:pt idx="109">
                  <c:v>44.315600000000003</c:v>
                </c:pt>
                <c:pt idx="110">
                  <c:v>44.719499999999996</c:v>
                </c:pt>
                <c:pt idx="111">
                  <c:v>45.124200000000002</c:v>
                </c:pt>
                <c:pt idx="112">
                  <c:v>45.531100000000002</c:v>
                </c:pt>
                <c:pt idx="113">
                  <c:v>45.937100000000001</c:v>
                </c:pt>
                <c:pt idx="114">
                  <c:v>46.3429</c:v>
                </c:pt>
                <c:pt idx="115">
                  <c:v>46.75</c:v>
                </c:pt>
                <c:pt idx="116">
                  <c:v>47.157800000000002</c:v>
                </c:pt>
                <c:pt idx="117">
                  <c:v>47.561700000000002</c:v>
                </c:pt>
                <c:pt idx="118">
                  <c:v>47.968899999999998</c:v>
                </c:pt>
                <c:pt idx="119">
                  <c:v>48.375399999999999</c:v>
                </c:pt>
                <c:pt idx="120">
                  <c:v>48.782499999999999</c:v>
                </c:pt>
                <c:pt idx="121">
                  <c:v>49.185499999999998</c:v>
                </c:pt>
                <c:pt idx="122">
                  <c:v>49.591200000000001</c:v>
                </c:pt>
                <c:pt idx="123">
                  <c:v>49.999299999999998</c:v>
                </c:pt>
                <c:pt idx="124">
                  <c:v>50.409100000000002</c:v>
                </c:pt>
                <c:pt idx="125">
                  <c:v>50.816000000000003</c:v>
                </c:pt>
                <c:pt idx="126">
                  <c:v>51.221899999999998</c:v>
                </c:pt>
                <c:pt idx="127">
                  <c:v>51.6218</c:v>
                </c:pt>
                <c:pt idx="128">
                  <c:v>52.030999999999999</c:v>
                </c:pt>
                <c:pt idx="129">
                  <c:v>52.4407</c:v>
                </c:pt>
                <c:pt idx="130">
                  <c:v>52.843800000000002</c:v>
                </c:pt>
                <c:pt idx="131">
                  <c:v>53.249499999999998</c:v>
                </c:pt>
                <c:pt idx="132">
                  <c:v>53.656399999999998</c:v>
                </c:pt>
                <c:pt idx="133">
                  <c:v>54.062800000000003</c:v>
                </c:pt>
                <c:pt idx="134">
                  <c:v>54.470300000000002</c:v>
                </c:pt>
                <c:pt idx="135">
                  <c:v>54.876199999999997</c:v>
                </c:pt>
                <c:pt idx="136">
                  <c:v>55.280099999999997</c:v>
                </c:pt>
                <c:pt idx="137">
                  <c:v>55.686900000000001</c:v>
                </c:pt>
                <c:pt idx="138">
                  <c:v>56.093000000000004</c:v>
                </c:pt>
                <c:pt idx="139">
                  <c:v>56.4998</c:v>
                </c:pt>
                <c:pt idx="140">
                  <c:v>56.908799999999999</c:v>
                </c:pt>
                <c:pt idx="141">
                  <c:v>57.314599999999999</c:v>
                </c:pt>
                <c:pt idx="142">
                  <c:v>57.717599999999997</c:v>
                </c:pt>
                <c:pt idx="143">
                  <c:v>58.124499999999998</c:v>
                </c:pt>
                <c:pt idx="144">
                  <c:v>58.535600000000002</c:v>
                </c:pt>
                <c:pt idx="145">
                  <c:v>58.940300000000001</c:v>
                </c:pt>
                <c:pt idx="146">
                  <c:v>59.347200000000001</c:v>
                </c:pt>
                <c:pt idx="147">
                  <c:v>59.750100000000003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  <c:pt idx="74">
                  <c:v>52.3748</c:v>
                </c:pt>
                <c:pt idx="75">
                  <c:v>52.117400000000004</c:v>
                </c:pt>
                <c:pt idx="76">
                  <c:v>51.748199999999997</c:v>
                </c:pt>
                <c:pt idx="77">
                  <c:v>51.357900000000001</c:v>
                </c:pt>
                <c:pt idx="78">
                  <c:v>50.992000000000004</c:v>
                </c:pt>
                <c:pt idx="79">
                  <c:v>50.6815</c:v>
                </c:pt>
                <c:pt idx="80">
                  <c:v>50.406500000000001</c:v>
                </c:pt>
                <c:pt idx="81">
                  <c:v>50.064100000000003</c:v>
                </c:pt>
                <c:pt idx="82">
                  <c:v>49.755000000000003</c:v>
                </c:pt>
                <c:pt idx="83">
                  <c:v>49.502400000000002</c:v>
                </c:pt>
                <c:pt idx="84">
                  <c:v>49.288699999999999</c:v>
                </c:pt>
                <c:pt idx="85">
                  <c:v>49.063899999999997</c:v>
                </c:pt>
                <c:pt idx="86">
                  <c:v>48.805100000000003</c:v>
                </c:pt>
                <c:pt idx="87">
                  <c:v>48.505099999999999</c:v>
                </c:pt>
                <c:pt idx="88">
                  <c:v>48.222099999999998</c:v>
                </c:pt>
                <c:pt idx="89">
                  <c:v>47.817100000000003</c:v>
                </c:pt>
                <c:pt idx="90">
                  <c:v>47.371699999999997</c:v>
                </c:pt>
                <c:pt idx="91">
                  <c:v>46.8782</c:v>
                </c:pt>
                <c:pt idx="92">
                  <c:v>46.3324</c:v>
                </c:pt>
                <c:pt idx="93">
                  <c:v>45.873100000000001</c:v>
                </c:pt>
                <c:pt idx="94">
                  <c:v>45.450200000000002</c:v>
                </c:pt>
                <c:pt idx="95">
                  <c:v>45.0976</c:v>
                </c:pt>
                <c:pt idx="96">
                  <c:v>44.7577</c:v>
                </c:pt>
                <c:pt idx="97">
                  <c:v>44.295000000000002</c:v>
                </c:pt>
                <c:pt idx="98">
                  <c:v>43.820799999999998</c:v>
                </c:pt>
                <c:pt idx="99">
                  <c:v>43.4786</c:v>
                </c:pt>
                <c:pt idx="100">
                  <c:v>43.110900000000001</c:v>
                </c:pt>
                <c:pt idx="101">
                  <c:v>42.896999999999998</c:v>
                </c:pt>
                <c:pt idx="102">
                  <c:v>42.754899999999999</c:v>
                </c:pt>
                <c:pt idx="103">
                  <c:v>42.704099999999997</c:v>
                </c:pt>
                <c:pt idx="104">
                  <c:v>42.643100000000004</c:v>
                </c:pt>
                <c:pt idx="105">
                  <c:v>42.471499999999999</c:v>
                </c:pt>
                <c:pt idx="106">
                  <c:v>42.363599999999998</c:v>
                </c:pt>
                <c:pt idx="107">
                  <c:v>42.1967</c:v>
                </c:pt>
                <c:pt idx="108">
                  <c:v>41.939799999999998</c:v>
                </c:pt>
                <c:pt idx="109">
                  <c:v>41.732700000000001</c:v>
                </c:pt>
                <c:pt idx="110">
                  <c:v>41.792400000000001</c:v>
                </c:pt>
                <c:pt idx="111">
                  <c:v>42.084700000000005</c:v>
                </c:pt>
                <c:pt idx="112">
                  <c:v>42.423499999999997</c:v>
                </c:pt>
                <c:pt idx="113">
                  <c:v>42.6751</c:v>
                </c:pt>
                <c:pt idx="114">
                  <c:v>42.9129</c:v>
                </c:pt>
                <c:pt idx="115">
                  <c:v>43.161999999999999</c:v>
                </c:pt>
                <c:pt idx="116">
                  <c:v>43.3703</c:v>
                </c:pt>
                <c:pt idx="117">
                  <c:v>43.7258</c:v>
                </c:pt>
                <c:pt idx="118">
                  <c:v>44.185499999999998</c:v>
                </c:pt>
                <c:pt idx="119">
                  <c:v>44.7789</c:v>
                </c:pt>
                <c:pt idx="120">
                  <c:v>45.366700000000002</c:v>
                </c:pt>
                <c:pt idx="121">
                  <c:v>45.887799999999999</c:v>
                </c:pt>
                <c:pt idx="122">
                  <c:v>46.363900000000001</c:v>
                </c:pt>
                <c:pt idx="123">
                  <c:v>46.794599999999996</c:v>
                </c:pt>
                <c:pt idx="124">
                  <c:v>46.997399999999999</c:v>
                </c:pt>
                <c:pt idx="125">
                  <c:v>47.328499999999998</c:v>
                </c:pt>
                <c:pt idx="126">
                  <c:v>47.794599999999996</c:v>
                </c:pt>
                <c:pt idx="127">
                  <c:v>48.393900000000002</c:v>
                </c:pt>
                <c:pt idx="128">
                  <c:v>48.903500000000001</c:v>
                </c:pt>
                <c:pt idx="129">
                  <c:v>49.306800000000003</c:v>
                </c:pt>
                <c:pt idx="130">
                  <c:v>49.685200000000002</c:v>
                </c:pt>
                <c:pt idx="131">
                  <c:v>49.916400000000003</c:v>
                </c:pt>
                <c:pt idx="132">
                  <c:v>50.141500000000008</c:v>
                </c:pt>
                <c:pt idx="133">
                  <c:v>50.465400000000002</c:v>
                </c:pt>
                <c:pt idx="134">
                  <c:v>50.937200000000004</c:v>
                </c:pt>
                <c:pt idx="135">
                  <c:v>51.338099999999997</c:v>
                </c:pt>
                <c:pt idx="136">
                  <c:v>51.474600000000002</c:v>
                </c:pt>
                <c:pt idx="137">
                  <c:v>51.512599999999999</c:v>
                </c:pt>
                <c:pt idx="138">
                  <c:v>51.5946</c:v>
                </c:pt>
                <c:pt idx="139">
                  <c:v>51.722900000000003</c:v>
                </c:pt>
                <c:pt idx="140">
                  <c:v>51.696799999999996</c:v>
                </c:pt>
                <c:pt idx="141">
                  <c:v>51.658300000000004</c:v>
                </c:pt>
                <c:pt idx="142">
                  <c:v>51.865899999999996</c:v>
                </c:pt>
                <c:pt idx="143">
                  <c:v>52.211200000000005</c:v>
                </c:pt>
                <c:pt idx="144">
                  <c:v>52.495800000000003</c:v>
                </c:pt>
                <c:pt idx="145">
                  <c:v>52.172399999999996</c:v>
                </c:pt>
                <c:pt idx="146">
                  <c:v>51.635399999999997</c:v>
                </c:pt>
                <c:pt idx="147">
                  <c:v>51.730699999999999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30.0627</c:v>
                </c:pt>
                <c:pt idx="2">
                  <c:v>30.502700000000001</c:v>
                </c:pt>
                <c:pt idx="3">
                  <c:v>30.9084</c:v>
                </c:pt>
                <c:pt idx="4">
                  <c:v>31.311</c:v>
                </c:pt>
                <c:pt idx="5">
                  <c:v>31.7194</c:v>
                </c:pt>
                <c:pt idx="6">
                  <c:v>32.122</c:v>
                </c:pt>
                <c:pt idx="7">
                  <c:v>32.533799999999999</c:v>
                </c:pt>
                <c:pt idx="8">
                  <c:v>32.940800000000003</c:v>
                </c:pt>
                <c:pt idx="9">
                  <c:v>33.3414</c:v>
                </c:pt>
                <c:pt idx="10">
                  <c:v>33.749600000000001</c:v>
                </c:pt>
                <c:pt idx="11">
                  <c:v>34.156599999999997</c:v>
                </c:pt>
                <c:pt idx="12">
                  <c:v>34.561399999999999</c:v>
                </c:pt>
                <c:pt idx="13">
                  <c:v>34.967100000000002</c:v>
                </c:pt>
                <c:pt idx="14">
                  <c:v>35.379300000000001</c:v>
                </c:pt>
                <c:pt idx="15">
                  <c:v>35.780200000000001</c:v>
                </c:pt>
                <c:pt idx="16">
                  <c:v>36.185499999999998</c:v>
                </c:pt>
                <c:pt idx="17">
                  <c:v>36.593000000000004</c:v>
                </c:pt>
                <c:pt idx="18">
                  <c:v>37.002200000000002</c:v>
                </c:pt>
                <c:pt idx="19">
                  <c:v>37.405000000000001</c:v>
                </c:pt>
                <c:pt idx="20">
                  <c:v>37.812899999999999</c:v>
                </c:pt>
                <c:pt idx="21">
                  <c:v>38.215800000000002</c:v>
                </c:pt>
                <c:pt idx="22">
                  <c:v>38.621899999999997</c:v>
                </c:pt>
                <c:pt idx="23">
                  <c:v>39.031599999999997</c:v>
                </c:pt>
                <c:pt idx="24">
                  <c:v>39.4375</c:v>
                </c:pt>
                <c:pt idx="25">
                  <c:v>39.843299999999999</c:v>
                </c:pt>
                <c:pt idx="26">
                  <c:v>40.249299999999998</c:v>
                </c:pt>
                <c:pt idx="27">
                  <c:v>40.654800000000002</c:v>
                </c:pt>
                <c:pt idx="28">
                  <c:v>41.063000000000002</c:v>
                </c:pt>
                <c:pt idx="29">
                  <c:v>41.470100000000002</c:v>
                </c:pt>
                <c:pt idx="30">
                  <c:v>41.873899999999999</c:v>
                </c:pt>
                <c:pt idx="31">
                  <c:v>42.279899999999998</c:v>
                </c:pt>
                <c:pt idx="32">
                  <c:v>42.684800000000003</c:v>
                </c:pt>
                <c:pt idx="33">
                  <c:v>43.091700000000003</c:v>
                </c:pt>
                <c:pt idx="34">
                  <c:v>43.497700000000002</c:v>
                </c:pt>
                <c:pt idx="35">
                  <c:v>43.91</c:v>
                </c:pt>
                <c:pt idx="36">
                  <c:v>44.315600000000003</c:v>
                </c:pt>
                <c:pt idx="37">
                  <c:v>44.719499999999996</c:v>
                </c:pt>
                <c:pt idx="38">
                  <c:v>45.124200000000002</c:v>
                </c:pt>
                <c:pt idx="39">
                  <c:v>45.531100000000002</c:v>
                </c:pt>
                <c:pt idx="40">
                  <c:v>45.937100000000001</c:v>
                </c:pt>
                <c:pt idx="41">
                  <c:v>46.3429</c:v>
                </c:pt>
                <c:pt idx="42">
                  <c:v>46.75</c:v>
                </c:pt>
                <c:pt idx="43">
                  <c:v>47.157800000000002</c:v>
                </c:pt>
                <c:pt idx="44">
                  <c:v>47.561700000000002</c:v>
                </c:pt>
                <c:pt idx="45">
                  <c:v>47.968899999999998</c:v>
                </c:pt>
                <c:pt idx="46">
                  <c:v>48.375399999999999</c:v>
                </c:pt>
                <c:pt idx="47">
                  <c:v>48.782499999999999</c:v>
                </c:pt>
                <c:pt idx="48">
                  <c:v>49.185499999999998</c:v>
                </c:pt>
                <c:pt idx="49">
                  <c:v>49.591200000000001</c:v>
                </c:pt>
                <c:pt idx="50">
                  <c:v>49.999299999999998</c:v>
                </c:pt>
                <c:pt idx="51">
                  <c:v>50.409100000000002</c:v>
                </c:pt>
                <c:pt idx="52">
                  <c:v>50.816000000000003</c:v>
                </c:pt>
                <c:pt idx="53">
                  <c:v>51.221899999999998</c:v>
                </c:pt>
                <c:pt idx="54">
                  <c:v>51.6218</c:v>
                </c:pt>
                <c:pt idx="55">
                  <c:v>52.030999999999999</c:v>
                </c:pt>
                <c:pt idx="56">
                  <c:v>52.4407</c:v>
                </c:pt>
                <c:pt idx="57">
                  <c:v>52.843800000000002</c:v>
                </c:pt>
                <c:pt idx="58">
                  <c:v>53.249499999999998</c:v>
                </c:pt>
                <c:pt idx="59">
                  <c:v>53.656399999999998</c:v>
                </c:pt>
                <c:pt idx="60">
                  <c:v>54.062800000000003</c:v>
                </c:pt>
                <c:pt idx="61">
                  <c:v>54.470300000000002</c:v>
                </c:pt>
                <c:pt idx="62">
                  <c:v>54.876199999999997</c:v>
                </c:pt>
                <c:pt idx="63">
                  <c:v>55.280099999999997</c:v>
                </c:pt>
                <c:pt idx="64">
                  <c:v>55.686900000000001</c:v>
                </c:pt>
                <c:pt idx="65">
                  <c:v>56.093000000000004</c:v>
                </c:pt>
                <c:pt idx="66">
                  <c:v>56.4998</c:v>
                </c:pt>
                <c:pt idx="67">
                  <c:v>56.908799999999999</c:v>
                </c:pt>
                <c:pt idx="68">
                  <c:v>57.314599999999999</c:v>
                </c:pt>
                <c:pt idx="69">
                  <c:v>57.717599999999997</c:v>
                </c:pt>
                <c:pt idx="70">
                  <c:v>58.124499999999998</c:v>
                </c:pt>
                <c:pt idx="71">
                  <c:v>58.535600000000002</c:v>
                </c:pt>
                <c:pt idx="72">
                  <c:v>58.940300000000001</c:v>
                </c:pt>
                <c:pt idx="73">
                  <c:v>59.347200000000001</c:v>
                </c:pt>
                <c:pt idx="74">
                  <c:v>59.750100000000003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52.579600000000006</c:v>
                </c:pt>
                <c:pt idx="1">
                  <c:v>52.3748</c:v>
                </c:pt>
                <c:pt idx="2">
                  <c:v>52.117400000000004</c:v>
                </c:pt>
                <c:pt idx="3">
                  <c:v>51.748199999999997</c:v>
                </c:pt>
                <c:pt idx="4">
                  <c:v>51.357900000000001</c:v>
                </c:pt>
                <c:pt idx="5">
                  <c:v>50.992000000000004</c:v>
                </c:pt>
                <c:pt idx="6">
                  <c:v>50.6815</c:v>
                </c:pt>
                <c:pt idx="7">
                  <c:v>50.406500000000001</c:v>
                </c:pt>
                <c:pt idx="8">
                  <c:v>50.064100000000003</c:v>
                </c:pt>
                <c:pt idx="9">
                  <c:v>49.755000000000003</c:v>
                </c:pt>
                <c:pt idx="10">
                  <c:v>49.502400000000002</c:v>
                </c:pt>
                <c:pt idx="11">
                  <c:v>49.288699999999999</c:v>
                </c:pt>
                <c:pt idx="12">
                  <c:v>49.063899999999997</c:v>
                </c:pt>
                <c:pt idx="13">
                  <c:v>48.805100000000003</c:v>
                </c:pt>
                <c:pt idx="14">
                  <c:v>48.505099999999999</c:v>
                </c:pt>
                <c:pt idx="15">
                  <c:v>48.222099999999998</c:v>
                </c:pt>
                <c:pt idx="16">
                  <c:v>47.817100000000003</c:v>
                </c:pt>
                <c:pt idx="17">
                  <c:v>47.371699999999997</c:v>
                </c:pt>
                <c:pt idx="18">
                  <c:v>46.8782</c:v>
                </c:pt>
                <c:pt idx="19">
                  <c:v>46.3324</c:v>
                </c:pt>
                <c:pt idx="20">
                  <c:v>45.873100000000001</c:v>
                </c:pt>
                <c:pt idx="21">
                  <c:v>45.450200000000002</c:v>
                </c:pt>
                <c:pt idx="22">
                  <c:v>45.0976</c:v>
                </c:pt>
                <c:pt idx="23">
                  <c:v>44.7577</c:v>
                </c:pt>
                <c:pt idx="24">
                  <c:v>44.295000000000002</c:v>
                </c:pt>
                <c:pt idx="25">
                  <c:v>43.820799999999998</c:v>
                </c:pt>
                <c:pt idx="26">
                  <c:v>43.4786</c:v>
                </c:pt>
                <c:pt idx="27">
                  <c:v>43.110900000000001</c:v>
                </c:pt>
                <c:pt idx="28">
                  <c:v>42.896999999999998</c:v>
                </c:pt>
                <c:pt idx="29">
                  <c:v>42.754899999999999</c:v>
                </c:pt>
                <c:pt idx="30">
                  <c:v>42.704099999999997</c:v>
                </c:pt>
                <c:pt idx="31">
                  <c:v>42.643100000000004</c:v>
                </c:pt>
                <c:pt idx="32">
                  <c:v>42.471499999999999</c:v>
                </c:pt>
                <c:pt idx="33">
                  <c:v>42.363599999999998</c:v>
                </c:pt>
                <c:pt idx="34">
                  <c:v>42.1967</c:v>
                </c:pt>
                <c:pt idx="35">
                  <c:v>41.939799999999998</c:v>
                </c:pt>
                <c:pt idx="36">
                  <c:v>41.732700000000001</c:v>
                </c:pt>
                <c:pt idx="37">
                  <c:v>41.792400000000001</c:v>
                </c:pt>
                <c:pt idx="38">
                  <c:v>42.084700000000005</c:v>
                </c:pt>
                <c:pt idx="39">
                  <c:v>42.423499999999997</c:v>
                </c:pt>
                <c:pt idx="40">
                  <c:v>42.6751</c:v>
                </c:pt>
                <c:pt idx="41">
                  <c:v>42.9129</c:v>
                </c:pt>
                <c:pt idx="42">
                  <c:v>43.161999999999999</c:v>
                </c:pt>
                <c:pt idx="43">
                  <c:v>43.3703</c:v>
                </c:pt>
                <c:pt idx="44">
                  <c:v>43.7258</c:v>
                </c:pt>
                <c:pt idx="45">
                  <c:v>44.185499999999998</c:v>
                </c:pt>
                <c:pt idx="46">
                  <c:v>44.7789</c:v>
                </c:pt>
                <c:pt idx="47">
                  <c:v>45.366700000000002</c:v>
                </c:pt>
                <c:pt idx="48">
                  <c:v>45.887799999999999</c:v>
                </c:pt>
                <c:pt idx="49">
                  <c:v>46.363900000000001</c:v>
                </c:pt>
                <c:pt idx="50">
                  <c:v>46.794599999999996</c:v>
                </c:pt>
                <c:pt idx="51">
                  <c:v>46.997399999999999</c:v>
                </c:pt>
                <c:pt idx="52">
                  <c:v>47.328499999999998</c:v>
                </c:pt>
                <c:pt idx="53">
                  <c:v>47.794599999999996</c:v>
                </c:pt>
                <c:pt idx="54">
                  <c:v>48.393900000000002</c:v>
                </c:pt>
                <c:pt idx="55">
                  <c:v>48.903500000000001</c:v>
                </c:pt>
                <c:pt idx="56">
                  <c:v>49.306800000000003</c:v>
                </c:pt>
                <c:pt idx="57">
                  <c:v>49.685200000000002</c:v>
                </c:pt>
                <c:pt idx="58">
                  <c:v>49.916400000000003</c:v>
                </c:pt>
                <c:pt idx="59">
                  <c:v>50.141500000000008</c:v>
                </c:pt>
                <c:pt idx="60">
                  <c:v>50.465400000000002</c:v>
                </c:pt>
                <c:pt idx="61">
                  <c:v>50.937200000000004</c:v>
                </c:pt>
                <c:pt idx="62">
                  <c:v>51.338099999999997</c:v>
                </c:pt>
                <c:pt idx="63">
                  <c:v>51.474600000000002</c:v>
                </c:pt>
                <c:pt idx="64">
                  <c:v>51.512599999999999</c:v>
                </c:pt>
                <c:pt idx="65">
                  <c:v>51.5946</c:v>
                </c:pt>
                <c:pt idx="66">
                  <c:v>51.722900000000003</c:v>
                </c:pt>
                <c:pt idx="67">
                  <c:v>51.696799999999996</c:v>
                </c:pt>
                <c:pt idx="68">
                  <c:v>51.658300000000004</c:v>
                </c:pt>
                <c:pt idx="69">
                  <c:v>51.865899999999996</c:v>
                </c:pt>
                <c:pt idx="70">
                  <c:v>52.211200000000005</c:v>
                </c:pt>
                <c:pt idx="71">
                  <c:v>52.495800000000003</c:v>
                </c:pt>
                <c:pt idx="72">
                  <c:v>52.172399999999996</c:v>
                </c:pt>
                <c:pt idx="73">
                  <c:v>51.635399999999997</c:v>
                </c:pt>
                <c:pt idx="74">
                  <c:v>51.730699999999999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14.937525000000001</c:v>
                </c:pt>
                <c:pt idx="1">
                  <c:v>44.812575000000002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53.98029864864867</c:v>
                </c:pt>
                <c:pt idx="1">
                  <c:v>47.396962162162161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33.997199999999999</c:v>
                </c:pt>
                <c:pt idx="1">
                  <c:v>24.620699999999999</c:v>
                </c:pt>
                <c:pt idx="2">
                  <c:v>32.335099999999997</c:v>
                </c:pt>
                <c:pt idx="3">
                  <c:v>28.304099999999998</c:v>
                </c:pt>
                <c:pt idx="4">
                  <c:v>59.216700000000003</c:v>
                </c:pt>
                <c:pt idx="5">
                  <c:v>84.317999999999998</c:v>
                </c:pt>
                <c:pt idx="6">
                  <c:v>15.895200000000001</c:v>
                </c:pt>
                <c:pt idx="7">
                  <c:v>70.111099999999993</c:v>
                </c:pt>
                <c:pt idx="8">
                  <c:v>12.980700000000001</c:v>
                </c:pt>
                <c:pt idx="9">
                  <c:v>29.6188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41.379899999999999</c:v>
                </c:pt>
                <c:pt idx="1">
                  <c:v>28.233499999999999</c:v>
                </c:pt>
                <c:pt idx="2">
                  <c:v>30.523499999999999</c:v>
                </c:pt>
                <c:pt idx="3">
                  <c:v>33.259300000000003</c:v>
                </c:pt>
                <c:pt idx="4">
                  <c:v>42.013399999999997</c:v>
                </c:pt>
                <c:pt idx="5">
                  <c:v>66.403099999999995</c:v>
                </c:pt>
                <c:pt idx="6">
                  <c:v>22.319400000000002</c:v>
                </c:pt>
                <c:pt idx="7">
                  <c:v>54.6907</c:v>
                </c:pt>
                <c:pt idx="8">
                  <c:v>13.7889</c:v>
                </c:pt>
                <c:pt idx="9">
                  <c:v>20.753299999999999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0.52889984748746011</c:v>
                </c:pt>
                <c:pt idx="1">
                  <c:v>0.27478778084001027</c:v>
                </c:pt>
                <c:pt idx="2">
                  <c:v>0.1963123716725296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1498</c:v>
                </c:pt>
                <c:pt idx="7">
                  <c:v>0</c:v>
                </c:pt>
                <c:pt idx="8">
                  <c:v>3812</c:v>
                </c:pt>
                <c:pt idx="9">
                  <c:v>0</c:v>
                </c:pt>
                <c:pt idx="10">
                  <c:v>0</c:v>
                </c:pt>
                <c:pt idx="11">
                  <c:v>10872</c:v>
                </c:pt>
                <c:pt idx="12">
                  <c:v>0</c:v>
                </c:pt>
                <c:pt idx="13">
                  <c:v>17871</c:v>
                </c:pt>
                <c:pt idx="14">
                  <c:v>0</c:v>
                </c:pt>
                <c:pt idx="15">
                  <c:v>0</c:v>
                </c:pt>
                <c:pt idx="16">
                  <c:v>21361</c:v>
                </c:pt>
                <c:pt idx="17">
                  <c:v>0</c:v>
                </c:pt>
                <c:pt idx="18">
                  <c:v>0</c:v>
                </c:pt>
                <c:pt idx="19">
                  <c:v>18657</c:v>
                </c:pt>
                <c:pt idx="20">
                  <c:v>0</c:v>
                </c:pt>
                <c:pt idx="21">
                  <c:v>26578</c:v>
                </c:pt>
                <c:pt idx="22">
                  <c:v>0</c:v>
                </c:pt>
                <c:pt idx="23">
                  <c:v>0</c:v>
                </c:pt>
                <c:pt idx="24">
                  <c:v>24998</c:v>
                </c:pt>
                <c:pt idx="25">
                  <c:v>0</c:v>
                </c:pt>
                <c:pt idx="26">
                  <c:v>28586</c:v>
                </c:pt>
                <c:pt idx="27">
                  <c:v>0</c:v>
                </c:pt>
                <c:pt idx="28">
                  <c:v>0</c:v>
                </c:pt>
                <c:pt idx="29">
                  <c:v>40836</c:v>
                </c:pt>
                <c:pt idx="30">
                  <c:v>0</c:v>
                </c:pt>
                <c:pt idx="31">
                  <c:v>47000</c:v>
                </c:pt>
                <c:pt idx="32">
                  <c:v>0</c:v>
                </c:pt>
                <c:pt idx="33">
                  <c:v>0</c:v>
                </c:pt>
                <c:pt idx="34">
                  <c:v>55105</c:v>
                </c:pt>
                <c:pt idx="35">
                  <c:v>0</c:v>
                </c:pt>
                <c:pt idx="36">
                  <c:v>0</c:v>
                </c:pt>
                <c:pt idx="37">
                  <c:v>50226</c:v>
                </c:pt>
                <c:pt idx="38">
                  <c:v>0</c:v>
                </c:pt>
                <c:pt idx="39">
                  <c:v>41960</c:v>
                </c:pt>
                <c:pt idx="40">
                  <c:v>0</c:v>
                </c:pt>
                <c:pt idx="41">
                  <c:v>0</c:v>
                </c:pt>
                <c:pt idx="42">
                  <c:v>43290</c:v>
                </c:pt>
                <c:pt idx="43">
                  <c:v>0</c:v>
                </c:pt>
                <c:pt idx="44">
                  <c:v>50048</c:v>
                </c:pt>
                <c:pt idx="45">
                  <c:v>0</c:v>
                </c:pt>
                <c:pt idx="46">
                  <c:v>0</c:v>
                </c:pt>
                <c:pt idx="47">
                  <c:v>48466</c:v>
                </c:pt>
                <c:pt idx="48">
                  <c:v>0</c:v>
                </c:pt>
                <c:pt idx="49">
                  <c:v>47186</c:v>
                </c:pt>
                <c:pt idx="50">
                  <c:v>0</c:v>
                </c:pt>
                <c:pt idx="51">
                  <c:v>0</c:v>
                </c:pt>
                <c:pt idx="52">
                  <c:v>47478</c:v>
                </c:pt>
                <c:pt idx="53">
                  <c:v>0</c:v>
                </c:pt>
                <c:pt idx="54">
                  <c:v>0</c:v>
                </c:pt>
                <c:pt idx="55">
                  <c:v>50637</c:v>
                </c:pt>
                <c:pt idx="56">
                  <c:v>0</c:v>
                </c:pt>
                <c:pt idx="57">
                  <c:v>48638</c:v>
                </c:pt>
                <c:pt idx="58">
                  <c:v>0</c:v>
                </c:pt>
                <c:pt idx="59">
                  <c:v>0</c:v>
                </c:pt>
                <c:pt idx="60">
                  <c:v>48101</c:v>
                </c:pt>
                <c:pt idx="61">
                  <c:v>0</c:v>
                </c:pt>
                <c:pt idx="62">
                  <c:v>53550</c:v>
                </c:pt>
                <c:pt idx="63">
                  <c:v>0</c:v>
                </c:pt>
                <c:pt idx="64">
                  <c:v>0</c:v>
                </c:pt>
                <c:pt idx="65">
                  <c:v>52980</c:v>
                </c:pt>
                <c:pt idx="66">
                  <c:v>0</c:v>
                </c:pt>
                <c:pt idx="67">
                  <c:v>49417</c:v>
                </c:pt>
                <c:pt idx="68">
                  <c:v>0</c:v>
                </c:pt>
                <c:pt idx="69">
                  <c:v>0</c:v>
                </c:pt>
                <c:pt idx="70">
                  <c:v>54025</c:v>
                </c:pt>
                <c:pt idx="71">
                  <c:v>0</c:v>
                </c:pt>
                <c:pt idx="72">
                  <c:v>0</c:v>
                </c:pt>
                <c:pt idx="73">
                  <c:v>52964</c:v>
                </c:pt>
                <c:pt idx="74">
                  <c:v>0</c:v>
                </c:pt>
                <c:pt idx="75">
                  <c:v>57565</c:v>
                </c:pt>
                <c:pt idx="76">
                  <c:v>0</c:v>
                </c:pt>
                <c:pt idx="77">
                  <c:v>0</c:v>
                </c:pt>
                <c:pt idx="78">
                  <c:v>61823</c:v>
                </c:pt>
                <c:pt idx="79">
                  <c:v>0</c:v>
                </c:pt>
                <c:pt idx="80">
                  <c:v>63914</c:v>
                </c:pt>
                <c:pt idx="81">
                  <c:v>0</c:v>
                </c:pt>
                <c:pt idx="82">
                  <c:v>0</c:v>
                </c:pt>
                <c:pt idx="83">
                  <c:v>67410</c:v>
                </c:pt>
                <c:pt idx="84">
                  <c:v>0</c:v>
                </c:pt>
                <c:pt idx="85">
                  <c:v>0</c:v>
                </c:pt>
                <c:pt idx="86">
                  <c:v>69314</c:v>
                </c:pt>
                <c:pt idx="87">
                  <c:v>0</c:v>
                </c:pt>
                <c:pt idx="88">
                  <c:v>82367</c:v>
                </c:pt>
                <c:pt idx="89">
                  <c:v>0</c:v>
                </c:pt>
                <c:pt idx="90">
                  <c:v>0</c:v>
                </c:pt>
                <c:pt idx="91">
                  <c:v>77895</c:v>
                </c:pt>
                <c:pt idx="92">
                  <c:v>0</c:v>
                </c:pt>
                <c:pt idx="93">
                  <c:v>81854</c:v>
                </c:pt>
                <c:pt idx="94">
                  <c:v>0</c:v>
                </c:pt>
                <c:pt idx="95">
                  <c:v>0</c:v>
                </c:pt>
                <c:pt idx="96">
                  <c:v>86464</c:v>
                </c:pt>
                <c:pt idx="97">
                  <c:v>0</c:v>
                </c:pt>
                <c:pt idx="98">
                  <c:v>77799</c:v>
                </c:pt>
                <c:pt idx="99">
                  <c:v>0</c:v>
                </c:pt>
                <c:pt idx="100">
                  <c:v>0</c:v>
                </c:pt>
                <c:pt idx="101">
                  <c:v>82149</c:v>
                </c:pt>
                <c:pt idx="102">
                  <c:v>0</c:v>
                </c:pt>
                <c:pt idx="103">
                  <c:v>0</c:v>
                </c:pt>
                <c:pt idx="104">
                  <c:v>84090</c:v>
                </c:pt>
                <c:pt idx="105">
                  <c:v>0</c:v>
                </c:pt>
                <c:pt idx="106">
                  <c:v>70243</c:v>
                </c:pt>
                <c:pt idx="107">
                  <c:v>0</c:v>
                </c:pt>
                <c:pt idx="108">
                  <c:v>0</c:v>
                </c:pt>
                <c:pt idx="109">
                  <c:v>58880</c:v>
                </c:pt>
                <c:pt idx="110">
                  <c:v>0</c:v>
                </c:pt>
                <c:pt idx="111">
                  <c:v>47229</c:v>
                </c:pt>
                <c:pt idx="112">
                  <c:v>0</c:v>
                </c:pt>
                <c:pt idx="113">
                  <c:v>0</c:v>
                </c:pt>
                <c:pt idx="114">
                  <c:v>36427</c:v>
                </c:pt>
                <c:pt idx="115">
                  <c:v>0</c:v>
                </c:pt>
                <c:pt idx="116">
                  <c:v>28127</c:v>
                </c:pt>
                <c:pt idx="117">
                  <c:v>0</c:v>
                </c:pt>
                <c:pt idx="118">
                  <c:v>0</c:v>
                </c:pt>
                <c:pt idx="119">
                  <c:v>15808</c:v>
                </c:pt>
                <c:pt idx="120">
                  <c:v>0</c:v>
                </c:pt>
                <c:pt idx="121">
                  <c:v>0</c:v>
                </c:pt>
                <c:pt idx="122">
                  <c:v>10740</c:v>
                </c:pt>
                <c:pt idx="123">
                  <c:v>0</c:v>
                </c:pt>
                <c:pt idx="124">
                  <c:v>7065</c:v>
                </c:pt>
                <c:pt idx="125">
                  <c:v>0</c:v>
                </c:pt>
                <c:pt idx="126">
                  <c:v>0</c:v>
                </c:pt>
                <c:pt idx="127">
                  <c:v>3653</c:v>
                </c:pt>
                <c:pt idx="128">
                  <c:v>0</c:v>
                </c:pt>
                <c:pt idx="129">
                  <c:v>2148</c:v>
                </c:pt>
                <c:pt idx="130">
                  <c:v>0</c:v>
                </c:pt>
                <c:pt idx="131">
                  <c:v>0</c:v>
                </c:pt>
                <c:pt idx="132">
                  <c:v>975</c:v>
                </c:pt>
                <c:pt idx="133">
                  <c:v>0</c:v>
                </c:pt>
                <c:pt idx="134">
                  <c:v>448</c:v>
                </c:pt>
                <c:pt idx="135">
                  <c:v>0</c:v>
                </c:pt>
                <c:pt idx="136">
                  <c:v>0</c:v>
                </c:pt>
                <c:pt idx="137">
                  <c:v>164</c:v>
                </c:pt>
                <c:pt idx="138">
                  <c:v>0</c:v>
                </c:pt>
                <c:pt idx="139">
                  <c:v>0</c:v>
                </c:pt>
                <c:pt idx="140">
                  <c:v>55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2798</c:v>
                </c:pt>
                <c:pt idx="7">
                  <c:v>0</c:v>
                </c:pt>
                <c:pt idx="8">
                  <c:v>7911</c:v>
                </c:pt>
                <c:pt idx="9">
                  <c:v>0</c:v>
                </c:pt>
                <c:pt idx="10">
                  <c:v>0</c:v>
                </c:pt>
                <c:pt idx="11">
                  <c:v>7322</c:v>
                </c:pt>
                <c:pt idx="12">
                  <c:v>0</c:v>
                </c:pt>
                <c:pt idx="13">
                  <c:v>10831</c:v>
                </c:pt>
                <c:pt idx="14">
                  <c:v>0</c:v>
                </c:pt>
                <c:pt idx="15">
                  <c:v>0</c:v>
                </c:pt>
                <c:pt idx="16">
                  <c:v>13842</c:v>
                </c:pt>
                <c:pt idx="17">
                  <c:v>0</c:v>
                </c:pt>
                <c:pt idx="18">
                  <c:v>0</c:v>
                </c:pt>
                <c:pt idx="19">
                  <c:v>15193</c:v>
                </c:pt>
                <c:pt idx="20">
                  <c:v>0</c:v>
                </c:pt>
                <c:pt idx="21">
                  <c:v>18126</c:v>
                </c:pt>
                <c:pt idx="22">
                  <c:v>0</c:v>
                </c:pt>
                <c:pt idx="23">
                  <c:v>0</c:v>
                </c:pt>
                <c:pt idx="24">
                  <c:v>18501</c:v>
                </c:pt>
                <c:pt idx="25">
                  <c:v>0</c:v>
                </c:pt>
                <c:pt idx="26">
                  <c:v>20393</c:v>
                </c:pt>
                <c:pt idx="27">
                  <c:v>0</c:v>
                </c:pt>
                <c:pt idx="28">
                  <c:v>0</c:v>
                </c:pt>
                <c:pt idx="29">
                  <c:v>28402</c:v>
                </c:pt>
                <c:pt idx="30">
                  <c:v>0</c:v>
                </c:pt>
                <c:pt idx="31">
                  <c:v>28763</c:v>
                </c:pt>
                <c:pt idx="32">
                  <c:v>0</c:v>
                </c:pt>
                <c:pt idx="33">
                  <c:v>0</c:v>
                </c:pt>
                <c:pt idx="34">
                  <c:v>32567</c:v>
                </c:pt>
                <c:pt idx="35">
                  <c:v>0</c:v>
                </c:pt>
                <c:pt idx="36">
                  <c:v>0</c:v>
                </c:pt>
                <c:pt idx="37">
                  <c:v>44446</c:v>
                </c:pt>
                <c:pt idx="38">
                  <c:v>0</c:v>
                </c:pt>
                <c:pt idx="39">
                  <c:v>41971</c:v>
                </c:pt>
                <c:pt idx="40">
                  <c:v>0</c:v>
                </c:pt>
                <c:pt idx="41">
                  <c:v>0</c:v>
                </c:pt>
                <c:pt idx="42">
                  <c:v>54627</c:v>
                </c:pt>
                <c:pt idx="43">
                  <c:v>0</c:v>
                </c:pt>
                <c:pt idx="44">
                  <c:v>58887</c:v>
                </c:pt>
                <c:pt idx="45">
                  <c:v>0</c:v>
                </c:pt>
                <c:pt idx="46">
                  <c:v>0</c:v>
                </c:pt>
                <c:pt idx="47">
                  <c:v>58345</c:v>
                </c:pt>
                <c:pt idx="48">
                  <c:v>0</c:v>
                </c:pt>
                <c:pt idx="49">
                  <c:v>62370</c:v>
                </c:pt>
                <c:pt idx="50">
                  <c:v>0</c:v>
                </c:pt>
                <c:pt idx="51">
                  <c:v>0</c:v>
                </c:pt>
                <c:pt idx="52">
                  <c:v>64756</c:v>
                </c:pt>
                <c:pt idx="53">
                  <c:v>0</c:v>
                </c:pt>
                <c:pt idx="54">
                  <c:v>0</c:v>
                </c:pt>
                <c:pt idx="55">
                  <c:v>63442</c:v>
                </c:pt>
                <c:pt idx="56">
                  <c:v>0</c:v>
                </c:pt>
                <c:pt idx="57">
                  <c:v>69635</c:v>
                </c:pt>
                <c:pt idx="58">
                  <c:v>0</c:v>
                </c:pt>
                <c:pt idx="59">
                  <c:v>0</c:v>
                </c:pt>
                <c:pt idx="60">
                  <c:v>74295</c:v>
                </c:pt>
                <c:pt idx="61">
                  <c:v>0</c:v>
                </c:pt>
                <c:pt idx="62">
                  <c:v>73602</c:v>
                </c:pt>
                <c:pt idx="63">
                  <c:v>0</c:v>
                </c:pt>
                <c:pt idx="64">
                  <c:v>0</c:v>
                </c:pt>
                <c:pt idx="65">
                  <c:v>73773</c:v>
                </c:pt>
                <c:pt idx="66">
                  <c:v>0</c:v>
                </c:pt>
                <c:pt idx="67">
                  <c:v>85454</c:v>
                </c:pt>
                <c:pt idx="68">
                  <c:v>0</c:v>
                </c:pt>
                <c:pt idx="69">
                  <c:v>0</c:v>
                </c:pt>
                <c:pt idx="70">
                  <c:v>87855</c:v>
                </c:pt>
                <c:pt idx="71">
                  <c:v>0</c:v>
                </c:pt>
                <c:pt idx="72">
                  <c:v>0</c:v>
                </c:pt>
                <c:pt idx="73">
                  <c:v>92581</c:v>
                </c:pt>
                <c:pt idx="74">
                  <c:v>0</c:v>
                </c:pt>
                <c:pt idx="75">
                  <c:v>96213</c:v>
                </c:pt>
                <c:pt idx="76">
                  <c:v>0</c:v>
                </c:pt>
                <c:pt idx="77">
                  <c:v>0</c:v>
                </c:pt>
                <c:pt idx="78">
                  <c:v>94872</c:v>
                </c:pt>
                <c:pt idx="79">
                  <c:v>0</c:v>
                </c:pt>
                <c:pt idx="80">
                  <c:v>98516</c:v>
                </c:pt>
                <c:pt idx="81">
                  <c:v>0</c:v>
                </c:pt>
                <c:pt idx="82">
                  <c:v>0</c:v>
                </c:pt>
                <c:pt idx="83">
                  <c:v>101692</c:v>
                </c:pt>
                <c:pt idx="84">
                  <c:v>0</c:v>
                </c:pt>
                <c:pt idx="85">
                  <c:v>0</c:v>
                </c:pt>
                <c:pt idx="86">
                  <c:v>98080</c:v>
                </c:pt>
                <c:pt idx="87">
                  <c:v>0</c:v>
                </c:pt>
                <c:pt idx="88">
                  <c:v>109779</c:v>
                </c:pt>
                <c:pt idx="89">
                  <c:v>0</c:v>
                </c:pt>
                <c:pt idx="90">
                  <c:v>0</c:v>
                </c:pt>
                <c:pt idx="91">
                  <c:v>116548</c:v>
                </c:pt>
                <c:pt idx="92">
                  <c:v>0</c:v>
                </c:pt>
                <c:pt idx="93">
                  <c:v>122456</c:v>
                </c:pt>
                <c:pt idx="94">
                  <c:v>0</c:v>
                </c:pt>
                <c:pt idx="95">
                  <c:v>0</c:v>
                </c:pt>
                <c:pt idx="96">
                  <c:v>135495</c:v>
                </c:pt>
                <c:pt idx="97">
                  <c:v>0</c:v>
                </c:pt>
                <c:pt idx="98">
                  <c:v>140428</c:v>
                </c:pt>
                <c:pt idx="99">
                  <c:v>0</c:v>
                </c:pt>
                <c:pt idx="100">
                  <c:v>0</c:v>
                </c:pt>
                <c:pt idx="101">
                  <c:v>160024</c:v>
                </c:pt>
                <c:pt idx="102">
                  <c:v>0</c:v>
                </c:pt>
                <c:pt idx="103">
                  <c:v>0</c:v>
                </c:pt>
                <c:pt idx="104">
                  <c:v>172693</c:v>
                </c:pt>
                <c:pt idx="105">
                  <c:v>0</c:v>
                </c:pt>
                <c:pt idx="106">
                  <c:v>183918</c:v>
                </c:pt>
                <c:pt idx="107">
                  <c:v>0</c:v>
                </c:pt>
                <c:pt idx="108">
                  <c:v>0</c:v>
                </c:pt>
                <c:pt idx="109">
                  <c:v>183631</c:v>
                </c:pt>
                <c:pt idx="110">
                  <c:v>0</c:v>
                </c:pt>
                <c:pt idx="111">
                  <c:v>182623</c:v>
                </c:pt>
                <c:pt idx="112">
                  <c:v>0</c:v>
                </c:pt>
                <c:pt idx="113">
                  <c:v>0</c:v>
                </c:pt>
                <c:pt idx="114">
                  <c:v>167316</c:v>
                </c:pt>
                <c:pt idx="115">
                  <c:v>0</c:v>
                </c:pt>
                <c:pt idx="116">
                  <c:v>148169</c:v>
                </c:pt>
                <c:pt idx="117">
                  <c:v>0</c:v>
                </c:pt>
                <c:pt idx="118">
                  <c:v>0</c:v>
                </c:pt>
                <c:pt idx="119">
                  <c:v>113937</c:v>
                </c:pt>
                <c:pt idx="120">
                  <c:v>0</c:v>
                </c:pt>
                <c:pt idx="121">
                  <c:v>0</c:v>
                </c:pt>
                <c:pt idx="122">
                  <c:v>75094</c:v>
                </c:pt>
                <c:pt idx="123">
                  <c:v>0</c:v>
                </c:pt>
                <c:pt idx="124">
                  <c:v>52039</c:v>
                </c:pt>
                <c:pt idx="125">
                  <c:v>0</c:v>
                </c:pt>
                <c:pt idx="126">
                  <c:v>0</c:v>
                </c:pt>
                <c:pt idx="127">
                  <c:v>30204</c:v>
                </c:pt>
                <c:pt idx="128">
                  <c:v>0</c:v>
                </c:pt>
                <c:pt idx="129">
                  <c:v>14369</c:v>
                </c:pt>
                <c:pt idx="130">
                  <c:v>0</c:v>
                </c:pt>
                <c:pt idx="131">
                  <c:v>0</c:v>
                </c:pt>
                <c:pt idx="132">
                  <c:v>9322</c:v>
                </c:pt>
                <c:pt idx="133">
                  <c:v>0</c:v>
                </c:pt>
                <c:pt idx="134">
                  <c:v>3853</c:v>
                </c:pt>
                <c:pt idx="135">
                  <c:v>0</c:v>
                </c:pt>
                <c:pt idx="136">
                  <c:v>0</c:v>
                </c:pt>
                <c:pt idx="137">
                  <c:v>3161</c:v>
                </c:pt>
                <c:pt idx="138">
                  <c:v>0</c:v>
                </c:pt>
                <c:pt idx="139">
                  <c:v>0</c:v>
                </c:pt>
                <c:pt idx="140">
                  <c:v>1487</c:v>
                </c:pt>
                <c:pt idx="141">
                  <c:v>0</c:v>
                </c:pt>
                <c:pt idx="142">
                  <c:v>810</c:v>
                </c:pt>
                <c:pt idx="143">
                  <c:v>0</c:v>
                </c:pt>
                <c:pt idx="144">
                  <c:v>0</c:v>
                </c:pt>
                <c:pt idx="145">
                  <c:v>352</c:v>
                </c:pt>
                <c:pt idx="146">
                  <c:v>0</c:v>
                </c:pt>
                <c:pt idx="147">
                  <c:v>116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0.28857926881353807</c:v>
                </c:pt>
                <c:pt idx="1">
                  <c:v>0.34709410142487729</c:v>
                </c:pt>
                <c:pt idx="2">
                  <c:v>0.36432662976158459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0.47801793831101869</c:v>
                </c:pt>
                <c:pt idx="1">
                  <c:v>0.34388688841042392</c:v>
                </c:pt>
                <c:pt idx="2">
                  <c:v>0.17809517327855737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11.816852500000001</c:v>
                </c:pt>
                <c:pt idx="1">
                  <c:v>15.6395175</c:v>
                </c:pt>
                <c:pt idx="2">
                  <c:v>32.136850000000003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  <c:pt idx="74">
                  <c:v>30.0627</c:v>
                </c:pt>
                <c:pt idx="75">
                  <c:v>30.502700000000001</c:v>
                </c:pt>
                <c:pt idx="76">
                  <c:v>30.9084</c:v>
                </c:pt>
                <c:pt idx="77">
                  <c:v>31.311</c:v>
                </c:pt>
                <c:pt idx="78">
                  <c:v>31.7194</c:v>
                </c:pt>
                <c:pt idx="79">
                  <c:v>32.122</c:v>
                </c:pt>
                <c:pt idx="80">
                  <c:v>32.533799999999999</c:v>
                </c:pt>
                <c:pt idx="81">
                  <c:v>32.940800000000003</c:v>
                </c:pt>
                <c:pt idx="82">
                  <c:v>33.3414</c:v>
                </c:pt>
                <c:pt idx="83">
                  <c:v>33.749600000000001</c:v>
                </c:pt>
                <c:pt idx="84">
                  <c:v>34.156599999999997</c:v>
                </c:pt>
                <c:pt idx="85">
                  <c:v>34.561399999999999</c:v>
                </c:pt>
                <c:pt idx="86">
                  <c:v>34.967100000000002</c:v>
                </c:pt>
                <c:pt idx="87">
                  <c:v>35.379300000000001</c:v>
                </c:pt>
                <c:pt idx="88">
                  <c:v>35.780200000000001</c:v>
                </c:pt>
                <c:pt idx="89">
                  <c:v>36.185499999999998</c:v>
                </c:pt>
                <c:pt idx="90">
                  <c:v>36.593000000000004</c:v>
                </c:pt>
                <c:pt idx="91">
                  <c:v>37.002200000000002</c:v>
                </c:pt>
                <c:pt idx="92">
                  <c:v>37.405000000000001</c:v>
                </c:pt>
                <c:pt idx="93">
                  <c:v>37.812899999999999</c:v>
                </c:pt>
                <c:pt idx="94">
                  <c:v>38.215800000000002</c:v>
                </c:pt>
                <c:pt idx="95">
                  <c:v>38.621899999999997</c:v>
                </c:pt>
                <c:pt idx="96">
                  <c:v>39.031599999999997</c:v>
                </c:pt>
                <c:pt idx="97">
                  <c:v>39.4375</c:v>
                </c:pt>
                <c:pt idx="98">
                  <c:v>39.843299999999999</c:v>
                </c:pt>
                <c:pt idx="99">
                  <c:v>40.249299999999998</c:v>
                </c:pt>
                <c:pt idx="100">
                  <c:v>40.654800000000002</c:v>
                </c:pt>
                <c:pt idx="101">
                  <c:v>41.063000000000002</c:v>
                </c:pt>
                <c:pt idx="102">
                  <c:v>41.470100000000002</c:v>
                </c:pt>
                <c:pt idx="103">
                  <c:v>41.873899999999999</c:v>
                </c:pt>
                <c:pt idx="104">
                  <c:v>42.279899999999998</c:v>
                </c:pt>
                <c:pt idx="105">
                  <c:v>42.684800000000003</c:v>
                </c:pt>
                <c:pt idx="106">
                  <c:v>43.091700000000003</c:v>
                </c:pt>
                <c:pt idx="107">
                  <c:v>43.497700000000002</c:v>
                </c:pt>
                <c:pt idx="108">
                  <c:v>43.91</c:v>
                </c:pt>
                <c:pt idx="109">
                  <c:v>44.315600000000003</c:v>
                </c:pt>
                <c:pt idx="110">
                  <c:v>44.719499999999996</c:v>
                </c:pt>
                <c:pt idx="111">
                  <c:v>45.124200000000002</c:v>
                </c:pt>
                <c:pt idx="112">
                  <c:v>45.531100000000002</c:v>
                </c:pt>
                <c:pt idx="113">
                  <c:v>45.937100000000001</c:v>
                </c:pt>
                <c:pt idx="114">
                  <c:v>46.3429</c:v>
                </c:pt>
                <c:pt idx="115">
                  <c:v>46.75</c:v>
                </c:pt>
                <c:pt idx="116">
                  <c:v>47.157800000000002</c:v>
                </c:pt>
                <c:pt idx="117">
                  <c:v>47.561700000000002</c:v>
                </c:pt>
                <c:pt idx="118">
                  <c:v>47.968899999999998</c:v>
                </c:pt>
                <c:pt idx="119">
                  <c:v>48.375399999999999</c:v>
                </c:pt>
                <c:pt idx="120">
                  <c:v>48.782499999999999</c:v>
                </c:pt>
                <c:pt idx="121">
                  <c:v>49.185499999999998</c:v>
                </c:pt>
                <c:pt idx="122">
                  <c:v>49.591200000000001</c:v>
                </c:pt>
                <c:pt idx="123">
                  <c:v>49.999299999999998</c:v>
                </c:pt>
                <c:pt idx="124">
                  <c:v>50.409100000000002</c:v>
                </c:pt>
                <c:pt idx="125">
                  <c:v>50.816000000000003</c:v>
                </c:pt>
                <c:pt idx="126">
                  <c:v>51.221899999999998</c:v>
                </c:pt>
                <c:pt idx="127">
                  <c:v>51.6218</c:v>
                </c:pt>
                <c:pt idx="128">
                  <c:v>52.030999999999999</c:v>
                </c:pt>
                <c:pt idx="129">
                  <c:v>52.4407</c:v>
                </c:pt>
                <c:pt idx="130">
                  <c:v>52.843800000000002</c:v>
                </c:pt>
                <c:pt idx="131">
                  <c:v>53.249499999999998</c:v>
                </c:pt>
                <c:pt idx="132">
                  <c:v>53.656399999999998</c:v>
                </c:pt>
                <c:pt idx="133">
                  <c:v>54.062800000000003</c:v>
                </c:pt>
                <c:pt idx="134">
                  <c:v>54.470300000000002</c:v>
                </c:pt>
                <c:pt idx="135">
                  <c:v>54.876199999999997</c:v>
                </c:pt>
                <c:pt idx="136">
                  <c:v>55.280099999999997</c:v>
                </c:pt>
                <c:pt idx="137">
                  <c:v>55.686900000000001</c:v>
                </c:pt>
                <c:pt idx="138">
                  <c:v>56.093000000000004</c:v>
                </c:pt>
                <c:pt idx="139">
                  <c:v>56.4998</c:v>
                </c:pt>
                <c:pt idx="140">
                  <c:v>56.908799999999999</c:v>
                </c:pt>
                <c:pt idx="141">
                  <c:v>57.314599999999999</c:v>
                </c:pt>
                <c:pt idx="142">
                  <c:v>57.717599999999997</c:v>
                </c:pt>
                <c:pt idx="143">
                  <c:v>58.124499999999998</c:v>
                </c:pt>
                <c:pt idx="144">
                  <c:v>58.535600000000002</c:v>
                </c:pt>
                <c:pt idx="145">
                  <c:v>58.940300000000001</c:v>
                </c:pt>
                <c:pt idx="146">
                  <c:v>59.347200000000001</c:v>
                </c:pt>
                <c:pt idx="147">
                  <c:v>59.750100000000003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  <c:pt idx="74">
                  <c:v>3.6932799999999997</c:v>
                </c:pt>
                <c:pt idx="75">
                  <c:v>3.6956099999999998</c:v>
                </c:pt>
                <c:pt idx="76">
                  <c:v>3.6983800000000002</c:v>
                </c:pt>
                <c:pt idx="77">
                  <c:v>3.6997</c:v>
                </c:pt>
                <c:pt idx="78">
                  <c:v>3.69801</c:v>
                </c:pt>
                <c:pt idx="79">
                  <c:v>3.6931799999999999</c:v>
                </c:pt>
                <c:pt idx="80">
                  <c:v>3.6860399999999998</c:v>
                </c:pt>
                <c:pt idx="81">
                  <c:v>3.6774100000000001</c:v>
                </c:pt>
                <c:pt idx="82">
                  <c:v>3.6654799999999996</c:v>
                </c:pt>
                <c:pt idx="83">
                  <c:v>3.6508500000000002</c:v>
                </c:pt>
                <c:pt idx="84">
                  <c:v>3.6346800000000004</c:v>
                </c:pt>
                <c:pt idx="85">
                  <c:v>3.6166300000000002</c:v>
                </c:pt>
                <c:pt idx="86">
                  <c:v>3.5979999999999999</c:v>
                </c:pt>
                <c:pt idx="87">
                  <c:v>3.5769800000000003</c:v>
                </c:pt>
                <c:pt idx="88">
                  <c:v>3.5532900000000001</c:v>
                </c:pt>
                <c:pt idx="89">
                  <c:v>3.5271400000000002</c:v>
                </c:pt>
                <c:pt idx="90">
                  <c:v>3.5015900000000002</c:v>
                </c:pt>
                <c:pt idx="91">
                  <c:v>3.4743400000000002</c:v>
                </c:pt>
                <c:pt idx="92">
                  <c:v>3.4497800000000001</c:v>
                </c:pt>
                <c:pt idx="93">
                  <c:v>3.4240700000000004</c:v>
                </c:pt>
                <c:pt idx="94">
                  <c:v>3.3980500000000005</c:v>
                </c:pt>
                <c:pt idx="95">
                  <c:v>3.36951</c:v>
                </c:pt>
                <c:pt idx="96">
                  <c:v>3.34152</c:v>
                </c:pt>
                <c:pt idx="97">
                  <c:v>3.3192500000000003</c:v>
                </c:pt>
                <c:pt idx="98">
                  <c:v>3.29847</c:v>
                </c:pt>
                <c:pt idx="99">
                  <c:v>3.2749299999999999</c:v>
                </c:pt>
                <c:pt idx="100">
                  <c:v>3.2559300000000002</c:v>
                </c:pt>
                <c:pt idx="101">
                  <c:v>3.23665</c:v>
                </c:pt>
                <c:pt idx="102">
                  <c:v>3.2178100000000001</c:v>
                </c:pt>
                <c:pt idx="103">
                  <c:v>3.1975599999999997</c:v>
                </c:pt>
                <c:pt idx="104">
                  <c:v>3.1794199999999999</c:v>
                </c:pt>
                <c:pt idx="105">
                  <c:v>3.1652100000000001</c:v>
                </c:pt>
                <c:pt idx="106">
                  <c:v>3.1498399999999998</c:v>
                </c:pt>
                <c:pt idx="107">
                  <c:v>3.1365500000000002</c:v>
                </c:pt>
                <c:pt idx="108">
                  <c:v>3.1264799999999999</c:v>
                </c:pt>
                <c:pt idx="109">
                  <c:v>3.1167199999999999</c:v>
                </c:pt>
                <c:pt idx="110">
                  <c:v>3.1048999999999998</c:v>
                </c:pt>
                <c:pt idx="111">
                  <c:v>3.0897299999999999</c:v>
                </c:pt>
                <c:pt idx="112">
                  <c:v>3.07544</c:v>
                </c:pt>
                <c:pt idx="113">
                  <c:v>3.0643099999999999</c:v>
                </c:pt>
                <c:pt idx="114">
                  <c:v>3.0577500000000004</c:v>
                </c:pt>
                <c:pt idx="115">
                  <c:v>3.0517699999999999</c:v>
                </c:pt>
                <c:pt idx="116">
                  <c:v>3.0498500000000002</c:v>
                </c:pt>
                <c:pt idx="117">
                  <c:v>3.0470100000000002</c:v>
                </c:pt>
                <c:pt idx="118">
                  <c:v>3.0417399999999999</c:v>
                </c:pt>
                <c:pt idx="119">
                  <c:v>3.0327100000000002</c:v>
                </c:pt>
                <c:pt idx="120">
                  <c:v>3.0223599999999999</c:v>
                </c:pt>
                <c:pt idx="121">
                  <c:v>3.0129099999999998</c:v>
                </c:pt>
                <c:pt idx="122">
                  <c:v>3.0040699999999996</c:v>
                </c:pt>
                <c:pt idx="123">
                  <c:v>2.9959000000000002</c:v>
                </c:pt>
                <c:pt idx="124">
                  <c:v>2.9969600000000001</c:v>
                </c:pt>
                <c:pt idx="125">
                  <c:v>2.9946800000000002</c:v>
                </c:pt>
                <c:pt idx="126">
                  <c:v>2.9879600000000002</c:v>
                </c:pt>
                <c:pt idx="127">
                  <c:v>2.9775200000000002</c:v>
                </c:pt>
                <c:pt idx="128">
                  <c:v>2.9689900000000002</c:v>
                </c:pt>
                <c:pt idx="129">
                  <c:v>2.9611399999999999</c:v>
                </c:pt>
                <c:pt idx="130">
                  <c:v>2.9520999999999997</c:v>
                </c:pt>
                <c:pt idx="131">
                  <c:v>2.9481099999999998</c:v>
                </c:pt>
                <c:pt idx="132">
                  <c:v>2.9442699999999999</c:v>
                </c:pt>
                <c:pt idx="133">
                  <c:v>2.9380699999999997</c:v>
                </c:pt>
                <c:pt idx="134">
                  <c:v>2.92746</c:v>
                </c:pt>
                <c:pt idx="135">
                  <c:v>2.915</c:v>
                </c:pt>
                <c:pt idx="136">
                  <c:v>2.90517</c:v>
                </c:pt>
                <c:pt idx="137">
                  <c:v>2.8984999999999999</c:v>
                </c:pt>
                <c:pt idx="138">
                  <c:v>2.8921099999999997</c:v>
                </c:pt>
                <c:pt idx="139">
                  <c:v>2.88381</c:v>
                </c:pt>
                <c:pt idx="140">
                  <c:v>2.8807899999999997</c:v>
                </c:pt>
                <c:pt idx="141">
                  <c:v>2.8776899999999999</c:v>
                </c:pt>
                <c:pt idx="142">
                  <c:v>2.8658699999999997</c:v>
                </c:pt>
                <c:pt idx="143">
                  <c:v>2.84985</c:v>
                </c:pt>
                <c:pt idx="144">
                  <c:v>2.8361599999999996</c:v>
                </c:pt>
                <c:pt idx="145">
                  <c:v>2.8359000000000001</c:v>
                </c:pt>
                <c:pt idx="146">
                  <c:v>2.83623</c:v>
                </c:pt>
                <c:pt idx="147">
                  <c:v>2.8216900000000003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30.0627</c:v>
                </c:pt>
                <c:pt idx="2">
                  <c:v>30.502700000000001</c:v>
                </c:pt>
                <c:pt idx="3">
                  <c:v>30.9084</c:v>
                </c:pt>
                <c:pt idx="4">
                  <c:v>31.311</c:v>
                </c:pt>
                <c:pt idx="5">
                  <c:v>31.7194</c:v>
                </c:pt>
                <c:pt idx="6">
                  <c:v>32.122</c:v>
                </c:pt>
                <c:pt idx="7">
                  <c:v>32.533799999999999</c:v>
                </c:pt>
                <c:pt idx="8">
                  <c:v>32.940800000000003</c:v>
                </c:pt>
                <c:pt idx="9">
                  <c:v>33.3414</c:v>
                </c:pt>
                <c:pt idx="10">
                  <c:v>33.749600000000001</c:v>
                </c:pt>
                <c:pt idx="11">
                  <c:v>34.156599999999997</c:v>
                </c:pt>
                <c:pt idx="12">
                  <c:v>34.561399999999999</c:v>
                </c:pt>
                <c:pt idx="13">
                  <c:v>34.967100000000002</c:v>
                </c:pt>
                <c:pt idx="14">
                  <c:v>35.379300000000001</c:v>
                </c:pt>
                <c:pt idx="15">
                  <c:v>35.780200000000001</c:v>
                </c:pt>
                <c:pt idx="16">
                  <c:v>36.185499999999998</c:v>
                </c:pt>
                <c:pt idx="17">
                  <c:v>36.593000000000004</c:v>
                </c:pt>
                <c:pt idx="18">
                  <c:v>37.002200000000002</c:v>
                </c:pt>
                <c:pt idx="19">
                  <c:v>37.405000000000001</c:v>
                </c:pt>
                <c:pt idx="20">
                  <c:v>37.812899999999999</c:v>
                </c:pt>
                <c:pt idx="21">
                  <c:v>38.215800000000002</c:v>
                </c:pt>
                <c:pt idx="22">
                  <c:v>38.621899999999997</c:v>
                </c:pt>
                <c:pt idx="23">
                  <c:v>39.031599999999997</c:v>
                </c:pt>
                <c:pt idx="24">
                  <c:v>39.4375</c:v>
                </c:pt>
                <c:pt idx="25">
                  <c:v>39.843299999999999</c:v>
                </c:pt>
                <c:pt idx="26">
                  <c:v>40.249299999999998</c:v>
                </c:pt>
                <c:pt idx="27">
                  <c:v>40.654800000000002</c:v>
                </c:pt>
                <c:pt idx="28">
                  <c:v>41.063000000000002</c:v>
                </c:pt>
                <c:pt idx="29">
                  <c:v>41.470100000000002</c:v>
                </c:pt>
                <c:pt idx="30">
                  <c:v>41.873899999999999</c:v>
                </c:pt>
                <c:pt idx="31">
                  <c:v>42.279899999999998</c:v>
                </c:pt>
                <c:pt idx="32">
                  <c:v>42.684800000000003</c:v>
                </c:pt>
                <c:pt idx="33">
                  <c:v>43.091700000000003</c:v>
                </c:pt>
                <c:pt idx="34">
                  <c:v>43.497700000000002</c:v>
                </c:pt>
                <c:pt idx="35">
                  <c:v>43.91</c:v>
                </c:pt>
                <c:pt idx="36">
                  <c:v>44.315600000000003</c:v>
                </c:pt>
                <c:pt idx="37">
                  <c:v>44.719499999999996</c:v>
                </c:pt>
                <c:pt idx="38">
                  <c:v>45.124200000000002</c:v>
                </c:pt>
                <c:pt idx="39">
                  <c:v>45.531100000000002</c:v>
                </c:pt>
                <c:pt idx="40">
                  <c:v>45.937100000000001</c:v>
                </c:pt>
                <c:pt idx="41">
                  <c:v>46.3429</c:v>
                </c:pt>
                <c:pt idx="42">
                  <c:v>46.75</c:v>
                </c:pt>
                <c:pt idx="43">
                  <c:v>47.157800000000002</c:v>
                </c:pt>
                <c:pt idx="44">
                  <c:v>47.561700000000002</c:v>
                </c:pt>
                <c:pt idx="45">
                  <c:v>47.968899999999998</c:v>
                </c:pt>
                <c:pt idx="46">
                  <c:v>48.375399999999999</c:v>
                </c:pt>
                <c:pt idx="47">
                  <c:v>48.782499999999999</c:v>
                </c:pt>
                <c:pt idx="48">
                  <c:v>49.185499999999998</c:v>
                </c:pt>
                <c:pt idx="49">
                  <c:v>49.591200000000001</c:v>
                </c:pt>
                <c:pt idx="50">
                  <c:v>49.999299999999998</c:v>
                </c:pt>
                <c:pt idx="51">
                  <c:v>50.409100000000002</c:v>
                </c:pt>
                <c:pt idx="52">
                  <c:v>50.816000000000003</c:v>
                </c:pt>
                <c:pt idx="53">
                  <c:v>51.221899999999998</c:v>
                </c:pt>
                <c:pt idx="54">
                  <c:v>51.6218</c:v>
                </c:pt>
                <c:pt idx="55">
                  <c:v>52.030999999999999</c:v>
                </c:pt>
                <c:pt idx="56">
                  <c:v>52.4407</c:v>
                </c:pt>
                <c:pt idx="57">
                  <c:v>52.843800000000002</c:v>
                </c:pt>
                <c:pt idx="58">
                  <c:v>53.249499999999998</c:v>
                </c:pt>
                <c:pt idx="59">
                  <c:v>53.656399999999998</c:v>
                </c:pt>
                <c:pt idx="60">
                  <c:v>54.062800000000003</c:v>
                </c:pt>
                <c:pt idx="61">
                  <c:v>54.470300000000002</c:v>
                </c:pt>
                <c:pt idx="62">
                  <c:v>54.876199999999997</c:v>
                </c:pt>
                <c:pt idx="63">
                  <c:v>55.280099999999997</c:v>
                </c:pt>
                <c:pt idx="64">
                  <c:v>55.686900000000001</c:v>
                </c:pt>
                <c:pt idx="65">
                  <c:v>56.093000000000004</c:v>
                </c:pt>
                <c:pt idx="66">
                  <c:v>56.4998</c:v>
                </c:pt>
                <c:pt idx="67">
                  <c:v>56.908799999999999</c:v>
                </c:pt>
                <c:pt idx="68">
                  <c:v>57.314599999999999</c:v>
                </c:pt>
                <c:pt idx="69">
                  <c:v>57.717599999999997</c:v>
                </c:pt>
                <c:pt idx="70">
                  <c:v>58.124499999999998</c:v>
                </c:pt>
                <c:pt idx="71">
                  <c:v>58.535600000000002</c:v>
                </c:pt>
                <c:pt idx="72">
                  <c:v>58.940300000000001</c:v>
                </c:pt>
                <c:pt idx="73">
                  <c:v>59.347200000000001</c:v>
                </c:pt>
                <c:pt idx="74">
                  <c:v>59.750100000000003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3.68757</c:v>
                </c:pt>
                <c:pt idx="1">
                  <c:v>3.6932799999999997</c:v>
                </c:pt>
                <c:pt idx="2">
                  <c:v>3.6956099999999998</c:v>
                </c:pt>
                <c:pt idx="3">
                  <c:v>3.6983800000000002</c:v>
                </c:pt>
                <c:pt idx="4">
                  <c:v>3.6997</c:v>
                </c:pt>
                <c:pt idx="5">
                  <c:v>3.69801</c:v>
                </c:pt>
                <c:pt idx="6">
                  <c:v>3.6931799999999999</c:v>
                </c:pt>
                <c:pt idx="7">
                  <c:v>3.6860399999999998</c:v>
                </c:pt>
                <c:pt idx="8">
                  <c:v>3.6774100000000001</c:v>
                </c:pt>
                <c:pt idx="9">
                  <c:v>3.6654799999999996</c:v>
                </c:pt>
                <c:pt idx="10">
                  <c:v>3.6508500000000002</c:v>
                </c:pt>
                <c:pt idx="11">
                  <c:v>3.6346800000000004</c:v>
                </c:pt>
                <c:pt idx="12">
                  <c:v>3.6166300000000002</c:v>
                </c:pt>
                <c:pt idx="13">
                  <c:v>3.5979999999999999</c:v>
                </c:pt>
                <c:pt idx="14">
                  <c:v>3.5769800000000003</c:v>
                </c:pt>
                <c:pt idx="15">
                  <c:v>3.5532900000000001</c:v>
                </c:pt>
                <c:pt idx="16">
                  <c:v>3.5271400000000002</c:v>
                </c:pt>
                <c:pt idx="17">
                  <c:v>3.5015900000000002</c:v>
                </c:pt>
                <c:pt idx="18">
                  <c:v>3.4743400000000002</c:v>
                </c:pt>
                <c:pt idx="19">
                  <c:v>3.4497800000000001</c:v>
                </c:pt>
                <c:pt idx="20">
                  <c:v>3.4240700000000004</c:v>
                </c:pt>
                <c:pt idx="21">
                  <c:v>3.3980500000000005</c:v>
                </c:pt>
                <c:pt idx="22">
                  <c:v>3.36951</c:v>
                </c:pt>
                <c:pt idx="23">
                  <c:v>3.34152</c:v>
                </c:pt>
                <c:pt idx="24">
                  <c:v>3.3192500000000003</c:v>
                </c:pt>
                <c:pt idx="25">
                  <c:v>3.29847</c:v>
                </c:pt>
                <c:pt idx="26">
                  <c:v>3.2749299999999999</c:v>
                </c:pt>
                <c:pt idx="27">
                  <c:v>3.2559300000000002</c:v>
                </c:pt>
                <c:pt idx="28">
                  <c:v>3.23665</c:v>
                </c:pt>
                <c:pt idx="29">
                  <c:v>3.2178100000000001</c:v>
                </c:pt>
                <c:pt idx="30">
                  <c:v>3.1975599999999997</c:v>
                </c:pt>
                <c:pt idx="31">
                  <c:v>3.1794199999999999</c:v>
                </c:pt>
                <c:pt idx="32">
                  <c:v>3.1652100000000001</c:v>
                </c:pt>
                <c:pt idx="33">
                  <c:v>3.1498399999999998</c:v>
                </c:pt>
                <c:pt idx="34">
                  <c:v>3.1365500000000002</c:v>
                </c:pt>
                <c:pt idx="35">
                  <c:v>3.1264799999999999</c:v>
                </c:pt>
                <c:pt idx="36">
                  <c:v>3.1167199999999999</c:v>
                </c:pt>
                <c:pt idx="37">
                  <c:v>3.1048999999999998</c:v>
                </c:pt>
                <c:pt idx="38">
                  <c:v>3.0897299999999999</c:v>
                </c:pt>
                <c:pt idx="39">
                  <c:v>3.07544</c:v>
                </c:pt>
                <c:pt idx="40">
                  <c:v>3.0643099999999999</c:v>
                </c:pt>
                <c:pt idx="41">
                  <c:v>3.0577500000000004</c:v>
                </c:pt>
                <c:pt idx="42">
                  <c:v>3.0517699999999999</c:v>
                </c:pt>
                <c:pt idx="43">
                  <c:v>3.0498500000000002</c:v>
                </c:pt>
                <c:pt idx="44">
                  <c:v>3.0470100000000002</c:v>
                </c:pt>
                <c:pt idx="45">
                  <c:v>3.0417399999999999</c:v>
                </c:pt>
                <c:pt idx="46">
                  <c:v>3.0327100000000002</c:v>
                </c:pt>
                <c:pt idx="47">
                  <c:v>3.0223599999999999</c:v>
                </c:pt>
                <c:pt idx="48">
                  <c:v>3.0129099999999998</c:v>
                </c:pt>
                <c:pt idx="49">
                  <c:v>3.0040699999999996</c:v>
                </c:pt>
                <c:pt idx="50">
                  <c:v>2.9959000000000002</c:v>
                </c:pt>
                <c:pt idx="51">
                  <c:v>2.9969600000000001</c:v>
                </c:pt>
                <c:pt idx="52">
                  <c:v>2.9946800000000002</c:v>
                </c:pt>
                <c:pt idx="53">
                  <c:v>2.9879600000000002</c:v>
                </c:pt>
                <c:pt idx="54">
                  <c:v>2.9775200000000002</c:v>
                </c:pt>
                <c:pt idx="55">
                  <c:v>2.9689900000000002</c:v>
                </c:pt>
                <c:pt idx="56">
                  <c:v>2.9611399999999999</c:v>
                </c:pt>
                <c:pt idx="57">
                  <c:v>2.9520999999999997</c:v>
                </c:pt>
                <c:pt idx="58">
                  <c:v>2.9481099999999998</c:v>
                </c:pt>
                <c:pt idx="59">
                  <c:v>2.9442699999999999</c:v>
                </c:pt>
                <c:pt idx="60">
                  <c:v>2.9380699999999997</c:v>
                </c:pt>
                <c:pt idx="61">
                  <c:v>2.92746</c:v>
                </c:pt>
                <c:pt idx="62">
                  <c:v>2.915</c:v>
                </c:pt>
                <c:pt idx="63">
                  <c:v>2.90517</c:v>
                </c:pt>
                <c:pt idx="64">
                  <c:v>2.8984999999999999</c:v>
                </c:pt>
                <c:pt idx="65">
                  <c:v>2.8921099999999997</c:v>
                </c:pt>
                <c:pt idx="66">
                  <c:v>2.88381</c:v>
                </c:pt>
                <c:pt idx="67">
                  <c:v>2.8807899999999997</c:v>
                </c:pt>
                <c:pt idx="68">
                  <c:v>2.8776899999999999</c:v>
                </c:pt>
                <c:pt idx="69">
                  <c:v>2.8658699999999997</c:v>
                </c:pt>
                <c:pt idx="70">
                  <c:v>2.84985</c:v>
                </c:pt>
                <c:pt idx="71">
                  <c:v>2.8361599999999996</c:v>
                </c:pt>
                <c:pt idx="72">
                  <c:v>2.8359000000000001</c:v>
                </c:pt>
                <c:pt idx="73">
                  <c:v>2.83623</c:v>
                </c:pt>
                <c:pt idx="74">
                  <c:v>2.8216900000000003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1.47634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14.937525000000001</c:v>
                </c:pt>
                <c:pt idx="1">
                  <c:v>44.812575000000002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2.8759981081081083</c:v>
                </c:pt>
                <c:pt idx="1">
                  <c:v>3.1965516216216217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  <c:pt idx="74">
                  <c:v>30.0627</c:v>
                </c:pt>
                <c:pt idx="75">
                  <c:v>30.502700000000001</c:v>
                </c:pt>
                <c:pt idx="76">
                  <c:v>30.9084</c:v>
                </c:pt>
                <c:pt idx="77">
                  <c:v>31.311</c:v>
                </c:pt>
                <c:pt idx="78">
                  <c:v>31.7194</c:v>
                </c:pt>
                <c:pt idx="79">
                  <c:v>32.122</c:v>
                </c:pt>
                <c:pt idx="80">
                  <c:v>32.533799999999999</c:v>
                </c:pt>
                <c:pt idx="81">
                  <c:v>32.940800000000003</c:v>
                </c:pt>
                <c:pt idx="82">
                  <c:v>33.3414</c:v>
                </c:pt>
                <c:pt idx="83">
                  <c:v>33.749600000000001</c:v>
                </c:pt>
                <c:pt idx="84">
                  <c:v>34.156599999999997</c:v>
                </c:pt>
                <c:pt idx="85">
                  <c:v>34.561399999999999</c:v>
                </c:pt>
                <c:pt idx="86">
                  <c:v>34.967100000000002</c:v>
                </c:pt>
                <c:pt idx="87">
                  <c:v>35.379300000000001</c:v>
                </c:pt>
                <c:pt idx="88">
                  <c:v>35.780200000000001</c:v>
                </c:pt>
                <c:pt idx="89">
                  <c:v>36.185499999999998</c:v>
                </c:pt>
                <c:pt idx="90">
                  <c:v>36.593000000000004</c:v>
                </c:pt>
                <c:pt idx="91">
                  <c:v>37.002200000000002</c:v>
                </c:pt>
                <c:pt idx="92">
                  <c:v>37.405000000000001</c:v>
                </c:pt>
                <c:pt idx="93">
                  <c:v>37.812899999999999</c:v>
                </c:pt>
                <c:pt idx="94">
                  <c:v>38.215800000000002</c:v>
                </c:pt>
                <c:pt idx="95">
                  <c:v>38.621899999999997</c:v>
                </c:pt>
                <c:pt idx="96">
                  <c:v>39.031599999999997</c:v>
                </c:pt>
                <c:pt idx="97">
                  <c:v>39.4375</c:v>
                </c:pt>
                <c:pt idx="98">
                  <c:v>39.843299999999999</c:v>
                </c:pt>
                <c:pt idx="99">
                  <c:v>40.249299999999998</c:v>
                </c:pt>
                <c:pt idx="100">
                  <c:v>40.654800000000002</c:v>
                </c:pt>
                <c:pt idx="101">
                  <c:v>41.063000000000002</c:v>
                </c:pt>
                <c:pt idx="102">
                  <c:v>41.470100000000002</c:v>
                </c:pt>
                <c:pt idx="103">
                  <c:v>41.873899999999999</c:v>
                </c:pt>
                <c:pt idx="104">
                  <c:v>42.279899999999998</c:v>
                </c:pt>
                <c:pt idx="105">
                  <c:v>42.684800000000003</c:v>
                </c:pt>
                <c:pt idx="106">
                  <c:v>43.091700000000003</c:v>
                </c:pt>
                <c:pt idx="107">
                  <c:v>43.497700000000002</c:v>
                </c:pt>
                <c:pt idx="108">
                  <c:v>43.91</c:v>
                </c:pt>
                <c:pt idx="109">
                  <c:v>44.315600000000003</c:v>
                </c:pt>
                <c:pt idx="110">
                  <c:v>44.719499999999996</c:v>
                </c:pt>
                <c:pt idx="111">
                  <c:v>45.124200000000002</c:v>
                </c:pt>
                <c:pt idx="112">
                  <c:v>45.531100000000002</c:v>
                </c:pt>
                <c:pt idx="113">
                  <c:v>45.937100000000001</c:v>
                </c:pt>
                <c:pt idx="114">
                  <c:v>46.3429</c:v>
                </c:pt>
                <c:pt idx="115">
                  <c:v>46.75</c:v>
                </c:pt>
                <c:pt idx="116">
                  <c:v>47.157800000000002</c:v>
                </c:pt>
                <c:pt idx="117">
                  <c:v>47.561700000000002</c:v>
                </c:pt>
                <c:pt idx="118">
                  <c:v>47.968899999999998</c:v>
                </c:pt>
                <c:pt idx="119">
                  <c:v>48.375399999999999</c:v>
                </c:pt>
                <c:pt idx="120">
                  <c:v>48.782499999999999</c:v>
                </c:pt>
                <c:pt idx="121">
                  <c:v>49.185499999999998</c:v>
                </c:pt>
                <c:pt idx="122">
                  <c:v>49.591200000000001</c:v>
                </c:pt>
                <c:pt idx="123">
                  <c:v>49.999299999999998</c:v>
                </c:pt>
                <c:pt idx="124">
                  <c:v>50.409100000000002</c:v>
                </c:pt>
                <c:pt idx="125">
                  <c:v>50.816000000000003</c:v>
                </c:pt>
                <c:pt idx="126">
                  <c:v>51.221899999999998</c:v>
                </c:pt>
                <c:pt idx="127">
                  <c:v>51.6218</c:v>
                </c:pt>
                <c:pt idx="128">
                  <c:v>52.030999999999999</c:v>
                </c:pt>
                <c:pt idx="129">
                  <c:v>52.4407</c:v>
                </c:pt>
                <c:pt idx="130">
                  <c:v>52.843800000000002</c:v>
                </c:pt>
                <c:pt idx="131">
                  <c:v>53.249499999999998</c:v>
                </c:pt>
                <c:pt idx="132">
                  <c:v>53.656399999999998</c:v>
                </c:pt>
                <c:pt idx="133">
                  <c:v>54.062800000000003</c:v>
                </c:pt>
                <c:pt idx="134">
                  <c:v>54.470300000000002</c:v>
                </c:pt>
                <c:pt idx="135">
                  <c:v>54.876199999999997</c:v>
                </c:pt>
                <c:pt idx="136">
                  <c:v>55.280099999999997</c:v>
                </c:pt>
                <c:pt idx="137">
                  <c:v>55.686900000000001</c:v>
                </c:pt>
                <c:pt idx="138">
                  <c:v>56.093000000000004</c:v>
                </c:pt>
                <c:pt idx="139">
                  <c:v>56.4998</c:v>
                </c:pt>
                <c:pt idx="140">
                  <c:v>56.908799999999999</c:v>
                </c:pt>
                <c:pt idx="141">
                  <c:v>57.314599999999999</c:v>
                </c:pt>
                <c:pt idx="142">
                  <c:v>57.717599999999997</c:v>
                </c:pt>
                <c:pt idx="143">
                  <c:v>58.124499999999998</c:v>
                </c:pt>
                <c:pt idx="144">
                  <c:v>58.535600000000002</c:v>
                </c:pt>
                <c:pt idx="145">
                  <c:v>58.940300000000001</c:v>
                </c:pt>
                <c:pt idx="146">
                  <c:v>59.347200000000001</c:v>
                </c:pt>
                <c:pt idx="147">
                  <c:v>59.750100000000003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  <c:pt idx="74">
                  <c:v>52.3748</c:v>
                </c:pt>
                <c:pt idx="75">
                  <c:v>52.117400000000004</c:v>
                </c:pt>
                <c:pt idx="76">
                  <c:v>51.748199999999997</c:v>
                </c:pt>
                <c:pt idx="77">
                  <c:v>51.357900000000001</c:v>
                </c:pt>
                <c:pt idx="78">
                  <c:v>50.992000000000004</c:v>
                </c:pt>
                <c:pt idx="79">
                  <c:v>50.6815</c:v>
                </c:pt>
                <c:pt idx="80">
                  <c:v>50.406500000000001</c:v>
                </c:pt>
                <c:pt idx="81">
                  <c:v>50.064100000000003</c:v>
                </c:pt>
                <c:pt idx="82">
                  <c:v>49.755000000000003</c:v>
                </c:pt>
                <c:pt idx="83">
                  <c:v>49.502400000000002</c:v>
                </c:pt>
                <c:pt idx="84">
                  <c:v>49.288699999999999</c:v>
                </c:pt>
                <c:pt idx="85">
                  <c:v>49.063899999999997</c:v>
                </c:pt>
                <c:pt idx="86">
                  <c:v>48.805100000000003</c:v>
                </c:pt>
                <c:pt idx="87">
                  <c:v>48.505099999999999</c:v>
                </c:pt>
                <c:pt idx="88">
                  <c:v>48.222099999999998</c:v>
                </c:pt>
                <c:pt idx="89">
                  <c:v>47.817100000000003</c:v>
                </c:pt>
                <c:pt idx="90">
                  <c:v>47.371699999999997</c:v>
                </c:pt>
                <c:pt idx="91">
                  <c:v>46.8782</c:v>
                </c:pt>
                <c:pt idx="92">
                  <c:v>46.3324</c:v>
                </c:pt>
                <c:pt idx="93">
                  <c:v>45.873100000000001</c:v>
                </c:pt>
                <c:pt idx="94">
                  <c:v>45.450200000000002</c:v>
                </c:pt>
                <c:pt idx="95">
                  <c:v>45.0976</c:v>
                </c:pt>
                <c:pt idx="96">
                  <c:v>44.7577</c:v>
                </c:pt>
                <c:pt idx="97">
                  <c:v>44.295000000000002</c:v>
                </c:pt>
                <c:pt idx="98">
                  <c:v>43.820799999999998</c:v>
                </c:pt>
                <c:pt idx="99">
                  <c:v>43.4786</c:v>
                </c:pt>
                <c:pt idx="100">
                  <c:v>43.110900000000001</c:v>
                </c:pt>
                <c:pt idx="101">
                  <c:v>42.896999999999998</c:v>
                </c:pt>
                <c:pt idx="102">
                  <c:v>42.754899999999999</c:v>
                </c:pt>
                <c:pt idx="103">
                  <c:v>42.704099999999997</c:v>
                </c:pt>
                <c:pt idx="104">
                  <c:v>42.643100000000004</c:v>
                </c:pt>
                <c:pt idx="105">
                  <c:v>42.471499999999999</c:v>
                </c:pt>
                <c:pt idx="106">
                  <c:v>42.363599999999998</c:v>
                </c:pt>
                <c:pt idx="107">
                  <c:v>42.1967</c:v>
                </c:pt>
                <c:pt idx="108">
                  <c:v>41.939799999999998</c:v>
                </c:pt>
                <c:pt idx="109">
                  <c:v>41.732700000000001</c:v>
                </c:pt>
                <c:pt idx="110">
                  <c:v>41.792400000000001</c:v>
                </c:pt>
                <c:pt idx="111">
                  <c:v>42.084700000000005</c:v>
                </c:pt>
                <c:pt idx="112">
                  <c:v>42.423499999999997</c:v>
                </c:pt>
                <c:pt idx="113">
                  <c:v>42.6751</c:v>
                </c:pt>
                <c:pt idx="114">
                  <c:v>42.9129</c:v>
                </c:pt>
                <c:pt idx="115">
                  <c:v>43.161999999999999</c:v>
                </c:pt>
                <c:pt idx="116">
                  <c:v>43.3703</c:v>
                </c:pt>
                <c:pt idx="117">
                  <c:v>43.7258</c:v>
                </c:pt>
                <c:pt idx="118">
                  <c:v>44.185499999999998</c:v>
                </c:pt>
                <c:pt idx="119">
                  <c:v>44.7789</c:v>
                </c:pt>
                <c:pt idx="120">
                  <c:v>45.366700000000002</c:v>
                </c:pt>
                <c:pt idx="121">
                  <c:v>45.887799999999999</c:v>
                </c:pt>
                <c:pt idx="122">
                  <c:v>46.363900000000001</c:v>
                </c:pt>
                <c:pt idx="123">
                  <c:v>46.794599999999996</c:v>
                </c:pt>
                <c:pt idx="124">
                  <c:v>46.997399999999999</c:v>
                </c:pt>
                <c:pt idx="125">
                  <c:v>47.328499999999998</c:v>
                </c:pt>
                <c:pt idx="126">
                  <c:v>47.794599999999996</c:v>
                </c:pt>
                <c:pt idx="127">
                  <c:v>48.393900000000002</c:v>
                </c:pt>
                <c:pt idx="128">
                  <c:v>48.903500000000001</c:v>
                </c:pt>
                <c:pt idx="129">
                  <c:v>49.306800000000003</c:v>
                </c:pt>
                <c:pt idx="130">
                  <c:v>49.685200000000002</c:v>
                </c:pt>
                <c:pt idx="131">
                  <c:v>49.916400000000003</c:v>
                </c:pt>
                <c:pt idx="132">
                  <c:v>50.141500000000008</c:v>
                </c:pt>
                <c:pt idx="133">
                  <c:v>50.465400000000002</c:v>
                </c:pt>
                <c:pt idx="134">
                  <c:v>50.937200000000004</c:v>
                </c:pt>
                <c:pt idx="135">
                  <c:v>51.338099999999997</c:v>
                </c:pt>
                <c:pt idx="136">
                  <c:v>51.474600000000002</c:v>
                </c:pt>
                <c:pt idx="137">
                  <c:v>51.512599999999999</c:v>
                </c:pt>
                <c:pt idx="138">
                  <c:v>51.5946</c:v>
                </c:pt>
                <c:pt idx="139">
                  <c:v>51.722900000000003</c:v>
                </c:pt>
                <c:pt idx="140">
                  <c:v>51.696799999999996</c:v>
                </c:pt>
                <c:pt idx="141">
                  <c:v>51.658300000000004</c:v>
                </c:pt>
                <c:pt idx="142">
                  <c:v>51.865899999999996</c:v>
                </c:pt>
                <c:pt idx="143">
                  <c:v>52.211200000000005</c:v>
                </c:pt>
                <c:pt idx="144">
                  <c:v>52.495800000000003</c:v>
                </c:pt>
                <c:pt idx="145">
                  <c:v>52.172399999999996</c:v>
                </c:pt>
                <c:pt idx="146">
                  <c:v>51.635399999999997</c:v>
                </c:pt>
                <c:pt idx="147">
                  <c:v>51.730699999999999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0.40782200000000002</c:v>
                </c:pt>
                <c:pt idx="2">
                  <c:v>0.81361399999999995</c:v>
                </c:pt>
                <c:pt idx="3">
                  <c:v>1.2176800000000001</c:v>
                </c:pt>
                <c:pt idx="4">
                  <c:v>1.6225700000000001</c:v>
                </c:pt>
                <c:pt idx="5">
                  <c:v>2.0285099999999998</c:v>
                </c:pt>
                <c:pt idx="6">
                  <c:v>2.4333300000000002</c:v>
                </c:pt>
                <c:pt idx="7">
                  <c:v>2.8461699999999999</c:v>
                </c:pt>
                <c:pt idx="8">
                  <c:v>3.2511100000000002</c:v>
                </c:pt>
                <c:pt idx="9">
                  <c:v>3.6531600000000002</c:v>
                </c:pt>
                <c:pt idx="10">
                  <c:v>4.0630100000000002</c:v>
                </c:pt>
                <c:pt idx="11">
                  <c:v>4.4699799999999996</c:v>
                </c:pt>
                <c:pt idx="12">
                  <c:v>4.8727299999999998</c:v>
                </c:pt>
                <c:pt idx="13">
                  <c:v>5.2806899999999999</c:v>
                </c:pt>
                <c:pt idx="14">
                  <c:v>5.6877700000000004</c:v>
                </c:pt>
                <c:pt idx="15">
                  <c:v>6.0926200000000001</c:v>
                </c:pt>
                <c:pt idx="16">
                  <c:v>6.4955600000000002</c:v>
                </c:pt>
                <c:pt idx="17">
                  <c:v>6.9075699999999998</c:v>
                </c:pt>
                <c:pt idx="18">
                  <c:v>7.3142899999999997</c:v>
                </c:pt>
                <c:pt idx="19">
                  <c:v>7.72098</c:v>
                </c:pt>
                <c:pt idx="20">
                  <c:v>8.1242099999999997</c:v>
                </c:pt>
                <c:pt idx="21">
                  <c:v>8.532</c:v>
                </c:pt>
                <c:pt idx="22">
                  <c:v>8.9399300000000004</c:v>
                </c:pt>
                <c:pt idx="23">
                  <c:v>9.3438300000000005</c:v>
                </c:pt>
                <c:pt idx="24">
                  <c:v>9.7487399999999997</c:v>
                </c:pt>
                <c:pt idx="25">
                  <c:v>10.1568</c:v>
                </c:pt>
                <c:pt idx="26">
                  <c:v>10.5626</c:v>
                </c:pt>
                <c:pt idx="27">
                  <c:v>10.9665</c:v>
                </c:pt>
                <c:pt idx="28">
                  <c:v>11.3744</c:v>
                </c:pt>
                <c:pt idx="29">
                  <c:v>11.777100000000001</c:v>
                </c:pt>
                <c:pt idx="30">
                  <c:v>12.185499999999999</c:v>
                </c:pt>
                <c:pt idx="31">
                  <c:v>12.5932</c:v>
                </c:pt>
                <c:pt idx="32">
                  <c:v>13.0031</c:v>
                </c:pt>
                <c:pt idx="33">
                  <c:v>13.41</c:v>
                </c:pt>
                <c:pt idx="34">
                  <c:v>13.812900000000001</c:v>
                </c:pt>
                <c:pt idx="35">
                  <c:v>14.216799999999999</c:v>
                </c:pt>
                <c:pt idx="36">
                  <c:v>14.624700000000001</c:v>
                </c:pt>
                <c:pt idx="37">
                  <c:v>15.0326</c:v>
                </c:pt>
                <c:pt idx="38">
                  <c:v>15.4377</c:v>
                </c:pt>
                <c:pt idx="39">
                  <c:v>15.8454</c:v>
                </c:pt>
                <c:pt idx="40">
                  <c:v>16.252700000000001</c:v>
                </c:pt>
                <c:pt idx="41">
                  <c:v>16.653600000000001</c:v>
                </c:pt>
                <c:pt idx="42">
                  <c:v>17.058399999999999</c:v>
                </c:pt>
                <c:pt idx="43">
                  <c:v>17.4682</c:v>
                </c:pt>
                <c:pt idx="44">
                  <c:v>17.8751</c:v>
                </c:pt>
                <c:pt idx="45">
                  <c:v>18.282</c:v>
                </c:pt>
                <c:pt idx="46">
                  <c:v>18.6889</c:v>
                </c:pt>
                <c:pt idx="47">
                  <c:v>19.093800000000002</c:v>
                </c:pt>
                <c:pt idx="48">
                  <c:v>19.496700000000001</c:v>
                </c:pt>
                <c:pt idx="49">
                  <c:v>19.906700000000001</c:v>
                </c:pt>
                <c:pt idx="50">
                  <c:v>20.313600000000001</c:v>
                </c:pt>
                <c:pt idx="51">
                  <c:v>20.7164</c:v>
                </c:pt>
                <c:pt idx="52">
                  <c:v>21.125499999999999</c:v>
                </c:pt>
                <c:pt idx="53">
                  <c:v>21.5303</c:v>
                </c:pt>
                <c:pt idx="54">
                  <c:v>21.938300000000002</c:v>
                </c:pt>
                <c:pt idx="55">
                  <c:v>22.345099999999999</c:v>
                </c:pt>
                <c:pt idx="56">
                  <c:v>22.7501</c:v>
                </c:pt>
                <c:pt idx="57">
                  <c:v>23.1557</c:v>
                </c:pt>
                <c:pt idx="58">
                  <c:v>23.562799999999999</c:v>
                </c:pt>
                <c:pt idx="59">
                  <c:v>23.968</c:v>
                </c:pt>
                <c:pt idx="60">
                  <c:v>24.374700000000001</c:v>
                </c:pt>
                <c:pt idx="61">
                  <c:v>24.7836</c:v>
                </c:pt>
                <c:pt idx="62">
                  <c:v>25.188600000000001</c:v>
                </c:pt>
                <c:pt idx="63">
                  <c:v>25.592400000000001</c:v>
                </c:pt>
                <c:pt idx="64">
                  <c:v>25.999500000000001</c:v>
                </c:pt>
                <c:pt idx="65">
                  <c:v>26.406199999999998</c:v>
                </c:pt>
                <c:pt idx="66">
                  <c:v>26.8142</c:v>
                </c:pt>
                <c:pt idx="67">
                  <c:v>27.2194</c:v>
                </c:pt>
                <c:pt idx="68">
                  <c:v>27.625</c:v>
                </c:pt>
                <c:pt idx="69">
                  <c:v>28.032</c:v>
                </c:pt>
                <c:pt idx="70">
                  <c:v>28.439800000000002</c:v>
                </c:pt>
                <c:pt idx="71">
                  <c:v>28.843800000000002</c:v>
                </c:pt>
                <c:pt idx="72">
                  <c:v>29.253399999999999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30.0627</c:v>
                </c:pt>
                <c:pt idx="2">
                  <c:v>30.502700000000001</c:v>
                </c:pt>
                <c:pt idx="3">
                  <c:v>30.9084</c:v>
                </c:pt>
                <c:pt idx="4">
                  <c:v>31.311</c:v>
                </c:pt>
                <c:pt idx="5">
                  <c:v>31.7194</c:v>
                </c:pt>
                <c:pt idx="6">
                  <c:v>32.122</c:v>
                </c:pt>
                <c:pt idx="7">
                  <c:v>32.533799999999999</c:v>
                </c:pt>
                <c:pt idx="8">
                  <c:v>32.940800000000003</c:v>
                </c:pt>
                <c:pt idx="9">
                  <c:v>33.3414</c:v>
                </c:pt>
                <c:pt idx="10">
                  <c:v>33.749600000000001</c:v>
                </c:pt>
                <c:pt idx="11">
                  <c:v>34.156599999999997</c:v>
                </c:pt>
                <c:pt idx="12">
                  <c:v>34.561399999999999</c:v>
                </c:pt>
                <c:pt idx="13">
                  <c:v>34.967100000000002</c:v>
                </c:pt>
                <c:pt idx="14">
                  <c:v>35.379300000000001</c:v>
                </c:pt>
                <c:pt idx="15">
                  <c:v>35.780200000000001</c:v>
                </c:pt>
                <c:pt idx="16">
                  <c:v>36.185499999999998</c:v>
                </c:pt>
                <c:pt idx="17">
                  <c:v>36.593000000000004</c:v>
                </c:pt>
                <c:pt idx="18">
                  <c:v>37.002200000000002</c:v>
                </c:pt>
                <c:pt idx="19">
                  <c:v>37.405000000000001</c:v>
                </c:pt>
                <c:pt idx="20">
                  <c:v>37.812899999999999</c:v>
                </c:pt>
                <c:pt idx="21">
                  <c:v>38.215800000000002</c:v>
                </c:pt>
                <c:pt idx="22">
                  <c:v>38.621899999999997</c:v>
                </c:pt>
                <c:pt idx="23">
                  <c:v>39.031599999999997</c:v>
                </c:pt>
                <c:pt idx="24">
                  <c:v>39.4375</c:v>
                </c:pt>
                <c:pt idx="25">
                  <c:v>39.843299999999999</c:v>
                </c:pt>
                <c:pt idx="26">
                  <c:v>40.249299999999998</c:v>
                </c:pt>
                <c:pt idx="27">
                  <c:v>40.654800000000002</c:v>
                </c:pt>
                <c:pt idx="28">
                  <c:v>41.063000000000002</c:v>
                </c:pt>
                <c:pt idx="29">
                  <c:v>41.470100000000002</c:v>
                </c:pt>
                <c:pt idx="30">
                  <c:v>41.873899999999999</c:v>
                </c:pt>
                <c:pt idx="31">
                  <c:v>42.279899999999998</c:v>
                </c:pt>
                <c:pt idx="32">
                  <c:v>42.684800000000003</c:v>
                </c:pt>
                <c:pt idx="33">
                  <c:v>43.091700000000003</c:v>
                </c:pt>
                <c:pt idx="34">
                  <c:v>43.497700000000002</c:v>
                </c:pt>
                <c:pt idx="35">
                  <c:v>43.91</c:v>
                </c:pt>
                <c:pt idx="36">
                  <c:v>44.315600000000003</c:v>
                </c:pt>
                <c:pt idx="37">
                  <c:v>44.719499999999996</c:v>
                </c:pt>
                <c:pt idx="38">
                  <c:v>45.124200000000002</c:v>
                </c:pt>
                <c:pt idx="39">
                  <c:v>45.531100000000002</c:v>
                </c:pt>
                <c:pt idx="40">
                  <c:v>45.937100000000001</c:v>
                </c:pt>
                <c:pt idx="41">
                  <c:v>46.3429</c:v>
                </c:pt>
                <c:pt idx="42">
                  <c:v>46.75</c:v>
                </c:pt>
                <c:pt idx="43">
                  <c:v>47.157800000000002</c:v>
                </c:pt>
                <c:pt idx="44">
                  <c:v>47.561700000000002</c:v>
                </c:pt>
                <c:pt idx="45">
                  <c:v>47.968899999999998</c:v>
                </c:pt>
                <c:pt idx="46">
                  <c:v>48.375399999999999</c:v>
                </c:pt>
                <c:pt idx="47">
                  <c:v>48.782499999999999</c:v>
                </c:pt>
                <c:pt idx="48">
                  <c:v>49.185499999999998</c:v>
                </c:pt>
                <c:pt idx="49">
                  <c:v>49.591200000000001</c:v>
                </c:pt>
                <c:pt idx="50">
                  <c:v>49.999299999999998</c:v>
                </c:pt>
                <c:pt idx="51">
                  <c:v>50.409100000000002</c:v>
                </c:pt>
                <c:pt idx="52">
                  <c:v>50.816000000000003</c:v>
                </c:pt>
                <c:pt idx="53">
                  <c:v>51.221899999999998</c:v>
                </c:pt>
                <c:pt idx="54">
                  <c:v>51.6218</c:v>
                </c:pt>
                <c:pt idx="55">
                  <c:v>52.030999999999999</c:v>
                </c:pt>
                <c:pt idx="56">
                  <c:v>52.4407</c:v>
                </c:pt>
                <c:pt idx="57">
                  <c:v>52.843800000000002</c:v>
                </c:pt>
                <c:pt idx="58">
                  <c:v>53.249499999999998</c:v>
                </c:pt>
                <c:pt idx="59">
                  <c:v>53.656399999999998</c:v>
                </c:pt>
                <c:pt idx="60">
                  <c:v>54.062800000000003</c:v>
                </c:pt>
                <c:pt idx="61">
                  <c:v>54.470300000000002</c:v>
                </c:pt>
                <c:pt idx="62">
                  <c:v>54.876199999999997</c:v>
                </c:pt>
                <c:pt idx="63">
                  <c:v>55.280099999999997</c:v>
                </c:pt>
                <c:pt idx="64">
                  <c:v>55.686900000000001</c:v>
                </c:pt>
                <c:pt idx="65">
                  <c:v>56.093000000000004</c:v>
                </c:pt>
                <c:pt idx="66">
                  <c:v>56.4998</c:v>
                </c:pt>
                <c:pt idx="67">
                  <c:v>56.908799999999999</c:v>
                </c:pt>
                <c:pt idx="68">
                  <c:v>57.314599999999999</c:v>
                </c:pt>
                <c:pt idx="69">
                  <c:v>57.717599999999997</c:v>
                </c:pt>
                <c:pt idx="70">
                  <c:v>58.124499999999998</c:v>
                </c:pt>
                <c:pt idx="71">
                  <c:v>58.535600000000002</c:v>
                </c:pt>
                <c:pt idx="72">
                  <c:v>58.940300000000001</c:v>
                </c:pt>
                <c:pt idx="73">
                  <c:v>59.347200000000001</c:v>
                </c:pt>
                <c:pt idx="74">
                  <c:v>59.750100000000003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52.579600000000006</c:v>
                </c:pt>
                <c:pt idx="1">
                  <c:v>52.3748</c:v>
                </c:pt>
                <c:pt idx="2">
                  <c:v>52.117400000000004</c:v>
                </c:pt>
                <c:pt idx="3">
                  <c:v>51.748199999999997</c:v>
                </c:pt>
                <c:pt idx="4">
                  <c:v>51.357900000000001</c:v>
                </c:pt>
                <c:pt idx="5">
                  <c:v>50.992000000000004</c:v>
                </c:pt>
                <c:pt idx="6">
                  <c:v>50.6815</c:v>
                </c:pt>
                <c:pt idx="7">
                  <c:v>50.406500000000001</c:v>
                </c:pt>
                <c:pt idx="8">
                  <c:v>50.064100000000003</c:v>
                </c:pt>
                <c:pt idx="9">
                  <c:v>49.755000000000003</c:v>
                </c:pt>
                <c:pt idx="10">
                  <c:v>49.502400000000002</c:v>
                </c:pt>
                <c:pt idx="11">
                  <c:v>49.288699999999999</c:v>
                </c:pt>
                <c:pt idx="12">
                  <c:v>49.063899999999997</c:v>
                </c:pt>
                <c:pt idx="13">
                  <c:v>48.805100000000003</c:v>
                </c:pt>
                <c:pt idx="14">
                  <c:v>48.505099999999999</c:v>
                </c:pt>
                <c:pt idx="15">
                  <c:v>48.222099999999998</c:v>
                </c:pt>
                <c:pt idx="16">
                  <c:v>47.817100000000003</c:v>
                </c:pt>
                <c:pt idx="17">
                  <c:v>47.371699999999997</c:v>
                </c:pt>
                <c:pt idx="18">
                  <c:v>46.8782</c:v>
                </c:pt>
                <c:pt idx="19">
                  <c:v>46.3324</c:v>
                </c:pt>
                <c:pt idx="20">
                  <c:v>45.873100000000001</c:v>
                </c:pt>
                <c:pt idx="21">
                  <c:v>45.450200000000002</c:v>
                </c:pt>
                <c:pt idx="22">
                  <c:v>45.0976</c:v>
                </c:pt>
                <c:pt idx="23">
                  <c:v>44.7577</c:v>
                </c:pt>
                <c:pt idx="24">
                  <c:v>44.295000000000002</c:v>
                </c:pt>
                <c:pt idx="25">
                  <c:v>43.820799999999998</c:v>
                </c:pt>
                <c:pt idx="26">
                  <c:v>43.4786</c:v>
                </c:pt>
                <c:pt idx="27">
                  <c:v>43.110900000000001</c:v>
                </c:pt>
                <c:pt idx="28">
                  <c:v>42.896999999999998</c:v>
                </c:pt>
                <c:pt idx="29">
                  <c:v>42.754899999999999</c:v>
                </c:pt>
                <c:pt idx="30">
                  <c:v>42.704099999999997</c:v>
                </c:pt>
                <c:pt idx="31">
                  <c:v>42.643100000000004</c:v>
                </c:pt>
                <c:pt idx="32">
                  <c:v>42.471499999999999</c:v>
                </c:pt>
                <c:pt idx="33">
                  <c:v>42.363599999999998</c:v>
                </c:pt>
                <c:pt idx="34">
                  <c:v>42.1967</c:v>
                </c:pt>
                <c:pt idx="35">
                  <c:v>41.939799999999998</c:v>
                </c:pt>
                <c:pt idx="36">
                  <c:v>41.732700000000001</c:v>
                </c:pt>
                <c:pt idx="37">
                  <c:v>41.792400000000001</c:v>
                </c:pt>
                <c:pt idx="38">
                  <c:v>42.084700000000005</c:v>
                </c:pt>
                <c:pt idx="39">
                  <c:v>42.423499999999997</c:v>
                </c:pt>
                <c:pt idx="40">
                  <c:v>42.6751</c:v>
                </c:pt>
                <c:pt idx="41">
                  <c:v>42.9129</c:v>
                </c:pt>
                <c:pt idx="42">
                  <c:v>43.161999999999999</c:v>
                </c:pt>
                <c:pt idx="43">
                  <c:v>43.3703</c:v>
                </c:pt>
                <c:pt idx="44">
                  <c:v>43.7258</c:v>
                </c:pt>
                <c:pt idx="45">
                  <c:v>44.185499999999998</c:v>
                </c:pt>
                <c:pt idx="46">
                  <c:v>44.7789</c:v>
                </c:pt>
                <c:pt idx="47">
                  <c:v>45.366700000000002</c:v>
                </c:pt>
                <c:pt idx="48">
                  <c:v>45.887799999999999</c:v>
                </c:pt>
                <c:pt idx="49">
                  <c:v>46.363900000000001</c:v>
                </c:pt>
                <c:pt idx="50">
                  <c:v>46.794599999999996</c:v>
                </c:pt>
                <c:pt idx="51">
                  <c:v>46.997399999999999</c:v>
                </c:pt>
                <c:pt idx="52">
                  <c:v>47.328499999999998</c:v>
                </c:pt>
                <c:pt idx="53">
                  <c:v>47.794599999999996</c:v>
                </c:pt>
                <c:pt idx="54">
                  <c:v>48.393900000000002</c:v>
                </c:pt>
                <c:pt idx="55">
                  <c:v>48.903500000000001</c:v>
                </c:pt>
                <c:pt idx="56">
                  <c:v>49.306800000000003</c:v>
                </c:pt>
                <c:pt idx="57">
                  <c:v>49.685200000000002</c:v>
                </c:pt>
                <c:pt idx="58">
                  <c:v>49.916400000000003</c:v>
                </c:pt>
                <c:pt idx="59">
                  <c:v>50.141500000000008</c:v>
                </c:pt>
                <c:pt idx="60">
                  <c:v>50.465400000000002</c:v>
                </c:pt>
                <c:pt idx="61">
                  <c:v>50.937200000000004</c:v>
                </c:pt>
                <c:pt idx="62">
                  <c:v>51.338099999999997</c:v>
                </c:pt>
                <c:pt idx="63">
                  <c:v>51.474600000000002</c:v>
                </c:pt>
                <c:pt idx="64">
                  <c:v>51.512599999999999</c:v>
                </c:pt>
                <c:pt idx="65">
                  <c:v>51.5946</c:v>
                </c:pt>
                <c:pt idx="66">
                  <c:v>51.722900000000003</c:v>
                </c:pt>
                <c:pt idx="67">
                  <c:v>51.696799999999996</c:v>
                </c:pt>
                <c:pt idx="68">
                  <c:v>51.658300000000004</c:v>
                </c:pt>
                <c:pt idx="69">
                  <c:v>51.865899999999996</c:v>
                </c:pt>
                <c:pt idx="70">
                  <c:v>52.211200000000005</c:v>
                </c:pt>
                <c:pt idx="71">
                  <c:v>52.495800000000003</c:v>
                </c:pt>
                <c:pt idx="72">
                  <c:v>52.172399999999996</c:v>
                </c:pt>
                <c:pt idx="73">
                  <c:v>51.635399999999997</c:v>
                </c:pt>
                <c:pt idx="74">
                  <c:v>51.730699999999999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14.937525000000001</c:v>
                </c:pt>
                <c:pt idx="1">
                  <c:v>44.812575000000002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53.98029864864867</c:v>
                </c:pt>
                <c:pt idx="1">
                  <c:v>47.396962162162161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  <c:pt idx="74">
                  <c:v>3.6932799999999997</c:v>
                </c:pt>
                <c:pt idx="75">
                  <c:v>3.6956099999999998</c:v>
                </c:pt>
                <c:pt idx="76">
                  <c:v>3.6983800000000002</c:v>
                </c:pt>
                <c:pt idx="77">
                  <c:v>3.6997</c:v>
                </c:pt>
                <c:pt idx="78">
                  <c:v>3.69801</c:v>
                </c:pt>
                <c:pt idx="79">
                  <c:v>3.6931799999999999</c:v>
                </c:pt>
                <c:pt idx="80">
                  <c:v>3.6860399999999998</c:v>
                </c:pt>
                <c:pt idx="81">
                  <c:v>3.6774100000000001</c:v>
                </c:pt>
                <c:pt idx="82">
                  <c:v>3.6654799999999996</c:v>
                </c:pt>
                <c:pt idx="83">
                  <c:v>3.6508500000000002</c:v>
                </c:pt>
                <c:pt idx="84">
                  <c:v>3.6346800000000004</c:v>
                </c:pt>
                <c:pt idx="85">
                  <c:v>3.6166300000000002</c:v>
                </c:pt>
                <c:pt idx="86">
                  <c:v>3.5979999999999999</c:v>
                </c:pt>
                <c:pt idx="87">
                  <c:v>3.5769800000000003</c:v>
                </c:pt>
                <c:pt idx="88">
                  <c:v>3.5532900000000001</c:v>
                </c:pt>
                <c:pt idx="89">
                  <c:v>3.5271400000000002</c:v>
                </c:pt>
                <c:pt idx="90">
                  <c:v>3.5015900000000002</c:v>
                </c:pt>
                <c:pt idx="91">
                  <c:v>3.4743400000000002</c:v>
                </c:pt>
                <c:pt idx="92">
                  <c:v>3.4497800000000001</c:v>
                </c:pt>
                <c:pt idx="93">
                  <c:v>3.4240700000000004</c:v>
                </c:pt>
                <c:pt idx="94">
                  <c:v>3.3980500000000005</c:v>
                </c:pt>
                <c:pt idx="95">
                  <c:v>3.36951</c:v>
                </c:pt>
                <c:pt idx="96">
                  <c:v>3.34152</c:v>
                </c:pt>
                <c:pt idx="97">
                  <c:v>3.3192500000000003</c:v>
                </c:pt>
                <c:pt idx="98">
                  <c:v>3.29847</c:v>
                </c:pt>
                <c:pt idx="99">
                  <c:v>3.2749299999999999</c:v>
                </c:pt>
                <c:pt idx="100">
                  <c:v>3.2559300000000002</c:v>
                </c:pt>
                <c:pt idx="101">
                  <c:v>3.23665</c:v>
                </c:pt>
                <c:pt idx="102">
                  <c:v>3.2178100000000001</c:v>
                </c:pt>
                <c:pt idx="103">
                  <c:v>3.1975599999999997</c:v>
                </c:pt>
                <c:pt idx="104">
                  <c:v>3.1794199999999999</c:v>
                </c:pt>
                <c:pt idx="105">
                  <c:v>3.1652100000000001</c:v>
                </c:pt>
                <c:pt idx="106">
                  <c:v>3.1498399999999998</c:v>
                </c:pt>
                <c:pt idx="107">
                  <c:v>3.1365500000000002</c:v>
                </c:pt>
                <c:pt idx="108">
                  <c:v>3.1264799999999999</c:v>
                </c:pt>
                <c:pt idx="109">
                  <c:v>3.1167199999999999</c:v>
                </c:pt>
                <c:pt idx="110">
                  <c:v>3.1048999999999998</c:v>
                </c:pt>
                <c:pt idx="111">
                  <c:v>3.0897299999999999</c:v>
                </c:pt>
                <c:pt idx="112">
                  <c:v>3.07544</c:v>
                </c:pt>
                <c:pt idx="113">
                  <c:v>3.0643099999999999</c:v>
                </c:pt>
                <c:pt idx="114">
                  <c:v>3.0577500000000004</c:v>
                </c:pt>
                <c:pt idx="115">
                  <c:v>3.0517699999999999</c:v>
                </c:pt>
                <c:pt idx="116">
                  <c:v>3.0498500000000002</c:v>
                </c:pt>
                <c:pt idx="117">
                  <c:v>3.0470100000000002</c:v>
                </c:pt>
                <c:pt idx="118">
                  <c:v>3.0417399999999999</c:v>
                </c:pt>
                <c:pt idx="119">
                  <c:v>3.0327100000000002</c:v>
                </c:pt>
                <c:pt idx="120">
                  <c:v>3.0223599999999999</c:v>
                </c:pt>
                <c:pt idx="121">
                  <c:v>3.0129099999999998</c:v>
                </c:pt>
                <c:pt idx="122">
                  <c:v>3.0040699999999996</c:v>
                </c:pt>
                <c:pt idx="123">
                  <c:v>2.9959000000000002</c:v>
                </c:pt>
                <c:pt idx="124">
                  <c:v>2.9969600000000001</c:v>
                </c:pt>
                <c:pt idx="125">
                  <c:v>2.9946800000000002</c:v>
                </c:pt>
                <c:pt idx="126">
                  <c:v>2.9879600000000002</c:v>
                </c:pt>
                <c:pt idx="127">
                  <c:v>2.9775200000000002</c:v>
                </c:pt>
                <c:pt idx="128">
                  <c:v>2.9689900000000002</c:v>
                </c:pt>
                <c:pt idx="129">
                  <c:v>2.9611399999999999</c:v>
                </c:pt>
                <c:pt idx="130">
                  <c:v>2.9520999999999997</c:v>
                </c:pt>
                <c:pt idx="131">
                  <c:v>2.9481099999999998</c:v>
                </c:pt>
                <c:pt idx="132">
                  <c:v>2.9442699999999999</c:v>
                </c:pt>
                <c:pt idx="133">
                  <c:v>2.9380699999999997</c:v>
                </c:pt>
                <c:pt idx="134">
                  <c:v>2.92746</c:v>
                </c:pt>
                <c:pt idx="135">
                  <c:v>2.915</c:v>
                </c:pt>
                <c:pt idx="136">
                  <c:v>2.90517</c:v>
                </c:pt>
                <c:pt idx="137">
                  <c:v>2.8984999999999999</c:v>
                </c:pt>
                <c:pt idx="138">
                  <c:v>2.8921099999999997</c:v>
                </c:pt>
                <c:pt idx="139">
                  <c:v>2.88381</c:v>
                </c:pt>
                <c:pt idx="140">
                  <c:v>2.8807899999999997</c:v>
                </c:pt>
                <c:pt idx="141">
                  <c:v>2.8776899999999999</c:v>
                </c:pt>
                <c:pt idx="142">
                  <c:v>2.8658699999999997</c:v>
                </c:pt>
                <c:pt idx="143">
                  <c:v>2.84985</c:v>
                </c:pt>
                <c:pt idx="144">
                  <c:v>2.8361599999999996</c:v>
                </c:pt>
                <c:pt idx="145">
                  <c:v>2.8359000000000001</c:v>
                </c:pt>
                <c:pt idx="146">
                  <c:v>2.83623</c:v>
                </c:pt>
                <c:pt idx="147">
                  <c:v>2.8216900000000003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  <c:pt idx="74">
                  <c:v>52.3748</c:v>
                </c:pt>
                <c:pt idx="75">
                  <c:v>52.117400000000004</c:v>
                </c:pt>
                <c:pt idx="76">
                  <c:v>51.748199999999997</c:v>
                </c:pt>
                <c:pt idx="77">
                  <c:v>51.357900000000001</c:v>
                </c:pt>
                <c:pt idx="78">
                  <c:v>50.992000000000004</c:v>
                </c:pt>
                <c:pt idx="79">
                  <c:v>50.6815</c:v>
                </c:pt>
                <c:pt idx="80">
                  <c:v>50.406500000000001</c:v>
                </c:pt>
                <c:pt idx="81">
                  <c:v>50.064100000000003</c:v>
                </c:pt>
                <c:pt idx="82">
                  <c:v>49.755000000000003</c:v>
                </c:pt>
                <c:pt idx="83">
                  <c:v>49.502400000000002</c:v>
                </c:pt>
                <c:pt idx="84">
                  <c:v>49.288699999999999</c:v>
                </c:pt>
                <c:pt idx="85">
                  <c:v>49.063899999999997</c:v>
                </c:pt>
                <c:pt idx="86">
                  <c:v>48.805100000000003</c:v>
                </c:pt>
                <c:pt idx="87">
                  <c:v>48.505099999999999</c:v>
                </c:pt>
                <c:pt idx="88">
                  <c:v>48.222099999999998</c:v>
                </c:pt>
                <c:pt idx="89">
                  <c:v>47.817100000000003</c:v>
                </c:pt>
                <c:pt idx="90">
                  <c:v>47.371699999999997</c:v>
                </c:pt>
                <c:pt idx="91">
                  <c:v>46.8782</c:v>
                </c:pt>
                <c:pt idx="92">
                  <c:v>46.3324</c:v>
                </c:pt>
                <c:pt idx="93">
                  <c:v>45.873100000000001</c:v>
                </c:pt>
                <c:pt idx="94">
                  <c:v>45.450200000000002</c:v>
                </c:pt>
                <c:pt idx="95">
                  <c:v>45.0976</c:v>
                </c:pt>
                <c:pt idx="96">
                  <c:v>44.7577</c:v>
                </c:pt>
                <c:pt idx="97">
                  <c:v>44.295000000000002</c:v>
                </c:pt>
                <c:pt idx="98">
                  <c:v>43.820799999999998</c:v>
                </c:pt>
                <c:pt idx="99">
                  <c:v>43.4786</c:v>
                </c:pt>
                <c:pt idx="100">
                  <c:v>43.110900000000001</c:v>
                </c:pt>
                <c:pt idx="101">
                  <c:v>42.896999999999998</c:v>
                </c:pt>
                <c:pt idx="102">
                  <c:v>42.754899999999999</c:v>
                </c:pt>
                <c:pt idx="103">
                  <c:v>42.704099999999997</c:v>
                </c:pt>
                <c:pt idx="104">
                  <c:v>42.643100000000004</c:v>
                </c:pt>
                <c:pt idx="105">
                  <c:v>42.471499999999999</c:v>
                </c:pt>
                <c:pt idx="106">
                  <c:v>42.363599999999998</c:v>
                </c:pt>
                <c:pt idx="107">
                  <c:v>42.1967</c:v>
                </c:pt>
                <c:pt idx="108">
                  <c:v>41.939799999999998</c:v>
                </c:pt>
                <c:pt idx="109">
                  <c:v>41.732700000000001</c:v>
                </c:pt>
                <c:pt idx="110">
                  <c:v>41.792400000000001</c:v>
                </c:pt>
                <c:pt idx="111">
                  <c:v>42.084700000000005</c:v>
                </c:pt>
                <c:pt idx="112">
                  <c:v>42.423499999999997</c:v>
                </c:pt>
                <c:pt idx="113">
                  <c:v>42.6751</c:v>
                </c:pt>
                <c:pt idx="114">
                  <c:v>42.9129</c:v>
                </c:pt>
                <c:pt idx="115">
                  <c:v>43.161999999999999</c:v>
                </c:pt>
                <c:pt idx="116">
                  <c:v>43.3703</c:v>
                </c:pt>
                <c:pt idx="117">
                  <c:v>43.7258</c:v>
                </c:pt>
                <c:pt idx="118">
                  <c:v>44.185499999999998</c:v>
                </c:pt>
                <c:pt idx="119">
                  <c:v>44.7789</c:v>
                </c:pt>
                <c:pt idx="120">
                  <c:v>45.366700000000002</c:v>
                </c:pt>
                <c:pt idx="121">
                  <c:v>45.887799999999999</c:v>
                </c:pt>
                <c:pt idx="122">
                  <c:v>46.363900000000001</c:v>
                </c:pt>
                <c:pt idx="123">
                  <c:v>46.794599999999996</c:v>
                </c:pt>
                <c:pt idx="124">
                  <c:v>46.997399999999999</c:v>
                </c:pt>
                <c:pt idx="125">
                  <c:v>47.328499999999998</c:v>
                </c:pt>
                <c:pt idx="126">
                  <c:v>47.794599999999996</c:v>
                </c:pt>
                <c:pt idx="127">
                  <c:v>48.393900000000002</c:v>
                </c:pt>
                <c:pt idx="128">
                  <c:v>48.903500000000001</c:v>
                </c:pt>
                <c:pt idx="129">
                  <c:v>49.306800000000003</c:v>
                </c:pt>
                <c:pt idx="130">
                  <c:v>49.685200000000002</c:v>
                </c:pt>
                <c:pt idx="131">
                  <c:v>49.916400000000003</c:v>
                </c:pt>
                <c:pt idx="132">
                  <c:v>50.141500000000008</c:v>
                </c:pt>
                <c:pt idx="133">
                  <c:v>50.465400000000002</c:v>
                </c:pt>
                <c:pt idx="134">
                  <c:v>50.937200000000004</c:v>
                </c:pt>
                <c:pt idx="135">
                  <c:v>51.338099999999997</c:v>
                </c:pt>
                <c:pt idx="136">
                  <c:v>51.474600000000002</c:v>
                </c:pt>
                <c:pt idx="137">
                  <c:v>51.512599999999999</c:v>
                </c:pt>
                <c:pt idx="138">
                  <c:v>51.5946</c:v>
                </c:pt>
                <c:pt idx="139">
                  <c:v>51.722900000000003</c:v>
                </c:pt>
                <c:pt idx="140">
                  <c:v>51.696799999999996</c:v>
                </c:pt>
                <c:pt idx="141">
                  <c:v>51.658300000000004</c:v>
                </c:pt>
                <c:pt idx="142">
                  <c:v>51.865899999999996</c:v>
                </c:pt>
                <c:pt idx="143">
                  <c:v>52.211200000000005</c:v>
                </c:pt>
                <c:pt idx="144">
                  <c:v>52.495800000000003</c:v>
                </c:pt>
                <c:pt idx="145">
                  <c:v>52.172399999999996</c:v>
                </c:pt>
                <c:pt idx="146">
                  <c:v>51.635399999999997</c:v>
                </c:pt>
                <c:pt idx="147">
                  <c:v>51.730699999999999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1.47634</c:v>
                </c:pt>
                <c:pt idx="1">
                  <c:v>1.51566</c:v>
                </c:pt>
                <c:pt idx="2">
                  <c:v>1.55694</c:v>
                </c:pt>
                <c:pt idx="3">
                  <c:v>1.59857</c:v>
                </c:pt>
                <c:pt idx="4">
                  <c:v>1.6420100000000002</c:v>
                </c:pt>
                <c:pt idx="5">
                  <c:v>1.6853099999999999</c:v>
                </c:pt>
                <c:pt idx="6">
                  <c:v>1.7280000000000002</c:v>
                </c:pt>
                <c:pt idx="7">
                  <c:v>1.77122</c:v>
                </c:pt>
                <c:pt idx="8">
                  <c:v>1.8157100000000002</c:v>
                </c:pt>
                <c:pt idx="9">
                  <c:v>1.8609899999999999</c:v>
                </c:pt>
                <c:pt idx="10">
                  <c:v>1.90768</c:v>
                </c:pt>
                <c:pt idx="11">
                  <c:v>1.9557199999999999</c:v>
                </c:pt>
                <c:pt idx="12">
                  <c:v>2.0049000000000001</c:v>
                </c:pt>
                <c:pt idx="13">
                  <c:v>2.0530999999999997</c:v>
                </c:pt>
                <c:pt idx="14">
                  <c:v>2.10073</c:v>
                </c:pt>
                <c:pt idx="15">
                  <c:v>2.1484300000000003</c:v>
                </c:pt>
                <c:pt idx="16">
                  <c:v>2.1965000000000003</c:v>
                </c:pt>
                <c:pt idx="17">
                  <c:v>2.2527599999999999</c:v>
                </c:pt>
                <c:pt idx="18">
                  <c:v>2.31752</c:v>
                </c:pt>
                <c:pt idx="19">
                  <c:v>2.39629</c:v>
                </c:pt>
                <c:pt idx="20">
                  <c:v>2.4847600000000001</c:v>
                </c:pt>
                <c:pt idx="21">
                  <c:v>2.5698100000000004</c:v>
                </c:pt>
                <c:pt idx="22">
                  <c:v>2.6473999999999998</c:v>
                </c:pt>
                <c:pt idx="23">
                  <c:v>2.7178600000000004</c:v>
                </c:pt>
                <c:pt idx="24">
                  <c:v>2.7773599999999998</c:v>
                </c:pt>
                <c:pt idx="25">
                  <c:v>2.8250700000000002</c:v>
                </c:pt>
                <c:pt idx="26">
                  <c:v>2.8714599999999999</c:v>
                </c:pt>
                <c:pt idx="27">
                  <c:v>2.9147400000000001</c:v>
                </c:pt>
                <c:pt idx="28">
                  <c:v>2.9562500000000003</c:v>
                </c:pt>
                <c:pt idx="29">
                  <c:v>2.9936800000000003</c:v>
                </c:pt>
                <c:pt idx="30">
                  <c:v>3.0231999999999997</c:v>
                </c:pt>
                <c:pt idx="31">
                  <c:v>3.04888</c:v>
                </c:pt>
                <c:pt idx="32">
                  <c:v>3.0736799999999995</c:v>
                </c:pt>
                <c:pt idx="33">
                  <c:v>3.0906699999999998</c:v>
                </c:pt>
                <c:pt idx="34">
                  <c:v>3.1033300000000001</c:v>
                </c:pt>
                <c:pt idx="35">
                  <c:v>3.1158700000000001</c:v>
                </c:pt>
                <c:pt idx="36">
                  <c:v>3.12845</c:v>
                </c:pt>
                <c:pt idx="37">
                  <c:v>3.1393900000000001</c:v>
                </c:pt>
                <c:pt idx="38">
                  <c:v>3.1491400000000001</c:v>
                </c:pt>
                <c:pt idx="39">
                  <c:v>3.1598799999999998</c:v>
                </c:pt>
                <c:pt idx="40">
                  <c:v>3.1702200000000005</c:v>
                </c:pt>
                <c:pt idx="41">
                  <c:v>3.1776800000000001</c:v>
                </c:pt>
                <c:pt idx="42">
                  <c:v>3.1893700000000003</c:v>
                </c:pt>
                <c:pt idx="43">
                  <c:v>3.2050299999999998</c:v>
                </c:pt>
                <c:pt idx="44">
                  <c:v>3.2206000000000001</c:v>
                </c:pt>
                <c:pt idx="45">
                  <c:v>3.2313299999999998</c:v>
                </c:pt>
                <c:pt idx="46">
                  <c:v>3.2391399999999999</c:v>
                </c:pt>
                <c:pt idx="47">
                  <c:v>3.2456200000000002</c:v>
                </c:pt>
                <c:pt idx="48">
                  <c:v>3.25298</c:v>
                </c:pt>
                <c:pt idx="49">
                  <c:v>3.26091</c:v>
                </c:pt>
                <c:pt idx="50">
                  <c:v>3.2733800000000004</c:v>
                </c:pt>
                <c:pt idx="51">
                  <c:v>3.2866099999999996</c:v>
                </c:pt>
                <c:pt idx="52">
                  <c:v>3.3019599999999998</c:v>
                </c:pt>
                <c:pt idx="53">
                  <c:v>3.3181400000000001</c:v>
                </c:pt>
                <c:pt idx="54">
                  <c:v>3.33413</c:v>
                </c:pt>
                <c:pt idx="55">
                  <c:v>3.3525</c:v>
                </c:pt>
                <c:pt idx="56">
                  <c:v>3.3709800000000003</c:v>
                </c:pt>
                <c:pt idx="57">
                  <c:v>3.3891</c:v>
                </c:pt>
                <c:pt idx="58">
                  <c:v>3.4110499999999999</c:v>
                </c:pt>
                <c:pt idx="59">
                  <c:v>3.4368400000000001</c:v>
                </c:pt>
                <c:pt idx="60">
                  <c:v>3.4642900000000001</c:v>
                </c:pt>
                <c:pt idx="61">
                  <c:v>3.4910799999999997</c:v>
                </c:pt>
                <c:pt idx="62">
                  <c:v>3.5171000000000001</c:v>
                </c:pt>
                <c:pt idx="63">
                  <c:v>3.5424199999999999</c:v>
                </c:pt>
                <c:pt idx="64">
                  <c:v>3.5652299999999997</c:v>
                </c:pt>
                <c:pt idx="65">
                  <c:v>3.58473</c:v>
                </c:pt>
                <c:pt idx="66">
                  <c:v>3.6043099999999999</c:v>
                </c:pt>
                <c:pt idx="67">
                  <c:v>3.6205799999999999</c:v>
                </c:pt>
                <c:pt idx="68">
                  <c:v>3.6351699999999996</c:v>
                </c:pt>
                <c:pt idx="69">
                  <c:v>3.6485000000000003</c:v>
                </c:pt>
                <c:pt idx="70">
                  <c:v>3.6622399999999997</c:v>
                </c:pt>
                <c:pt idx="71">
                  <c:v>3.67489</c:v>
                </c:pt>
                <c:pt idx="72">
                  <c:v>3.6829200000000002</c:v>
                </c:pt>
                <c:pt idx="73">
                  <c:v>3.68757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71.604500000000002</c:v>
                </c:pt>
                <c:pt idx="1">
                  <c:v>70.771100000000004</c:v>
                </c:pt>
                <c:pt idx="2">
                  <c:v>69.818600000000004</c:v>
                </c:pt>
                <c:pt idx="3">
                  <c:v>68.660200000000003</c:v>
                </c:pt>
                <c:pt idx="4">
                  <c:v>67.335300000000004</c:v>
                </c:pt>
                <c:pt idx="5">
                  <c:v>66.067299999999989</c:v>
                </c:pt>
                <c:pt idx="6">
                  <c:v>64.889200000000002</c:v>
                </c:pt>
                <c:pt idx="7">
                  <c:v>63.848400000000005</c:v>
                </c:pt>
                <c:pt idx="8">
                  <c:v>62.878</c:v>
                </c:pt>
                <c:pt idx="9">
                  <c:v>61.825800000000001</c:v>
                </c:pt>
                <c:pt idx="10">
                  <c:v>60.611400000000003</c:v>
                </c:pt>
                <c:pt idx="11">
                  <c:v>59.264399999999995</c:v>
                </c:pt>
                <c:pt idx="12">
                  <c:v>57.816199999999995</c:v>
                </c:pt>
                <c:pt idx="13">
                  <c:v>56.500700000000002</c:v>
                </c:pt>
                <c:pt idx="14">
                  <c:v>55.351099999999995</c:v>
                </c:pt>
                <c:pt idx="15">
                  <c:v>54.3551</c:v>
                </c:pt>
                <c:pt idx="16">
                  <c:v>53.481699999999996</c:v>
                </c:pt>
                <c:pt idx="17">
                  <c:v>52.566699999999997</c:v>
                </c:pt>
                <c:pt idx="18">
                  <c:v>51.418600000000005</c:v>
                </c:pt>
                <c:pt idx="19">
                  <c:v>50.007999999999996</c:v>
                </c:pt>
                <c:pt idx="20">
                  <c:v>48.2712</c:v>
                </c:pt>
                <c:pt idx="21">
                  <c:v>46.873699999999999</c:v>
                </c:pt>
                <c:pt idx="22">
                  <c:v>45.9345</c:v>
                </c:pt>
                <c:pt idx="23">
                  <c:v>45.392700000000005</c:v>
                </c:pt>
                <c:pt idx="24">
                  <c:v>45.262999999999998</c:v>
                </c:pt>
                <c:pt idx="25">
                  <c:v>45.493400000000001</c:v>
                </c:pt>
                <c:pt idx="26">
                  <c:v>45.790900000000001</c:v>
                </c:pt>
                <c:pt idx="27">
                  <c:v>46.067700000000002</c:v>
                </c:pt>
                <c:pt idx="28">
                  <c:v>46.296500000000002</c:v>
                </c:pt>
                <c:pt idx="29">
                  <c:v>46.6614</c:v>
                </c:pt>
                <c:pt idx="30">
                  <c:v>47.190899999999999</c:v>
                </c:pt>
                <c:pt idx="31">
                  <c:v>47.723999999999997</c:v>
                </c:pt>
                <c:pt idx="32">
                  <c:v>48.198900000000002</c:v>
                </c:pt>
                <c:pt idx="33">
                  <c:v>48.687799999999996</c:v>
                </c:pt>
                <c:pt idx="34">
                  <c:v>49.132799999999996</c:v>
                </c:pt>
                <c:pt idx="35">
                  <c:v>49.470599999999997</c:v>
                </c:pt>
                <c:pt idx="36">
                  <c:v>49.715399999999995</c:v>
                </c:pt>
                <c:pt idx="37">
                  <c:v>49.963499999999996</c:v>
                </c:pt>
                <c:pt idx="38">
                  <c:v>50.312199999999997</c:v>
                </c:pt>
                <c:pt idx="39">
                  <c:v>50.706899999999997</c:v>
                </c:pt>
                <c:pt idx="40">
                  <c:v>51.117500000000007</c:v>
                </c:pt>
                <c:pt idx="41">
                  <c:v>51.553000000000004</c:v>
                </c:pt>
                <c:pt idx="42">
                  <c:v>51.921700000000001</c:v>
                </c:pt>
                <c:pt idx="43">
                  <c:v>52.288699999999999</c:v>
                </c:pt>
                <c:pt idx="44">
                  <c:v>52.558400000000006</c:v>
                </c:pt>
                <c:pt idx="45">
                  <c:v>52.907099999999993</c:v>
                </c:pt>
                <c:pt idx="46">
                  <c:v>53.317899999999995</c:v>
                </c:pt>
                <c:pt idx="47">
                  <c:v>53.739699999999999</c:v>
                </c:pt>
                <c:pt idx="48">
                  <c:v>54.113</c:v>
                </c:pt>
                <c:pt idx="49">
                  <c:v>54.447299999999998</c:v>
                </c:pt>
                <c:pt idx="50">
                  <c:v>54.6616</c:v>
                </c:pt>
                <c:pt idx="51">
                  <c:v>54.768999999999998</c:v>
                </c:pt>
                <c:pt idx="52">
                  <c:v>54.7879</c:v>
                </c:pt>
                <c:pt idx="53">
                  <c:v>54.759599999999999</c:v>
                </c:pt>
                <c:pt idx="54">
                  <c:v>54.652699999999996</c:v>
                </c:pt>
                <c:pt idx="55">
                  <c:v>54.580300000000001</c:v>
                </c:pt>
                <c:pt idx="56">
                  <c:v>54.561999999999998</c:v>
                </c:pt>
                <c:pt idx="57">
                  <c:v>54.514899999999997</c:v>
                </c:pt>
                <c:pt idx="58">
                  <c:v>54.447400000000002</c:v>
                </c:pt>
                <c:pt idx="59">
                  <c:v>54.345200000000006</c:v>
                </c:pt>
                <c:pt idx="60">
                  <c:v>54.147599999999997</c:v>
                </c:pt>
                <c:pt idx="61">
                  <c:v>54.001999999999995</c:v>
                </c:pt>
                <c:pt idx="62">
                  <c:v>53.896100000000004</c:v>
                </c:pt>
                <c:pt idx="63">
                  <c:v>53.763000000000005</c:v>
                </c:pt>
                <c:pt idx="64">
                  <c:v>53.694499999999998</c:v>
                </c:pt>
                <c:pt idx="65">
                  <c:v>53.659100000000002</c:v>
                </c:pt>
                <c:pt idx="66">
                  <c:v>53.6907</c:v>
                </c:pt>
                <c:pt idx="67">
                  <c:v>53.659599999999998</c:v>
                </c:pt>
                <c:pt idx="68">
                  <c:v>53.455299999999994</c:v>
                </c:pt>
                <c:pt idx="69">
                  <c:v>53.209200000000003</c:v>
                </c:pt>
                <c:pt idx="70">
                  <c:v>52.997999999999998</c:v>
                </c:pt>
                <c:pt idx="71">
                  <c:v>52.819000000000003</c:v>
                </c:pt>
                <c:pt idx="72">
                  <c:v>52.703199999999995</c:v>
                </c:pt>
                <c:pt idx="73">
                  <c:v>52.579600000000006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3.68757</c:v>
                </c:pt>
                <c:pt idx="1">
                  <c:v>3.6932799999999997</c:v>
                </c:pt>
                <c:pt idx="2">
                  <c:v>3.6956099999999998</c:v>
                </c:pt>
                <c:pt idx="3">
                  <c:v>3.6983800000000002</c:v>
                </c:pt>
                <c:pt idx="4">
                  <c:v>3.6997</c:v>
                </c:pt>
                <c:pt idx="5">
                  <c:v>3.69801</c:v>
                </c:pt>
                <c:pt idx="6">
                  <c:v>3.6931799999999999</c:v>
                </c:pt>
                <c:pt idx="7">
                  <c:v>3.6860399999999998</c:v>
                </c:pt>
                <c:pt idx="8">
                  <c:v>3.6774100000000001</c:v>
                </c:pt>
                <c:pt idx="9">
                  <c:v>3.6654799999999996</c:v>
                </c:pt>
                <c:pt idx="10">
                  <c:v>3.6508500000000002</c:v>
                </c:pt>
                <c:pt idx="11">
                  <c:v>3.6346800000000004</c:v>
                </c:pt>
                <c:pt idx="12">
                  <c:v>3.6166300000000002</c:v>
                </c:pt>
                <c:pt idx="13">
                  <c:v>3.5979999999999999</c:v>
                </c:pt>
                <c:pt idx="14">
                  <c:v>3.5769800000000003</c:v>
                </c:pt>
                <c:pt idx="15">
                  <c:v>3.5532900000000001</c:v>
                </c:pt>
                <c:pt idx="16">
                  <c:v>3.5271400000000002</c:v>
                </c:pt>
                <c:pt idx="17">
                  <c:v>3.5015900000000002</c:v>
                </c:pt>
                <c:pt idx="18">
                  <c:v>3.4743400000000002</c:v>
                </c:pt>
                <c:pt idx="19">
                  <c:v>3.4497800000000001</c:v>
                </c:pt>
                <c:pt idx="20">
                  <c:v>3.4240700000000004</c:v>
                </c:pt>
                <c:pt idx="21">
                  <c:v>3.3980500000000005</c:v>
                </c:pt>
                <c:pt idx="22">
                  <c:v>3.36951</c:v>
                </c:pt>
                <c:pt idx="23">
                  <c:v>3.34152</c:v>
                </c:pt>
                <c:pt idx="24">
                  <c:v>3.3192500000000003</c:v>
                </c:pt>
                <c:pt idx="25">
                  <c:v>3.29847</c:v>
                </c:pt>
                <c:pt idx="26">
                  <c:v>3.2749299999999999</c:v>
                </c:pt>
                <c:pt idx="27">
                  <c:v>3.2559300000000002</c:v>
                </c:pt>
                <c:pt idx="28">
                  <c:v>3.23665</c:v>
                </c:pt>
                <c:pt idx="29">
                  <c:v>3.2178100000000001</c:v>
                </c:pt>
                <c:pt idx="30">
                  <c:v>3.1975599999999997</c:v>
                </c:pt>
                <c:pt idx="31">
                  <c:v>3.1794199999999999</c:v>
                </c:pt>
                <c:pt idx="32">
                  <c:v>3.1652100000000001</c:v>
                </c:pt>
                <c:pt idx="33">
                  <c:v>3.1498399999999998</c:v>
                </c:pt>
                <c:pt idx="34">
                  <c:v>3.1365500000000002</c:v>
                </c:pt>
                <c:pt idx="35">
                  <c:v>3.1264799999999999</c:v>
                </c:pt>
                <c:pt idx="36">
                  <c:v>3.1167199999999999</c:v>
                </c:pt>
                <c:pt idx="37">
                  <c:v>3.1048999999999998</c:v>
                </c:pt>
                <c:pt idx="38">
                  <c:v>3.0897299999999999</c:v>
                </c:pt>
                <c:pt idx="39">
                  <c:v>3.07544</c:v>
                </c:pt>
                <c:pt idx="40">
                  <c:v>3.0643099999999999</c:v>
                </c:pt>
                <c:pt idx="41">
                  <c:v>3.0577500000000004</c:v>
                </c:pt>
                <c:pt idx="42">
                  <c:v>3.0517699999999999</c:v>
                </c:pt>
                <c:pt idx="43">
                  <c:v>3.0498500000000002</c:v>
                </c:pt>
                <c:pt idx="44">
                  <c:v>3.0470100000000002</c:v>
                </c:pt>
                <c:pt idx="45">
                  <c:v>3.0417399999999999</c:v>
                </c:pt>
                <c:pt idx="46">
                  <c:v>3.0327100000000002</c:v>
                </c:pt>
                <c:pt idx="47">
                  <c:v>3.0223599999999999</c:v>
                </c:pt>
                <c:pt idx="48">
                  <c:v>3.0129099999999998</c:v>
                </c:pt>
                <c:pt idx="49">
                  <c:v>3.0040699999999996</c:v>
                </c:pt>
                <c:pt idx="50">
                  <c:v>2.9959000000000002</c:v>
                </c:pt>
                <c:pt idx="51">
                  <c:v>2.9969600000000001</c:v>
                </c:pt>
                <c:pt idx="52">
                  <c:v>2.9946800000000002</c:v>
                </c:pt>
                <c:pt idx="53">
                  <c:v>2.9879600000000002</c:v>
                </c:pt>
                <c:pt idx="54">
                  <c:v>2.9775200000000002</c:v>
                </c:pt>
                <c:pt idx="55">
                  <c:v>2.9689900000000002</c:v>
                </c:pt>
                <c:pt idx="56">
                  <c:v>2.9611399999999999</c:v>
                </c:pt>
                <c:pt idx="57">
                  <c:v>2.9520999999999997</c:v>
                </c:pt>
                <c:pt idx="58">
                  <c:v>2.9481099999999998</c:v>
                </c:pt>
                <c:pt idx="59">
                  <c:v>2.9442699999999999</c:v>
                </c:pt>
                <c:pt idx="60">
                  <c:v>2.9380699999999997</c:v>
                </c:pt>
                <c:pt idx="61">
                  <c:v>2.92746</c:v>
                </c:pt>
                <c:pt idx="62">
                  <c:v>2.915</c:v>
                </c:pt>
                <c:pt idx="63">
                  <c:v>2.90517</c:v>
                </c:pt>
                <c:pt idx="64">
                  <c:v>2.8984999999999999</c:v>
                </c:pt>
                <c:pt idx="65">
                  <c:v>2.8921099999999997</c:v>
                </c:pt>
                <c:pt idx="66">
                  <c:v>2.88381</c:v>
                </c:pt>
                <c:pt idx="67">
                  <c:v>2.8807899999999997</c:v>
                </c:pt>
                <c:pt idx="68">
                  <c:v>2.8776899999999999</c:v>
                </c:pt>
                <c:pt idx="69">
                  <c:v>2.8658699999999997</c:v>
                </c:pt>
                <c:pt idx="70">
                  <c:v>2.84985</c:v>
                </c:pt>
                <c:pt idx="71">
                  <c:v>2.8361599999999996</c:v>
                </c:pt>
                <c:pt idx="72">
                  <c:v>2.8359000000000001</c:v>
                </c:pt>
                <c:pt idx="73">
                  <c:v>2.83623</c:v>
                </c:pt>
                <c:pt idx="74">
                  <c:v>2.8216900000000003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52.579600000000006</c:v>
                </c:pt>
                <c:pt idx="1">
                  <c:v>52.3748</c:v>
                </c:pt>
                <c:pt idx="2">
                  <c:v>52.117400000000004</c:v>
                </c:pt>
                <c:pt idx="3">
                  <c:v>51.748199999999997</c:v>
                </c:pt>
                <c:pt idx="4">
                  <c:v>51.357900000000001</c:v>
                </c:pt>
                <c:pt idx="5">
                  <c:v>50.992000000000004</c:v>
                </c:pt>
                <c:pt idx="6">
                  <c:v>50.6815</c:v>
                </c:pt>
                <c:pt idx="7">
                  <c:v>50.406500000000001</c:v>
                </c:pt>
                <c:pt idx="8">
                  <c:v>50.064100000000003</c:v>
                </c:pt>
                <c:pt idx="9">
                  <c:v>49.755000000000003</c:v>
                </c:pt>
                <c:pt idx="10">
                  <c:v>49.502400000000002</c:v>
                </c:pt>
                <c:pt idx="11">
                  <c:v>49.288699999999999</c:v>
                </c:pt>
                <c:pt idx="12">
                  <c:v>49.063899999999997</c:v>
                </c:pt>
                <c:pt idx="13">
                  <c:v>48.805100000000003</c:v>
                </c:pt>
                <c:pt idx="14">
                  <c:v>48.505099999999999</c:v>
                </c:pt>
                <c:pt idx="15">
                  <c:v>48.222099999999998</c:v>
                </c:pt>
                <c:pt idx="16">
                  <c:v>47.817100000000003</c:v>
                </c:pt>
                <c:pt idx="17">
                  <c:v>47.371699999999997</c:v>
                </c:pt>
                <c:pt idx="18">
                  <c:v>46.8782</c:v>
                </c:pt>
                <c:pt idx="19">
                  <c:v>46.3324</c:v>
                </c:pt>
                <c:pt idx="20">
                  <c:v>45.873100000000001</c:v>
                </c:pt>
                <c:pt idx="21">
                  <c:v>45.450200000000002</c:v>
                </c:pt>
                <c:pt idx="22">
                  <c:v>45.0976</c:v>
                </c:pt>
                <c:pt idx="23">
                  <c:v>44.7577</c:v>
                </c:pt>
                <c:pt idx="24">
                  <c:v>44.295000000000002</c:v>
                </c:pt>
                <c:pt idx="25">
                  <c:v>43.820799999999998</c:v>
                </c:pt>
                <c:pt idx="26">
                  <c:v>43.4786</c:v>
                </c:pt>
                <c:pt idx="27">
                  <c:v>43.110900000000001</c:v>
                </c:pt>
                <c:pt idx="28">
                  <c:v>42.896999999999998</c:v>
                </c:pt>
                <c:pt idx="29">
                  <c:v>42.754899999999999</c:v>
                </c:pt>
                <c:pt idx="30">
                  <c:v>42.704099999999997</c:v>
                </c:pt>
                <c:pt idx="31">
                  <c:v>42.643100000000004</c:v>
                </c:pt>
                <c:pt idx="32">
                  <c:v>42.471499999999999</c:v>
                </c:pt>
                <c:pt idx="33">
                  <c:v>42.363599999999998</c:v>
                </c:pt>
                <c:pt idx="34">
                  <c:v>42.1967</c:v>
                </c:pt>
                <c:pt idx="35">
                  <c:v>41.939799999999998</c:v>
                </c:pt>
                <c:pt idx="36">
                  <c:v>41.732700000000001</c:v>
                </c:pt>
                <c:pt idx="37">
                  <c:v>41.792400000000001</c:v>
                </c:pt>
                <c:pt idx="38">
                  <c:v>42.084700000000005</c:v>
                </c:pt>
                <c:pt idx="39">
                  <c:v>42.423499999999997</c:v>
                </c:pt>
                <c:pt idx="40">
                  <c:v>42.6751</c:v>
                </c:pt>
                <c:pt idx="41">
                  <c:v>42.9129</c:v>
                </c:pt>
                <c:pt idx="42">
                  <c:v>43.161999999999999</c:v>
                </c:pt>
                <c:pt idx="43">
                  <c:v>43.3703</c:v>
                </c:pt>
                <c:pt idx="44">
                  <c:v>43.7258</c:v>
                </c:pt>
                <c:pt idx="45">
                  <c:v>44.185499999999998</c:v>
                </c:pt>
                <c:pt idx="46">
                  <c:v>44.7789</c:v>
                </c:pt>
                <c:pt idx="47">
                  <c:v>45.366700000000002</c:v>
                </c:pt>
                <c:pt idx="48">
                  <c:v>45.887799999999999</c:v>
                </c:pt>
                <c:pt idx="49">
                  <c:v>46.363900000000001</c:v>
                </c:pt>
                <c:pt idx="50">
                  <c:v>46.794599999999996</c:v>
                </c:pt>
                <c:pt idx="51">
                  <c:v>46.997399999999999</c:v>
                </c:pt>
                <c:pt idx="52">
                  <c:v>47.328499999999998</c:v>
                </c:pt>
                <c:pt idx="53">
                  <c:v>47.794599999999996</c:v>
                </c:pt>
                <c:pt idx="54">
                  <c:v>48.393900000000002</c:v>
                </c:pt>
                <c:pt idx="55">
                  <c:v>48.903500000000001</c:v>
                </c:pt>
                <c:pt idx="56">
                  <c:v>49.306800000000003</c:v>
                </c:pt>
                <c:pt idx="57">
                  <c:v>49.685200000000002</c:v>
                </c:pt>
                <c:pt idx="58">
                  <c:v>49.916400000000003</c:v>
                </c:pt>
                <c:pt idx="59">
                  <c:v>50.141500000000008</c:v>
                </c:pt>
                <c:pt idx="60">
                  <c:v>50.465400000000002</c:v>
                </c:pt>
                <c:pt idx="61">
                  <c:v>50.937200000000004</c:v>
                </c:pt>
                <c:pt idx="62">
                  <c:v>51.338099999999997</c:v>
                </c:pt>
                <c:pt idx="63">
                  <c:v>51.474600000000002</c:v>
                </c:pt>
                <c:pt idx="64">
                  <c:v>51.512599999999999</c:v>
                </c:pt>
                <c:pt idx="65">
                  <c:v>51.5946</c:v>
                </c:pt>
                <c:pt idx="66">
                  <c:v>51.722900000000003</c:v>
                </c:pt>
                <c:pt idx="67">
                  <c:v>51.696799999999996</c:v>
                </c:pt>
                <c:pt idx="68">
                  <c:v>51.658300000000004</c:v>
                </c:pt>
                <c:pt idx="69">
                  <c:v>51.865899999999996</c:v>
                </c:pt>
                <c:pt idx="70">
                  <c:v>52.211200000000005</c:v>
                </c:pt>
                <c:pt idx="71">
                  <c:v>52.495800000000003</c:v>
                </c:pt>
                <c:pt idx="72">
                  <c:v>52.172399999999996</c:v>
                </c:pt>
                <c:pt idx="73">
                  <c:v>51.635399999999997</c:v>
                </c:pt>
                <c:pt idx="74">
                  <c:v>51.730699999999999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1.47634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71.604500000000002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2.8759981081081083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53.98029864864867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3.1965516216216217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47.396962162162161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3.1965516216216217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47.396962162162161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571</v>
      </c>
      <c r="D5" s="191"/>
      <c r="E5" s="191"/>
      <c r="F5" s="192"/>
      <c r="G5" s="48" t="str">
        <f>lang!B27</f>
        <v>编号</v>
      </c>
      <c r="H5" s="190">
        <v>6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570</v>
      </c>
      <c r="D6" s="145"/>
      <c r="E6" s="145"/>
      <c r="F6" s="146"/>
      <c r="G6" s="49" t="str">
        <f>lang!B28</f>
        <v xml:space="preserve"> 日期</v>
      </c>
      <c r="H6" s="129">
        <f>FH_info!A2</f>
        <v>43605.691435185188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52</v>
      </c>
      <c r="D7" s="148"/>
      <c r="E7" s="148"/>
      <c r="F7" s="149"/>
      <c r="G7" s="50" t="str">
        <f>lang!B29</f>
        <v>误差率（%）</v>
      </c>
      <c r="H7" s="132">
        <f>M!B17*1</f>
        <v>23.178100000000001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37.998100000000001</v>
      </c>
      <c r="O8" s="59">
        <f>M!C5*1</f>
        <v>9.6219599999999996</v>
      </c>
      <c r="P8" s="59">
        <f>M!D5*1</f>
        <v>25.322199999999999</v>
      </c>
      <c r="Q8" s="59">
        <f>M!E5*1</f>
        <v>20</v>
      </c>
      <c r="R8" s="59">
        <f>M!F5*1</f>
        <v>9.1751900000000006</v>
      </c>
      <c r="S8" s="59">
        <f>M!G5*1</f>
        <v>50</v>
      </c>
      <c r="T8" s="59">
        <f>M!H5*1</f>
        <v>46.703800000000001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28.1111</v>
      </c>
      <c r="O9" s="59">
        <f>M!C6*1</f>
        <v>3.93147</v>
      </c>
      <c r="P9" s="59">
        <f>M!D6*1</f>
        <v>13.9855</v>
      </c>
      <c r="Q9" s="59">
        <f>M!E6*1</f>
        <v>20</v>
      </c>
      <c r="R9" s="59">
        <f>M!F6*1</f>
        <v>15.751300000000001</v>
      </c>
      <c r="S9" s="59">
        <f>M!G6*1</f>
        <v>40</v>
      </c>
      <c r="T9" s="59">
        <f>M!H6*1</f>
        <v>34.068899999999999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9.1751900000000006</v>
      </c>
      <c r="D10" s="99">
        <f>N8</f>
        <v>37.998100000000001</v>
      </c>
      <c r="E10" s="100">
        <f>T8</f>
        <v>46.703800000000001</v>
      </c>
      <c r="F10" s="91">
        <f>P8</f>
        <v>25.322199999999999</v>
      </c>
      <c r="G10" s="81" t="str">
        <f>CONCATENATE(M9,"
(20 ~ 40)")</f>
        <v>压力
(20 ~ 40)</v>
      </c>
      <c r="H10" s="98">
        <f>R9</f>
        <v>15.751300000000001</v>
      </c>
      <c r="I10" s="108">
        <f>N9</f>
        <v>28.1111</v>
      </c>
      <c r="J10" s="98">
        <f>T9</f>
        <v>34.068899999999999</v>
      </c>
      <c r="K10" s="92">
        <f>P9</f>
        <v>13.9855</v>
      </c>
      <c r="L10" s="6"/>
      <c r="M10" s="27" t="str">
        <f>lang!B16</f>
        <v>焦虑</v>
      </c>
      <c r="N10" s="59">
        <f>M!B7*1</f>
        <v>30.654199999999999</v>
      </c>
      <c r="O10" s="59">
        <f>M!C7*1</f>
        <v>10.057499999999999</v>
      </c>
      <c r="P10" s="59">
        <f>M!D7*1</f>
        <v>32.8095</v>
      </c>
      <c r="Q10" s="59">
        <f>M!E7*1</f>
        <v>15</v>
      </c>
      <c r="R10" s="59">
        <f>M!F7*1</f>
        <v>11.3996</v>
      </c>
      <c r="S10" s="59">
        <f>M!G7*1</f>
        <v>40</v>
      </c>
      <c r="T10" s="59">
        <f>M!H7*1</f>
        <v>57.730899999999998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11.3996</v>
      </c>
      <c r="D11" s="102">
        <f>N10</f>
        <v>30.654199999999999</v>
      </c>
      <c r="E11" s="103">
        <f>T10</f>
        <v>57.730899999999998</v>
      </c>
      <c r="F11" s="94">
        <f>P10</f>
        <v>32.8095</v>
      </c>
      <c r="G11" s="52" t="str">
        <f>CONCATENATE(M11,"
(20 ~ 50)")</f>
        <v>可疑
(20 ~ 50)</v>
      </c>
      <c r="H11" s="101">
        <f>R11</f>
        <v>11.519299999999999</v>
      </c>
      <c r="I11" s="104">
        <f>N11</f>
        <v>31.980899999999998</v>
      </c>
      <c r="J11" s="101">
        <f>T11</f>
        <v>42.745399999999997</v>
      </c>
      <c r="K11" s="95">
        <f>P11</f>
        <v>19.824200000000001</v>
      </c>
      <c r="L11" s="4"/>
      <c r="M11" s="27" t="str">
        <f>lang!B17</f>
        <v>可疑</v>
      </c>
      <c r="N11" s="59">
        <f>M!B8*1</f>
        <v>31.980899999999998</v>
      </c>
      <c r="O11" s="59">
        <f>M!C8*1</f>
        <v>6.33995</v>
      </c>
      <c r="P11" s="59">
        <f>M!D8*1</f>
        <v>19.824200000000001</v>
      </c>
      <c r="Q11" s="59">
        <f>M!E8*1</f>
        <v>20</v>
      </c>
      <c r="R11" s="59">
        <f>M!F8*1</f>
        <v>11.519299999999999</v>
      </c>
      <c r="S11" s="59">
        <f>M!G8*1</f>
        <v>50</v>
      </c>
      <c r="T11" s="59">
        <f>M!H8*1</f>
        <v>42.745399999999997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30.248799999999999</v>
      </c>
      <c r="D12" s="104">
        <f>N12</f>
        <v>52.520099999999999</v>
      </c>
      <c r="E12" s="101">
        <f>T12</f>
        <v>89.024500000000003</v>
      </c>
      <c r="F12" s="93">
        <f>P12</f>
        <v>25.1449</v>
      </c>
      <c r="G12" s="52" t="str">
        <f>CONCATENATE(M13,"
(40 ~ 100)")</f>
        <v>自信
(40 ~ 100)</v>
      </c>
      <c r="H12" s="101">
        <f>R13</f>
        <v>63.592799999999997</v>
      </c>
      <c r="I12" s="104">
        <f>N13</f>
        <v>68.634</v>
      </c>
      <c r="J12" s="101">
        <f>T13</f>
        <v>87.478300000000004</v>
      </c>
      <c r="K12" s="95">
        <f>P13</f>
        <v>12.2249</v>
      </c>
      <c r="L12" s="4"/>
      <c r="M12" s="27" t="str">
        <f>lang!B18</f>
        <v>平衡</v>
      </c>
      <c r="N12" s="59">
        <f>M!B9*1</f>
        <v>52.520099999999999</v>
      </c>
      <c r="O12" s="59">
        <f>M!C9*1</f>
        <v>13.206099999999999</v>
      </c>
      <c r="P12" s="59">
        <f>M!D9*1</f>
        <v>25.1449</v>
      </c>
      <c r="Q12" s="59">
        <f>M!E9*1</f>
        <v>50</v>
      </c>
      <c r="R12" s="59">
        <f>M!F9*1</f>
        <v>30.248799999999999</v>
      </c>
      <c r="S12" s="59">
        <f>M!G9*1</f>
        <v>100</v>
      </c>
      <c r="T12" s="59">
        <f>M!H9*1</f>
        <v>89.024500000000003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6.9051900000000002</v>
      </c>
      <c r="D13" s="102">
        <f>N14</f>
        <v>19.7943</v>
      </c>
      <c r="E13" s="103">
        <f>T14</f>
        <v>28.517199999999999</v>
      </c>
      <c r="F13" s="94">
        <f>P14</f>
        <v>29.576499999999999</v>
      </c>
      <c r="G13" s="52" t="str">
        <f>CONCATENATE(M15,"
(50 ~ 100)")</f>
        <v>自我调节
(50 ~ 100)</v>
      </c>
      <c r="H13" s="101">
        <f>R15</f>
        <v>48.3371</v>
      </c>
      <c r="I13" s="104">
        <f>N15</f>
        <v>60.284599999999998</v>
      </c>
      <c r="J13" s="101">
        <f>T15</f>
        <v>88.174599999999998</v>
      </c>
      <c r="K13" s="95">
        <f>P15</f>
        <v>16.132899999999999</v>
      </c>
      <c r="L13" s="4"/>
      <c r="M13" s="27" t="str">
        <f>lang!B19</f>
        <v>自信</v>
      </c>
      <c r="N13" s="59">
        <f>M!B10*1</f>
        <v>68.634</v>
      </c>
      <c r="O13" s="59">
        <f>M!C10*1</f>
        <v>8.3904200000000007</v>
      </c>
      <c r="P13" s="59">
        <f>M!D10*1</f>
        <v>12.2249</v>
      </c>
      <c r="Q13" s="59">
        <f>M!E10*1</f>
        <v>40</v>
      </c>
      <c r="R13" s="59">
        <f>M!F10*1</f>
        <v>63.592799999999997</v>
      </c>
      <c r="S13" s="59">
        <f>M!G10*1</f>
        <v>100</v>
      </c>
      <c r="T13" s="59">
        <f>M!H10*1</f>
        <v>87.478300000000004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10.389699999999999</v>
      </c>
      <c r="D14" s="106">
        <f>N16</f>
        <v>13.3597</v>
      </c>
      <c r="E14" s="107">
        <f>T16</f>
        <v>25.682200000000002</v>
      </c>
      <c r="F14" s="96">
        <f>P16</f>
        <v>19.129200000000001</v>
      </c>
      <c r="G14" s="112" t="str">
        <f>CONCATENATE(M17,"
(10 ~ 50)")</f>
        <v>神经质
(10 ~ 50)</v>
      </c>
      <c r="H14" s="105">
        <f>R17</f>
        <v>0.40969299999999997</v>
      </c>
      <c r="I14" s="106">
        <f>N17</f>
        <v>25.556100000000001</v>
      </c>
      <c r="J14" s="107">
        <f>T17</f>
        <v>29.645600000000002</v>
      </c>
      <c r="K14" s="97">
        <f>P17</f>
        <v>37.631700000000002</v>
      </c>
      <c r="M14" s="27" t="str">
        <f>lang!B20</f>
        <v>活力</v>
      </c>
      <c r="N14" s="59">
        <f>M!B11*1</f>
        <v>19.7943</v>
      </c>
      <c r="O14" s="59">
        <f>M!C11*1</f>
        <v>5.8544600000000004</v>
      </c>
      <c r="P14" s="59">
        <f>M!D11*1</f>
        <v>29.576499999999999</v>
      </c>
      <c r="Q14" s="59">
        <f>M!E11*1</f>
        <v>10</v>
      </c>
      <c r="R14" s="59">
        <f>M!F11*1</f>
        <v>6.9051900000000002</v>
      </c>
      <c r="S14" s="59">
        <f>M!G11*1</f>
        <v>50</v>
      </c>
      <c r="T14" s="59">
        <f>M!H11*1</f>
        <v>28.517199999999999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60.284599999999998</v>
      </c>
      <c r="O15" s="59">
        <f>M!C12*1</f>
        <v>9.7256499999999999</v>
      </c>
      <c r="P15" s="59">
        <f>M!D12*1</f>
        <v>16.132899999999999</v>
      </c>
      <c r="Q15" s="59">
        <f>M!E12*1</f>
        <v>50</v>
      </c>
      <c r="R15" s="59">
        <f>M!F12*1</f>
        <v>48.3371</v>
      </c>
      <c r="S15" s="59">
        <f>M!G12*1</f>
        <v>100</v>
      </c>
      <c r="T15" s="59">
        <f>M!H12*1</f>
        <v>88.174599999999998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13.3597</v>
      </c>
      <c r="O16" s="59">
        <f>M!C13*1</f>
        <v>2.5556100000000002</v>
      </c>
      <c r="P16" s="59">
        <f>M!D13*1</f>
        <v>19.129200000000001</v>
      </c>
      <c r="Q16" s="59">
        <f>M!E13*1</f>
        <v>10</v>
      </c>
      <c r="R16" s="59">
        <f>M!F13*1</f>
        <v>10.389699999999999</v>
      </c>
      <c r="S16" s="59">
        <f>M!G13*1</f>
        <v>25</v>
      </c>
      <c r="T16" s="59">
        <f>M!H13*1</f>
        <v>25.682200000000002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25.556100000000001</v>
      </c>
      <c r="O17" s="59">
        <f>M!C14*1</f>
        <v>9.6171799999999994</v>
      </c>
      <c r="P17" s="59">
        <f>M!D14*1</f>
        <v>37.631700000000002</v>
      </c>
      <c r="Q17" s="59">
        <f>M!E14*1</f>
        <v>10</v>
      </c>
      <c r="R17" s="59">
        <f>M!F14*1</f>
        <v>0.40969299999999997</v>
      </c>
      <c r="S17" s="59">
        <f>M!G14*1</f>
        <v>50</v>
      </c>
      <c r="T17" s="59">
        <f>M!H14*1</f>
        <v>29.645600000000002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50.308250000000001</v>
      </c>
      <c r="O18" s="22">
        <f>N18/(N18+N19+N20)</f>
        <v>0.49344926018044238</v>
      </c>
      <c r="P18" s="65">
        <f>SUM(P12:P15)/4</f>
        <v>20.769799999999996</v>
      </c>
      <c r="Q18" s="22">
        <f>P18/(P18+P19+P20)</f>
        <v>0.28792718158579111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32.186075000000002</v>
      </c>
      <c r="O19" s="22">
        <f>N19/(N18+N19+N20)</f>
        <v>0.31569762209701657</v>
      </c>
      <c r="P19" s="18">
        <f>SUM(P8:P11)/4</f>
        <v>22.98535</v>
      </c>
      <c r="Q19" s="22">
        <f>P19/(P18+P19+P20)</f>
        <v>0.31864086525931712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19.457900000000002</v>
      </c>
      <c r="O20" s="22">
        <f>N20/(N18+N19+N20)</f>
        <v>0.19085311772254115</v>
      </c>
      <c r="P20" s="18">
        <f>(P16+P17)/2</f>
        <v>28.380450000000003</v>
      </c>
      <c r="Q20" s="22">
        <f>P20/(P18+P19+P20)</f>
        <v>0.3934319531548916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-9.7888716216216476E-2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1.5578132157716769</v>
      </c>
      <c r="D25" s="44" t="str">
        <f>lang!B11</f>
        <v>频率方差</v>
      </c>
      <c r="E25" s="182">
        <f ca="1">FH!L3</f>
        <v>0.55326394928352218</v>
      </c>
      <c r="F25" s="183"/>
      <c r="G25" s="174" t="str">
        <f>lang!B12</f>
        <v>生理变化率</v>
      </c>
      <c r="H25" s="175"/>
      <c r="I25" s="62" t="str">
        <f ca="1">CONCATENATE(info!M7,"-",info!M8)</f>
        <v>41.7-71.6</v>
      </c>
      <c r="J25" s="42" t="str">
        <f>lang!B13</f>
        <v>千卡l/分钟</v>
      </c>
      <c r="K25" s="41" t="str">
        <f ca="1">CONCATENATE(info!M5,"-",info!M6)</f>
        <v>1.5-3.7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61.710500000000003</v>
      </c>
      <c r="F28" s="121"/>
      <c r="G28" s="135" t="str">
        <f>lang!B33</f>
        <v>稳定性</v>
      </c>
      <c r="H28" s="136"/>
      <c r="I28" s="137"/>
      <c r="J28" s="138">
        <f>M!B19*100</f>
        <v>58.748400000000004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43605.691435185188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7.3826999999999998</v>
      </c>
      <c r="O7" s="59">
        <f t="shared" ref="O7:T7" si="2">AG7-X7</f>
        <v>-7.0118299999999998</v>
      </c>
      <c r="P7" s="59">
        <f t="shared" si="2"/>
        <v>-22.285050000000002</v>
      </c>
      <c r="Q7" s="59">
        <f t="shared" si="2"/>
        <v>0</v>
      </c>
      <c r="R7" s="59">
        <f t="shared" si="2"/>
        <v>24.931710000000002</v>
      </c>
      <c r="S7" s="59">
        <f t="shared" si="2"/>
        <v>0</v>
      </c>
      <c r="T7" s="59">
        <f t="shared" si="2"/>
        <v>4.3864999999999981</v>
      </c>
      <c r="U7" s="14"/>
      <c r="V7" s="27" t="str">
        <f>M7</f>
        <v>攻击性</v>
      </c>
      <c r="W7" s="59">
        <f>'M1'!B5*1</f>
        <v>33.997199999999999</v>
      </c>
      <c r="X7" s="59">
        <f>'M1'!C5*1</f>
        <v>10.175599999999999</v>
      </c>
      <c r="Y7" s="59">
        <f>'M1'!D5*1</f>
        <v>29.930700000000002</v>
      </c>
      <c r="Z7" s="59">
        <f>'M1'!E5*1</f>
        <v>20</v>
      </c>
      <c r="AA7" s="59">
        <f>'M1'!F5*1</f>
        <v>9.1751900000000006</v>
      </c>
      <c r="AB7" s="59">
        <f>'M1'!G5*1</f>
        <v>50</v>
      </c>
      <c r="AC7" s="59">
        <f>'M1'!H5*1</f>
        <v>42.317300000000003</v>
      </c>
      <c r="AE7" s="27" t="str">
        <f>V7</f>
        <v>攻击性</v>
      </c>
      <c r="AF7" s="59">
        <f>'M2'!B5*1</f>
        <v>41.379899999999999</v>
      </c>
      <c r="AG7" s="59">
        <f>'M2'!C5*1</f>
        <v>3.16377</v>
      </c>
      <c r="AH7" s="59">
        <f>'M2'!D5*1</f>
        <v>7.6456499999999998</v>
      </c>
      <c r="AI7" s="59">
        <f>'M2'!E5*1</f>
        <v>20</v>
      </c>
      <c r="AJ7" s="59">
        <f>'M2'!F5*1</f>
        <v>34.106900000000003</v>
      </c>
      <c r="AK7" s="59">
        <f>'M2'!G5*1</f>
        <v>50</v>
      </c>
      <c r="AL7" s="59">
        <f>'M2'!H5*1</f>
        <v>46.703800000000001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3.6128</v>
      </c>
      <c r="O8" s="59">
        <f t="shared" ref="O8:O16" si="5">AG8-X8</f>
        <v>-3.6270200000000004</v>
      </c>
      <c r="P8" s="59">
        <f t="shared" ref="P8:P16" si="6">AH8-Y8</f>
        <v>-15.33568</v>
      </c>
      <c r="Q8" s="59">
        <f t="shared" ref="Q8:Q16" si="7">AI8-Z8</f>
        <v>0</v>
      </c>
      <c r="R8" s="59">
        <f t="shared" ref="R8:R16" si="8">AJ8-AA8</f>
        <v>9.7304999999999993</v>
      </c>
      <c r="S8" s="59">
        <f t="shared" ref="S8:S16" si="9">AK8-AB8</f>
        <v>0</v>
      </c>
      <c r="T8" s="59">
        <f t="shared" ref="T8:T16" si="10">AL8-AC8</f>
        <v>-3.8643000000000001</v>
      </c>
      <c r="U8" s="15"/>
      <c r="V8" s="27" t="str">
        <f t="shared" ref="V8:V16" si="11">M8</f>
        <v>压力</v>
      </c>
      <c r="W8" s="59">
        <f>'M1'!B6*1</f>
        <v>24.620699999999999</v>
      </c>
      <c r="X8" s="59">
        <f>'M1'!C6*1</f>
        <v>4.7894300000000003</v>
      </c>
      <c r="Y8" s="59">
        <f>'M1'!D6*1</f>
        <v>19.4528</v>
      </c>
      <c r="Z8" s="59">
        <f>'M1'!E6*1</f>
        <v>20</v>
      </c>
      <c r="AA8" s="59">
        <f>'M1'!F6*1</f>
        <v>15.751300000000001</v>
      </c>
      <c r="AB8" s="59">
        <f>'M1'!G6*1</f>
        <v>40</v>
      </c>
      <c r="AC8" s="59">
        <f>'M1'!H6*1</f>
        <v>34.068899999999999</v>
      </c>
      <c r="AE8" s="27" t="str">
        <f t="shared" ref="AE8:AE16" si="12">V8</f>
        <v>压力</v>
      </c>
      <c r="AF8" s="59">
        <f>'M2'!B6*1</f>
        <v>28.233499999999999</v>
      </c>
      <c r="AG8" s="59">
        <f>'M2'!C6*1</f>
        <v>1.1624099999999999</v>
      </c>
      <c r="AH8" s="59">
        <f>'M2'!D6*1</f>
        <v>4.1171199999999999</v>
      </c>
      <c r="AI8" s="59">
        <f>'M2'!E6*1</f>
        <v>20</v>
      </c>
      <c r="AJ8" s="59">
        <f>'M2'!F6*1</f>
        <v>25.4818</v>
      </c>
      <c r="AK8" s="59">
        <f>'M2'!G6*1</f>
        <v>40</v>
      </c>
      <c r="AL8" s="59">
        <f>'M2'!H6*1</f>
        <v>30.204599999999999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24.931710000000002</v>
      </c>
      <c r="D9" s="78">
        <f>N7</f>
        <v>7.3826999999999998</v>
      </c>
      <c r="E9" s="79">
        <f>T7</f>
        <v>4.3864999999999981</v>
      </c>
      <c r="F9" s="79">
        <f>P7</f>
        <v>-22.285050000000002</v>
      </c>
      <c r="G9" s="80" t="str">
        <f>CONCATENATE(M8,"
(20 ~ 40)")</f>
        <v>压力
(20 ~ 40)</v>
      </c>
      <c r="H9" s="77">
        <f>R8</f>
        <v>9.7304999999999993</v>
      </c>
      <c r="I9" s="81">
        <f>N8</f>
        <v>3.6128</v>
      </c>
      <c r="J9" s="77">
        <f>T8</f>
        <v>-3.8643000000000001</v>
      </c>
      <c r="K9" s="82">
        <f>P8</f>
        <v>-15.33568</v>
      </c>
      <c r="L9" s="6"/>
      <c r="M9" s="27" t="str">
        <f>lang!B16</f>
        <v>焦虑</v>
      </c>
      <c r="N9" s="59">
        <f t="shared" si="4"/>
        <v>-1.8115999999999985</v>
      </c>
      <c r="O9" s="59">
        <f t="shared" si="5"/>
        <v>3.5183800000000005</v>
      </c>
      <c r="P9" s="59">
        <f t="shared" si="6"/>
        <v>12.988099999999999</v>
      </c>
      <c r="Q9" s="59">
        <f t="shared" si="7"/>
        <v>0</v>
      </c>
      <c r="R9" s="59">
        <f t="shared" si="8"/>
        <v>2.407</v>
      </c>
      <c r="S9" s="59">
        <f t="shared" si="9"/>
        <v>0</v>
      </c>
      <c r="T9" s="59">
        <f t="shared" si="10"/>
        <v>5.8768999999999991</v>
      </c>
      <c r="U9" s="14"/>
      <c r="V9" s="27" t="str">
        <f t="shared" si="11"/>
        <v>焦虑</v>
      </c>
      <c r="W9" s="59">
        <f>'M1'!B7*1</f>
        <v>32.335099999999997</v>
      </c>
      <c r="X9" s="59">
        <f>'M1'!C7*1</f>
        <v>7.96082</v>
      </c>
      <c r="Y9" s="59">
        <f>'M1'!D7*1</f>
        <v>24.619800000000001</v>
      </c>
      <c r="Z9" s="59">
        <f>'M1'!E7*1</f>
        <v>15</v>
      </c>
      <c r="AA9" s="59">
        <f>'M1'!F7*1</f>
        <v>11.3996</v>
      </c>
      <c r="AB9" s="59">
        <f>'M1'!G7*1</f>
        <v>40</v>
      </c>
      <c r="AC9" s="59">
        <f>'M1'!H7*1</f>
        <v>51.853999999999999</v>
      </c>
      <c r="AE9" s="27" t="str">
        <f t="shared" si="12"/>
        <v>焦虑</v>
      </c>
      <c r="AF9" s="59">
        <f>'M2'!B7*1</f>
        <v>30.523499999999999</v>
      </c>
      <c r="AG9" s="59">
        <f>'M2'!C7*1</f>
        <v>11.479200000000001</v>
      </c>
      <c r="AH9" s="59">
        <f>'M2'!D7*1</f>
        <v>37.607900000000001</v>
      </c>
      <c r="AI9" s="59">
        <f>'M2'!E7*1</f>
        <v>15</v>
      </c>
      <c r="AJ9" s="59">
        <f>'M2'!F7*1</f>
        <v>13.8066</v>
      </c>
      <c r="AK9" s="59">
        <f>'M2'!G7*1</f>
        <v>40</v>
      </c>
      <c r="AL9" s="59">
        <f>'M2'!H7*1</f>
        <v>57.730899999999998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2.407</v>
      </c>
      <c r="D10" s="51">
        <f>N9</f>
        <v>-1.8115999999999985</v>
      </c>
      <c r="E10" s="53">
        <f>T9</f>
        <v>5.8768999999999991</v>
      </c>
      <c r="F10" s="53">
        <f>P9</f>
        <v>12.988099999999999</v>
      </c>
      <c r="G10" s="73" t="str">
        <f>CONCATENATE(M10,"
(20 ~ 50)")</f>
        <v>可疑
(20 ~ 50)</v>
      </c>
      <c r="H10" s="24">
        <f>R10</f>
        <v>16.933399999999999</v>
      </c>
      <c r="I10" s="52">
        <f>N10</f>
        <v>4.9552000000000049</v>
      </c>
      <c r="J10" s="24">
        <f>T10</f>
        <v>5.9271999999999991</v>
      </c>
      <c r="K10" s="25">
        <f>P10</f>
        <v>-8.4204000000000008</v>
      </c>
      <c r="L10" s="4"/>
      <c r="M10" s="27" t="str">
        <f>lang!B17</f>
        <v>可疑</v>
      </c>
      <c r="N10" s="59">
        <f t="shared" si="4"/>
        <v>4.9552000000000049</v>
      </c>
      <c r="O10" s="59">
        <f t="shared" si="5"/>
        <v>-1.72987</v>
      </c>
      <c r="P10" s="59">
        <f t="shared" si="6"/>
        <v>-8.4204000000000008</v>
      </c>
      <c r="Q10" s="59">
        <f t="shared" si="7"/>
        <v>0</v>
      </c>
      <c r="R10" s="59">
        <f t="shared" si="8"/>
        <v>16.933399999999999</v>
      </c>
      <c r="S10" s="59">
        <f t="shared" si="9"/>
        <v>0</v>
      </c>
      <c r="T10" s="59">
        <f t="shared" si="10"/>
        <v>5.9271999999999991</v>
      </c>
      <c r="U10" s="14"/>
      <c r="V10" s="27" t="str">
        <f t="shared" si="11"/>
        <v>可疑</v>
      </c>
      <c r="W10" s="59">
        <f>'M1'!B8*1</f>
        <v>28.304099999999998</v>
      </c>
      <c r="X10" s="59">
        <f>'M1'!C8*1</f>
        <v>6.1158999999999999</v>
      </c>
      <c r="Y10" s="59">
        <f>'M1'!D8*1</f>
        <v>21.607800000000001</v>
      </c>
      <c r="Z10" s="59">
        <f>'M1'!E8*1</f>
        <v>20</v>
      </c>
      <c r="AA10" s="59">
        <f>'M1'!F8*1</f>
        <v>11.519299999999999</v>
      </c>
      <c r="AB10" s="59">
        <f>'M1'!G8*1</f>
        <v>50</v>
      </c>
      <c r="AC10" s="59">
        <f>'M1'!H8*1</f>
        <v>36.818199999999997</v>
      </c>
      <c r="AE10" s="27" t="str">
        <f t="shared" si="12"/>
        <v>可疑</v>
      </c>
      <c r="AF10" s="59">
        <f>'M2'!B8*1</f>
        <v>33.259300000000003</v>
      </c>
      <c r="AG10" s="59">
        <f>'M2'!C8*1</f>
        <v>4.3860299999999999</v>
      </c>
      <c r="AH10" s="59">
        <f>'M2'!D8*1</f>
        <v>13.1874</v>
      </c>
      <c r="AI10" s="59">
        <f>'M2'!E8*1</f>
        <v>20</v>
      </c>
      <c r="AJ10" s="59">
        <f>'M2'!F8*1</f>
        <v>28.4527</v>
      </c>
      <c r="AK10" s="59">
        <f>'M2'!G8*1</f>
        <v>50</v>
      </c>
      <c r="AL10" s="59">
        <f>'M2'!H8*1</f>
        <v>42.745399999999997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-7.9312000000000005</v>
      </c>
      <c r="D11" s="52">
        <f>N11</f>
        <v>-17.203300000000006</v>
      </c>
      <c r="E11" s="24">
        <f>T11</f>
        <v>-28.283900000000003</v>
      </c>
      <c r="F11" s="24">
        <f>P11</f>
        <v>0.50150000000000006</v>
      </c>
      <c r="G11" s="73" t="str">
        <f>CONCATENATE(M12,"
(40 ~ 100)")</f>
        <v>自信
(40 ~ 100)</v>
      </c>
      <c r="H11" s="24">
        <f>R12</f>
        <v>-2.6191000000000031</v>
      </c>
      <c r="I11" s="52">
        <f>N12</f>
        <v>-17.914900000000003</v>
      </c>
      <c r="J11" s="24">
        <f>T12</f>
        <v>-18.201900000000009</v>
      </c>
      <c r="K11" s="25">
        <f>P12</f>
        <v>-7.4004900000000005</v>
      </c>
      <c r="L11" s="4"/>
      <c r="M11" s="27" t="str">
        <f>lang!B18</f>
        <v>平衡</v>
      </c>
      <c r="N11" s="59">
        <f t="shared" si="4"/>
        <v>-17.203300000000006</v>
      </c>
      <c r="O11" s="59">
        <f t="shared" si="5"/>
        <v>-3.2415300000000009</v>
      </c>
      <c r="P11" s="59">
        <f t="shared" si="6"/>
        <v>0.50150000000000006</v>
      </c>
      <c r="Q11" s="59">
        <f t="shared" si="7"/>
        <v>0</v>
      </c>
      <c r="R11" s="59">
        <f t="shared" si="8"/>
        <v>-7.9312000000000005</v>
      </c>
      <c r="S11" s="59">
        <f t="shared" si="9"/>
        <v>0</v>
      </c>
      <c r="T11" s="59">
        <f t="shared" si="10"/>
        <v>-28.283900000000003</v>
      </c>
      <c r="U11" s="14"/>
      <c r="V11" s="27" t="str">
        <f t="shared" si="11"/>
        <v>平衡</v>
      </c>
      <c r="W11" s="59">
        <f>'M1'!B9*1</f>
        <v>59.216700000000003</v>
      </c>
      <c r="X11" s="59">
        <f>'M1'!C9*1</f>
        <v>11.883100000000001</v>
      </c>
      <c r="Y11" s="59">
        <f>'M1'!D9*1</f>
        <v>20.0671</v>
      </c>
      <c r="Z11" s="59">
        <f>'M1'!E9*1</f>
        <v>50</v>
      </c>
      <c r="AA11" s="59">
        <f>'M1'!F9*1</f>
        <v>38.18</v>
      </c>
      <c r="AB11" s="59">
        <f>'M1'!G9*1</f>
        <v>100</v>
      </c>
      <c r="AC11" s="59">
        <f>'M1'!H9*1</f>
        <v>89.024500000000003</v>
      </c>
      <c r="AE11" s="27" t="str">
        <f t="shared" si="12"/>
        <v>平衡</v>
      </c>
      <c r="AF11" s="59">
        <f>'M2'!B9*1</f>
        <v>42.013399999999997</v>
      </c>
      <c r="AG11" s="59">
        <f>'M2'!C9*1</f>
        <v>8.6415699999999998</v>
      </c>
      <c r="AH11" s="59">
        <f>'M2'!D9*1</f>
        <v>20.5686</v>
      </c>
      <c r="AI11" s="59">
        <f>'M2'!E9*1</f>
        <v>50</v>
      </c>
      <c r="AJ11" s="59">
        <f>'M2'!F9*1</f>
        <v>30.248799999999999</v>
      </c>
      <c r="AK11" s="59">
        <f>'M2'!G9*1</f>
        <v>100</v>
      </c>
      <c r="AL11" s="59">
        <f>'M2'!H9*1</f>
        <v>60.740600000000001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11.076309999999999</v>
      </c>
      <c r="D12" s="51">
        <f>N13</f>
        <v>6.4242000000000008</v>
      </c>
      <c r="E12" s="53">
        <f>T13</f>
        <v>2.7667000000000002</v>
      </c>
      <c r="F12" s="53">
        <f>P13</f>
        <v>-20.767099999999999</v>
      </c>
      <c r="G12" s="73" t="str">
        <f>CONCATENATE(M14,"
(50 ~ 100)")</f>
        <v>自我调节
(50 ~ 100)</v>
      </c>
      <c r="H12" s="24">
        <f>R14</f>
        <v>-4.922699999999999</v>
      </c>
      <c r="I12" s="52">
        <f>N14</f>
        <v>-15.420399999999994</v>
      </c>
      <c r="J12" s="24">
        <f>T14</f>
        <v>-23.637699999999995</v>
      </c>
      <c r="K12" s="25">
        <f>P14</f>
        <v>-4.5590100000000007</v>
      </c>
      <c r="L12" s="4"/>
      <c r="M12" s="27" t="str">
        <f>lang!B19</f>
        <v>自信</v>
      </c>
      <c r="N12" s="59">
        <f t="shared" si="4"/>
        <v>-17.914900000000003</v>
      </c>
      <c r="O12" s="59">
        <f t="shared" si="5"/>
        <v>-6.6554699999999993</v>
      </c>
      <c r="P12" s="59">
        <f t="shared" si="6"/>
        <v>-7.4004900000000005</v>
      </c>
      <c r="Q12" s="59">
        <f t="shared" si="7"/>
        <v>0</v>
      </c>
      <c r="R12" s="59">
        <f t="shared" si="8"/>
        <v>-2.6191000000000031</v>
      </c>
      <c r="S12" s="59">
        <f t="shared" si="9"/>
        <v>0</v>
      </c>
      <c r="T12" s="59">
        <f t="shared" si="10"/>
        <v>-18.201900000000009</v>
      </c>
      <c r="U12" s="15"/>
      <c r="V12" s="27" t="str">
        <f t="shared" si="11"/>
        <v>自信</v>
      </c>
      <c r="W12" s="59">
        <f>'M1'!B10*1</f>
        <v>84.317999999999998</v>
      </c>
      <c r="X12" s="59">
        <f>'M1'!C10*1</f>
        <v>8.1956399999999991</v>
      </c>
      <c r="Y12" s="59">
        <f>'M1'!D10*1</f>
        <v>9.7199100000000005</v>
      </c>
      <c r="Z12" s="59">
        <f>'M1'!E10*1</f>
        <v>40</v>
      </c>
      <c r="AA12" s="59">
        <f>'M1'!F10*1</f>
        <v>66.2119</v>
      </c>
      <c r="AB12" s="59">
        <f>'M1'!G10*1</f>
        <v>100</v>
      </c>
      <c r="AC12" s="59">
        <f>'M1'!H10*1</f>
        <v>87.478300000000004</v>
      </c>
      <c r="AE12" s="27" t="str">
        <f t="shared" si="12"/>
        <v>自信</v>
      </c>
      <c r="AF12" s="59">
        <f>'M2'!B10*1</f>
        <v>66.403099999999995</v>
      </c>
      <c r="AG12" s="59">
        <f>'M2'!C10*1</f>
        <v>1.54017</v>
      </c>
      <c r="AH12" s="59">
        <f>'M2'!D10*1</f>
        <v>2.31942</v>
      </c>
      <c r="AI12" s="59">
        <f>'M2'!E10*1</f>
        <v>40</v>
      </c>
      <c r="AJ12" s="59">
        <f>'M2'!F10*1</f>
        <v>63.592799999999997</v>
      </c>
      <c r="AK12" s="59">
        <f>'M2'!G10*1</f>
        <v>100</v>
      </c>
      <c r="AL12" s="59">
        <f>'M2'!H10*1</f>
        <v>69.276399999999995</v>
      </c>
    </row>
    <row r="13" spans="2:38" ht="25.5" customHeight="1" thickBot="1">
      <c r="B13" s="72" t="str">
        <f>CONCATENATE(M15,"
(10 ~ 25)")</f>
        <v>抑郁
(10 ~ 25)</v>
      </c>
      <c r="C13" s="54">
        <f>R15</f>
        <v>1.7100000000001003E-2</v>
      </c>
      <c r="D13" s="55">
        <f>N15</f>
        <v>0.80819999999999936</v>
      </c>
      <c r="E13" s="56">
        <f>T15</f>
        <v>-5.5595000000000034</v>
      </c>
      <c r="F13" s="56">
        <f>P15</f>
        <v>-7.7668999999999979</v>
      </c>
      <c r="G13" s="74" t="str">
        <f>CONCATENATE(M16,"
(10 ~ 50)")</f>
        <v>神经质
(10 ~ 50)</v>
      </c>
      <c r="H13" s="54">
        <f>R16</f>
        <v>0.7317570000000001</v>
      </c>
      <c r="I13" s="55">
        <f>N16</f>
        <v>-8.8655000000000008</v>
      </c>
      <c r="J13" s="56">
        <f>T16</f>
        <v>-5.4500000000000881E-2</v>
      </c>
      <c r="K13" s="57">
        <f>P16</f>
        <v>21.861599999999999</v>
      </c>
      <c r="M13" s="27" t="str">
        <f>lang!B20</f>
        <v>活力</v>
      </c>
      <c r="N13" s="59">
        <f t="shared" si="4"/>
        <v>6.4242000000000008</v>
      </c>
      <c r="O13" s="59">
        <f t="shared" si="5"/>
        <v>-2.2226300000000001</v>
      </c>
      <c r="P13" s="59">
        <f t="shared" si="6"/>
        <v>-20.767099999999999</v>
      </c>
      <c r="Q13" s="59">
        <f t="shared" si="7"/>
        <v>0</v>
      </c>
      <c r="R13" s="59">
        <f t="shared" si="8"/>
        <v>11.076309999999999</v>
      </c>
      <c r="S13" s="59">
        <f t="shared" si="9"/>
        <v>0</v>
      </c>
      <c r="T13" s="59">
        <f t="shared" si="10"/>
        <v>2.7667000000000002</v>
      </c>
      <c r="U13" s="14"/>
      <c r="V13" s="27" t="str">
        <f t="shared" si="11"/>
        <v>活力</v>
      </c>
      <c r="W13" s="59">
        <f>'M1'!B11*1</f>
        <v>15.895200000000001</v>
      </c>
      <c r="X13" s="59">
        <f>'M1'!C11*1</f>
        <v>5.9690099999999999</v>
      </c>
      <c r="Y13" s="59">
        <f>'M1'!D11*1</f>
        <v>37.552399999999999</v>
      </c>
      <c r="Z13" s="59">
        <f>'M1'!E11*1</f>
        <v>10</v>
      </c>
      <c r="AA13" s="59">
        <f>'M1'!F11*1</f>
        <v>6.9051900000000002</v>
      </c>
      <c r="AB13" s="59">
        <f>'M1'!G11*1</f>
        <v>50</v>
      </c>
      <c r="AC13" s="59">
        <f>'M1'!H11*1</f>
        <v>25.750499999999999</v>
      </c>
      <c r="AE13" s="27" t="str">
        <f t="shared" si="12"/>
        <v>活力</v>
      </c>
      <c r="AF13" s="59">
        <f>'M2'!B11*1</f>
        <v>22.319400000000002</v>
      </c>
      <c r="AG13" s="59">
        <f>'M2'!C11*1</f>
        <v>3.7463799999999998</v>
      </c>
      <c r="AH13" s="59">
        <f>'M2'!D11*1</f>
        <v>16.785299999999999</v>
      </c>
      <c r="AI13" s="59">
        <f>'M2'!E11*1</f>
        <v>10</v>
      </c>
      <c r="AJ13" s="59">
        <f>'M2'!F11*1</f>
        <v>17.9815</v>
      </c>
      <c r="AK13" s="59">
        <f>'M2'!G11*1</f>
        <v>50</v>
      </c>
      <c r="AL13" s="59">
        <f>'M2'!H11*1</f>
        <v>28.517199999999999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-15.420399999999994</v>
      </c>
      <c r="O14" s="59">
        <f t="shared" si="5"/>
        <v>-4.3674299999999997</v>
      </c>
      <c r="P14" s="59">
        <f t="shared" si="6"/>
        <v>-4.5590100000000007</v>
      </c>
      <c r="Q14" s="59">
        <f t="shared" si="7"/>
        <v>0</v>
      </c>
      <c r="R14" s="59">
        <f t="shared" si="8"/>
        <v>-4.922699999999999</v>
      </c>
      <c r="S14" s="59">
        <f t="shared" si="9"/>
        <v>0</v>
      </c>
      <c r="T14" s="59">
        <f t="shared" si="10"/>
        <v>-23.637699999999995</v>
      </c>
      <c r="U14" s="14"/>
      <c r="V14" s="27" t="str">
        <f t="shared" si="11"/>
        <v>自我调节</v>
      </c>
      <c r="W14" s="59">
        <f>'M1'!B12*1</f>
        <v>70.111099999999993</v>
      </c>
      <c r="X14" s="59">
        <f>'M1'!C12*1</f>
        <v>8.5206900000000001</v>
      </c>
      <c r="Y14" s="59">
        <f>'M1'!D12*1</f>
        <v>12.1531</v>
      </c>
      <c r="Z14" s="59">
        <f>'M1'!E12*1</f>
        <v>50</v>
      </c>
      <c r="AA14" s="59">
        <f>'M1'!F12*1</f>
        <v>53.259799999999998</v>
      </c>
      <c r="AB14" s="59">
        <f>'M1'!G12*1</f>
        <v>100</v>
      </c>
      <c r="AC14" s="59">
        <f>'M1'!H12*1</f>
        <v>88.174599999999998</v>
      </c>
      <c r="AE14" s="27" t="str">
        <f t="shared" si="12"/>
        <v>自我调节</v>
      </c>
      <c r="AF14" s="59">
        <f>'M2'!B12*1</f>
        <v>54.6907</v>
      </c>
      <c r="AG14" s="59">
        <f>'M2'!C12*1</f>
        <v>4.1532600000000004</v>
      </c>
      <c r="AH14" s="59">
        <f>'M2'!D12*1</f>
        <v>7.5940899999999996</v>
      </c>
      <c r="AI14" s="59">
        <f>'M2'!E12*1</f>
        <v>50</v>
      </c>
      <c r="AJ14" s="59">
        <f>'M2'!F12*1</f>
        <v>48.3371</v>
      </c>
      <c r="AK14" s="59">
        <f>'M2'!G12*1</f>
        <v>100</v>
      </c>
      <c r="AL14" s="59">
        <f>'M2'!H12*1</f>
        <v>64.536900000000003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0.80819999999999936</v>
      </c>
      <c r="O15" s="59">
        <f t="shared" si="5"/>
        <v>-0.88654999999999973</v>
      </c>
      <c r="P15" s="59">
        <f t="shared" si="6"/>
        <v>-7.7668999999999979</v>
      </c>
      <c r="Q15" s="59">
        <f t="shared" si="7"/>
        <v>0</v>
      </c>
      <c r="R15" s="59">
        <f t="shared" si="8"/>
        <v>1.7100000000001003E-2</v>
      </c>
      <c r="S15" s="59">
        <f t="shared" si="9"/>
        <v>0</v>
      </c>
      <c r="T15" s="59">
        <f t="shared" si="10"/>
        <v>-5.5595000000000034</v>
      </c>
      <c r="U15" s="14"/>
      <c r="V15" s="27" t="str">
        <f t="shared" si="11"/>
        <v>抑郁</v>
      </c>
      <c r="W15" s="59">
        <f>'M1'!B13*1</f>
        <v>12.980700000000001</v>
      </c>
      <c r="X15" s="59">
        <f>'M1'!C13*1</f>
        <v>2.9618799999999998</v>
      </c>
      <c r="Y15" s="59">
        <f>'M1'!D13*1</f>
        <v>22.817599999999999</v>
      </c>
      <c r="Z15" s="59">
        <f>'M1'!E13*1</f>
        <v>10</v>
      </c>
      <c r="AA15" s="59">
        <f>'M1'!F13*1</f>
        <v>10.389699999999999</v>
      </c>
      <c r="AB15" s="59">
        <f>'M1'!G13*1</f>
        <v>25</v>
      </c>
      <c r="AC15" s="59">
        <f>'M1'!H13*1</f>
        <v>25.682200000000002</v>
      </c>
      <c r="AE15" s="27" t="str">
        <f t="shared" si="12"/>
        <v>抑郁</v>
      </c>
      <c r="AF15" s="59">
        <f>'M2'!B13*1</f>
        <v>13.7889</v>
      </c>
      <c r="AG15" s="59">
        <f>'M2'!C13*1</f>
        <v>2.0753300000000001</v>
      </c>
      <c r="AH15" s="59">
        <f>'M2'!D13*1</f>
        <v>15.050700000000001</v>
      </c>
      <c r="AI15" s="59">
        <f>'M2'!E13*1</f>
        <v>10</v>
      </c>
      <c r="AJ15" s="59">
        <f>'M2'!F13*1</f>
        <v>10.4068</v>
      </c>
      <c r="AK15" s="59">
        <f>'M2'!G13*1</f>
        <v>25</v>
      </c>
      <c r="AL15" s="59">
        <f>'M2'!H13*1</f>
        <v>20.122699999999998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-8.8655000000000008</v>
      </c>
      <c r="O16" s="59">
        <f t="shared" si="5"/>
        <v>2.1112900000000003</v>
      </c>
      <c r="P16" s="59">
        <f t="shared" si="6"/>
        <v>21.861599999999999</v>
      </c>
      <c r="Q16" s="59">
        <f t="shared" si="7"/>
        <v>0</v>
      </c>
      <c r="R16" s="59">
        <f t="shared" si="8"/>
        <v>0.7317570000000001</v>
      </c>
      <c r="S16" s="59">
        <f t="shared" si="9"/>
        <v>0</v>
      </c>
      <c r="T16" s="59">
        <f t="shared" si="10"/>
        <v>-5.4500000000000881E-2</v>
      </c>
      <c r="U16" s="15"/>
      <c r="V16" s="27" t="str">
        <f t="shared" si="11"/>
        <v>神经质</v>
      </c>
      <c r="W16" s="59">
        <f>'M1'!B14*1</f>
        <v>29.6188</v>
      </c>
      <c r="X16" s="59">
        <f>'M1'!C14*1</f>
        <v>8.1041100000000004</v>
      </c>
      <c r="Y16" s="59">
        <f>'M1'!D14*1</f>
        <v>27.3614</v>
      </c>
      <c r="Z16" s="59">
        <f>'M1'!E14*1</f>
        <v>10</v>
      </c>
      <c r="AA16" s="59">
        <f>'M1'!F14*1</f>
        <v>0.40969299999999997</v>
      </c>
      <c r="AB16" s="59">
        <f>'M1'!G14*1</f>
        <v>50</v>
      </c>
      <c r="AC16" s="59">
        <f>'M1'!H14*1</f>
        <v>29.645600000000002</v>
      </c>
      <c r="AE16" s="27" t="str">
        <f t="shared" si="12"/>
        <v>神经质</v>
      </c>
      <c r="AF16" s="59">
        <f>'M2'!B14*1</f>
        <v>20.753299999999999</v>
      </c>
      <c r="AG16" s="59">
        <f>'M2'!C14*1</f>
        <v>10.215400000000001</v>
      </c>
      <c r="AH16" s="59">
        <f>'M2'!D14*1</f>
        <v>49.222999999999999</v>
      </c>
      <c r="AI16" s="59">
        <f>'M2'!E14*1</f>
        <v>10</v>
      </c>
      <c r="AJ16" s="59">
        <f>'M2'!F14*1</f>
        <v>1.1414500000000001</v>
      </c>
      <c r="AK16" s="59">
        <f>'M2'!G14*1</f>
        <v>50</v>
      </c>
      <c r="AL16" s="59">
        <f>'M2'!H14*1</f>
        <v>29.591100000000001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-11.028600000000001</v>
      </c>
      <c r="O17" s="22">
        <f>N17/(N17+N18+N19)</f>
        <v>0.95713811485813605</v>
      </c>
      <c r="P17" s="65">
        <f>SUM(P11:P14)/4</f>
        <v>-8.0562749999999994</v>
      </c>
      <c r="Q17" s="22">
        <f>P17/(P17+P18+P19)</f>
        <v>0.86886501640794922</v>
      </c>
      <c r="R17" s="14"/>
      <c r="S17" s="14"/>
      <c r="T17" s="14"/>
      <c r="U17" s="14"/>
      <c r="V17" s="21" t="str">
        <f>M17</f>
        <v>Positive</v>
      </c>
      <c r="W17" s="65">
        <f>SUM(W11:W14)/4</f>
        <v>57.385249999999992</v>
      </c>
      <c r="X17" s="22">
        <f>W17/(W17+W18+W19)</f>
        <v>0.52889984748746011</v>
      </c>
      <c r="Y17" s="65">
        <f>SUM(Y11:Y14)/4</f>
        <v>19.873127499999999</v>
      </c>
      <c r="Z17" s="22">
        <f>Y17/(Y17+Y18+Y19)</f>
        <v>0.28857926881353807</v>
      </c>
      <c r="AA17" s="14"/>
      <c r="AB17" s="14"/>
      <c r="AC17" s="14"/>
      <c r="AE17" s="21" t="str">
        <f>V17</f>
        <v>Positive</v>
      </c>
      <c r="AF17" s="65">
        <f>SUM(AF11:AF14)/4</f>
        <v>46.356649999999995</v>
      </c>
      <c r="AG17" s="22">
        <f>AF17/(AF17+AF18+AF19)</f>
        <v>0.47801793831101869</v>
      </c>
      <c r="AH17" s="65">
        <f>SUM(AH11:AH14)/4</f>
        <v>11.816852500000001</v>
      </c>
      <c r="AI17" s="22">
        <f>AH17/(AH17+AH18+AH19)</f>
        <v>0.19829189461485722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3.5347750000000016</v>
      </c>
      <c r="O18" s="22">
        <f>N18/(N17+N18+N19)</f>
        <v>-0.30677219954914214</v>
      </c>
      <c r="P18" s="18">
        <f>SUM(P7:P10)/4</f>
        <v>-8.2632575000000017</v>
      </c>
      <c r="Q18" s="22">
        <f>P18/(P17+P18+P19)</f>
        <v>0.89118797003833805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29.814275000000002</v>
      </c>
      <c r="X18" s="22">
        <f>W18/(W17+W18+W19)</f>
        <v>0.27478778084001027</v>
      </c>
      <c r="Y18" s="18">
        <f>SUM(Y7:Y10)/4</f>
        <v>23.902774999999998</v>
      </c>
      <c r="Z18" s="22">
        <f>Y18/(Y17+Y18+Y19)</f>
        <v>0.34709410142487729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33.349049999999998</v>
      </c>
      <c r="AG18" s="22">
        <f>AF18/(AF17+AF18+AF19)</f>
        <v>0.34388688841042392</v>
      </c>
      <c r="AH18" s="18">
        <f>SUM(AH7:AH10)/4</f>
        <v>15.6395175</v>
      </c>
      <c r="AI18" s="22">
        <f>AH18/(AH17+AH18+AH19)</f>
        <v>0.26243786625391274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-4.0286500000000007</v>
      </c>
      <c r="O19" s="22">
        <f>N19/(N17+N18+N19)</f>
        <v>0.3496340846910061</v>
      </c>
      <c r="P19" s="18">
        <f>(P15+P16)/2</f>
        <v>7.0473500000000007</v>
      </c>
      <c r="Q19" s="22">
        <f>P19/(P17+P18+P19)</f>
        <v>-0.76005298644628716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21.29975</v>
      </c>
      <c r="X19" s="22">
        <f>W19/(W17+W18+W19)</f>
        <v>0.1963123716725296</v>
      </c>
      <c r="Y19" s="18">
        <f>(Y15+Y16)/2</f>
        <v>25.089500000000001</v>
      </c>
      <c r="Z19" s="22">
        <f>Y19/(Y17+Y18+Y19)</f>
        <v>0.36432662976158459</v>
      </c>
      <c r="AA19" s="14"/>
      <c r="AB19" s="14"/>
      <c r="AC19" s="14"/>
      <c r="AE19" s="21" t="str">
        <f t="shared" si="14"/>
        <v>Physiological</v>
      </c>
      <c r="AF19" s="18">
        <f>(AF15+AF16)/2</f>
        <v>17.271100000000001</v>
      </c>
      <c r="AG19" s="22">
        <f>AF19/(AF17+AF18+AF19)</f>
        <v>0.17809517327855737</v>
      </c>
      <c r="AH19" s="18">
        <f>(AH15+AH16)/2</f>
        <v>32.136850000000003</v>
      </c>
      <c r="AI19" s="22">
        <f>AH19/(AH17+AH18+AH19)</f>
        <v>0.53927023913123007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1.4/1.65</v>
      </c>
      <c r="D24" s="44" t="str">
        <f>lang!B11</f>
        <v>频率方差</v>
      </c>
      <c r="E24" s="182" t="str">
        <f ca="1">CONCATENATE(ROUND('FH1'!L3,2),"/",ROUND('FH2'!L3,2))</f>
        <v>0.55/0.53</v>
      </c>
      <c r="F24" s="183"/>
      <c r="G24" s="174" t="str">
        <f>lang!B12</f>
        <v>生理变化率</v>
      </c>
      <c r="H24" s="175"/>
      <c r="I24" s="62" t="str">
        <f ca="1">CONCATENATE(info!M7,"-",info!M8)</f>
        <v>41.7-71.6</v>
      </c>
      <c r="J24" s="42" t="str">
        <f>lang!B13</f>
        <v>千卡l/分钟</v>
      </c>
      <c r="K24" s="41" t="str">
        <f ca="1">CONCATENATE(info!M5,"-",info!M6)</f>
        <v>1.5-3.7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2.2917999999999994</v>
      </c>
      <c r="F27" s="121"/>
      <c r="G27" s="135" t="str">
        <f>lang!B33</f>
        <v>稳定性</v>
      </c>
      <c r="H27" s="136"/>
      <c r="I27" s="137"/>
      <c r="J27" s="138">
        <f>dM!B19*100</f>
        <v>-1.1338999999999988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-0.61169340192980337</v>
      </c>
      <c r="C2">
        <f t="array" aca="1" ref="C2" ca="1">CORREL(FT_E02,FT_PH02)</f>
        <v>5.1282939795919393E-2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1.47634</v>
      </c>
      <c r="G2" s="61">
        <f>IF(FT!B2&lt;&gt;"",FT!B2*100,"")</f>
        <v>71.604500000000002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1.51566</v>
      </c>
      <c r="G3" s="61">
        <f>IF(FT!B3&lt;&gt;"",FT!B3*100,"")</f>
        <v>70.771100000000004</v>
      </c>
      <c r="H3" s="61">
        <f t="shared" ref="H3:H66" si="1">(IF(F3&lt;&gt;"",1,""))</f>
        <v>1</v>
      </c>
      <c r="I3" t="str">
        <f>IF(FT!B3&lt;&gt;"",FT!E3,"")</f>
        <v>1 [0.407822]</v>
      </c>
      <c r="J3">
        <f>IF(FT!B3&lt;&gt;"",FT!C3,"")</f>
        <v>0.40782200000000002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0.53980298648648672</v>
      </c>
      <c r="V3">
        <f ca="1">AVERAGE(OFFSET(FT!B2,info!$L$3/2,0,info!$L$3/2,1))</f>
        <v>0.4739696216216216</v>
      </c>
      <c r="W3">
        <f ca="1">AVERAGE(OFFSET(FT!A2,0,0,info!$L$3/2,1))</f>
        <v>0.28759981081081082</v>
      </c>
      <c r="X3">
        <f ca="1">AVERAGE(OFFSET(FT!A2,info!$L$3/2,0,info!$L$3/2,1))</f>
        <v>0.31965516216216217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1.55694</v>
      </c>
      <c r="G4" s="61">
        <f>IF(FT!B4&lt;&gt;"",FT!B4*100,"")</f>
        <v>69.818600000000004</v>
      </c>
      <c r="H4" s="61">
        <f t="shared" si="1"/>
        <v>1</v>
      </c>
      <c r="I4" t="str">
        <f>IF(FT!B4&lt;&gt;"",FT!E4,"")</f>
        <v>1 [0.813614]</v>
      </c>
      <c r="J4">
        <f>IF(FT!B4&lt;&gt;"",FT!C4,"")</f>
        <v>0.81361399999999995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14.937525000000001</v>
      </c>
      <c r="V4">
        <f>U4*3</f>
        <v>44.812575000000002</v>
      </c>
      <c r="W4">
        <f>U4</f>
        <v>14.937525000000001</v>
      </c>
      <c r="X4">
        <f>V4</f>
        <v>44.812575000000002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1.59857</v>
      </c>
      <c r="G5" s="61">
        <f>IF(FT!B5&lt;&gt;"",FT!B5*100,"")</f>
        <v>68.660200000000003</v>
      </c>
      <c r="H5" s="61">
        <f t="shared" si="1"/>
        <v>1</v>
      </c>
      <c r="I5" t="str">
        <f>IF(FT!B5&lt;&gt;"",FT!E5,"")</f>
        <v>1 [1.217676]</v>
      </c>
      <c r="J5">
        <f>IF(FT!B5&lt;&gt;"",FT!C5,"")</f>
        <v>1.2176800000000001</v>
      </c>
      <c r="K5" t="s">
        <v>53</v>
      </c>
      <c r="L5" s="63">
        <f ca="1">MIN(FT_E)</f>
        <v>1.47634</v>
      </c>
      <c r="M5" s="63">
        <f ca="1">ROUND(L5,1)</f>
        <v>1.5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53.98029864864867</v>
      </c>
      <c r="V5">
        <f ca="1">V3*100</f>
        <v>47.396962162162161</v>
      </c>
      <c r="W5">
        <f ca="1">W3*10</f>
        <v>2.8759981081081083</v>
      </c>
      <c r="X5">
        <f ca="1">X3*10</f>
        <v>3.1965516216216217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1.6420100000000002</v>
      </c>
      <c r="G6" s="61">
        <f>IF(FT!B6&lt;&gt;"",FT!B6*100,"")</f>
        <v>67.335300000000004</v>
      </c>
      <c r="H6" s="61">
        <f t="shared" si="1"/>
        <v>1</v>
      </c>
      <c r="I6" t="str">
        <f>IF(FT!B6&lt;&gt;"",FT!E6,"")</f>
        <v>1 [1.622571]</v>
      </c>
      <c r="J6">
        <f>IF(FT!B6&lt;&gt;"",FT!C6,"")</f>
        <v>1.6225700000000001</v>
      </c>
      <c r="K6" t="s">
        <v>54</v>
      </c>
      <c r="L6" s="63">
        <f ca="1">MAX(FT_E)</f>
        <v>3.6997</v>
      </c>
      <c r="M6" s="63">
        <f ca="1">ROUND(L6,1)</f>
        <v>3.7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1.6853099999999999</v>
      </c>
      <c r="G7" s="61">
        <f>IF(FT!B7&lt;&gt;"",FT!B7*100,"")</f>
        <v>66.067299999999989</v>
      </c>
      <c r="H7" s="61">
        <f t="shared" si="1"/>
        <v>1</v>
      </c>
      <c r="I7" t="str">
        <f>IF(FT!B7&lt;&gt;"",FT!E7,"")</f>
        <v>1 [2.028510]</v>
      </c>
      <c r="J7">
        <f>IF(FT!B7&lt;&gt;"",FT!C7,"")</f>
        <v>2.0285099999999998</v>
      </c>
      <c r="K7" t="s">
        <v>55</v>
      </c>
      <c r="L7" s="63">
        <f ca="1">MIN(FT_PH)</f>
        <v>41.732700000000001</v>
      </c>
      <c r="M7" s="63">
        <f ca="1">ROUND(L7,1)</f>
        <v>41.7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4251</v>
      </c>
      <c r="D8" s="61">
        <f>FH!B8*1</f>
        <v>4251</v>
      </c>
      <c r="E8">
        <f t="shared" si="3"/>
        <v>6</v>
      </c>
      <c r="F8" s="61">
        <f>IF(FT!A8&lt;&gt;"",FT!A8*10,"")</f>
        <v>1.7280000000000002</v>
      </c>
      <c r="G8" s="61">
        <f>IF(FT!B8&lt;&gt;"",FT!B8*100,"")</f>
        <v>64.889200000000002</v>
      </c>
      <c r="H8" s="61">
        <f t="shared" si="1"/>
        <v>1</v>
      </c>
      <c r="I8" t="str">
        <f>IF(FT!B8&lt;&gt;"",FT!E8,"")</f>
        <v>1 [2.433329]</v>
      </c>
      <c r="J8">
        <f>IF(FT!B8&lt;&gt;"",FT!C8,"")</f>
        <v>2.4333300000000002</v>
      </c>
      <c r="K8" t="s">
        <v>56</v>
      </c>
      <c r="L8" s="63">
        <f ca="1">MAX(FT_PH)</f>
        <v>71.604500000000002</v>
      </c>
      <c r="M8" s="63">
        <f ca="1">ROUND(L8,1)</f>
        <v>71.599999999999994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1.77122</v>
      </c>
      <c r="G9" s="61">
        <f>IF(FT!B9&lt;&gt;"",FT!B9*100,"")</f>
        <v>63.848400000000005</v>
      </c>
      <c r="H9" s="61">
        <f t="shared" si="1"/>
        <v>1</v>
      </c>
      <c r="I9" t="str">
        <f>IF(FT!B9&lt;&gt;"",FT!E9,"")</f>
        <v>1 [2.846170]</v>
      </c>
      <c r="J9">
        <f>IF(FT!B9&lt;&gt;"",FT!C9,"")</f>
        <v>2.8461699999999999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11488</v>
      </c>
      <c r="D10" s="61">
        <f>FH!B10*1</f>
        <v>11488</v>
      </c>
      <c r="E10">
        <f t="shared" si="3"/>
        <v>8</v>
      </c>
      <c r="F10" s="61">
        <f>IF(FT!A10&lt;&gt;"",FT!A10*10,"")</f>
        <v>1.8157100000000002</v>
      </c>
      <c r="G10" s="61">
        <f>IF(FT!B10&lt;&gt;"",FT!B10*100,"")</f>
        <v>62.878</v>
      </c>
      <c r="H10" s="61">
        <f t="shared" si="1"/>
        <v>1</v>
      </c>
      <c r="I10" t="str">
        <f>IF(FT!B10&lt;&gt;"",FT!E10,"")</f>
        <v>1 [3.251113]</v>
      </c>
      <c r="J10">
        <f>IF(FT!B10&lt;&gt;"",FT!C10,"")</f>
        <v>3.2511100000000002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1.8609899999999999</v>
      </c>
      <c r="G11" s="61">
        <f>IF(FT!B11&lt;&gt;"",FT!B11*100,"")</f>
        <v>61.825800000000001</v>
      </c>
      <c r="H11" s="61">
        <f t="shared" si="1"/>
        <v>1</v>
      </c>
      <c r="I11" t="str">
        <f>IF(FT!B11&lt;&gt;"",FT!E11,"")</f>
        <v>1 [3.653164]</v>
      </c>
      <c r="J11">
        <f>IF(FT!B11&lt;&gt;"",FT!C11,"")</f>
        <v>3.6531600000000002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1.90768</v>
      </c>
      <c r="G12" s="61">
        <f>IF(FT!B12&lt;&gt;"",FT!B12*100,"")</f>
        <v>60.611400000000003</v>
      </c>
      <c r="H12" s="61">
        <f t="shared" si="1"/>
        <v>1</v>
      </c>
      <c r="I12" t="str">
        <f>IF(FT!B12&lt;&gt;"",FT!E12,"")</f>
        <v>1 [4.063009]</v>
      </c>
      <c r="J12">
        <f>IF(FT!B12&lt;&gt;"",FT!C12,"")</f>
        <v>4.0630100000000002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18134</v>
      </c>
      <c r="D13" s="61">
        <f>FH!B13*1</f>
        <v>18134</v>
      </c>
      <c r="E13">
        <f t="shared" si="3"/>
        <v>11</v>
      </c>
      <c r="F13" s="61">
        <f>IF(FT!A13&lt;&gt;"",FT!A13*10,"")</f>
        <v>1.9557199999999999</v>
      </c>
      <c r="G13" s="61">
        <f>IF(FT!B13&lt;&gt;"",FT!B13*100,"")</f>
        <v>59.264399999999995</v>
      </c>
      <c r="H13" s="61">
        <f t="shared" si="1"/>
        <v>1</v>
      </c>
      <c r="I13" t="str">
        <f>IF(FT!B13&lt;&gt;"",FT!E13,"")</f>
        <v>1 [4.469982]</v>
      </c>
      <c r="J13">
        <f>IF(FT!B13&lt;&gt;"",FT!C13,"")</f>
        <v>4.4699799999999996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2.0049000000000001</v>
      </c>
      <c r="G14" s="61">
        <f>IF(FT!B14&lt;&gt;"",FT!B14*100,"")</f>
        <v>57.816199999999995</v>
      </c>
      <c r="H14" s="61">
        <f t="shared" si="1"/>
        <v>1</v>
      </c>
      <c r="I14" t="str">
        <f>IF(FT!B14&lt;&gt;"",FT!E14,"")</f>
        <v>1 [4.872735]</v>
      </c>
      <c r="J14">
        <f>IF(FT!B14&lt;&gt;"",FT!C14,"")</f>
        <v>4.8727299999999998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28336</v>
      </c>
      <c r="D15" s="61">
        <f>FH!B15*1</f>
        <v>28336</v>
      </c>
      <c r="E15">
        <f t="shared" si="3"/>
        <v>13</v>
      </c>
      <c r="F15" s="61">
        <f>IF(FT!A15&lt;&gt;"",FT!A15*10,"")</f>
        <v>2.0530999999999997</v>
      </c>
      <c r="G15" s="61">
        <f>IF(FT!B15&lt;&gt;"",FT!B15*100,"")</f>
        <v>56.500700000000002</v>
      </c>
      <c r="H15" s="61">
        <f t="shared" si="1"/>
        <v>1</v>
      </c>
      <c r="I15" t="str">
        <f>IF(FT!B15&lt;&gt;"",FT!E15,"")</f>
        <v>1 [5.280689]</v>
      </c>
      <c r="J15">
        <f>IF(FT!B15&lt;&gt;"",FT!C15,"")</f>
        <v>5.2806899999999999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2.10073</v>
      </c>
      <c r="G16" s="61">
        <f>IF(FT!B16&lt;&gt;"",FT!B16*100,"")</f>
        <v>55.351099999999995</v>
      </c>
      <c r="H16" s="61">
        <f t="shared" si="1"/>
        <v>1</v>
      </c>
      <c r="I16" t="str">
        <f>IF(FT!B16&lt;&gt;"",FT!E16,"")</f>
        <v>1 [5.687769]</v>
      </c>
      <c r="J16">
        <f>IF(FT!B16&lt;&gt;"",FT!C16,"")</f>
        <v>5.6877700000000004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2.1484300000000003</v>
      </c>
      <c r="G17" s="61">
        <f>IF(FT!B17&lt;&gt;"",FT!B17*100,"")</f>
        <v>54.3551</v>
      </c>
      <c r="H17" s="61">
        <f t="shared" si="1"/>
        <v>1</v>
      </c>
      <c r="I17" t="str">
        <f>IF(FT!B17&lt;&gt;"",FT!E17,"")</f>
        <v>1 [6.092617]</v>
      </c>
      <c r="J17">
        <f>IF(FT!B17&lt;&gt;"",FT!C17,"")</f>
        <v>6.0926200000000001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34997</v>
      </c>
      <c r="D18" s="61">
        <f>FH!B18*1</f>
        <v>34997</v>
      </c>
      <c r="E18">
        <f t="shared" si="3"/>
        <v>16</v>
      </c>
      <c r="F18" s="61">
        <f>IF(FT!A18&lt;&gt;"",FT!A18*10,"")</f>
        <v>2.1965000000000003</v>
      </c>
      <c r="G18" s="61">
        <f>IF(FT!B18&lt;&gt;"",FT!B18*100,"")</f>
        <v>53.481699999999996</v>
      </c>
      <c r="H18" s="61">
        <f t="shared" si="1"/>
        <v>1</v>
      </c>
      <c r="I18" t="str">
        <f>IF(FT!B18&lt;&gt;"",FT!E18,"")</f>
        <v>1 [6.495556]</v>
      </c>
      <c r="J18">
        <f>IF(FT!B18&lt;&gt;"",FT!C18,"")</f>
        <v>6.4955600000000002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2.2527599999999999</v>
      </c>
      <c r="G19" s="61">
        <f>IF(FT!B19&lt;&gt;"",FT!B19*100,"")</f>
        <v>52.566699999999997</v>
      </c>
      <c r="H19" s="61">
        <f t="shared" si="1"/>
        <v>1</v>
      </c>
      <c r="I19" t="str">
        <f>IF(FT!B19&lt;&gt;"",FT!E19,"")</f>
        <v>1 [6.907566]</v>
      </c>
      <c r="J19">
        <f>IF(FT!B19&lt;&gt;"",FT!C19,"")</f>
        <v>6.9075699999999998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2.31752</v>
      </c>
      <c r="G20" s="61">
        <f>IF(FT!B20&lt;&gt;"",FT!B20*100,"")</f>
        <v>51.418600000000005</v>
      </c>
      <c r="H20" s="61">
        <f t="shared" si="1"/>
        <v>1</v>
      </c>
      <c r="I20" t="str">
        <f>IF(FT!B20&lt;&gt;"",FT!E20,"")</f>
        <v>1 [7.314290]</v>
      </c>
      <c r="J20">
        <f>IF(FT!B20&lt;&gt;"",FT!C20,"")</f>
        <v>7.3142899999999997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33237</v>
      </c>
      <c r="D21" s="61">
        <f>FH!B21*1</f>
        <v>33237</v>
      </c>
      <c r="E21">
        <f t="shared" si="3"/>
        <v>19</v>
      </c>
      <c r="F21" s="61">
        <f>IF(FT!A21&lt;&gt;"",FT!A21*10,"")</f>
        <v>2.39629</v>
      </c>
      <c r="G21" s="61">
        <f>IF(FT!B21&lt;&gt;"",FT!B21*100,"")</f>
        <v>50.007999999999996</v>
      </c>
      <c r="H21" s="61">
        <f t="shared" si="1"/>
        <v>1</v>
      </c>
      <c r="I21" t="str">
        <f>IF(FT!B21&lt;&gt;"",FT!E21,"")</f>
        <v>1 [7.720979]</v>
      </c>
      <c r="J21">
        <f>IF(FT!B21&lt;&gt;"",FT!C21,"")</f>
        <v>7.72098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2.4847600000000001</v>
      </c>
      <c r="G22" s="61">
        <f>IF(FT!B22&lt;&gt;"",FT!B22*100,"")</f>
        <v>48.2712</v>
      </c>
      <c r="H22" s="61">
        <f t="shared" si="1"/>
        <v>1</v>
      </c>
      <c r="I22" t="str">
        <f>IF(FT!B22&lt;&gt;"",FT!E22,"")</f>
        <v>1 [8.124207]</v>
      </c>
      <c r="J22">
        <f>IF(FT!B22&lt;&gt;"",FT!C22,"")</f>
        <v>8.1242099999999997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44216</v>
      </c>
      <c r="D23" s="61">
        <f>FH!B23*1</f>
        <v>44216</v>
      </c>
      <c r="E23">
        <f t="shared" si="3"/>
        <v>21</v>
      </c>
      <c r="F23" s="61">
        <f>IF(FT!A23&lt;&gt;"",FT!A23*10,"")</f>
        <v>2.5698100000000004</v>
      </c>
      <c r="G23" s="61">
        <f>IF(FT!B23&lt;&gt;"",FT!B23*100,"")</f>
        <v>46.873699999999999</v>
      </c>
      <c r="H23" s="61">
        <f t="shared" si="1"/>
        <v>1</v>
      </c>
      <c r="I23" t="str">
        <f>IF(FT!B23&lt;&gt;"",FT!E23,"")</f>
        <v>1 [8.532004]</v>
      </c>
      <c r="J23">
        <f>IF(FT!B23&lt;&gt;"",FT!C23,"")</f>
        <v>8.532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2.6473999999999998</v>
      </c>
      <c r="G24" s="61">
        <f>IF(FT!B24&lt;&gt;"",FT!B24*100,"")</f>
        <v>45.9345</v>
      </c>
      <c r="H24" s="61">
        <f t="shared" si="1"/>
        <v>1</v>
      </c>
      <c r="I24" t="str">
        <f>IF(FT!B24&lt;&gt;"",FT!E24,"")</f>
        <v>1 [8.939932]</v>
      </c>
      <c r="J24">
        <f>IF(FT!B24&lt;&gt;"",FT!C24,"")</f>
        <v>8.9399300000000004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2.7178600000000004</v>
      </c>
      <c r="G25" s="61">
        <f>IF(FT!B25&lt;&gt;"",FT!B25*100,"")</f>
        <v>45.392700000000005</v>
      </c>
      <c r="H25" s="61">
        <f t="shared" si="1"/>
        <v>1</v>
      </c>
      <c r="I25" t="str">
        <f>IF(FT!B25&lt;&gt;"",FT!E25,"")</f>
        <v>1 [9.343833]</v>
      </c>
      <c r="J25">
        <f>IF(FT!B25&lt;&gt;"",FT!C25,"")</f>
        <v>9.3438300000000005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43142</v>
      </c>
      <c r="D26" s="61">
        <f>FH!B26*1</f>
        <v>43142</v>
      </c>
      <c r="E26">
        <f t="shared" si="3"/>
        <v>24</v>
      </c>
      <c r="F26" s="61">
        <f>IF(FT!A26&lt;&gt;"",FT!A26*10,"")</f>
        <v>2.7773599999999998</v>
      </c>
      <c r="G26" s="61">
        <f>IF(FT!B26&lt;&gt;"",FT!B26*100,"")</f>
        <v>45.262999999999998</v>
      </c>
      <c r="H26" s="61">
        <f t="shared" si="1"/>
        <v>1</v>
      </c>
      <c r="I26" t="str">
        <f>IF(FT!B26&lt;&gt;"",FT!E26,"")</f>
        <v>1 [9.748741]</v>
      </c>
      <c r="J26">
        <f>IF(FT!B26&lt;&gt;"",FT!C26,"")</f>
        <v>9.7487399999999997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2.8250700000000002</v>
      </c>
      <c r="G27" s="61">
        <f>IF(FT!B27&lt;&gt;"",FT!B27*100,"")</f>
        <v>45.493400000000001</v>
      </c>
      <c r="H27" s="61">
        <f t="shared" si="1"/>
        <v>1</v>
      </c>
      <c r="I27" t="str">
        <f>IF(FT!B27&lt;&gt;"",FT!E27,"")</f>
        <v>1 [10.156812]</v>
      </c>
      <c r="J27">
        <f>IF(FT!B27&lt;&gt;"",FT!C27,"")</f>
        <v>10.1568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48580</v>
      </c>
      <c r="D28" s="61">
        <f>FH!B28*1</f>
        <v>48580</v>
      </c>
      <c r="E28">
        <f t="shared" si="3"/>
        <v>26</v>
      </c>
      <c r="F28" s="61">
        <f>IF(FT!A28&lt;&gt;"",FT!A28*10,"")</f>
        <v>2.8714599999999999</v>
      </c>
      <c r="G28" s="61">
        <f>IF(FT!B28&lt;&gt;"",FT!B28*100,"")</f>
        <v>45.790900000000001</v>
      </c>
      <c r="H28" s="61">
        <f t="shared" si="1"/>
        <v>1</v>
      </c>
      <c r="I28" t="str">
        <f>IF(FT!B28&lt;&gt;"",FT!E28,"")</f>
        <v>1 [10.562582]</v>
      </c>
      <c r="J28">
        <f>IF(FT!B28&lt;&gt;"",FT!C28,"")</f>
        <v>10.5626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2.9147400000000001</v>
      </c>
      <c r="G29" s="61">
        <f>IF(FT!B29&lt;&gt;"",FT!B29*100,"")</f>
        <v>46.067700000000002</v>
      </c>
      <c r="H29" s="61">
        <f t="shared" si="1"/>
        <v>1</v>
      </c>
      <c r="I29" t="str">
        <f>IF(FT!B29&lt;&gt;"",FT!E29,"")</f>
        <v>1 [10.966451]</v>
      </c>
      <c r="J29">
        <f>IF(FT!B29&lt;&gt;"",FT!C29,"")</f>
        <v>10.9665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2.9562500000000003</v>
      </c>
      <c r="G30" s="61">
        <f>IF(FT!B30&lt;&gt;"",FT!B30*100,"")</f>
        <v>46.296500000000002</v>
      </c>
      <c r="H30" s="61">
        <f t="shared" si="1"/>
        <v>1</v>
      </c>
      <c r="I30" t="str">
        <f>IF(FT!B30&lt;&gt;"",FT!E30,"")</f>
        <v>1 [11.374387]</v>
      </c>
      <c r="J30">
        <f>IF(FT!B30&lt;&gt;"",FT!C30,"")</f>
        <v>11.3744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68677</v>
      </c>
      <c r="D31" s="61">
        <f>FH!B31*1</f>
        <v>68677</v>
      </c>
      <c r="E31">
        <f t="shared" si="3"/>
        <v>29</v>
      </c>
      <c r="F31" s="61">
        <f>IF(FT!A31&lt;&gt;"",FT!A31*10,"")</f>
        <v>2.9936800000000003</v>
      </c>
      <c r="G31" s="61">
        <f>IF(FT!B31&lt;&gt;"",FT!B31*100,"")</f>
        <v>46.6614</v>
      </c>
      <c r="H31" s="61">
        <f t="shared" si="1"/>
        <v>1</v>
      </c>
      <c r="I31" t="str">
        <f>IF(FT!B31&lt;&gt;"",FT!E31,"")</f>
        <v>1 [11.777061]</v>
      </c>
      <c r="J31">
        <f>IF(FT!B31&lt;&gt;"",FT!C31,"")</f>
        <v>11.777100000000001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3.0231999999999997</v>
      </c>
      <c r="G32" s="61">
        <f>IF(FT!B32&lt;&gt;"",FT!B32*100,"")</f>
        <v>47.190899999999999</v>
      </c>
      <c r="H32" s="61">
        <f t="shared" si="1"/>
        <v>1</v>
      </c>
      <c r="I32" t="str">
        <f>IF(FT!B32&lt;&gt;"",FT!E32,"")</f>
        <v>1 [12.185514]</v>
      </c>
      <c r="J32">
        <f>IF(FT!B32&lt;&gt;"",FT!C32,"")</f>
        <v>12.185499999999999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75483</v>
      </c>
      <c r="D33" s="61">
        <f>FH!B33*1</f>
        <v>75483</v>
      </c>
      <c r="E33">
        <f t="shared" si="3"/>
        <v>31</v>
      </c>
      <c r="F33" s="61">
        <f>IF(FT!A33&lt;&gt;"",FT!A33*10,"")</f>
        <v>3.04888</v>
      </c>
      <c r="G33" s="61">
        <f>IF(FT!B33&lt;&gt;"",FT!B33*100,"")</f>
        <v>47.723999999999997</v>
      </c>
      <c r="H33" s="61">
        <f t="shared" si="1"/>
        <v>1</v>
      </c>
      <c r="I33" t="str">
        <f>IF(FT!B33&lt;&gt;"",FT!E33,"")</f>
        <v>1 [12.593189]</v>
      </c>
      <c r="J33">
        <f>IF(FT!B33&lt;&gt;"",FT!C33,"")</f>
        <v>12.5932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3.0736799999999995</v>
      </c>
      <c r="G34" s="61">
        <f>IF(FT!B34&lt;&gt;"",FT!B34*100,"")</f>
        <v>48.198900000000002</v>
      </c>
      <c r="H34" s="61">
        <f t="shared" si="1"/>
        <v>1</v>
      </c>
      <c r="I34" t="str">
        <f>IF(FT!B34&lt;&gt;"",FT!E34,"")</f>
        <v>1 [13.003093]</v>
      </c>
      <c r="J34">
        <f>IF(FT!B34&lt;&gt;"",FT!C34,"")</f>
        <v>13.0031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3.0906699999999998</v>
      </c>
      <c r="G35" s="61">
        <f>IF(FT!B35&lt;&gt;"",FT!B35*100,"")</f>
        <v>48.687799999999996</v>
      </c>
      <c r="H35" s="61">
        <f t="shared" si="1"/>
        <v>1</v>
      </c>
      <c r="I35" t="str">
        <f>IF(FT!B35&lt;&gt;"",FT!E35,"")</f>
        <v>1 [13.410001]</v>
      </c>
      <c r="J35">
        <f>IF(FT!B35&lt;&gt;"",FT!C35,"")</f>
        <v>13.41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87252</v>
      </c>
      <c r="D36" s="61">
        <f>FH!B36*1</f>
        <v>87252</v>
      </c>
      <c r="E36">
        <f t="shared" si="3"/>
        <v>34</v>
      </c>
      <c r="F36" s="61">
        <f>IF(FT!A36&lt;&gt;"",FT!A36*10,"")</f>
        <v>3.1033300000000001</v>
      </c>
      <c r="G36" s="61">
        <f>IF(FT!B36&lt;&gt;"",FT!B36*100,"")</f>
        <v>49.132799999999996</v>
      </c>
      <c r="H36" s="61">
        <f t="shared" si="1"/>
        <v>1</v>
      </c>
      <c r="I36" t="str">
        <f>IF(FT!B36&lt;&gt;"",FT!E36,"")</f>
        <v>1 [13.812878]</v>
      </c>
      <c r="J36">
        <f>IF(FT!B36&lt;&gt;"",FT!C36,"")</f>
        <v>13.812900000000001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3.1158700000000001</v>
      </c>
      <c r="G37" s="61">
        <f>IF(FT!B37&lt;&gt;"",FT!B37*100,"")</f>
        <v>49.470599999999997</v>
      </c>
      <c r="H37" s="61">
        <f t="shared" si="1"/>
        <v>1</v>
      </c>
      <c r="I37" t="str">
        <f>IF(FT!B37&lt;&gt;"",FT!E37,"")</f>
        <v>1 [14.216837]</v>
      </c>
      <c r="J37">
        <f>IF(FT!B37&lt;&gt;"",FT!C37,"")</f>
        <v>14.216799999999999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3.12845</v>
      </c>
      <c r="G38" s="61">
        <f>IF(FT!B38&lt;&gt;"",FT!B38*100,"")</f>
        <v>49.715399999999995</v>
      </c>
      <c r="H38" s="61">
        <f t="shared" si="1"/>
        <v>1</v>
      </c>
      <c r="I38" t="str">
        <f>IF(FT!B38&lt;&gt;"",FT!E38,"")</f>
        <v>1 [14.624749]</v>
      </c>
      <c r="J38">
        <f>IF(FT!B38&lt;&gt;"",FT!C38,"")</f>
        <v>14.624700000000001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94317</v>
      </c>
      <c r="D39" s="61">
        <f>FH!B39*1</f>
        <v>94317</v>
      </c>
      <c r="E39">
        <f t="shared" si="3"/>
        <v>37</v>
      </c>
      <c r="F39" s="61">
        <f>IF(FT!A39&lt;&gt;"",FT!A39*10,"")</f>
        <v>3.1393900000000001</v>
      </c>
      <c r="G39" s="61">
        <f>IF(FT!B39&lt;&gt;"",FT!B39*100,"")</f>
        <v>49.963499999999996</v>
      </c>
      <c r="H39" s="61">
        <f t="shared" si="1"/>
        <v>1</v>
      </c>
      <c r="I39" t="str">
        <f>IF(FT!B39&lt;&gt;"",FT!E39,"")</f>
        <v>1 [15.032599]</v>
      </c>
      <c r="J39">
        <f>IF(FT!B39&lt;&gt;"",FT!C39,"")</f>
        <v>15.0326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3.1491400000000001</v>
      </c>
      <c r="G40" s="61">
        <f>IF(FT!B40&lt;&gt;"",FT!B40*100,"")</f>
        <v>50.312199999999997</v>
      </c>
      <c r="H40" s="61">
        <f t="shared" si="1"/>
        <v>1</v>
      </c>
      <c r="I40" t="str">
        <f>IF(FT!B40&lt;&gt;"",FT!E40,"")</f>
        <v>1 [15.437667]</v>
      </c>
      <c r="J40">
        <f>IF(FT!B40&lt;&gt;"",FT!C40,"")</f>
        <v>15.4377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83593</v>
      </c>
      <c r="D41" s="61">
        <f>FH!B41*1</f>
        <v>83593</v>
      </c>
      <c r="E41">
        <f t="shared" si="3"/>
        <v>39</v>
      </c>
      <c r="F41" s="61">
        <f>IF(FT!A41&lt;&gt;"",FT!A41*10,"")</f>
        <v>3.1598799999999998</v>
      </c>
      <c r="G41" s="61">
        <f>IF(FT!B41&lt;&gt;"",FT!B41*100,"")</f>
        <v>50.706899999999997</v>
      </c>
      <c r="H41" s="61">
        <f t="shared" si="1"/>
        <v>1</v>
      </c>
      <c r="I41" t="str">
        <f>IF(FT!B41&lt;&gt;"",FT!E41,"")</f>
        <v>1 [15.845421]</v>
      </c>
      <c r="J41">
        <f>IF(FT!B41&lt;&gt;"",FT!C41,"")</f>
        <v>15.8454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3.1702200000000005</v>
      </c>
      <c r="G42" s="61">
        <f>IF(FT!B42&lt;&gt;"",FT!B42*100,"")</f>
        <v>51.117500000000007</v>
      </c>
      <c r="H42" s="61">
        <f t="shared" si="1"/>
        <v>1</v>
      </c>
      <c r="I42" t="str">
        <f>IF(FT!B42&lt;&gt;"",FT!E42,"")</f>
        <v>1 [16.252726]</v>
      </c>
      <c r="J42">
        <f>IF(FT!B42&lt;&gt;"",FT!C42,"")</f>
        <v>16.252700000000001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3.1776800000000001</v>
      </c>
      <c r="G43" s="61">
        <f>IF(FT!B43&lt;&gt;"",FT!B43*100,"")</f>
        <v>51.553000000000004</v>
      </c>
      <c r="H43" s="61">
        <f t="shared" si="1"/>
        <v>1</v>
      </c>
      <c r="I43" t="str">
        <f>IF(FT!B43&lt;&gt;"",FT!E43,"")</f>
        <v>1 [16.653568]</v>
      </c>
      <c r="J43">
        <f>IF(FT!B43&lt;&gt;"",FT!C43,"")</f>
        <v>16.653600000000001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97367</v>
      </c>
      <c r="D44" s="61">
        <f>FH!B44*1</f>
        <v>97367</v>
      </c>
      <c r="E44">
        <f t="shared" si="3"/>
        <v>42</v>
      </c>
      <c r="F44" s="61">
        <f>IF(FT!A44&lt;&gt;"",FT!A44*10,"")</f>
        <v>3.1893700000000003</v>
      </c>
      <c r="G44" s="61">
        <f>IF(FT!B44&lt;&gt;"",FT!B44*100,"")</f>
        <v>51.921700000000001</v>
      </c>
      <c r="H44" s="61">
        <f t="shared" si="1"/>
        <v>1</v>
      </c>
      <c r="I44" t="str">
        <f>IF(FT!B44&lt;&gt;"",FT!E44,"")</f>
        <v>1 [17.058419]</v>
      </c>
      <c r="J44">
        <f>IF(FT!B44&lt;&gt;"",FT!C44,"")</f>
        <v>17.058399999999999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3.2050299999999998</v>
      </c>
      <c r="G45" s="61">
        <f>IF(FT!B45&lt;&gt;"",FT!B45*100,"")</f>
        <v>52.288699999999999</v>
      </c>
      <c r="H45" s="61">
        <f t="shared" si="1"/>
        <v>1</v>
      </c>
      <c r="I45" t="str">
        <f>IF(FT!B45&lt;&gt;"",FT!E45,"")</f>
        <v>1 [17.468184]</v>
      </c>
      <c r="J45">
        <f>IF(FT!B45&lt;&gt;"",FT!C45,"")</f>
        <v>17.4682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108383</v>
      </c>
      <c r="D46" s="61">
        <f>FH!B46*1</f>
        <v>108383</v>
      </c>
      <c r="E46">
        <f t="shared" si="3"/>
        <v>44</v>
      </c>
      <c r="F46" s="61">
        <f>IF(FT!A46&lt;&gt;"",FT!A46*10,"")</f>
        <v>3.2206000000000001</v>
      </c>
      <c r="G46" s="61">
        <f>IF(FT!B46&lt;&gt;"",FT!B46*100,"")</f>
        <v>52.558400000000006</v>
      </c>
      <c r="H46" s="61">
        <f t="shared" si="1"/>
        <v>1</v>
      </c>
      <c r="I46" t="str">
        <f>IF(FT!B46&lt;&gt;"",FT!E46,"")</f>
        <v>1 [17.875141]</v>
      </c>
      <c r="J46">
        <f>IF(FT!B46&lt;&gt;"",FT!C46,"")</f>
        <v>17.8751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3.2313299999999998</v>
      </c>
      <c r="G47" s="61">
        <f>IF(FT!B47&lt;&gt;"",FT!B47*100,"")</f>
        <v>52.907099999999993</v>
      </c>
      <c r="H47" s="61">
        <f t="shared" si="1"/>
        <v>1</v>
      </c>
      <c r="I47" t="str">
        <f>IF(FT!B47&lt;&gt;"",FT!E47,"")</f>
        <v>1 [18.281980]</v>
      </c>
      <c r="J47">
        <f>IF(FT!B47&lt;&gt;"",FT!C47,"")</f>
        <v>18.282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3.2391399999999999</v>
      </c>
      <c r="G48" s="61">
        <f>IF(FT!B48&lt;&gt;"",FT!B48*100,"")</f>
        <v>53.317899999999995</v>
      </c>
      <c r="H48" s="61">
        <f t="shared" si="1"/>
        <v>1</v>
      </c>
      <c r="I48" t="str">
        <f>IF(FT!B48&lt;&gt;"",FT!E48,"")</f>
        <v>1 [18.688882]</v>
      </c>
      <c r="J48">
        <f>IF(FT!B48&lt;&gt;"",FT!C48,"")</f>
        <v>18.6889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106153</v>
      </c>
      <c r="D49" s="61">
        <f>FH!B49*1</f>
        <v>106153</v>
      </c>
      <c r="E49">
        <f t="shared" si="3"/>
        <v>47</v>
      </c>
      <c r="F49" s="61">
        <f>IF(FT!A49&lt;&gt;"",FT!A49*10,"")</f>
        <v>3.2456200000000002</v>
      </c>
      <c r="G49" s="61">
        <f>IF(FT!B49&lt;&gt;"",FT!B49*100,"")</f>
        <v>53.739699999999999</v>
      </c>
      <c r="H49" s="61">
        <f t="shared" si="1"/>
        <v>1</v>
      </c>
      <c r="I49" t="str">
        <f>IF(FT!B49&lt;&gt;"",FT!E49,"")</f>
        <v>1 [19.093824]</v>
      </c>
      <c r="J49">
        <f>IF(FT!B49&lt;&gt;"",FT!C49,"")</f>
        <v>19.093800000000002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3.25298</v>
      </c>
      <c r="G50" s="61">
        <f>IF(FT!B50&lt;&gt;"",FT!B50*100,"")</f>
        <v>54.113</v>
      </c>
      <c r="H50" s="61">
        <f t="shared" si="1"/>
        <v>1</v>
      </c>
      <c r="I50" t="str">
        <f>IF(FT!B50&lt;&gt;"",FT!E50,"")</f>
        <v>1 [19.496713]</v>
      </c>
      <c r="J50">
        <f>IF(FT!B50&lt;&gt;"",FT!C50,"")</f>
        <v>19.496700000000001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108698</v>
      </c>
      <c r="D51" s="61">
        <f>FH!B51*1</f>
        <v>108698</v>
      </c>
      <c r="E51">
        <f t="shared" si="3"/>
        <v>49</v>
      </c>
      <c r="F51" s="61">
        <f>IF(FT!A51&lt;&gt;"",FT!A51*10,"")</f>
        <v>3.26091</v>
      </c>
      <c r="G51" s="61">
        <f>IF(FT!B51&lt;&gt;"",FT!B51*100,"")</f>
        <v>54.447299999999998</v>
      </c>
      <c r="H51" s="61">
        <f t="shared" si="1"/>
        <v>1</v>
      </c>
      <c r="I51" t="str">
        <f>IF(FT!B51&lt;&gt;"",FT!E51,"")</f>
        <v>1 [19.906694]</v>
      </c>
      <c r="J51">
        <f>IF(FT!B51&lt;&gt;"",FT!C51,"")</f>
        <v>19.906700000000001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3.2733800000000004</v>
      </c>
      <c r="G52" s="61">
        <f>IF(FT!B52&lt;&gt;"",FT!B52*100,"")</f>
        <v>54.6616</v>
      </c>
      <c r="H52" s="61">
        <f t="shared" si="1"/>
        <v>1</v>
      </c>
      <c r="I52" t="str">
        <f>IF(FT!B52&lt;&gt;"",FT!E52,"")</f>
        <v>1 [20.313641]</v>
      </c>
      <c r="J52">
        <f>IF(FT!B52&lt;&gt;"",FT!C52,"")</f>
        <v>20.313600000000001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3.2866099999999996</v>
      </c>
      <c r="G53" s="61">
        <f>IF(FT!B53&lt;&gt;"",FT!B53*100,"")</f>
        <v>54.768999999999998</v>
      </c>
      <c r="H53" s="61">
        <f t="shared" si="1"/>
        <v>1</v>
      </c>
      <c r="I53" t="str">
        <f>IF(FT!B53&lt;&gt;"",FT!E53,"")</f>
        <v>1 [20.716430]</v>
      </c>
      <c r="J53">
        <f>IF(FT!B53&lt;&gt;"",FT!C53,"")</f>
        <v>20.7164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110773</v>
      </c>
      <c r="D54" s="61">
        <f>FH!B54*1</f>
        <v>110773</v>
      </c>
      <c r="E54">
        <f t="shared" si="3"/>
        <v>52</v>
      </c>
      <c r="F54" s="61">
        <f>IF(FT!A54&lt;&gt;"",FT!A54*10,"")</f>
        <v>3.3019599999999998</v>
      </c>
      <c r="G54" s="61">
        <f>IF(FT!B54&lt;&gt;"",FT!B54*100,"")</f>
        <v>54.7879</v>
      </c>
      <c r="H54" s="61">
        <f t="shared" si="1"/>
        <v>1</v>
      </c>
      <c r="I54" t="str">
        <f>IF(FT!B54&lt;&gt;"",FT!E54,"")</f>
        <v>1 [21.125474]</v>
      </c>
      <c r="J54">
        <f>IF(FT!B54&lt;&gt;"",FT!C54,"")</f>
        <v>21.125499999999999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3.3181400000000001</v>
      </c>
      <c r="G55" s="61">
        <f>IF(FT!B55&lt;&gt;"",FT!B55*100,"")</f>
        <v>54.759599999999999</v>
      </c>
      <c r="H55" s="61">
        <f t="shared" si="1"/>
        <v>1</v>
      </c>
      <c r="I55" t="str">
        <f>IF(FT!B55&lt;&gt;"",FT!E55,"")</f>
        <v>1 [21.530275]</v>
      </c>
      <c r="J55">
        <f>IF(FT!B55&lt;&gt;"",FT!C55,"")</f>
        <v>21.5303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3.33413</v>
      </c>
      <c r="G56" s="61">
        <f>IF(FT!B56&lt;&gt;"",FT!B56*100,"")</f>
        <v>54.652699999999996</v>
      </c>
      <c r="H56" s="61">
        <f t="shared" si="1"/>
        <v>1</v>
      </c>
      <c r="I56" t="str">
        <f>IF(FT!B56&lt;&gt;"",FT!E56,"")</f>
        <v>1 [21.938269]</v>
      </c>
      <c r="J56">
        <f>IF(FT!B56&lt;&gt;"",FT!C56,"")</f>
        <v>21.938300000000002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112271</v>
      </c>
      <c r="D57" s="61">
        <f>FH!B57*1</f>
        <v>112271</v>
      </c>
      <c r="E57">
        <f t="shared" si="3"/>
        <v>55</v>
      </c>
      <c r="F57" s="61">
        <f>IF(FT!A57&lt;&gt;"",FT!A57*10,"")</f>
        <v>3.3525</v>
      </c>
      <c r="G57" s="61">
        <f>IF(FT!B57&lt;&gt;"",FT!B57*100,"")</f>
        <v>54.580300000000001</v>
      </c>
      <c r="H57" s="61">
        <f t="shared" si="1"/>
        <v>1</v>
      </c>
      <c r="I57" t="str">
        <f>IF(FT!B57&lt;&gt;"",FT!E57,"")</f>
        <v>1 [22.345143]</v>
      </c>
      <c r="J57">
        <f>IF(FT!B57&lt;&gt;"",FT!C57,"")</f>
        <v>22.345099999999999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3.3709800000000003</v>
      </c>
      <c r="G58" s="61">
        <f>IF(FT!B58&lt;&gt;"",FT!B58*100,"")</f>
        <v>54.561999999999998</v>
      </c>
      <c r="H58" s="61">
        <f t="shared" si="1"/>
        <v>1</v>
      </c>
      <c r="I58" t="str">
        <f>IF(FT!B58&lt;&gt;"",FT!E58,"")</f>
        <v>1 [22.750080]</v>
      </c>
      <c r="J58">
        <f>IF(FT!B58&lt;&gt;"",FT!C58,"")</f>
        <v>22.7501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116101</v>
      </c>
      <c r="D59" s="61">
        <f>FH!B59*1</f>
        <v>116101</v>
      </c>
      <c r="E59">
        <f t="shared" si="3"/>
        <v>57</v>
      </c>
      <c r="F59" s="61">
        <f>IF(FT!A59&lt;&gt;"",FT!A59*10,"")</f>
        <v>3.3891</v>
      </c>
      <c r="G59" s="61">
        <f>IF(FT!B59&lt;&gt;"",FT!B59*100,"")</f>
        <v>54.514899999999997</v>
      </c>
      <c r="H59" s="61">
        <f t="shared" si="1"/>
        <v>1</v>
      </c>
      <c r="I59" t="str">
        <f>IF(FT!B59&lt;&gt;"",FT!E59,"")</f>
        <v>1 [23.155717]</v>
      </c>
      <c r="J59">
        <f>IF(FT!B59&lt;&gt;"",FT!C59,"")</f>
        <v>23.1557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3.4110499999999999</v>
      </c>
      <c r="G60" s="61">
        <f>IF(FT!B60&lt;&gt;"",FT!B60*100,"")</f>
        <v>54.447400000000002</v>
      </c>
      <c r="H60" s="61">
        <f t="shared" si="1"/>
        <v>1</v>
      </c>
      <c r="I60" t="str">
        <f>IF(FT!B60&lt;&gt;"",FT!E60,"")</f>
        <v>1 [23.562830]</v>
      </c>
      <c r="J60">
        <f>IF(FT!B60&lt;&gt;"",FT!C60,"")</f>
        <v>23.562799999999999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3.4368400000000001</v>
      </c>
      <c r="G61" s="61">
        <f>IF(FT!B61&lt;&gt;"",FT!B61*100,"")</f>
        <v>54.345200000000006</v>
      </c>
      <c r="H61" s="61">
        <f t="shared" si="1"/>
        <v>1</v>
      </c>
      <c r="I61" t="str">
        <f>IF(FT!B61&lt;&gt;"",FT!E61,"")</f>
        <v>1 [23.968021]</v>
      </c>
      <c r="J61">
        <f>IF(FT!B61&lt;&gt;"",FT!C61,"")</f>
        <v>23.968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119566</v>
      </c>
      <c r="D62" s="61">
        <f>FH!B62*1</f>
        <v>119566</v>
      </c>
      <c r="E62">
        <f t="shared" si="3"/>
        <v>60</v>
      </c>
      <c r="F62" s="61">
        <f>IF(FT!A62&lt;&gt;"",FT!A62*10,"")</f>
        <v>3.4642900000000001</v>
      </c>
      <c r="G62" s="61">
        <f>IF(FT!B62&lt;&gt;"",FT!B62*100,"")</f>
        <v>54.147599999999997</v>
      </c>
      <c r="H62" s="61">
        <f t="shared" si="1"/>
        <v>1</v>
      </c>
      <c r="I62" t="str">
        <f>IF(FT!B62&lt;&gt;"",FT!E62,"")</f>
        <v>1 [24.374656]</v>
      </c>
      <c r="J62">
        <f>IF(FT!B62&lt;&gt;"",FT!C62,"")</f>
        <v>24.374700000000001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3.4910799999999997</v>
      </c>
      <c r="G63" s="61">
        <f>IF(FT!B63&lt;&gt;"",FT!B63*100,"")</f>
        <v>54.001999999999995</v>
      </c>
      <c r="H63" s="61">
        <f t="shared" si="1"/>
        <v>1</v>
      </c>
      <c r="I63" t="str">
        <f>IF(FT!B63&lt;&gt;"",FT!E63,"")</f>
        <v>1 [24.783632]</v>
      </c>
      <c r="J63">
        <f>IF(FT!B63&lt;&gt;"",FT!C63,"")</f>
        <v>24.7836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124668</v>
      </c>
      <c r="D64" s="61">
        <f>FH!B64*1</f>
        <v>124668</v>
      </c>
      <c r="E64">
        <f t="shared" si="3"/>
        <v>62</v>
      </c>
      <c r="F64" s="61">
        <f>IF(FT!A64&lt;&gt;"",FT!A64*10,"")</f>
        <v>3.5171000000000001</v>
      </c>
      <c r="G64" s="61">
        <f>IF(FT!B64&lt;&gt;"",FT!B64*100,"")</f>
        <v>53.896100000000004</v>
      </c>
      <c r="H64" s="61">
        <f t="shared" si="1"/>
        <v>1</v>
      </c>
      <c r="I64" t="str">
        <f>IF(FT!B64&lt;&gt;"",FT!E64,"")</f>
        <v>1 [25.188581]</v>
      </c>
      <c r="J64">
        <f>IF(FT!B64&lt;&gt;"",FT!C64,"")</f>
        <v>25.188600000000001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3.5424199999999999</v>
      </c>
      <c r="G65" s="61">
        <f>IF(FT!B65&lt;&gt;"",FT!B65*100,"")</f>
        <v>53.763000000000005</v>
      </c>
      <c r="H65" s="61">
        <f t="shared" si="1"/>
        <v>1</v>
      </c>
      <c r="I65" t="str">
        <f>IF(FT!B65&lt;&gt;"",FT!E65,"")</f>
        <v>1 [25.592441]</v>
      </c>
      <c r="J65">
        <f>IF(FT!B65&lt;&gt;"",FT!C65,"")</f>
        <v>25.592400000000001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3.5652299999999997</v>
      </c>
      <c r="G66" s="61">
        <f>IF(FT!B66&lt;&gt;"",FT!B66*100,"")</f>
        <v>53.694499999999998</v>
      </c>
      <c r="H66" s="61">
        <f t="shared" si="1"/>
        <v>1</v>
      </c>
      <c r="I66" t="str">
        <f>IF(FT!B66&lt;&gt;"",FT!E66,"")</f>
        <v>1 [25.999517]</v>
      </c>
      <c r="J66">
        <f>IF(FT!B66&lt;&gt;"",FT!C66,"")</f>
        <v>25.999500000000001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123665</v>
      </c>
      <c r="D67" s="61">
        <f>FH!B67*1</f>
        <v>123665</v>
      </c>
      <c r="E67">
        <f t="shared" si="3"/>
        <v>65</v>
      </c>
      <c r="F67" s="61">
        <f>IF(FT!A67&lt;&gt;"",FT!A67*10,"")</f>
        <v>3.58473</v>
      </c>
      <c r="G67" s="61">
        <f>IF(FT!B67&lt;&gt;"",FT!B67*100,"")</f>
        <v>53.659100000000002</v>
      </c>
      <c r="H67" s="61">
        <f t="shared" ref="H67:H130" si="9">(IF(F67&lt;&gt;"",1,""))</f>
        <v>1</v>
      </c>
      <c r="I67" t="str">
        <f>IF(FT!B67&lt;&gt;"",FT!E67,"")</f>
        <v>1 [26.406228]</v>
      </c>
      <c r="J67">
        <f>IF(FT!B67&lt;&gt;"",FT!C67,"")</f>
        <v>26.406199999999998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3.6043099999999999</v>
      </c>
      <c r="G68" s="61">
        <f>IF(FT!B68&lt;&gt;"",FT!B68*100,"")</f>
        <v>53.6907</v>
      </c>
      <c r="H68" s="61">
        <f t="shared" si="9"/>
        <v>1</v>
      </c>
      <c r="I68" t="str">
        <f>IF(FT!B68&lt;&gt;"",FT!E68,"")</f>
        <v>1 [26.814237]</v>
      </c>
      <c r="J68">
        <f>IF(FT!B68&lt;&gt;"",FT!C68,"")</f>
        <v>26.8142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132175</v>
      </c>
      <c r="D69" s="61">
        <f>FH!B69*1</f>
        <v>132175</v>
      </c>
      <c r="E69">
        <f t="shared" si="11"/>
        <v>67</v>
      </c>
      <c r="F69" s="61">
        <f>IF(FT!A69&lt;&gt;"",FT!A69*10,"")</f>
        <v>3.6205799999999999</v>
      </c>
      <c r="G69" s="61">
        <f>IF(FT!B69&lt;&gt;"",FT!B69*100,"")</f>
        <v>53.659599999999998</v>
      </c>
      <c r="H69" s="61">
        <f t="shared" si="9"/>
        <v>1</v>
      </c>
      <c r="I69" t="str">
        <f>IF(FT!B69&lt;&gt;"",FT!E69,"")</f>
        <v>1 [27.219435]</v>
      </c>
      <c r="J69">
        <f>IF(FT!B69&lt;&gt;"",FT!C69,"")</f>
        <v>27.2194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3.6351699999999996</v>
      </c>
      <c r="G70" s="61">
        <f>IF(FT!B70&lt;&gt;"",FT!B70*100,"")</f>
        <v>53.455299999999994</v>
      </c>
      <c r="H70" s="61">
        <f t="shared" si="9"/>
        <v>1</v>
      </c>
      <c r="I70" t="str">
        <f>IF(FT!B70&lt;&gt;"",FT!E70,"")</f>
        <v>1 [27.625047]</v>
      </c>
      <c r="J70">
        <f>IF(FT!B70&lt;&gt;"",FT!C70,"")</f>
        <v>27.625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3.6485000000000003</v>
      </c>
      <c r="G71" s="61">
        <f>IF(FT!B71&lt;&gt;"",FT!B71*100,"")</f>
        <v>53.209200000000003</v>
      </c>
      <c r="H71" s="61">
        <f t="shared" si="9"/>
        <v>1</v>
      </c>
      <c r="I71" t="str">
        <f>IF(FT!B71&lt;&gt;"",FT!E71,"")</f>
        <v>1 [28.032004]</v>
      </c>
      <c r="J71">
        <f>IF(FT!B71&lt;&gt;"",FT!C71,"")</f>
        <v>28.032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138473</v>
      </c>
      <c r="D72" s="61">
        <f>FH!B72*1</f>
        <v>138473</v>
      </c>
      <c r="E72">
        <f t="shared" si="11"/>
        <v>70</v>
      </c>
      <c r="F72" s="61">
        <f>IF(FT!A72&lt;&gt;"",FT!A72*10,"")</f>
        <v>3.6622399999999997</v>
      </c>
      <c r="G72" s="61">
        <f>IF(FT!B72&lt;&gt;"",FT!B72*100,"")</f>
        <v>52.997999999999998</v>
      </c>
      <c r="H72" s="61">
        <f t="shared" si="9"/>
        <v>1</v>
      </c>
      <c r="I72" t="str">
        <f>IF(FT!B72&lt;&gt;"",FT!E72,"")</f>
        <v>1 [28.439828]</v>
      </c>
      <c r="J72">
        <f>IF(FT!B72&lt;&gt;"",FT!C72,"")</f>
        <v>28.439800000000002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3.67489</v>
      </c>
      <c r="G73" s="61">
        <f>IF(FT!B73&lt;&gt;"",FT!B73*100,"")</f>
        <v>52.819000000000003</v>
      </c>
      <c r="H73" s="61">
        <f t="shared" si="9"/>
        <v>1</v>
      </c>
      <c r="I73" t="str">
        <f>IF(FT!B73&lt;&gt;"",FT!E73,"")</f>
        <v>1 [28.843765]</v>
      </c>
      <c r="J73">
        <f>IF(FT!B73&lt;&gt;"",FT!C73,"")</f>
        <v>28.843800000000002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3.6829200000000002</v>
      </c>
      <c r="G74" s="61">
        <f>IF(FT!B74&lt;&gt;"",FT!B74*100,"")</f>
        <v>52.703199999999995</v>
      </c>
      <c r="H74" s="61">
        <f t="shared" si="9"/>
        <v>1</v>
      </c>
      <c r="I74" t="str">
        <f>IF(FT!B74&lt;&gt;"",FT!E74,"")</f>
        <v>1 [29.253365]</v>
      </c>
      <c r="J74">
        <f>IF(FT!B74&lt;&gt;"",FT!C74,"")</f>
        <v>29.253399999999999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142174</v>
      </c>
      <c r="D75" s="61">
        <f>FH!B75*1</f>
        <v>142174</v>
      </c>
      <c r="E75">
        <f t="shared" si="11"/>
        <v>73</v>
      </c>
      <c r="F75" s="61">
        <f>IF(FT!A75&lt;&gt;"",FT!A75*10,"")</f>
        <v>3.68757</v>
      </c>
      <c r="G75" s="61">
        <f>IF(FT!B75&lt;&gt;"",FT!B75*100,"")</f>
        <v>52.579600000000006</v>
      </c>
      <c r="H75" s="61">
        <f t="shared" si="9"/>
        <v>1</v>
      </c>
      <c r="I75" t="str">
        <f>IF(FT!B75&lt;&gt;"",FT!E75,"")</f>
        <v>1 [29.652757]</v>
      </c>
      <c r="J75">
        <f>IF(FT!B75&lt;&gt;"",FT!C75,"")</f>
        <v>29.652799999999999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3.6932799999999997</v>
      </c>
      <c r="G76" s="61">
        <f>IF(FT!B76&lt;&gt;"",FT!B76*100,"")</f>
        <v>52.3748</v>
      </c>
      <c r="H76" s="61">
        <f t="shared" si="9"/>
        <v>1</v>
      </c>
      <c r="I76" t="str">
        <f>IF(FT!B76&lt;&gt;"",FT!E76,"")</f>
        <v>2 [30.062748]</v>
      </c>
      <c r="J76">
        <f>IF(FT!B76&lt;&gt;"",FT!C76,"")</f>
        <v>30.0627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150246</v>
      </c>
      <c r="D77" s="61">
        <f>FH!B77*1</f>
        <v>150246</v>
      </c>
      <c r="E77">
        <f t="shared" si="11"/>
        <v>75</v>
      </c>
      <c r="F77" s="61">
        <f>IF(FT!A77&lt;&gt;"",FT!A77*10,"")</f>
        <v>3.6956099999999998</v>
      </c>
      <c r="G77" s="61">
        <f>IF(FT!B77&lt;&gt;"",FT!B77*100,"")</f>
        <v>52.117400000000004</v>
      </c>
      <c r="H77" s="61">
        <f t="shared" si="9"/>
        <v>1</v>
      </c>
      <c r="I77" t="str">
        <f>IF(FT!B77&lt;&gt;"",FT!E77,"")</f>
        <v>2 [30.502705]</v>
      </c>
      <c r="J77">
        <f>IF(FT!B77&lt;&gt;"",FT!C77,"")</f>
        <v>30.502700000000001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3.6983800000000002</v>
      </c>
      <c r="G78" s="61">
        <f>IF(FT!B78&lt;&gt;"",FT!B78*100,"")</f>
        <v>51.748199999999997</v>
      </c>
      <c r="H78" s="61">
        <f t="shared" si="9"/>
        <v>1</v>
      </c>
      <c r="I78" t="str">
        <f>IF(FT!B78&lt;&gt;"",FT!E78,"")</f>
        <v>2 [30.908352]</v>
      </c>
      <c r="J78">
        <f>IF(FT!B78&lt;&gt;"",FT!C78,"")</f>
        <v>30.9084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3.6997</v>
      </c>
      <c r="G79" s="61">
        <f>IF(FT!B79&lt;&gt;"",FT!B79*100,"")</f>
        <v>51.357900000000001</v>
      </c>
      <c r="H79" s="61">
        <f t="shared" si="9"/>
        <v>1</v>
      </c>
      <c r="I79" t="str">
        <f>IF(FT!B79&lt;&gt;"",FT!E79,"")</f>
        <v>2 [31.311039]</v>
      </c>
      <c r="J79">
        <f>IF(FT!B79&lt;&gt;"",FT!C79,"")</f>
        <v>31.311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152818</v>
      </c>
      <c r="D80" s="61">
        <f>FH!B80*1</f>
        <v>152818</v>
      </c>
      <c r="E80">
        <f t="shared" si="11"/>
        <v>78</v>
      </c>
      <c r="F80" s="61">
        <f>IF(FT!A80&lt;&gt;"",FT!A80*10,"")</f>
        <v>3.69801</v>
      </c>
      <c r="G80" s="61">
        <f>IF(FT!B80&lt;&gt;"",FT!B80*100,"")</f>
        <v>50.992000000000004</v>
      </c>
      <c r="H80" s="61">
        <f t="shared" si="9"/>
        <v>1</v>
      </c>
      <c r="I80" t="str">
        <f>IF(FT!B80&lt;&gt;"",FT!E80,"")</f>
        <v>2 [31.719362]</v>
      </c>
      <c r="J80">
        <f>IF(FT!B80&lt;&gt;"",FT!C80,"")</f>
        <v>31.7194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3.6931799999999999</v>
      </c>
      <c r="G81" s="61">
        <f>IF(FT!B81&lt;&gt;"",FT!B81*100,"")</f>
        <v>50.6815</v>
      </c>
      <c r="H81" s="61">
        <f t="shared" si="9"/>
        <v>1</v>
      </c>
      <c r="I81" t="str">
        <f>IF(FT!B81&lt;&gt;"",FT!E81,"")</f>
        <v>2 [32.121995]</v>
      </c>
      <c r="J81">
        <f>IF(FT!B81&lt;&gt;"",FT!C81,"")</f>
        <v>32.122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158189</v>
      </c>
      <c r="D82" s="61">
        <f>FH!B82*1</f>
        <v>158189</v>
      </c>
      <c r="E82">
        <f t="shared" si="11"/>
        <v>80</v>
      </c>
      <c r="F82" s="61">
        <f>IF(FT!A82&lt;&gt;"",FT!A82*10,"")</f>
        <v>3.6860399999999998</v>
      </c>
      <c r="G82" s="61">
        <f>IF(FT!B82&lt;&gt;"",FT!B82*100,"")</f>
        <v>50.406500000000001</v>
      </c>
      <c r="H82" s="61">
        <f t="shared" si="9"/>
        <v>1</v>
      </c>
      <c r="I82" t="str">
        <f>IF(FT!B82&lt;&gt;"",FT!E82,"")</f>
        <v>2 [32.533842]</v>
      </c>
      <c r="J82">
        <f>IF(FT!B82&lt;&gt;"",FT!C82,"")</f>
        <v>32.533799999999999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3.6774100000000001</v>
      </c>
      <c r="G83" s="61">
        <f>IF(FT!B83&lt;&gt;"",FT!B83*100,"")</f>
        <v>50.064100000000003</v>
      </c>
      <c r="H83" s="61">
        <f t="shared" si="9"/>
        <v>1</v>
      </c>
      <c r="I83" t="str">
        <f>IF(FT!B83&lt;&gt;"",FT!E83,"")</f>
        <v>2 [32.940835]</v>
      </c>
      <c r="J83">
        <f>IF(FT!B83&lt;&gt;"",FT!C83,"")</f>
        <v>32.940800000000003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3.6654799999999996</v>
      </c>
      <c r="G84" s="61">
        <f>IF(FT!B84&lt;&gt;"",FT!B84*100,"")</f>
        <v>49.755000000000003</v>
      </c>
      <c r="H84" s="61">
        <f t="shared" si="9"/>
        <v>1</v>
      </c>
      <c r="I84" t="str">
        <f>IF(FT!B84&lt;&gt;"",FT!E84,"")</f>
        <v>2 [33.341356]</v>
      </c>
      <c r="J84">
        <f>IF(FT!B84&lt;&gt;"",FT!C84,"")</f>
        <v>33.3414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164223</v>
      </c>
      <c r="D85" s="61">
        <f>FH!B85*1</f>
        <v>164223</v>
      </c>
      <c r="E85">
        <f t="shared" si="11"/>
        <v>83</v>
      </c>
      <c r="F85" s="61">
        <f>IF(FT!A85&lt;&gt;"",FT!A85*10,"")</f>
        <v>3.6508500000000002</v>
      </c>
      <c r="G85" s="61">
        <f>IF(FT!B85&lt;&gt;"",FT!B85*100,"")</f>
        <v>49.502400000000002</v>
      </c>
      <c r="H85" s="61">
        <f t="shared" si="9"/>
        <v>1</v>
      </c>
      <c r="I85" t="str">
        <f>IF(FT!B85&lt;&gt;"",FT!E85,"")</f>
        <v>2 [33.749616]</v>
      </c>
      <c r="J85">
        <f>IF(FT!B85&lt;&gt;"",FT!C85,"")</f>
        <v>33.749600000000001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3.6346800000000004</v>
      </c>
      <c r="G86" s="61">
        <f>IF(FT!B86&lt;&gt;"",FT!B86*100,"")</f>
        <v>49.288699999999999</v>
      </c>
      <c r="H86" s="61">
        <f t="shared" si="9"/>
        <v>1</v>
      </c>
      <c r="I86" t="str">
        <f>IF(FT!B86&lt;&gt;"",FT!E86,"")</f>
        <v>2 [34.156649]</v>
      </c>
      <c r="J86">
        <f>IF(FT!B86&lt;&gt;"",FT!C86,"")</f>
        <v>34.156599999999997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3.6166300000000002</v>
      </c>
      <c r="G87" s="61">
        <f>IF(FT!B87&lt;&gt;"",FT!B87*100,"")</f>
        <v>49.063899999999997</v>
      </c>
      <c r="H87" s="61">
        <f t="shared" si="9"/>
        <v>1</v>
      </c>
      <c r="I87" t="str">
        <f>IF(FT!B87&lt;&gt;"",FT!E87,"")</f>
        <v>2 [34.561424]</v>
      </c>
      <c r="J87">
        <f>IF(FT!B87&lt;&gt;"",FT!C87,"")</f>
        <v>34.561399999999999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161483</v>
      </c>
      <c r="D88" s="61">
        <f>FH!B88*1</f>
        <v>161483</v>
      </c>
      <c r="E88">
        <f t="shared" si="11"/>
        <v>86</v>
      </c>
      <c r="F88" s="61">
        <f>IF(FT!A88&lt;&gt;"",FT!A88*10,"")</f>
        <v>3.5979999999999999</v>
      </c>
      <c r="G88" s="61">
        <f>IF(FT!B88&lt;&gt;"",FT!B88*100,"")</f>
        <v>48.805100000000003</v>
      </c>
      <c r="H88" s="61">
        <f t="shared" si="9"/>
        <v>1</v>
      </c>
      <c r="I88" t="str">
        <f>IF(FT!B88&lt;&gt;"",FT!E88,"")</f>
        <v>2 [34.967126]</v>
      </c>
      <c r="J88">
        <f>IF(FT!B88&lt;&gt;"",FT!C88,"")</f>
        <v>34.967100000000002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3.5769800000000003</v>
      </c>
      <c r="G89" s="61">
        <f>IF(FT!B89&lt;&gt;"",FT!B89*100,"")</f>
        <v>48.505099999999999</v>
      </c>
      <c r="H89" s="61">
        <f t="shared" si="9"/>
        <v>1</v>
      </c>
      <c r="I89" t="str">
        <f>IF(FT!B89&lt;&gt;"",FT!E89,"")</f>
        <v>2 [35.379328]</v>
      </c>
      <c r="J89">
        <f>IF(FT!B89&lt;&gt;"",FT!C89,"")</f>
        <v>35.379300000000001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183782</v>
      </c>
      <c r="D90" s="61">
        <f>FH!B90*1</f>
        <v>183782</v>
      </c>
      <c r="E90">
        <f t="shared" si="11"/>
        <v>88</v>
      </c>
      <c r="F90" s="61">
        <f>IF(FT!A90&lt;&gt;"",FT!A90*10,"")</f>
        <v>3.5532900000000001</v>
      </c>
      <c r="G90" s="61">
        <f>IF(FT!B90&lt;&gt;"",FT!B90*100,"")</f>
        <v>48.222099999999998</v>
      </c>
      <c r="H90" s="61">
        <f t="shared" si="9"/>
        <v>1</v>
      </c>
      <c r="I90" t="str">
        <f>IF(FT!B90&lt;&gt;"",FT!E90,"")</f>
        <v>2 [35.780246]</v>
      </c>
      <c r="J90">
        <f>IF(FT!B90&lt;&gt;"",FT!C90,"")</f>
        <v>35.780200000000001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3.5271400000000002</v>
      </c>
      <c r="G91" s="61">
        <f>IF(FT!B91&lt;&gt;"",FT!B91*100,"")</f>
        <v>47.817100000000003</v>
      </c>
      <c r="H91" s="61">
        <f t="shared" si="9"/>
        <v>1</v>
      </c>
      <c r="I91" t="str">
        <f>IF(FT!B91&lt;&gt;"",FT!E91,"")</f>
        <v>2 [36.185463]</v>
      </c>
      <c r="J91">
        <f>IF(FT!B91&lt;&gt;"",FT!C91,"")</f>
        <v>36.185499999999998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3.5015900000000002</v>
      </c>
      <c r="G92" s="61">
        <f>IF(FT!B92&lt;&gt;"",FT!B92*100,"")</f>
        <v>47.371699999999997</v>
      </c>
      <c r="H92" s="61">
        <f t="shared" si="9"/>
        <v>1</v>
      </c>
      <c r="I92" t="str">
        <f>IF(FT!B92&lt;&gt;"",FT!E92,"")</f>
        <v>2 [36.592966]</v>
      </c>
      <c r="J92">
        <f>IF(FT!B92&lt;&gt;"",FT!C92,"")</f>
        <v>36.593000000000004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186541</v>
      </c>
      <c r="D93" s="61">
        <f>FH!B93*1</f>
        <v>186541</v>
      </c>
      <c r="E93">
        <f t="shared" si="11"/>
        <v>91</v>
      </c>
      <c r="F93" s="61">
        <f>IF(FT!A93&lt;&gt;"",FT!A93*10,"")</f>
        <v>3.4743400000000002</v>
      </c>
      <c r="G93" s="61">
        <f>IF(FT!B93&lt;&gt;"",FT!B93*100,"")</f>
        <v>46.8782</v>
      </c>
      <c r="H93" s="61">
        <f t="shared" si="9"/>
        <v>1</v>
      </c>
      <c r="I93" t="str">
        <f>IF(FT!B93&lt;&gt;"",FT!E93,"")</f>
        <v>2 [37.002194]</v>
      </c>
      <c r="J93">
        <f>IF(FT!B93&lt;&gt;"",FT!C93,"")</f>
        <v>37.002200000000002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3.4497800000000001</v>
      </c>
      <c r="G94" s="61">
        <f>IF(FT!B94&lt;&gt;"",FT!B94*100,"")</f>
        <v>46.3324</v>
      </c>
      <c r="H94" s="61">
        <f t="shared" si="9"/>
        <v>1</v>
      </c>
      <c r="I94" t="str">
        <f>IF(FT!B94&lt;&gt;"",FT!E94,"")</f>
        <v>2 [37.404959]</v>
      </c>
      <c r="J94">
        <f>IF(FT!B94&lt;&gt;"",FT!C94,"")</f>
        <v>37.405000000000001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195864</v>
      </c>
      <c r="D95" s="61">
        <f>FH!B95*1</f>
        <v>195864</v>
      </c>
      <c r="E95">
        <f t="shared" si="11"/>
        <v>93</v>
      </c>
      <c r="F95" s="61">
        <f>IF(FT!A95&lt;&gt;"",FT!A95*10,"")</f>
        <v>3.4240700000000004</v>
      </c>
      <c r="G95" s="61">
        <f>IF(FT!B95&lt;&gt;"",FT!B95*100,"")</f>
        <v>45.873100000000001</v>
      </c>
      <c r="H95" s="61">
        <f t="shared" si="9"/>
        <v>1</v>
      </c>
      <c r="I95" t="str">
        <f>IF(FT!B95&lt;&gt;"",FT!E95,"")</f>
        <v>2 [37.812880]</v>
      </c>
      <c r="J95">
        <f>IF(FT!B95&lt;&gt;"",FT!C95,"")</f>
        <v>37.812899999999999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3.3980500000000005</v>
      </c>
      <c r="G96" s="61">
        <f>IF(FT!B96&lt;&gt;"",FT!B96*100,"")</f>
        <v>45.450200000000002</v>
      </c>
      <c r="H96" s="61">
        <f t="shared" si="9"/>
        <v>1</v>
      </c>
      <c r="I96" t="str">
        <f>IF(FT!B96&lt;&gt;"",FT!E96,"")</f>
        <v>2 [38.215773]</v>
      </c>
      <c r="J96">
        <f>IF(FT!B96&lt;&gt;"",FT!C96,"")</f>
        <v>38.215800000000002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3.36951</v>
      </c>
      <c r="G97" s="61">
        <f>IF(FT!B97&lt;&gt;"",FT!B97*100,"")</f>
        <v>45.0976</v>
      </c>
      <c r="H97" s="61">
        <f t="shared" si="9"/>
        <v>1</v>
      </c>
      <c r="I97" t="str">
        <f>IF(FT!B97&lt;&gt;"",FT!E97,"")</f>
        <v>2 [38.621914]</v>
      </c>
      <c r="J97">
        <f>IF(FT!B97&lt;&gt;"",FT!C97,"")</f>
        <v>38.621899999999997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214079</v>
      </c>
      <c r="D98" s="61">
        <f>FH!B98*1</f>
        <v>214079</v>
      </c>
      <c r="E98">
        <f t="shared" si="11"/>
        <v>96</v>
      </c>
      <c r="F98" s="61">
        <f>IF(FT!A98&lt;&gt;"",FT!A98*10,"")</f>
        <v>3.34152</v>
      </c>
      <c r="G98" s="61">
        <f>IF(FT!B98&lt;&gt;"",FT!B98*100,"")</f>
        <v>44.7577</v>
      </c>
      <c r="H98" s="61">
        <f t="shared" si="9"/>
        <v>1</v>
      </c>
      <c r="I98" t="str">
        <f>IF(FT!B98&lt;&gt;"",FT!E98,"")</f>
        <v>2 [39.031575]</v>
      </c>
      <c r="J98">
        <f>IF(FT!B98&lt;&gt;"",FT!C98,"")</f>
        <v>39.031599999999997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3.3192500000000003</v>
      </c>
      <c r="G99" s="61">
        <f>IF(FT!B99&lt;&gt;"",FT!B99*100,"")</f>
        <v>44.295000000000002</v>
      </c>
      <c r="H99" s="61">
        <f t="shared" si="9"/>
        <v>1</v>
      </c>
      <c r="I99" t="str">
        <f>IF(FT!B99&lt;&gt;"",FT!E99,"")</f>
        <v>2 [39.437514]</v>
      </c>
      <c r="J99">
        <f>IF(FT!B99&lt;&gt;"",FT!C99,"")</f>
        <v>39.4375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210584</v>
      </c>
      <c r="D100" s="61">
        <f>FH!B100*1</f>
        <v>210584</v>
      </c>
      <c r="E100">
        <f t="shared" si="11"/>
        <v>98</v>
      </c>
      <c r="F100" s="61">
        <f>IF(FT!A100&lt;&gt;"",FT!A100*10,"")</f>
        <v>3.29847</v>
      </c>
      <c r="G100" s="61">
        <f>IF(FT!B100&lt;&gt;"",FT!B100*100,"")</f>
        <v>43.820799999999998</v>
      </c>
      <c r="H100" s="61">
        <f t="shared" si="9"/>
        <v>1</v>
      </c>
      <c r="I100" t="str">
        <f>IF(FT!B100&lt;&gt;"",FT!E100,"")</f>
        <v>2 [39.843327]</v>
      </c>
      <c r="J100">
        <f>IF(FT!B100&lt;&gt;"",FT!C100,"")</f>
        <v>39.843299999999999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3.2749299999999999</v>
      </c>
      <c r="G101" s="61">
        <f>IF(FT!B101&lt;&gt;"",FT!B101*100,"")</f>
        <v>43.4786</v>
      </c>
      <c r="H101" s="61">
        <f t="shared" si="9"/>
        <v>1</v>
      </c>
      <c r="I101" t="str">
        <f>IF(FT!B101&lt;&gt;"",FT!E101,"")</f>
        <v>2 [40.249344]</v>
      </c>
      <c r="J101">
        <f>IF(FT!B101&lt;&gt;"",FT!C101,"")</f>
        <v>40.249299999999998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3.2559300000000002</v>
      </c>
      <c r="G102" s="61">
        <f>IF(FT!B102&lt;&gt;"",FT!B102*100,"")</f>
        <v>43.110900000000001</v>
      </c>
      <c r="H102" s="61">
        <f t="shared" si="9"/>
        <v>1</v>
      </c>
      <c r="I102" t="str">
        <f>IF(FT!B102&lt;&gt;"",FT!E102,"")</f>
        <v>2 [40.654761]</v>
      </c>
      <c r="J102">
        <f>IF(FT!B102&lt;&gt;"",FT!C102,"")</f>
        <v>40.654800000000002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234647</v>
      </c>
      <c r="D103" s="61">
        <f>FH!B103*1</f>
        <v>234647</v>
      </c>
      <c r="E103">
        <f t="shared" si="11"/>
        <v>101</v>
      </c>
      <c r="F103" s="61">
        <f>IF(FT!A103&lt;&gt;"",FT!A103*10,"")</f>
        <v>3.23665</v>
      </c>
      <c r="G103" s="61">
        <f>IF(FT!B103&lt;&gt;"",FT!B103*100,"")</f>
        <v>42.896999999999998</v>
      </c>
      <c r="H103" s="61">
        <f t="shared" si="9"/>
        <v>1</v>
      </c>
      <c r="I103" t="str">
        <f>IF(FT!B103&lt;&gt;"",FT!E103,"")</f>
        <v>2 [41.063009]</v>
      </c>
      <c r="J103">
        <f>IF(FT!B103&lt;&gt;"",FT!C103,"")</f>
        <v>41.063000000000002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3.2178100000000001</v>
      </c>
      <c r="G104" s="61">
        <f>IF(FT!B104&lt;&gt;"",FT!B104*100,"")</f>
        <v>42.754899999999999</v>
      </c>
      <c r="H104" s="61">
        <f t="shared" si="9"/>
        <v>1</v>
      </c>
      <c r="I104" t="str">
        <f>IF(FT!B104&lt;&gt;"",FT!E104,"")</f>
        <v>2 [41.470097]</v>
      </c>
      <c r="J104">
        <f>IF(FT!B104&lt;&gt;"",FT!C104,"")</f>
        <v>41.470100000000002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3.1975599999999997</v>
      </c>
      <c r="G105" s="61">
        <f>IF(FT!B105&lt;&gt;"",FT!B105*100,"")</f>
        <v>42.704099999999997</v>
      </c>
      <c r="H105" s="61">
        <f t="shared" si="9"/>
        <v>1</v>
      </c>
      <c r="I105" t="str">
        <f>IF(FT!B105&lt;&gt;"",FT!E105,"")</f>
        <v>2 [41.873883]</v>
      </c>
      <c r="J105">
        <f>IF(FT!B105&lt;&gt;"",FT!C105,"")</f>
        <v>41.873899999999999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249864</v>
      </c>
      <c r="D106" s="61">
        <f>FH!B106*1</f>
        <v>249864</v>
      </c>
      <c r="E106">
        <f t="shared" si="11"/>
        <v>104</v>
      </c>
      <c r="F106" s="61">
        <f>IF(FT!A106&lt;&gt;"",FT!A106*10,"")</f>
        <v>3.1794199999999999</v>
      </c>
      <c r="G106" s="61">
        <f>IF(FT!B106&lt;&gt;"",FT!B106*100,"")</f>
        <v>42.643100000000004</v>
      </c>
      <c r="H106" s="61">
        <f t="shared" si="9"/>
        <v>1</v>
      </c>
      <c r="I106" t="str">
        <f>IF(FT!B106&lt;&gt;"",FT!E106,"")</f>
        <v>2 [42.279886]</v>
      </c>
      <c r="J106">
        <f>IF(FT!B106&lt;&gt;"",FT!C106,"")</f>
        <v>42.279899999999998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3.1652100000000001</v>
      </c>
      <c r="G107" s="61">
        <f>IF(FT!B107&lt;&gt;"",FT!B107*100,"")</f>
        <v>42.471499999999999</v>
      </c>
      <c r="H107" s="61">
        <f t="shared" si="9"/>
        <v>1</v>
      </c>
      <c r="I107" t="str">
        <f>IF(FT!B107&lt;&gt;"",FT!E107,"")</f>
        <v>2 [42.684800]</v>
      </c>
      <c r="J107">
        <f>IF(FT!B107&lt;&gt;"",FT!C107,"")</f>
        <v>42.684800000000003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247455</v>
      </c>
      <c r="D108" s="61">
        <f>FH!B108*1</f>
        <v>247455</v>
      </c>
      <c r="E108">
        <f t="shared" si="11"/>
        <v>106</v>
      </c>
      <c r="F108" s="61">
        <f>IF(FT!A108&lt;&gt;"",FT!A108*10,"")</f>
        <v>3.1498399999999998</v>
      </c>
      <c r="G108" s="61">
        <f>IF(FT!B108&lt;&gt;"",FT!B108*100,"")</f>
        <v>42.363599999999998</v>
      </c>
      <c r="H108" s="61">
        <f t="shared" si="9"/>
        <v>1</v>
      </c>
      <c r="I108" t="str">
        <f>IF(FT!B108&lt;&gt;"",FT!E108,"")</f>
        <v>2 [43.091737]</v>
      </c>
      <c r="J108">
        <f>IF(FT!B108&lt;&gt;"",FT!C108,"")</f>
        <v>43.091700000000003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3.1365500000000002</v>
      </c>
      <c r="G109" s="61">
        <f>IF(FT!B109&lt;&gt;"",FT!B109*100,"")</f>
        <v>42.1967</v>
      </c>
      <c r="H109" s="61">
        <f t="shared" si="9"/>
        <v>1</v>
      </c>
      <c r="I109" t="str">
        <f>IF(FT!B109&lt;&gt;"",FT!E109,"")</f>
        <v>2 [43.497683]</v>
      </c>
      <c r="J109">
        <f>IF(FT!B109&lt;&gt;"",FT!C109,"")</f>
        <v>43.497700000000002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3.1264799999999999</v>
      </c>
      <c r="G110" s="61">
        <f>IF(FT!B110&lt;&gt;"",FT!B110*100,"")</f>
        <v>41.939799999999998</v>
      </c>
      <c r="H110" s="61">
        <f t="shared" si="9"/>
        <v>1</v>
      </c>
      <c r="I110" t="str">
        <f>IF(FT!B110&lt;&gt;"",FT!E110,"")</f>
        <v>2 [43.909963]</v>
      </c>
      <c r="J110">
        <f>IF(FT!B110&lt;&gt;"",FT!C110,"")</f>
        <v>43.91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238542</v>
      </c>
      <c r="D111" s="61">
        <f>FH!B111*1</f>
        <v>238542</v>
      </c>
      <c r="E111">
        <f t="shared" si="11"/>
        <v>109</v>
      </c>
      <c r="F111" s="61">
        <f>IF(FT!A111&lt;&gt;"",FT!A111*10,"")</f>
        <v>3.1167199999999999</v>
      </c>
      <c r="G111" s="61">
        <f>IF(FT!B111&lt;&gt;"",FT!B111*100,"")</f>
        <v>41.732700000000001</v>
      </c>
      <c r="H111" s="61">
        <f t="shared" si="9"/>
        <v>1</v>
      </c>
      <c r="I111" t="str">
        <f>IF(FT!B111&lt;&gt;"",FT!E111,"")</f>
        <v>2 [44.315559]</v>
      </c>
      <c r="J111">
        <f>IF(FT!B111&lt;&gt;"",FT!C111,"")</f>
        <v>44.315600000000003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3.1048999999999998</v>
      </c>
      <c r="G112" s="61">
        <f>IF(FT!B112&lt;&gt;"",FT!B112*100,"")</f>
        <v>41.792400000000001</v>
      </c>
      <c r="H112" s="61">
        <f t="shared" si="9"/>
        <v>1</v>
      </c>
      <c r="I112" t="str">
        <f>IF(FT!B112&lt;&gt;"",FT!E112,"")</f>
        <v>2 [44.719508]</v>
      </c>
      <c r="J112">
        <f>IF(FT!B112&lt;&gt;"",FT!C112,"")</f>
        <v>44.719499999999996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226341</v>
      </c>
      <c r="D113" s="61">
        <f>FH!B113*1</f>
        <v>226341</v>
      </c>
      <c r="E113">
        <f t="shared" si="11"/>
        <v>111</v>
      </c>
      <c r="F113" s="61">
        <f>IF(FT!A113&lt;&gt;"",FT!A113*10,"")</f>
        <v>3.0897299999999999</v>
      </c>
      <c r="G113" s="61">
        <f>IF(FT!B113&lt;&gt;"",FT!B113*100,"")</f>
        <v>42.084700000000005</v>
      </c>
      <c r="H113" s="61">
        <f t="shared" si="9"/>
        <v>1</v>
      </c>
      <c r="I113" t="str">
        <f>IF(FT!B113&lt;&gt;"",FT!E113,"")</f>
        <v>2 [45.124203]</v>
      </c>
      <c r="J113">
        <f>IF(FT!B113&lt;&gt;"",FT!C113,"")</f>
        <v>45.124200000000002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3.07544</v>
      </c>
      <c r="G114" s="61">
        <f>IF(FT!B114&lt;&gt;"",FT!B114*100,"")</f>
        <v>42.423499999999997</v>
      </c>
      <c r="H114" s="61">
        <f t="shared" si="9"/>
        <v>1</v>
      </c>
      <c r="I114" t="str">
        <f>IF(FT!B114&lt;&gt;"",FT!E114,"")</f>
        <v>2 [45.531139]</v>
      </c>
      <c r="J114">
        <f>IF(FT!B114&lt;&gt;"",FT!C114,"")</f>
        <v>45.531100000000002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3.0643099999999999</v>
      </c>
      <c r="G115" s="61">
        <f>IF(FT!B115&lt;&gt;"",FT!B115*100,"")</f>
        <v>42.6751</v>
      </c>
      <c r="H115" s="61">
        <f t="shared" si="9"/>
        <v>1</v>
      </c>
      <c r="I115" t="str">
        <f>IF(FT!B115&lt;&gt;"",FT!E115,"")</f>
        <v>2 [45.937072]</v>
      </c>
      <c r="J115">
        <f>IF(FT!B115&lt;&gt;"",FT!C115,"")</f>
        <v>45.937100000000001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200408</v>
      </c>
      <c r="D116" s="61">
        <f>FH!B116*1</f>
        <v>200408</v>
      </c>
      <c r="E116">
        <f t="shared" si="11"/>
        <v>114</v>
      </c>
      <c r="F116" s="61">
        <f>IF(FT!A116&lt;&gt;"",FT!A116*10,"")</f>
        <v>3.0577500000000004</v>
      </c>
      <c r="G116" s="61">
        <f>IF(FT!B116&lt;&gt;"",FT!B116*100,"")</f>
        <v>42.9129</v>
      </c>
      <c r="H116" s="61">
        <f t="shared" si="9"/>
        <v>1</v>
      </c>
      <c r="I116" t="str">
        <f>IF(FT!B116&lt;&gt;"",FT!E116,"")</f>
        <v>2 [46.342905]</v>
      </c>
      <c r="J116">
        <f>IF(FT!B116&lt;&gt;"",FT!C116,"")</f>
        <v>46.3429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3.0517699999999999</v>
      </c>
      <c r="G117" s="61">
        <f>IF(FT!B117&lt;&gt;"",FT!B117*100,"")</f>
        <v>43.161999999999999</v>
      </c>
      <c r="H117" s="61">
        <f t="shared" si="9"/>
        <v>1</v>
      </c>
      <c r="I117" t="str">
        <f>IF(FT!B117&lt;&gt;"",FT!E117,"")</f>
        <v>2 [46.749994]</v>
      </c>
      <c r="J117">
        <f>IF(FT!B117&lt;&gt;"",FT!C117,"")</f>
        <v>46.75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174300</v>
      </c>
      <c r="D118" s="61">
        <f>FH!B118*1</f>
        <v>174300</v>
      </c>
      <c r="E118">
        <f t="shared" si="11"/>
        <v>116</v>
      </c>
      <c r="F118" s="61">
        <f>IF(FT!A118&lt;&gt;"",FT!A118*10,"")</f>
        <v>3.0498500000000002</v>
      </c>
      <c r="G118" s="61">
        <f>IF(FT!B118&lt;&gt;"",FT!B118*100,"")</f>
        <v>43.3703</v>
      </c>
      <c r="H118" s="61">
        <f t="shared" si="9"/>
        <v>1</v>
      </c>
      <c r="I118" t="str">
        <f>IF(FT!B118&lt;&gt;"",FT!E118,"")</f>
        <v>2 [47.157850]</v>
      </c>
      <c r="J118">
        <f>IF(FT!B118&lt;&gt;"",FT!C118,"")</f>
        <v>47.157800000000002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3.0470100000000002</v>
      </c>
      <c r="G119" s="61">
        <f>IF(FT!B119&lt;&gt;"",FT!B119*100,"")</f>
        <v>43.7258</v>
      </c>
      <c r="H119" s="61">
        <f t="shared" si="9"/>
        <v>1</v>
      </c>
      <c r="I119" t="str">
        <f>IF(FT!B119&lt;&gt;"",FT!E119,"")</f>
        <v>2 [47.561670]</v>
      </c>
      <c r="J119">
        <f>IF(FT!B119&lt;&gt;"",FT!C119,"")</f>
        <v>47.561700000000002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3.0417399999999999</v>
      </c>
      <c r="G120" s="61">
        <f>IF(FT!B120&lt;&gt;"",FT!B120*100,"")</f>
        <v>44.185499999999998</v>
      </c>
      <c r="H120" s="61">
        <f t="shared" si="9"/>
        <v>1</v>
      </c>
      <c r="I120" t="str">
        <f>IF(FT!B120&lt;&gt;"",FT!E120,"")</f>
        <v>2 [47.968920]</v>
      </c>
      <c r="J120">
        <f>IF(FT!B120&lt;&gt;"",FT!C120,"")</f>
        <v>47.968899999999998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128620</v>
      </c>
      <c r="D121" s="61">
        <f>FH!B121*1</f>
        <v>128620</v>
      </c>
      <c r="E121">
        <f t="shared" si="11"/>
        <v>119</v>
      </c>
      <c r="F121" s="61">
        <f>IF(FT!A121&lt;&gt;"",FT!A121*10,"")</f>
        <v>3.0327100000000002</v>
      </c>
      <c r="G121" s="61">
        <f>IF(FT!B121&lt;&gt;"",FT!B121*100,"")</f>
        <v>44.7789</v>
      </c>
      <c r="H121" s="61">
        <f t="shared" si="9"/>
        <v>1</v>
      </c>
      <c r="I121" t="str">
        <f>IF(FT!B121&lt;&gt;"",FT!E121,"")</f>
        <v>2 [48.375446]</v>
      </c>
      <c r="J121">
        <f>IF(FT!B121&lt;&gt;"",FT!C121,"")</f>
        <v>48.375399999999999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3.0223599999999999</v>
      </c>
      <c r="G122" s="61">
        <f>IF(FT!B122&lt;&gt;"",FT!B122*100,"")</f>
        <v>45.366700000000002</v>
      </c>
      <c r="H122" s="61">
        <f t="shared" si="9"/>
        <v>1</v>
      </c>
      <c r="I122" t="str">
        <f>IF(FT!B122&lt;&gt;"",FT!E122,"")</f>
        <v>2 [48.782501]</v>
      </c>
      <c r="J122">
        <f>IF(FT!B122&lt;&gt;"",FT!C122,"")</f>
        <v>48.782499999999999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3.0129099999999998</v>
      </c>
      <c r="G123" s="61">
        <f>IF(FT!B123&lt;&gt;"",FT!B123*100,"")</f>
        <v>45.887799999999999</v>
      </c>
      <c r="H123" s="61">
        <f t="shared" si="9"/>
        <v>1</v>
      </c>
      <c r="I123" t="str">
        <f>IF(FT!B123&lt;&gt;"",FT!E123,"")</f>
        <v>2 [49.185547]</v>
      </c>
      <c r="J123">
        <f>IF(FT!B123&lt;&gt;"",FT!C123,"")</f>
        <v>49.185499999999998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84317</v>
      </c>
      <c r="D124" s="61">
        <f>FH!B124*1</f>
        <v>84317</v>
      </c>
      <c r="E124">
        <f t="shared" si="11"/>
        <v>122</v>
      </c>
      <c r="F124" s="61">
        <f>IF(FT!A124&lt;&gt;"",FT!A124*10,"")</f>
        <v>3.0040699999999996</v>
      </c>
      <c r="G124" s="61">
        <f>IF(FT!B124&lt;&gt;"",FT!B124*100,"")</f>
        <v>46.363900000000001</v>
      </c>
      <c r="H124" s="61">
        <f t="shared" si="9"/>
        <v>1</v>
      </c>
      <c r="I124" t="str">
        <f>IF(FT!B124&lt;&gt;"",FT!E124,"")</f>
        <v>2 [49.591227]</v>
      </c>
      <c r="J124">
        <f>IF(FT!B124&lt;&gt;"",FT!C124,"")</f>
        <v>49.591200000000001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2.9959000000000002</v>
      </c>
      <c r="G125" s="61">
        <f>IF(FT!B125&lt;&gt;"",FT!B125*100,"")</f>
        <v>46.794599999999996</v>
      </c>
      <c r="H125" s="61">
        <f t="shared" si="9"/>
        <v>1</v>
      </c>
      <c r="I125" t="str">
        <f>IF(FT!B125&lt;&gt;"",FT!E125,"")</f>
        <v>2 [49.999329]</v>
      </c>
      <c r="J125">
        <f>IF(FT!B125&lt;&gt;"",FT!C125,"")</f>
        <v>49.999299999999998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58112</v>
      </c>
      <c r="D126" s="61">
        <f>FH!B126*1</f>
        <v>58112</v>
      </c>
      <c r="E126">
        <f t="shared" si="11"/>
        <v>124</v>
      </c>
      <c r="F126" s="61">
        <f>IF(FT!A126&lt;&gt;"",FT!A126*10,"")</f>
        <v>2.9969600000000001</v>
      </c>
      <c r="G126" s="61">
        <f>IF(FT!B126&lt;&gt;"",FT!B126*100,"")</f>
        <v>46.997399999999999</v>
      </c>
      <c r="H126" s="61">
        <f t="shared" si="9"/>
        <v>1</v>
      </c>
      <c r="I126" t="str">
        <f>IF(FT!B126&lt;&gt;"",FT!E126,"")</f>
        <v>2 [50.409054]</v>
      </c>
      <c r="J126">
        <f>IF(FT!B126&lt;&gt;"",FT!C126,"")</f>
        <v>50.409100000000002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2.9946800000000002</v>
      </c>
      <c r="G127" s="61">
        <f>IF(FT!B127&lt;&gt;"",FT!B127*100,"")</f>
        <v>47.328499999999998</v>
      </c>
      <c r="H127" s="61">
        <f t="shared" si="9"/>
        <v>1</v>
      </c>
      <c r="I127" t="str">
        <f>IF(FT!B127&lt;&gt;"",FT!E127,"")</f>
        <v>2 [50.816041]</v>
      </c>
      <c r="J127">
        <f>IF(FT!B127&lt;&gt;"",FT!C127,"")</f>
        <v>50.816000000000003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2.9879600000000002</v>
      </c>
      <c r="G128" s="61">
        <f>IF(FT!B128&lt;&gt;"",FT!B128*100,"")</f>
        <v>47.794599999999996</v>
      </c>
      <c r="H128" s="61">
        <f t="shared" si="9"/>
        <v>1</v>
      </c>
      <c r="I128" t="str">
        <f>IF(FT!B128&lt;&gt;"",FT!E128,"")</f>
        <v>2 [51.221889]</v>
      </c>
      <c r="J128">
        <f>IF(FT!B128&lt;&gt;"",FT!C128,"")</f>
        <v>51.221899999999998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32893</v>
      </c>
      <c r="D129" s="61">
        <f>FH!B129*1</f>
        <v>32893</v>
      </c>
      <c r="E129">
        <f t="shared" si="11"/>
        <v>127</v>
      </c>
      <c r="F129" s="61">
        <f>IF(FT!A129&lt;&gt;"",FT!A129*10,"")</f>
        <v>2.9775200000000002</v>
      </c>
      <c r="G129" s="61">
        <f>IF(FT!B129&lt;&gt;"",FT!B129*100,"")</f>
        <v>48.393900000000002</v>
      </c>
      <c r="H129" s="61">
        <f t="shared" si="9"/>
        <v>1</v>
      </c>
      <c r="I129" t="str">
        <f>IF(FT!B129&lt;&gt;"",FT!E129,"")</f>
        <v>2 [51.621819]</v>
      </c>
      <c r="J129">
        <f>IF(FT!B129&lt;&gt;"",FT!C129,"")</f>
        <v>51.6218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2.9689900000000002</v>
      </c>
      <c r="G130" s="61">
        <f>IF(FT!B130&lt;&gt;"",FT!B130*100,"")</f>
        <v>48.903500000000001</v>
      </c>
      <c r="H130" s="61">
        <f t="shared" si="9"/>
        <v>1</v>
      </c>
      <c r="I130" t="str">
        <f>IF(FT!B130&lt;&gt;"",FT!E130,"")</f>
        <v>2 [52.030959]</v>
      </c>
      <c r="J130">
        <f>IF(FT!B130&lt;&gt;"",FT!C130,"")</f>
        <v>52.030999999999999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15875</v>
      </c>
      <c r="D131" s="61">
        <f>FH!B131*1</f>
        <v>15875</v>
      </c>
      <c r="E131">
        <f t="shared" si="11"/>
        <v>129</v>
      </c>
      <c r="F131" s="61">
        <f>IF(FT!A131&lt;&gt;"",FT!A131*10,"")</f>
        <v>2.9611399999999999</v>
      </c>
      <c r="G131" s="61">
        <f>IF(FT!B131&lt;&gt;"",FT!B131*100,"")</f>
        <v>49.306800000000003</v>
      </c>
      <c r="H131" s="61">
        <f t="shared" ref="H131:H194" si="13">(IF(F131&lt;&gt;"",1,""))</f>
        <v>1</v>
      </c>
      <c r="I131" t="str">
        <f>IF(FT!B131&lt;&gt;"",FT!E131,"")</f>
        <v>2 [52.440703]</v>
      </c>
      <c r="J131">
        <f>IF(FT!B131&lt;&gt;"",FT!C131,"")</f>
        <v>52.4407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2.9520999999999997</v>
      </c>
      <c r="G132" s="61">
        <f>IF(FT!B132&lt;&gt;"",FT!B132*100,"")</f>
        <v>49.685200000000002</v>
      </c>
      <c r="H132" s="61">
        <f t="shared" si="13"/>
        <v>1</v>
      </c>
      <c r="I132" t="str">
        <f>IF(FT!B132&lt;&gt;"",FT!E132,"")</f>
        <v>2 [52.843820]</v>
      </c>
      <c r="J132">
        <f>IF(FT!B132&lt;&gt;"",FT!C132,"")</f>
        <v>52.843800000000002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2.9481099999999998</v>
      </c>
      <c r="G133" s="61">
        <f>IF(FT!B133&lt;&gt;"",FT!B133*100,"")</f>
        <v>49.916400000000003</v>
      </c>
      <c r="H133" s="61">
        <f t="shared" si="13"/>
        <v>1</v>
      </c>
      <c r="I133" t="str">
        <f>IF(FT!B133&lt;&gt;"",FT!E133,"")</f>
        <v>2 [53.249491]</v>
      </c>
      <c r="J133">
        <f>IF(FT!B133&lt;&gt;"",FT!C133,"")</f>
        <v>53.249499999999998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9761</v>
      </c>
      <c r="D134" s="61">
        <f>FH!B134*1</f>
        <v>9761</v>
      </c>
      <c r="E134">
        <f t="shared" si="15"/>
        <v>132</v>
      </c>
      <c r="F134" s="61">
        <f>IF(FT!A134&lt;&gt;"",FT!A134*10,"")</f>
        <v>2.9442699999999999</v>
      </c>
      <c r="G134" s="61">
        <f>IF(FT!B134&lt;&gt;"",FT!B134*100,"")</f>
        <v>50.141500000000008</v>
      </c>
      <c r="H134" s="61">
        <f t="shared" si="13"/>
        <v>1</v>
      </c>
      <c r="I134" t="str">
        <f>IF(FT!B134&lt;&gt;"",FT!E134,"")</f>
        <v>2 [53.656423]</v>
      </c>
      <c r="J134">
        <f>IF(FT!B134&lt;&gt;"",FT!C134,"")</f>
        <v>53.656399999999998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2.9380699999999997</v>
      </c>
      <c r="G135" s="61">
        <f>IF(FT!B135&lt;&gt;"",FT!B135*100,"")</f>
        <v>50.465400000000002</v>
      </c>
      <c r="H135" s="61">
        <f t="shared" si="13"/>
        <v>1</v>
      </c>
      <c r="I135" t="str">
        <f>IF(FT!B135&lt;&gt;"",FT!E135,"")</f>
        <v>2 [54.062795]</v>
      </c>
      <c r="J135">
        <f>IF(FT!B135&lt;&gt;"",FT!C135,"")</f>
        <v>54.062800000000003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4045</v>
      </c>
      <c r="D136" s="61">
        <f>FH!B136*1</f>
        <v>4045</v>
      </c>
      <c r="E136">
        <f t="shared" si="15"/>
        <v>134</v>
      </c>
      <c r="F136" s="61">
        <f>IF(FT!A136&lt;&gt;"",FT!A136*10,"")</f>
        <v>2.92746</v>
      </c>
      <c r="G136" s="61">
        <f>IF(FT!B136&lt;&gt;"",FT!B136*100,"")</f>
        <v>50.937200000000004</v>
      </c>
      <c r="H136" s="61">
        <f t="shared" si="13"/>
        <v>1</v>
      </c>
      <c r="I136" t="str">
        <f>IF(FT!B136&lt;&gt;"",FT!E136,"")</f>
        <v>2 [54.470323]</v>
      </c>
      <c r="J136">
        <f>IF(FT!B136&lt;&gt;"",FT!C136,"")</f>
        <v>54.470300000000002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2.915</v>
      </c>
      <c r="G137" s="61">
        <f>IF(FT!B137&lt;&gt;"",FT!B137*100,"")</f>
        <v>51.338099999999997</v>
      </c>
      <c r="H137" s="61">
        <f t="shared" si="13"/>
        <v>1</v>
      </c>
      <c r="I137" t="str">
        <f>IF(FT!B137&lt;&gt;"",FT!E137,"")</f>
        <v>2 [54.876192]</v>
      </c>
      <c r="J137">
        <f>IF(FT!B137&lt;&gt;"",FT!C137,"")</f>
        <v>54.876199999999997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2.90517</v>
      </c>
      <c r="G138" s="61">
        <f>IF(FT!B138&lt;&gt;"",FT!B138*100,"")</f>
        <v>51.474600000000002</v>
      </c>
      <c r="H138" s="61">
        <f t="shared" si="13"/>
        <v>1</v>
      </c>
      <c r="I138" t="str">
        <f>IF(FT!B138&lt;&gt;"",FT!E138,"")</f>
        <v>2 [55.280138]</v>
      </c>
      <c r="J138">
        <f>IF(FT!B138&lt;&gt;"",FT!C138,"")</f>
        <v>55.280099999999997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3215</v>
      </c>
      <c r="D139" s="61">
        <f>FH!B139*1</f>
        <v>3215</v>
      </c>
      <c r="E139">
        <f t="shared" si="15"/>
        <v>137</v>
      </c>
      <c r="F139" s="61">
        <f>IF(FT!A139&lt;&gt;"",FT!A139*10,"")</f>
        <v>2.8984999999999999</v>
      </c>
      <c r="G139" s="61">
        <f>IF(FT!B139&lt;&gt;"",FT!B139*100,"")</f>
        <v>51.512599999999999</v>
      </c>
      <c r="H139" s="61">
        <f t="shared" si="13"/>
        <v>1</v>
      </c>
      <c r="I139" t="str">
        <f>IF(FT!B139&lt;&gt;"",FT!E139,"")</f>
        <v>2 [55.686917]</v>
      </c>
      <c r="J139">
        <f>IF(FT!B139&lt;&gt;"",FT!C139,"")</f>
        <v>55.686900000000001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2.8921099999999997</v>
      </c>
      <c r="G140" s="61">
        <f>IF(FT!B140&lt;&gt;"",FT!B140*100,"")</f>
        <v>51.5946</v>
      </c>
      <c r="H140" s="61">
        <f t="shared" si="13"/>
        <v>1</v>
      </c>
      <c r="I140" t="str">
        <f>IF(FT!B140&lt;&gt;"",FT!E140,"")</f>
        <v>2 [56.092968]</v>
      </c>
      <c r="J140">
        <f>IF(FT!B140&lt;&gt;"",FT!C140,"")</f>
        <v>56.093000000000004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2.88381</v>
      </c>
      <c r="G141" s="61">
        <f>IF(FT!B141&lt;&gt;"",FT!B141*100,"")</f>
        <v>51.722900000000003</v>
      </c>
      <c r="H141" s="61">
        <f t="shared" si="13"/>
        <v>1</v>
      </c>
      <c r="I141" t="str">
        <f>IF(FT!B141&lt;&gt;"",FT!E141,"")</f>
        <v>2 [56.499776]</v>
      </c>
      <c r="J141">
        <f>IF(FT!B141&lt;&gt;"",FT!C141,"")</f>
        <v>56.4998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1487</v>
      </c>
      <c r="D142" s="61">
        <f>FH!B142*1</f>
        <v>1487</v>
      </c>
      <c r="E142">
        <f t="shared" si="15"/>
        <v>140</v>
      </c>
      <c r="F142" s="61">
        <f>IF(FT!A142&lt;&gt;"",FT!A142*10,"")</f>
        <v>2.8807899999999997</v>
      </c>
      <c r="G142" s="61">
        <f>IF(FT!B142&lt;&gt;"",FT!B142*100,"")</f>
        <v>51.696799999999996</v>
      </c>
      <c r="H142" s="61">
        <f t="shared" si="13"/>
        <v>1</v>
      </c>
      <c r="I142" t="str">
        <f>IF(FT!B142&lt;&gt;"",FT!E142,"")</f>
        <v>2 [56.908759]</v>
      </c>
      <c r="J142">
        <f>IF(FT!B142&lt;&gt;"",FT!C142,"")</f>
        <v>56.908799999999999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2.8776899999999999</v>
      </c>
      <c r="G143" s="61">
        <f>IF(FT!B143&lt;&gt;"",FT!B143*100,"")</f>
        <v>51.658300000000004</v>
      </c>
      <c r="H143" s="61">
        <f t="shared" si="13"/>
        <v>1</v>
      </c>
      <c r="I143" t="str">
        <f>IF(FT!B143&lt;&gt;"",FT!E143,"")</f>
        <v>2 [57.314584]</v>
      </c>
      <c r="J143">
        <f>IF(FT!B143&lt;&gt;"",FT!C143,"")</f>
        <v>57.314599999999999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810</v>
      </c>
      <c r="D144" s="61">
        <f>FH!B144*1</f>
        <v>810</v>
      </c>
      <c r="E144">
        <f t="shared" si="15"/>
        <v>142</v>
      </c>
      <c r="F144" s="61">
        <f>IF(FT!A144&lt;&gt;"",FT!A144*10,"")</f>
        <v>2.8658699999999997</v>
      </c>
      <c r="G144" s="61">
        <f>IF(FT!B144&lt;&gt;"",FT!B144*100,"")</f>
        <v>51.865899999999996</v>
      </c>
      <c r="H144" s="61">
        <f t="shared" si="13"/>
        <v>1</v>
      </c>
      <c r="I144" t="str">
        <f>IF(FT!B144&lt;&gt;"",FT!E144,"")</f>
        <v>2 [57.717610]</v>
      </c>
      <c r="J144">
        <f>IF(FT!B144&lt;&gt;"",FT!C144,"")</f>
        <v>57.717599999999997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2.84985</v>
      </c>
      <c r="G145" s="61">
        <f>IF(FT!B145&lt;&gt;"",FT!B145*100,"")</f>
        <v>52.211200000000005</v>
      </c>
      <c r="H145" s="61">
        <f t="shared" si="13"/>
        <v>1</v>
      </c>
      <c r="I145" t="str">
        <f>IF(FT!B145&lt;&gt;"",FT!E145,"")</f>
        <v>2 [58.124526]</v>
      </c>
      <c r="J145">
        <f>IF(FT!B145&lt;&gt;"",FT!C145,"")</f>
        <v>58.124499999999998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2.8361599999999996</v>
      </c>
      <c r="G146" s="61">
        <f>IF(FT!B146&lt;&gt;"",FT!B146*100,"")</f>
        <v>52.495800000000003</v>
      </c>
      <c r="H146" s="61">
        <f t="shared" si="13"/>
        <v>1</v>
      </c>
      <c r="I146" t="str">
        <f>IF(FT!B146&lt;&gt;"",FT!E146,"")</f>
        <v>2 [58.535598]</v>
      </c>
      <c r="J146">
        <f>IF(FT!B146&lt;&gt;"",FT!C146,"")</f>
        <v>58.535600000000002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352</v>
      </c>
      <c r="D147" s="61">
        <f>FH!B147*1</f>
        <v>352</v>
      </c>
      <c r="E147">
        <f t="shared" si="15"/>
        <v>145</v>
      </c>
      <c r="F147" s="61">
        <f>IF(FT!A147&lt;&gt;"",FT!A147*10,"")</f>
        <v>2.8359000000000001</v>
      </c>
      <c r="G147" s="61">
        <f>IF(FT!B147&lt;&gt;"",FT!B147*100,"")</f>
        <v>52.172399999999996</v>
      </c>
      <c r="H147" s="61">
        <f t="shared" si="13"/>
        <v>1</v>
      </c>
      <c r="I147" t="str">
        <f>IF(FT!B147&lt;&gt;"",FT!E147,"")</f>
        <v>2 [58.940311]</v>
      </c>
      <c r="J147">
        <f>IF(FT!B147&lt;&gt;"",FT!C147,"")</f>
        <v>58.940300000000001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2.83623</v>
      </c>
      <c r="G148" s="61">
        <f>IF(FT!B148&lt;&gt;"",FT!B148*100,"")</f>
        <v>51.635399999999997</v>
      </c>
      <c r="H148" s="61">
        <f t="shared" si="13"/>
        <v>1</v>
      </c>
      <c r="I148" t="str">
        <f>IF(FT!B148&lt;&gt;"",FT!E148,"")</f>
        <v>2 [59.347217]</v>
      </c>
      <c r="J148">
        <f>IF(FT!B148&lt;&gt;"",FT!C148,"")</f>
        <v>59.347200000000001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116</v>
      </c>
      <c r="D149" s="61">
        <f>FH!B149*1</f>
        <v>116</v>
      </c>
      <c r="E149">
        <f t="shared" si="15"/>
        <v>147</v>
      </c>
      <c r="F149" s="61">
        <f>IF(FT!A149&lt;&gt;"",FT!A149*10,"")</f>
        <v>2.8216900000000003</v>
      </c>
      <c r="G149" s="61">
        <f>IF(FT!B149&lt;&gt;"",FT!B149*100,"")</f>
        <v>51.730699999999999</v>
      </c>
      <c r="H149" s="61">
        <f t="shared" si="13"/>
        <v>1</v>
      </c>
      <c r="I149" t="str">
        <f>IF(FT!B149&lt;&gt;"",FT!E149,"")</f>
        <v>2 [59.750112]</v>
      </c>
      <c r="J149">
        <f>IF(FT!B149&lt;&gt;"",FT!C149,"")</f>
        <v>59.750100000000003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0</v>
      </c>
      <c r="D152" s="61">
        <f>FH!B152*1</f>
        <v>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37.998100000000001</v>
      </c>
      <c r="C5" s="66">
        <v>9.6219599999999996</v>
      </c>
      <c r="D5" s="66">
        <v>25.322199999999999</v>
      </c>
      <c r="E5" s="66">
        <v>20</v>
      </c>
      <c r="F5" s="66">
        <v>9.1751900000000006</v>
      </c>
      <c r="G5" s="66">
        <v>50</v>
      </c>
      <c r="H5" s="66">
        <v>46.703800000000001</v>
      </c>
    </row>
    <row r="6" spans="1:8">
      <c r="A6" s="58" t="s">
        <v>303</v>
      </c>
      <c r="B6" s="66">
        <v>28.1111</v>
      </c>
      <c r="C6" s="66">
        <v>3.93147</v>
      </c>
      <c r="D6" s="66">
        <v>13.9855</v>
      </c>
      <c r="E6" s="66">
        <v>20</v>
      </c>
      <c r="F6" s="66">
        <v>15.751300000000001</v>
      </c>
      <c r="G6" s="66">
        <v>40</v>
      </c>
      <c r="H6" s="66">
        <v>34.068899999999999</v>
      </c>
    </row>
    <row r="7" spans="1:8">
      <c r="A7" s="58" t="s">
        <v>304</v>
      </c>
      <c r="B7" s="66">
        <v>30.654199999999999</v>
      </c>
      <c r="C7" s="66">
        <v>10.057499999999999</v>
      </c>
      <c r="D7" s="66">
        <v>32.8095</v>
      </c>
      <c r="E7" s="66">
        <v>15</v>
      </c>
      <c r="F7" s="66">
        <v>11.3996</v>
      </c>
      <c r="G7" s="66">
        <v>40</v>
      </c>
      <c r="H7" s="66">
        <v>57.730899999999998</v>
      </c>
    </row>
    <row r="8" spans="1:8">
      <c r="A8" s="58" t="s">
        <v>305</v>
      </c>
      <c r="B8" s="66">
        <v>31.980899999999998</v>
      </c>
      <c r="C8" s="66">
        <v>6.33995</v>
      </c>
      <c r="D8" s="66">
        <v>19.824200000000001</v>
      </c>
      <c r="E8" s="66">
        <v>20</v>
      </c>
      <c r="F8" s="66">
        <v>11.519299999999999</v>
      </c>
      <c r="G8" s="66">
        <v>50</v>
      </c>
      <c r="H8" s="66">
        <v>42.745399999999997</v>
      </c>
    </row>
    <row r="9" spans="1:8">
      <c r="A9" s="58" t="s">
        <v>306</v>
      </c>
      <c r="B9" s="66">
        <v>52.520099999999999</v>
      </c>
      <c r="C9" s="66">
        <v>13.206099999999999</v>
      </c>
      <c r="D9" s="66">
        <v>25.1449</v>
      </c>
      <c r="E9" s="66">
        <v>50</v>
      </c>
      <c r="F9" s="66">
        <v>30.248799999999999</v>
      </c>
      <c r="G9" s="66">
        <v>100</v>
      </c>
      <c r="H9" s="66">
        <v>89.024500000000003</v>
      </c>
    </row>
    <row r="10" spans="1:8">
      <c r="A10" s="58" t="s">
        <v>307</v>
      </c>
      <c r="B10" s="66">
        <v>68.634</v>
      </c>
      <c r="C10" s="66">
        <v>8.3904200000000007</v>
      </c>
      <c r="D10" s="66">
        <v>12.2249</v>
      </c>
      <c r="E10" s="66">
        <v>40</v>
      </c>
      <c r="F10" s="66">
        <v>63.592799999999997</v>
      </c>
      <c r="G10" s="66">
        <v>100</v>
      </c>
      <c r="H10" s="66">
        <v>87.478300000000004</v>
      </c>
    </row>
    <row r="11" spans="1:8">
      <c r="A11" s="58" t="s">
        <v>308</v>
      </c>
      <c r="B11" s="66">
        <v>19.7943</v>
      </c>
      <c r="C11" s="66">
        <v>5.8544600000000004</v>
      </c>
      <c r="D11" s="66">
        <v>29.576499999999999</v>
      </c>
      <c r="E11" s="66">
        <v>10</v>
      </c>
      <c r="F11" s="66">
        <v>6.9051900000000002</v>
      </c>
      <c r="G11" s="66">
        <v>50</v>
      </c>
      <c r="H11" s="66">
        <v>28.517199999999999</v>
      </c>
    </row>
    <row r="12" spans="1:8">
      <c r="A12" s="58" t="s">
        <v>309</v>
      </c>
      <c r="B12" s="66">
        <v>60.284599999999998</v>
      </c>
      <c r="C12" s="66">
        <v>9.7256499999999999</v>
      </c>
      <c r="D12" s="66">
        <v>16.132899999999999</v>
      </c>
      <c r="E12" s="66">
        <v>50</v>
      </c>
      <c r="F12" s="66">
        <v>48.3371</v>
      </c>
      <c r="G12" s="66">
        <v>100</v>
      </c>
      <c r="H12" s="66">
        <v>88.174599999999998</v>
      </c>
    </row>
    <row r="13" spans="1:8">
      <c r="A13" s="58" t="s">
        <v>310</v>
      </c>
      <c r="B13" s="66">
        <v>13.3597</v>
      </c>
      <c r="C13" s="66">
        <v>2.5556100000000002</v>
      </c>
      <c r="D13" s="66">
        <v>19.129200000000001</v>
      </c>
      <c r="E13" s="66">
        <v>10</v>
      </c>
      <c r="F13" s="66">
        <v>10.389699999999999</v>
      </c>
      <c r="G13" s="66">
        <v>25</v>
      </c>
      <c r="H13" s="66">
        <v>25.682200000000002</v>
      </c>
    </row>
    <row r="14" spans="1:8">
      <c r="A14" s="58" t="s">
        <v>311</v>
      </c>
      <c r="B14" s="66">
        <v>25.556100000000001</v>
      </c>
      <c r="C14" s="66">
        <v>9.6171799999999994</v>
      </c>
      <c r="D14" s="66">
        <v>37.631700000000002</v>
      </c>
      <c r="E14" s="66">
        <v>10</v>
      </c>
      <c r="F14" s="66">
        <v>0.40969299999999997</v>
      </c>
      <c r="G14" s="66">
        <v>50</v>
      </c>
      <c r="H14" s="66">
        <v>29.645600000000002</v>
      </c>
    </row>
    <row r="15" spans="1:8">
      <c r="A15" s="58" t="s">
        <v>312</v>
      </c>
      <c r="B15" s="66">
        <v>0.102607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0.26626300000000003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23.178100000000001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0.61710500000000001</v>
      </c>
      <c r="C18" s="66">
        <v>6.6368300000000005E-2</v>
      </c>
      <c r="D18" s="66">
        <v>0.107548</v>
      </c>
      <c r="E18" s="66">
        <v>0</v>
      </c>
      <c r="F18" s="66">
        <v>0.55073700000000003</v>
      </c>
      <c r="G18" s="66">
        <v>0</v>
      </c>
      <c r="H18" s="66">
        <v>0.68347400000000003</v>
      </c>
    </row>
    <row r="19" spans="1:8">
      <c r="A19" s="58" t="s">
        <v>316</v>
      </c>
      <c r="B19" s="66">
        <v>0.58748400000000001</v>
      </c>
      <c r="C19" s="66">
        <v>5.8072600000000002E-2</v>
      </c>
      <c r="D19" s="66">
        <v>9.8849599999999996E-2</v>
      </c>
      <c r="E19" s="66">
        <v>0</v>
      </c>
      <c r="F19" s="66">
        <v>0.52941199999999999</v>
      </c>
      <c r="G19" s="66">
        <v>0</v>
      </c>
      <c r="H19" s="66">
        <v>0.64555700000000005</v>
      </c>
    </row>
    <row r="20" spans="1:8">
      <c r="A20" s="58" t="s">
        <v>317</v>
      </c>
      <c r="B20" s="66">
        <v>2.2834400000000001E-4</v>
      </c>
      <c r="C20" s="66">
        <v>7.5487799999999997E-3</v>
      </c>
      <c r="D20" s="66">
        <v>33.058799999999998</v>
      </c>
      <c r="E20" s="66">
        <v>0</v>
      </c>
      <c r="F20" s="66">
        <v>0</v>
      </c>
      <c r="G20" s="66">
        <v>0</v>
      </c>
      <c r="H20" s="66">
        <v>9.6410999999999997E-2</v>
      </c>
    </row>
    <row r="21" spans="1:8">
      <c r="A21" s="58" t="s">
        <v>318</v>
      </c>
      <c r="B21" s="66">
        <v>2.0288E-2</v>
      </c>
      <c r="C21" s="66">
        <v>3.8725799999999998E-2</v>
      </c>
      <c r="D21" s="66">
        <v>1.9088099999999999</v>
      </c>
      <c r="E21" s="66">
        <v>0</v>
      </c>
      <c r="F21" s="196">
        <v>4.6900500000000003E-5</v>
      </c>
      <c r="G21" s="66">
        <v>0</v>
      </c>
      <c r="H21" s="66">
        <v>0.24688599999999999</v>
      </c>
    </row>
    <row r="22" spans="1:8">
      <c r="A22" s="58" t="s">
        <v>319</v>
      </c>
      <c r="B22" s="66">
        <v>27.0854</v>
      </c>
      <c r="C22" s="66">
        <v>10.310700000000001</v>
      </c>
      <c r="D22" s="66">
        <v>0.38067400000000001</v>
      </c>
      <c r="E22" s="66">
        <v>0</v>
      </c>
      <c r="F22" s="66">
        <v>15.1812</v>
      </c>
      <c r="G22" s="66">
        <v>0</v>
      </c>
      <c r="H22" s="66">
        <v>65.351500000000001</v>
      </c>
    </row>
    <row r="23" spans="1:8">
      <c r="A23" s="58" t="s">
        <v>320</v>
      </c>
      <c r="B23" s="66">
        <v>12.995200000000001</v>
      </c>
      <c r="C23" s="66">
        <v>3.8819300000000001</v>
      </c>
      <c r="D23" s="66">
        <v>0.29872100000000001</v>
      </c>
      <c r="E23" s="66">
        <v>0</v>
      </c>
      <c r="F23" s="66">
        <v>9.2243999999999993</v>
      </c>
      <c r="G23" s="66">
        <v>0</v>
      </c>
      <c r="H23" s="66">
        <v>21.396100000000001</v>
      </c>
    </row>
    <row r="24" spans="1:8">
      <c r="A24" s="58" t="s">
        <v>321</v>
      </c>
      <c r="B24" s="66">
        <v>2.6555699999999998E-4</v>
      </c>
      <c r="C24" s="66">
        <v>4.5536300000000004E-3</v>
      </c>
      <c r="D24" s="66">
        <v>17.147500000000001</v>
      </c>
      <c r="E24" s="66">
        <v>0</v>
      </c>
      <c r="F24" s="196">
        <v>6.4844099999999998E-5</v>
      </c>
      <c r="G24" s="66">
        <v>0</v>
      </c>
      <c r="H24" s="66">
        <v>2.7818599999999999E-2</v>
      </c>
    </row>
    <row r="25" spans="1:8">
      <c r="A25" s="58" t="s">
        <v>322</v>
      </c>
      <c r="B25" s="66">
        <v>2.8197E-2</v>
      </c>
      <c r="C25" s="66">
        <v>1.8154699999999999E-2</v>
      </c>
      <c r="D25" s="66">
        <v>0.64385199999999998</v>
      </c>
      <c r="E25" s="66">
        <v>0</v>
      </c>
      <c r="F25" s="66">
        <v>6.4772600000000003E-3</v>
      </c>
      <c r="G25" s="66">
        <v>0</v>
      </c>
      <c r="H25" s="66">
        <v>8.2580399999999998E-2</v>
      </c>
    </row>
    <row r="26" spans="1:8">
      <c r="A26" s="58" t="s">
        <v>323</v>
      </c>
      <c r="B26" s="196">
        <v>7.5499000000000003E-5</v>
      </c>
      <c r="C26" s="66">
        <v>7.1482999999999996E-4</v>
      </c>
      <c r="D26" s="66">
        <v>9.4680700000000009</v>
      </c>
      <c r="E26" s="66">
        <v>0</v>
      </c>
      <c r="F26" s="66">
        <v>0</v>
      </c>
      <c r="G26" s="66">
        <v>0</v>
      </c>
      <c r="H26" s="66">
        <v>1.13019E-2</v>
      </c>
    </row>
    <row r="27" spans="1:8">
      <c r="A27" s="58" t="s">
        <v>324</v>
      </c>
      <c r="B27" s="196">
        <v>-6.5651299999999996E-6</v>
      </c>
      <c r="C27" s="66">
        <v>5.05033E-4</v>
      </c>
      <c r="D27" s="66">
        <v>-76.926599999999993</v>
      </c>
      <c r="E27" s="66">
        <v>0</v>
      </c>
      <c r="F27" s="66">
        <v>-5.2455399999999999E-3</v>
      </c>
      <c r="G27" s="66">
        <v>0</v>
      </c>
      <c r="H27" s="66">
        <v>6.6406299999999998E-3</v>
      </c>
    </row>
    <row r="28" spans="1:8">
      <c r="A28" s="58" t="s">
        <v>325</v>
      </c>
      <c r="B28" s="66">
        <v>4.1927099999999997E-3</v>
      </c>
      <c r="C28" s="66">
        <v>4.0445100000000003E-3</v>
      </c>
      <c r="D28" s="66">
        <v>0.96465299999999998</v>
      </c>
      <c r="E28" s="66">
        <v>0</v>
      </c>
      <c r="F28" s="196">
        <v>1.6276000000000001E-5</v>
      </c>
      <c r="G28" s="66">
        <v>0</v>
      </c>
      <c r="H28" s="66">
        <v>2.32324E-2</v>
      </c>
    </row>
    <row r="29" spans="1:8">
      <c r="A29" s="58" t="s">
        <v>326</v>
      </c>
      <c r="B29" s="66">
        <v>72.247</v>
      </c>
      <c r="C29" s="66">
        <v>9.7438900000000004</v>
      </c>
      <c r="D29" s="66">
        <v>0.13486899999999999</v>
      </c>
      <c r="E29" s="66">
        <v>0</v>
      </c>
      <c r="F29" s="66">
        <v>44.154899999999998</v>
      </c>
      <c r="G29" s="66">
        <v>0</v>
      </c>
      <c r="H29" s="66">
        <v>105.199</v>
      </c>
    </row>
    <row r="30" spans="1:8">
      <c r="A30" s="58" t="s">
        <v>327</v>
      </c>
      <c r="B30" s="66">
        <v>25.968900000000001</v>
      </c>
      <c r="C30" s="66">
        <v>8.9302799999999998</v>
      </c>
      <c r="D30" s="66">
        <v>0.34388299999999999</v>
      </c>
      <c r="E30" s="66">
        <v>0</v>
      </c>
      <c r="F30" s="66">
        <v>7.4218999999999999</v>
      </c>
      <c r="G30" s="66">
        <v>0</v>
      </c>
      <c r="H30" s="66">
        <v>33.667200000000001</v>
      </c>
    </row>
    <row r="31" spans="1:8">
      <c r="A31" s="58" t="s">
        <v>328</v>
      </c>
      <c r="B31" s="66">
        <v>60.851300000000002</v>
      </c>
      <c r="C31" s="66">
        <v>45.003700000000002</v>
      </c>
      <c r="D31" s="66">
        <v>0.73956900000000003</v>
      </c>
      <c r="E31" s="66">
        <v>0</v>
      </c>
      <c r="F31" s="66">
        <v>40.417900000000003</v>
      </c>
      <c r="G31" s="66">
        <v>0</v>
      </c>
      <c r="H31" s="66">
        <v>172.816</v>
      </c>
    </row>
    <row r="32" spans="1:8">
      <c r="A32" s="58" t="s">
        <v>329</v>
      </c>
      <c r="B32" s="66">
        <v>0.30654199999999998</v>
      </c>
      <c r="C32" s="66">
        <v>0.100575</v>
      </c>
      <c r="D32" s="66">
        <v>0.32809500000000003</v>
      </c>
      <c r="E32" s="66">
        <v>0.15</v>
      </c>
      <c r="F32" s="66">
        <v>0.113996</v>
      </c>
      <c r="G32" s="66">
        <v>0.4</v>
      </c>
      <c r="H32" s="66">
        <v>0.57730899999999996</v>
      </c>
    </row>
    <row r="33" spans="1:8">
      <c r="A33" s="58" t="s">
        <v>330</v>
      </c>
      <c r="B33" s="66">
        <v>0.41121099999999999</v>
      </c>
      <c r="C33" s="66">
        <v>9.2468400000000006E-2</v>
      </c>
      <c r="D33" s="66">
        <v>0.22486900000000001</v>
      </c>
      <c r="E33" s="66">
        <v>0</v>
      </c>
      <c r="F33" s="66">
        <v>0.241784</v>
      </c>
      <c r="G33" s="66">
        <v>0</v>
      </c>
      <c r="H33" s="66">
        <v>0.50448800000000005</v>
      </c>
    </row>
    <row r="34" spans="1:8">
      <c r="A34" s="58" t="s">
        <v>331</v>
      </c>
      <c r="B34" s="66">
        <v>0.13359699999999999</v>
      </c>
      <c r="C34" s="66">
        <v>2.5556100000000002E-2</v>
      </c>
      <c r="D34" s="66">
        <v>0.19129199999999999</v>
      </c>
      <c r="E34" s="66">
        <v>0.1</v>
      </c>
      <c r="F34" s="66">
        <v>0.103897</v>
      </c>
      <c r="G34" s="66">
        <v>0.25</v>
      </c>
      <c r="H34" s="66">
        <v>0.25682199999999999</v>
      </c>
    </row>
    <row r="35" spans="1:8">
      <c r="A35" s="58" t="s">
        <v>332</v>
      </c>
      <c r="B35" s="66">
        <v>4.8699899999999997E-2</v>
      </c>
      <c r="C35" s="66">
        <v>2.1599699999999999E-2</v>
      </c>
      <c r="D35" s="66">
        <v>0.44352599999999998</v>
      </c>
      <c r="E35" s="66">
        <v>0</v>
      </c>
      <c r="F35" s="66">
        <v>8.7186199999999998E-3</v>
      </c>
      <c r="G35" s="66">
        <v>0</v>
      </c>
      <c r="H35" s="66">
        <v>0.122063</v>
      </c>
    </row>
    <row r="36" spans="1:8">
      <c r="A36" s="58" t="s">
        <v>333</v>
      </c>
      <c r="B36" s="66">
        <v>0.11337999999999999</v>
      </c>
      <c r="C36" s="66">
        <v>6.2248499999999998E-2</v>
      </c>
      <c r="D36" s="66">
        <v>0.54902499999999999</v>
      </c>
      <c r="E36" s="66">
        <v>0</v>
      </c>
      <c r="F36" s="66">
        <v>3.6901700000000003E-2</v>
      </c>
      <c r="G36" s="66">
        <v>0</v>
      </c>
      <c r="H36" s="66">
        <v>0.46489399999999997</v>
      </c>
    </row>
    <row r="37" spans="1:8">
      <c r="A37" s="58" t="s">
        <v>334</v>
      </c>
      <c r="B37" s="66">
        <v>0.25556099999999998</v>
      </c>
      <c r="C37" s="66">
        <v>9.6171800000000002E-2</v>
      </c>
      <c r="D37" s="66">
        <v>0.37631700000000001</v>
      </c>
      <c r="E37" s="66">
        <v>0.1</v>
      </c>
      <c r="F37" s="66">
        <v>4.0969300000000004E-3</v>
      </c>
      <c r="G37" s="66">
        <v>0.5</v>
      </c>
      <c r="H37" s="66">
        <v>0.296456</v>
      </c>
    </row>
    <row r="38" spans="1:8">
      <c r="A38" s="58" t="s">
        <v>335</v>
      </c>
      <c r="B38" s="66">
        <v>-31.479299999999999</v>
      </c>
      <c r="C38" s="66">
        <v>34.248199999999997</v>
      </c>
      <c r="D38" s="66">
        <v>-1.08796</v>
      </c>
      <c r="E38" s="66">
        <v>0</v>
      </c>
      <c r="F38" s="66">
        <v>-148.16800000000001</v>
      </c>
      <c r="G38" s="66">
        <v>0</v>
      </c>
      <c r="H38" s="66">
        <v>178.18199999999999</v>
      </c>
    </row>
    <row r="39" spans="1:8">
      <c r="A39" s="58" t="s">
        <v>336</v>
      </c>
      <c r="B39" s="66">
        <v>-7.5790899999999999</v>
      </c>
      <c r="C39" s="66">
        <v>2.3460700000000001</v>
      </c>
      <c r="D39" s="66">
        <v>-0.30954500000000001</v>
      </c>
      <c r="E39" s="66">
        <v>0</v>
      </c>
      <c r="F39" s="66">
        <v>-14.9527</v>
      </c>
      <c r="G39" s="66">
        <v>0</v>
      </c>
      <c r="H39" s="66">
        <v>-1.77277</v>
      </c>
    </row>
    <row r="40" spans="1:8">
      <c r="A40" s="58" t="s">
        <v>337</v>
      </c>
      <c r="B40" s="66">
        <v>-3.35866</v>
      </c>
      <c r="C40" s="66">
        <v>1.54939</v>
      </c>
      <c r="D40" s="66">
        <v>-0.461312</v>
      </c>
      <c r="E40" s="66">
        <v>0</v>
      </c>
      <c r="F40" s="66">
        <v>-3.9192100000000001</v>
      </c>
      <c r="G40" s="66">
        <v>0</v>
      </c>
      <c r="H40" s="66">
        <v>0.293323</v>
      </c>
    </row>
    <row r="41" spans="1:8">
      <c r="A41" s="58" t="s">
        <v>338</v>
      </c>
      <c r="B41" s="66">
        <v>-0.26690000000000003</v>
      </c>
      <c r="C41" s="66">
        <v>0.35392400000000002</v>
      </c>
      <c r="D41" s="66">
        <v>-1.32606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-0.23334299999999999</v>
      </c>
      <c r="C42" s="66">
        <v>7.1368200000000007E-2</v>
      </c>
      <c r="D42" s="66">
        <v>-0.30585200000000001</v>
      </c>
      <c r="E42" s="66">
        <v>0</v>
      </c>
      <c r="F42" s="66">
        <v>-0.43045099999999997</v>
      </c>
      <c r="G42" s="66">
        <v>0</v>
      </c>
      <c r="H42" s="66">
        <v>-5.3689300000000002E-2</v>
      </c>
    </row>
    <row r="43" spans="1:8">
      <c r="A43" s="58" t="s">
        <v>340</v>
      </c>
      <c r="B43" s="66">
        <v>-0.20754</v>
      </c>
      <c r="C43" s="66">
        <v>0.102545</v>
      </c>
      <c r="D43" s="66">
        <v>-0.49409700000000001</v>
      </c>
      <c r="E43" s="66">
        <v>0</v>
      </c>
      <c r="F43" s="66">
        <v>-0.31454799999999999</v>
      </c>
      <c r="G43" s="66">
        <v>0</v>
      </c>
      <c r="H43" s="66">
        <v>2.6974999999999999E-2</v>
      </c>
    </row>
    <row r="44" spans="1:8">
      <c r="A44" s="58" t="s">
        <v>341</v>
      </c>
      <c r="B44" s="66">
        <v>1.6152200000000001</v>
      </c>
      <c r="C44" s="66">
        <v>6.3494400000000004</v>
      </c>
      <c r="D44" s="66">
        <v>3.9310100000000001</v>
      </c>
      <c r="E44" s="66">
        <v>0</v>
      </c>
      <c r="F44" s="66">
        <v>-12.1586</v>
      </c>
      <c r="G44" s="66">
        <v>0</v>
      </c>
      <c r="H44" s="66">
        <v>14.11</v>
      </c>
    </row>
    <row r="45" spans="1:8">
      <c r="A45" s="58" t="s">
        <v>342</v>
      </c>
      <c r="B45" s="66">
        <v>53.7286</v>
      </c>
      <c r="C45" s="66">
        <v>8.7923899999999993</v>
      </c>
      <c r="D45" s="66">
        <v>0.16364500000000001</v>
      </c>
      <c r="E45" s="66">
        <v>0</v>
      </c>
      <c r="F45" s="66">
        <v>37.721400000000003</v>
      </c>
      <c r="G45" s="66">
        <v>0</v>
      </c>
      <c r="H45" s="66">
        <v>84.387799999999999</v>
      </c>
    </row>
    <row r="46" spans="1:8">
      <c r="A46" s="58" t="s">
        <v>343</v>
      </c>
      <c r="B46" s="66">
        <v>30.5396</v>
      </c>
      <c r="C46" s="66">
        <v>7.59612</v>
      </c>
      <c r="D46" s="66">
        <v>0.24873000000000001</v>
      </c>
      <c r="E46" s="66">
        <v>0</v>
      </c>
      <c r="F46" s="66">
        <v>6.55349</v>
      </c>
      <c r="G46" s="66">
        <v>0</v>
      </c>
      <c r="H46" s="66">
        <v>35.452100000000002</v>
      </c>
    </row>
    <row r="47" spans="1:8">
      <c r="A47" s="58" t="s">
        <v>344</v>
      </c>
      <c r="B47" s="66">
        <v>0.742012</v>
      </c>
      <c r="C47" s="66">
        <v>0.20657500000000001</v>
      </c>
      <c r="D47" s="66">
        <v>0.27839799999999998</v>
      </c>
      <c r="E47" s="66">
        <v>0</v>
      </c>
      <c r="F47" s="66">
        <v>0.37398100000000001</v>
      </c>
      <c r="G47" s="66">
        <v>0</v>
      </c>
      <c r="H47" s="66">
        <v>1.4216599999999999</v>
      </c>
    </row>
    <row r="48" spans="1:8">
      <c r="A48" s="58" t="s">
        <v>345</v>
      </c>
      <c r="B48" s="66">
        <v>1.0718300000000001</v>
      </c>
      <c r="C48" s="66">
        <v>0.19500100000000001</v>
      </c>
      <c r="D48" s="66">
        <v>0.18193300000000001</v>
      </c>
      <c r="E48" s="66">
        <v>0</v>
      </c>
      <c r="F48" s="66">
        <v>0.81368099999999999</v>
      </c>
      <c r="G48" s="66">
        <v>0</v>
      </c>
      <c r="H48" s="66">
        <v>1.5263800000000001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7.3826999999999998</v>
      </c>
      <c r="C5" s="66">
        <f>'M2'!C5-'M1'!C5</f>
        <v>-7.0118299999999998</v>
      </c>
      <c r="D5" s="66">
        <f>'M2'!D5-'M1'!D5</f>
        <v>-22.285050000000002</v>
      </c>
      <c r="E5" s="66">
        <f>'M2'!E5-'M1'!E5</f>
        <v>0</v>
      </c>
      <c r="F5" s="66">
        <f>'M2'!F5-'M1'!F5</f>
        <v>24.931710000000002</v>
      </c>
      <c r="G5" s="66">
        <f>'M2'!G5-'M1'!G5</f>
        <v>0</v>
      </c>
      <c r="H5" s="66">
        <f>'M2'!H5-'M1'!H5</f>
        <v>4.3864999999999981</v>
      </c>
    </row>
    <row r="6" spans="1:8">
      <c r="A6" s="66" t="s">
        <v>244</v>
      </c>
      <c r="B6" s="66">
        <f>'M2'!B6-'M1'!B6</f>
        <v>3.6128</v>
      </c>
      <c r="C6" s="66">
        <f>'M2'!C6-'M1'!C6</f>
        <v>-3.6270200000000004</v>
      </c>
      <c r="D6" s="66">
        <f>'M2'!D6-'M1'!D6</f>
        <v>-15.33568</v>
      </c>
      <c r="E6" s="66">
        <f>'M2'!E6-'M1'!E6</f>
        <v>0</v>
      </c>
      <c r="F6" s="66">
        <f>'M2'!F6-'M1'!F6</f>
        <v>9.7304999999999993</v>
      </c>
      <c r="G6" s="66">
        <f>'M2'!G6-'M1'!G6</f>
        <v>0</v>
      </c>
      <c r="H6" s="66">
        <f>'M2'!H6-'M1'!H6</f>
        <v>-3.8643000000000001</v>
      </c>
    </row>
    <row r="7" spans="1:8">
      <c r="A7" s="66" t="s">
        <v>245</v>
      </c>
      <c r="B7" s="66">
        <f>'M2'!B7-'M1'!B7</f>
        <v>-1.8115999999999985</v>
      </c>
      <c r="C7" s="66">
        <f>'M2'!C7-'M1'!C7</f>
        <v>3.5183800000000005</v>
      </c>
      <c r="D7" s="66">
        <f>'M2'!D7-'M1'!D7</f>
        <v>12.988099999999999</v>
      </c>
      <c r="E7" s="66">
        <f>'M2'!E7-'M1'!E7</f>
        <v>0</v>
      </c>
      <c r="F7" s="66">
        <f>'M2'!F7-'M1'!F7</f>
        <v>2.407</v>
      </c>
      <c r="G7" s="66">
        <f>'M2'!G7-'M1'!G7</f>
        <v>0</v>
      </c>
      <c r="H7" s="66">
        <f>'M2'!H7-'M1'!H7</f>
        <v>5.8768999999999991</v>
      </c>
    </row>
    <row r="8" spans="1:8">
      <c r="A8" s="66" t="s">
        <v>246</v>
      </c>
      <c r="B8" s="66">
        <f>'M2'!B8-'M1'!B8</f>
        <v>4.9552000000000049</v>
      </c>
      <c r="C8" s="66">
        <f>'M2'!C8-'M1'!C8</f>
        <v>-1.72987</v>
      </c>
      <c r="D8" s="66">
        <f>'M2'!D8-'M1'!D8</f>
        <v>-8.4204000000000008</v>
      </c>
      <c r="E8" s="66">
        <f>'M2'!E8-'M1'!E8</f>
        <v>0</v>
      </c>
      <c r="F8" s="66">
        <f>'M2'!F8-'M1'!F8</f>
        <v>16.933399999999999</v>
      </c>
      <c r="G8" s="66">
        <f>'M2'!G8-'M1'!G8</f>
        <v>0</v>
      </c>
      <c r="H8" s="66">
        <f>'M2'!H8-'M1'!H8</f>
        <v>5.9271999999999991</v>
      </c>
    </row>
    <row r="9" spans="1:8">
      <c r="A9" s="66" t="s">
        <v>247</v>
      </c>
      <c r="B9" s="66">
        <f>'M2'!B9-'M1'!B9</f>
        <v>-17.203300000000006</v>
      </c>
      <c r="C9" s="66">
        <f>'M2'!C9-'M1'!C9</f>
        <v>-3.2415300000000009</v>
      </c>
      <c r="D9" s="66">
        <f>'M2'!D9-'M1'!D9</f>
        <v>0.50150000000000006</v>
      </c>
      <c r="E9" s="66">
        <f>'M2'!E9-'M1'!E9</f>
        <v>0</v>
      </c>
      <c r="F9" s="66">
        <f>'M2'!F9-'M1'!F9</f>
        <v>-7.9312000000000005</v>
      </c>
      <c r="G9" s="66">
        <f>'M2'!G9-'M1'!G9</f>
        <v>0</v>
      </c>
      <c r="H9" s="66">
        <f>'M2'!H9-'M1'!H9</f>
        <v>-28.283900000000003</v>
      </c>
    </row>
    <row r="10" spans="1:8">
      <c r="A10" s="66" t="s">
        <v>248</v>
      </c>
      <c r="B10" s="66">
        <f>'M2'!B10-'M1'!B10</f>
        <v>-17.914900000000003</v>
      </c>
      <c r="C10" s="66">
        <f>'M2'!C10-'M1'!C10</f>
        <v>-6.6554699999999993</v>
      </c>
      <c r="D10" s="66">
        <f>'M2'!D10-'M1'!D10</f>
        <v>-7.4004900000000005</v>
      </c>
      <c r="E10" s="66">
        <f>'M2'!E10-'M1'!E10</f>
        <v>0</v>
      </c>
      <c r="F10" s="66">
        <f>'M2'!F10-'M1'!F10</f>
        <v>-2.6191000000000031</v>
      </c>
      <c r="G10" s="66">
        <f>'M2'!G10-'M1'!G10</f>
        <v>0</v>
      </c>
      <c r="H10" s="66">
        <f>'M2'!H10-'M1'!H10</f>
        <v>-18.201900000000009</v>
      </c>
    </row>
    <row r="11" spans="1:8">
      <c r="A11" s="66" t="s">
        <v>249</v>
      </c>
      <c r="B11" s="66">
        <f>'M2'!B11-'M1'!B11</f>
        <v>6.4242000000000008</v>
      </c>
      <c r="C11" s="66">
        <f>'M2'!C11-'M1'!C11</f>
        <v>-2.2226300000000001</v>
      </c>
      <c r="D11" s="66">
        <f>'M2'!D11-'M1'!D11</f>
        <v>-20.767099999999999</v>
      </c>
      <c r="E11" s="66">
        <f>'M2'!E11-'M1'!E11</f>
        <v>0</v>
      </c>
      <c r="F11" s="66">
        <f>'M2'!F11-'M1'!F11</f>
        <v>11.076309999999999</v>
      </c>
      <c r="G11" s="66">
        <f>'M2'!G11-'M1'!G11</f>
        <v>0</v>
      </c>
      <c r="H11" s="66">
        <f>'M2'!H11-'M1'!H11</f>
        <v>2.7667000000000002</v>
      </c>
    </row>
    <row r="12" spans="1:8">
      <c r="A12" s="66" t="s">
        <v>250</v>
      </c>
      <c r="B12" s="66">
        <f>'M2'!B12-'M1'!B12</f>
        <v>-15.420399999999994</v>
      </c>
      <c r="C12" s="66">
        <f>'M2'!C12-'M1'!C12</f>
        <v>-4.3674299999999997</v>
      </c>
      <c r="D12" s="66">
        <f>'M2'!D12-'M1'!D12</f>
        <v>-4.5590100000000007</v>
      </c>
      <c r="E12" s="66">
        <f>'M2'!E12-'M1'!E12</f>
        <v>0</v>
      </c>
      <c r="F12" s="66">
        <f>'M2'!F12-'M1'!F12</f>
        <v>-4.922699999999999</v>
      </c>
      <c r="G12" s="66">
        <f>'M2'!G12-'M1'!G12</f>
        <v>0</v>
      </c>
      <c r="H12" s="66">
        <f>'M2'!H12-'M1'!H12</f>
        <v>-23.637699999999995</v>
      </c>
    </row>
    <row r="13" spans="1:8">
      <c r="A13" s="66" t="s">
        <v>251</v>
      </c>
      <c r="B13" s="66">
        <f>'M2'!B13-'M1'!B13</f>
        <v>0.80819999999999936</v>
      </c>
      <c r="C13" s="66">
        <f>'M2'!C13-'M1'!C13</f>
        <v>-0.88654999999999973</v>
      </c>
      <c r="D13" s="66">
        <f>'M2'!D13-'M1'!D13</f>
        <v>-7.7668999999999979</v>
      </c>
      <c r="E13" s="66">
        <f>'M2'!E13-'M1'!E13</f>
        <v>0</v>
      </c>
      <c r="F13" s="66">
        <f>'M2'!F13-'M1'!F13</f>
        <v>1.7100000000001003E-2</v>
      </c>
      <c r="G13" s="66">
        <f>'M2'!G13-'M1'!G13</f>
        <v>0</v>
      </c>
      <c r="H13" s="66">
        <f>'M2'!H13-'M1'!H13</f>
        <v>-5.5595000000000034</v>
      </c>
    </row>
    <row r="14" spans="1:8">
      <c r="A14" s="66" t="s">
        <v>252</v>
      </c>
      <c r="B14" s="66">
        <f>'M2'!B14-'M1'!B14</f>
        <v>-8.8655000000000008</v>
      </c>
      <c r="C14" s="66">
        <f>'M2'!C14-'M1'!C14</f>
        <v>2.1112900000000003</v>
      </c>
      <c r="D14" s="66">
        <f>'M2'!D14-'M1'!D14</f>
        <v>21.861599999999999</v>
      </c>
      <c r="E14" s="66">
        <f>'M2'!E14-'M1'!E14</f>
        <v>0</v>
      </c>
      <c r="F14" s="66">
        <f>'M2'!F14-'M1'!F14</f>
        <v>0.7317570000000001</v>
      </c>
      <c r="G14" s="66">
        <f>'M2'!G14-'M1'!G14</f>
        <v>0</v>
      </c>
      <c r="H14" s="66">
        <f>'M2'!H14-'M1'!H14</f>
        <v>-5.4500000000000881E-2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2.2917999999999994E-2</v>
      </c>
      <c r="C18" s="66">
        <f>'M2'!C18-'M1'!C18</f>
        <v>6.6368300000000005E-2</v>
      </c>
      <c r="D18" s="66">
        <f>'M2'!D18-'M1'!D18</f>
        <v>0.107548</v>
      </c>
      <c r="E18" s="66">
        <f>'M2'!E18-'M1'!E18</f>
        <v>0</v>
      </c>
      <c r="F18" s="66">
        <f>'M2'!F18-'M1'!F18</f>
        <v>0.55073700000000003</v>
      </c>
      <c r="G18" s="66">
        <f>'M2'!G18-'M1'!G18</f>
        <v>0</v>
      </c>
      <c r="H18" s="66">
        <f>'M2'!H18-'M1'!H18</f>
        <v>0.68347400000000003</v>
      </c>
    </row>
    <row r="19" spans="1:8">
      <c r="A19" s="66" t="s">
        <v>256</v>
      </c>
      <c r="B19" s="66">
        <f>'M2'!B19-'M1'!B19</f>
        <v>-1.1338999999999988E-2</v>
      </c>
      <c r="C19" s="66">
        <f>'M2'!C19-'M1'!C19</f>
        <v>5.8072600000000002E-2</v>
      </c>
      <c r="D19" s="66">
        <f>'M2'!D19-'M1'!D19</f>
        <v>9.8849599999999996E-2</v>
      </c>
      <c r="E19" s="66">
        <f>'M2'!E19-'M1'!E19</f>
        <v>0</v>
      </c>
      <c r="F19" s="66">
        <f>'M2'!F19-'M1'!F19</f>
        <v>0.52941199999999999</v>
      </c>
      <c r="G19" s="66">
        <f>'M2'!G19-'M1'!G19</f>
        <v>0</v>
      </c>
      <c r="H19" s="66">
        <f>'M2'!H19-'M1'!H19</f>
        <v>0.64555700000000005</v>
      </c>
    </row>
    <row r="20" spans="1:8">
      <c r="A20" s="66" t="s">
        <v>63</v>
      </c>
      <c r="B20" s="66">
        <f>'M2'!B20-'M1'!B20</f>
        <v>-1.6721999999999993E-5</v>
      </c>
      <c r="C20" s="66">
        <f>'M2'!C20-'M1'!C20</f>
        <v>-2.6167199999999995E-3</v>
      </c>
      <c r="D20" s="66">
        <f>'M2'!D20-'M1'!D20</f>
        <v>-9.0955000000000013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-2.3105399999999998E-2</v>
      </c>
    </row>
    <row r="21" spans="1:8">
      <c r="A21" s="66" t="s">
        <v>64</v>
      </c>
      <c r="B21" s="66">
        <f>'M2'!B21-'M1'!B21</f>
        <v>-1.3213000000000009E-3</v>
      </c>
      <c r="C21" s="66">
        <f>'M2'!C21-'M1'!C21</f>
        <v>-8.3022000000000026E-3</v>
      </c>
      <c r="D21" s="66">
        <f>'M2'!D21-'M1'!D21</f>
        <v>-0.28387999999999991</v>
      </c>
      <c r="E21" s="66">
        <f>'M2'!E21-'M1'!E21</f>
        <v>0</v>
      </c>
      <c r="F21" s="66">
        <f>'M2'!F21-'M1'!F21</f>
        <v>-4.7857999999999995E-5</v>
      </c>
      <c r="G21" s="66">
        <f>'M2'!G21-'M1'!G21</f>
        <v>0</v>
      </c>
      <c r="H21" s="66">
        <f>'M2'!H21-'M1'!H21</f>
        <v>7.7548000000000006E-2</v>
      </c>
    </row>
    <row r="22" spans="1:8">
      <c r="A22" s="66" t="s">
        <v>65</v>
      </c>
      <c r="B22" s="66">
        <f>'M2'!B22-'M1'!B22</f>
        <v>-1.1121000000000016</v>
      </c>
      <c r="C22" s="66">
        <f>'M2'!C22-'M1'!C22</f>
        <v>-2.9451800000000006</v>
      </c>
      <c r="D22" s="66">
        <f>'M2'!D22-'M1'!D22</f>
        <v>-9.3274000000000024E-2</v>
      </c>
      <c r="E22" s="66">
        <f>'M2'!E22-'M1'!E22</f>
        <v>0</v>
      </c>
      <c r="F22" s="66">
        <f>'M2'!F22-'M1'!F22</f>
        <v>-1.5228999999999999</v>
      </c>
      <c r="G22" s="66">
        <f>'M2'!G22-'M1'!G22</f>
        <v>0</v>
      </c>
      <c r="H22" s="66">
        <f>'M2'!H22-'M1'!H22</f>
        <v>-11.001600000000003</v>
      </c>
    </row>
    <row r="23" spans="1:8">
      <c r="A23" s="66" t="s">
        <v>66</v>
      </c>
      <c r="B23" s="66">
        <f>'M2'!B23-'M1'!B23</f>
        <v>6.2263000000000019</v>
      </c>
      <c r="C23" s="66">
        <f>'M2'!C23-'M1'!C23</f>
        <v>0.69449999999999967</v>
      </c>
      <c r="D23" s="66">
        <f>'M2'!D23-'M1'!D23</f>
        <v>-6.0760999999999982E-2</v>
      </c>
      <c r="E23" s="66">
        <f>'M2'!E23-'M1'!E23</f>
        <v>0</v>
      </c>
      <c r="F23" s="66">
        <f>'M2'!F23-'M1'!F23</f>
        <v>2.5306000000000015</v>
      </c>
      <c r="G23" s="66">
        <f>'M2'!G23-'M1'!G23</f>
        <v>0</v>
      </c>
      <c r="H23" s="66">
        <f>'M2'!H23-'M1'!H23</f>
        <v>2.4460000000000015</v>
      </c>
    </row>
    <row r="24" spans="1:8">
      <c r="A24" s="66" t="s">
        <v>67</v>
      </c>
      <c r="B24" s="66">
        <f>'M2'!B24-'M1'!B24</f>
        <v>-7.6092999999999978E-5</v>
      </c>
      <c r="C24" s="66">
        <f>'M2'!C24-'M1'!C24</f>
        <v>-1.2259299999999996E-3</v>
      </c>
      <c r="D24" s="66">
        <f>'M2'!D24-'M1'!D24</f>
        <v>-3.8000000000018019E-3</v>
      </c>
      <c r="E24" s="66">
        <f>'M2'!E24-'M1'!E24</f>
        <v>0</v>
      </c>
      <c r="F24" s="66">
        <f>'M2'!F24-'M1'!F24</f>
        <v>3.2633799999999999E-5</v>
      </c>
      <c r="G24" s="66">
        <f>'M2'!G24-'M1'!G24</f>
        <v>0</v>
      </c>
      <c r="H24" s="66">
        <f>'M2'!H24-'M1'!H24</f>
        <v>4.2981999999999985E-3</v>
      </c>
    </row>
    <row r="25" spans="1:8">
      <c r="A25" s="66" t="s">
        <v>68</v>
      </c>
      <c r="B25" s="66">
        <f>'M2'!B25-'M1'!B25</f>
        <v>-9.4556999999999974E-3</v>
      </c>
      <c r="C25" s="66">
        <f>'M2'!C25-'M1'!C25</f>
        <v>-4.4388000000000014E-3</v>
      </c>
      <c r="D25" s="66">
        <f>'M2'!D25-'M1'!D25</f>
        <v>3.1392999999999893E-2</v>
      </c>
      <c r="E25" s="66">
        <f>'M2'!E25-'M1'!E25</f>
        <v>0</v>
      </c>
      <c r="F25" s="66">
        <f>'M2'!F25-'M1'!F25</f>
        <v>-3.4258099999999996E-3</v>
      </c>
      <c r="G25" s="66">
        <f>'M2'!G25-'M1'!G25</f>
        <v>0</v>
      </c>
      <c r="H25" s="66">
        <f>'M2'!H25-'M1'!H25</f>
        <v>-5.7543000000000039E-3</v>
      </c>
    </row>
    <row r="26" spans="1:8">
      <c r="A26" s="66" t="s">
        <v>69</v>
      </c>
      <c r="B26" s="66">
        <f>'M2'!B26-'M1'!B26</f>
        <v>-6.5650999999999958E-6</v>
      </c>
      <c r="C26" s="66">
        <f>'M2'!C26-'M1'!C26</f>
        <v>2.2552600000000009E-4</v>
      </c>
      <c r="D26" s="66">
        <f>'M2'!D26-'M1'!D26</f>
        <v>3.8075200000000002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6.8540300000000005E-3</v>
      </c>
    </row>
    <row r="27" spans="1:8">
      <c r="A27" s="66" t="s">
        <v>70</v>
      </c>
      <c r="B27" s="66">
        <f>'M2'!B27-'M1'!B27</f>
        <v>0</v>
      </c>
      <c r="C27" s="66">
        <f>'M2'!C27-'M1'!C27</f>
        <v>7.1498999999999987E-5</v>
      </c>
      <c r="D27" s="66">
        <f>'M2'!D27-'M1'!D27</f>
        <v>-10.890600000000006</v>
      </c>
      <c r="E27" s="66">
        <f>'M2'!E27-'M1'!E27</f>
        <v>0</v>
      </c>
      <c r="F27" s="66">
        <f>'M2'!F27-'M1'!F27</f>
        <v>-1.3786799999999997E-3</v>
      </c>
      <c r="G27" s="66">
        <f>'M2'!G27-'M1'!G27</f>
        <v>0</v>
      </c>
      <c r="H27" s="66">
        <f>'M2'!H27-'M1'!H27</f>
        <v>3.3088299999999996E-3</v>
      </c>
    </row>
    <row r="28" spans="1:8">
      <c r="A28" s="66" t="s">
        <v>71</v>
      </c>
      <c r="B28" s="66">
        <f>'M2'!B28-'M1'!B28</f>
        <v>-4.4759000000000031E-4</v>
      </c>
      <c r="C28" s="66">
        <f>'M2'!C28-'M1'!C28</f>
        <v>-4.2999000000000032E-4</v>
      </c>
      <c r="D28" s="66">
        <f>'M2'!D28-'M1'!D28</f>
        <v>1.2220000000000564E-3</v>
      </c>
      <c r="E28" s="66">
        <f>'M2'!E28-'M1'!E28</f>
        <v>0</v>
      </c>
      <c r="F28" s="66">
        <f>'M2'!F28-'M1'!F28</f>
        <v>-1.3020899999999999E-5</v>
      </c>
      <c r="G28" s="66">
        <f>'M2'!G28-'M1'!G28</f>
        <v>0</v>
      </c>
      <c r="H28" s="66">
        <f>'M2'!H28-'M1'!H28</f>
        <v>3.6197999999999994E-3</v>
      </c>
    </row>
    <row r="29" spans="1:8">
      <c r="A29" s="66" t="s">
        <v>72</v>
      </c>
      <c r="B29" s="66">
        <f>'M2'!B29-'M1'!B29</f>
        <v>-0.9135999999999882</v>
      </c>
      <c r="C29" s="66">
        <f>'M2'!C29-'M1'!C29</f>
        <v>-2.2090300000000003</v>
      </c>
      <c r="D29" s="66">
        <f>'M2'!D29-'M1'!D29</f>
        <v>-2.8965000000000005E-2</v>
      </c>
      <c r="E29" s="66">
        <f>'M2'!E29-'M1'!E29</f>
        <v>0</v>
      </c>
      <c r="F29" s="66">
        <f>'M2'!F29-'M1'!F29</f>
        <v>4.7323000000000022</v>
      </c>
      <c r="G29" s="66">
        <f>'M2'!G29-'M1'!G29</f>
        <v>0</v>
      </c>
      <c r="H29" s="66">
        <f>'M2'!H29-'M1'!H29</f>
        <v>-10.421499999999995</v>
      </c>
    </row>
    <row r="30" spans="1:8">
      <c r="A30" s="66" t="s">
        <v>73</v>
      </c>
      <c r="B30" s="66">
        <f>'M2'!B30-'M1'!B30</f>
        <v>18.3324</v>
      </c>
      <c r="C30" s="66">
        <f>'M2'!C30-'M1'!C30</f>
        <v>-5.6782899999999987</v>
      </c>
      <c r="D30" s="66">
        <f>'M2'!D30-'M1'!D30</f>
        <v>-0.70306500000000005</v>
      </c>
      <c r="E30" s="66">
        <f>'M2'!E30-'M1'!E30</f>
        <v>0</v>
      </c>
      <c r="F30" s="66">
        <f>'M2'!F30-'M1'!F30</f>
        <v>16.547599999999999</v>
      </c>
      <c r="G30" s="66">
        <f>'M2'!G30-'M1'!G30</f>
        <v>0</v>
      </c>
      <c r="H30" s="66">
        <f>'M2'!H30-'M1'!H30</f>
        <v>2.8087000000000018</v>
      </c>
    </row>
    <row r="31" spans="1:8">
      <c r="A31" s="66" t="s">
        <v>74</v>
      </c>
      <c r="B31" s="66">
        <f>'M2'!B31-'M1'!B31</f>
        <v>42.868199999999995</v>
      </c>
      <c r="C31" s="66">
        <f>'M2'!C31-'M1'!C31</f>
        <v>20.302800000000001</v>
      </c>
      <c r="D31" s="66">
        <f>'M2'!D31-'M1'!D31</f>
        <v>-2.2567000000000004E-2</v>
      </c>
      <c r="E31" s="66">
        <f>'M2'!E31-'M1'!E31</f>
        <v>0</v>
      </c>
      <c r="F31" s="66">
        <f>'M2'!F31-'M1'!F31</f>
        <v>-4.2317999999999998</v>
      </c>
      <c r="G31" s="66">
        <f>'M2'!G31-'M1'!G31</f>
        <v>0</v>
      </c>
      <c r="H31" s="66">
        <f>'M2'!H31-'M1'!H31</f>
        <v>21.888000000000005</v>
      </c>
    </row>
    <row r="32" spans="1:8">
      <c r="A32" s="66" t="s">
        <v>75</v>
      </c>
      <c r="B32" s="66">
        <f>'M2'!B32-'M1'!B32</f>
        <v>-1.8116000000000021E-2</v>
      </c>
      <c r="C32" s="66">
        <f>'M2'!C32-'M1'!C32</f>
        <v>3.5183800000000001E-2</v>
      </c>
      <c r="D32" s="66">
        <f>'M2'!D32-'M1'!D32</f>
        <v>0.129881</v>
      </c>
      <c r="E32" s="66">
        <f>'M2'!E32-'M1'!E32</f>
        <v>0</v>
      </c>
      <c r="F32" s="66">
        <f>'M2'!F32-'M1'!F32</f>
        <v>2.4069999999999994E-2</v>
      </c>
      <c r="G32" s="66">
        <f>'M2'!G32-'M1'!G32</f>
        <v>0</v>
      </c>
      <c r="H32" s="66">
        <f>'M2'!H32-'M1'!H32</f>
        <v>5.8769999999999989E-2</v>
      </c>
    </row>
    <row r="33" spans="1:8">
      <c r="A33" s="66" t="s">
        <v>76</v>
      </c>
      <c r="B33" s="66">
        <f>'M2'!B33-'M1'!B33</f>
        <v>0.190829</v>
      </c>
      <c r="C33" s="66">
        <f>'M2'!C33-'M1'!C33</f>
        <v>-3.9452899999999999E-2</v>
      </c>
      <c r="D33" s="66">
        <f>'M2'!D33-'M1'!D33</f>
        <v>-0.1930162</v>
      </c>
      <c r="E33" s="66">
        <f>'M2'!E33-'M1'!E33</f>
        <v>0</v>
      </c>
      <c r="F33" s="66">
        <f>'M2'!F33-'M1'!F33</f>
        <v>0.16529100000000002</v>
      </c>
      <c r="G33" s="66">
        <f>'M2'!G33-'M1'!G33</f>
        <v>0</v>
      </c>
      <c r="H33" s="66">
        <f>'M2'!H33-'M1'!H33</f>
        <v>8.5578000000000043E-2</v>
      </c>
    </row>
    <row r="34" spans="1:8">
      <c r="A34" s="66" t="s">
        <v>77</v>
      </c>
      <c r="B34" s="66">
        <f>'M2'!B34-'M1'!B34</f>
        <v>8.0820000000000058E-3</v>
      </c>
      <c r="C34" s="66">
        <f>'M2'!C34-'M1'!C34</f>
        <v>-8.8655000000000019E-3</v>
      </c>
      <c r="D34" s="66">
        <f>'M2'!D34-'M1'!D34</f>
        <v>-7.7668999999999988E-2</v>
      </c>
      <c r="E34" s="66">
        <f>'M2'!E34-'M1'!E34</f>
        <v>0</v>
      </c>
      <c r="F34" s="66">
        <f>'M2'!F34-'M1'!F34</f>
        <v>1.709999999999906E-4</v>
      </c>
      <c r="G34" s="66">
        <f>'M2'!G34-'M1'!G34</f>
        <v>0</v>
      </c>
      <c r="H34" s="66">
        <f>'M2'!H34-'M1'!H34</f>
        <v>-5.5594000000000005E-2</v>
      </c>
    </row>
    <row r="35" spans="1:8">
      <c r="A35" s="66" t="s">
        <v>78</v>
      </c>
      <c r="B35" s="66">
        <f>'M2'!B35-'M1'!B35</f>
        <v>4.4212000000000001E-3</v>
      </c>
      <c r="C35" s="66">
        <f>'M2'!C35-'M1'!C35</f>
        <v>-1.7777000000000001E-3</v>
      </c>
      <c r="D35" s="66">
        <f>'M2'!D35-'M1'!D35</f>
        <v>-7.4886999999999981E-2</v>
      </c>
      <c r="E35" s="66">
        <f>'M2'!E35-'M1'!E35</f>
        <v>0</v>
      </c>
      <c r="F35" s="66">
        <f>'M2'!F35-'M1'!F35</f>
        <v>-7.2163800000000014E-3</v>
      </c>
      <c r="G35" s="66">
        <f>'M2'!G35-'M1'!G35</f>
        <v>0</v>
      </c>
      <c r="H35" s="66">
        <f>'M2'!H35-'M1'!H35</f>
        <v>-2.7017900000000011E-2</v>
      </c>
    </row>
    <row r="36" spans="1:8">
      <c r="A36" s="66" t="s">
        <v>79</v>
      </c>
      <c r="B36" s="66">
        <f>'M2'!B36-'M1'!B36</f>
        <v>-8.0840000000000078E-3</v>
      </c>
      <c r="C36" s="66">
        <f>'M2'!C36-'M1'!C36</f>
        <v>-8.754899999999996E-3</v>
      </c>
      <c r="D36" s="66">
        <f>'M2'!D36-'M1'!D36</f>
        <v>-3.8200999999999929E-2</v>
      </c>
      <c r="E36" s="66">
        <f>'M2'!E36-'M1'!E36</f>
        <v>0</v>
      </c>
      <c r="F36" s="66">
        <f>'M2'!F36-'M1'!F36</f>
        <v>-3.3909999999999982E-3</v>
      </c>
      <c r="G36" s="66">
        <f>'M2'!G36-'M1'!G36</f>
        <v>0</v>
      </c>
      <c r="H36" s="66">
        <f>'M2'!H36-'M1'!H36</f>
        <v>-8.8607999999999965E-2</v>
      </c>
    </row>
    <row r="37" spans="1:8">
      <c r="A37" s="66" t="s">
        <v>80</v>
      </c>
      <c r="B37" s="66">
        <f>'M2'!B37-'M1'!B37</f>
        <v>-8.8655000000000012E-2</v>
      </c>
      <c r="C37" s="66">
        <f>'M2'!C37-'M1'!C37</f>
        <v>2.111289999999999E-2</v>
      </c>
      <c r="D37" s="66">
        <f>'M2'!D37-'M1'!D37</f>
        <v>0.21861599999999998</v>
      </c>
      <c r="E37" s="66">
        <f>'M2'!E37-'M1'!E37</f>
        <v>0</v>
      </c>
      <c r="F37" s="66">
        <f>'M2'!F37-'M1'!F37</f>
        <v>7.3175699999999989E-3</v>
      </c>
      <c r="G37" s="66">
        <f>'M2'!G37-'M1'!G37</f>
        <v>0</v>
      </c>
      <c r="H37" s="66">
        <f>'M2'!H37-'M1'!H37</f>
        <v>-5.4500000000001769E-4</v>
      </c>
    </row>
    <row r="38" spans="1:8">
      <c r="A38" s="66" t="s">
        <v>81</v>
      </c>
      <c r="B38" s="66">
        <f>'M2'!B38-'M1'!B38</f>
        <v>3.3451000000000022</v>
      </c>
      <c r="C38" s="66">
        <f>'M2'!C38-'M1'!C38</f>
        <v>-11.320400000000003</v>
      </c>
      <c r="D38" s="66">
        <f>'M2'!D38-'M1'!D38</f>
        <v>0.248888</v>
      </c>
      <c r="E38" s="66">
        <f>'M2'!E38-'M1'!E38</f>
        <v>0</v>
      </c>
      <c r="F38" s="66">
        <f>'M2'!F38-'M1'!F38</f>
        <v>73.6798</v>
      </c>
      <c r="G38" s="66">
        <f>'M2'!G38-'M1'!G38</f>
        <v>0</v>
      </c>
      <c r="H38" s="66">
        <f>'M2'!H38-'M1'!H38</f>
        <v>-108.22319999999999</v>
      </c>
    </row>
    <row r="39" spans="1:8">
      <c r="A39" s="66" t="s">
        <v>82</v>
      </c>
      <c r="B39" s="66">
        <f>'M2'!B39-'M1'!B39</f>
        <v>0.5073300000000005</v>
      </c>
      <c r="C39" s="66">
        <f>'M2'!C39-'M1'!C39</f>
        <v>-0.37383000000000033</v>
      </c>
      <c r="D39" s="66">
        <f>'M2'!D39-'M1'!D39</f>
        <v>2.8864000000000001E-2</v>
      </c>
      <c r="E39" s="66">
        <f>'M2'!E39-'M1'!E39</f>
        <v>0</v>
      </c>
      <c r="F39" s="66">
        <f>'M2'!F39-'M1'!F39</f>
        <v>2.3930000000000007</v>
      </c>
      <c r="G39" s="66">
        <f>'M2'!G39-'M1'!G39</f>
        <v>0</v>
      </c>
      <c r="H39" s="66">
        <f>'M2'!H39-'M1'!H39</f>
        <v>0.47842999999999991</v>
      </c>
    </row>
    <row r="40" spans="1:8">
      <c r="A40" s="66" t="s">
        <v>83</v>
      </c>
      <c r="B40" s="66">
        <f>'M2'!B40-'M1'!B40</f>
        <v>-3.4063192</v>
      </c>
      <c r="C40" s="66">
        <f>'M2'!C40-'M1'!C40</f>
        <v>-1.4476660000000001</v>
      </c>
      <c r="D40" s="66">
        <f>'M2'!D40-'M1'!D40</f>
        <v>19.126327099999997</v>
      </c>
      <c r="E40" s="66">
        <f>'M2'!E40-'M1'!E40</f>
        <v>0</v>
      </c>
      <c r="F40" s="66">
        <f>'M2'!F40-'M1'!F40</f>
        <v>-5.6810000000000027E-2</v>
      </c>
      <c r="G40" s="66">
        <f>'M2'!G40-'M1'!G40</f>
        <v>0</v>
      </c>
      <c r="H40" s="66">
        <f>'M2'!H40-'M1'!H40</f>
        <v>-3.1798030000000002</v>
      </c>
    </row>
    <row r="41" spans="1:8">
      <c r="A41" s="66" t="s">
        <v>84</v>
      </c>
      <c r="B41" s="66">
        <f>'M2'!B41-'M1'!B41</f>
        <v>2.9373000000000038E-2</v>
      </c>
      <c r="C41" s="66">
        <f>'M2'!C41-'M1'!C41</f>
        <v>9.4910000000000272E-3</v>
      </c>
      <c r="D41" s="66">
        <f>'M2'!D41-'M1'!D41</f>
        <v>-0.18907999999999991</v>
      </c>
      <c r="E41" s="66">
        <f>'M2'!E41-'M1'!E41</f>
        <v>0</v>
      </c>
      <c r="F41" s="66">
        <f>'M2'!F41-'M1'!F41</f>
        <v>-3.1495999999999968E-2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1.2067999999999995E-2</v>
      </c>
      <c r="C42" s="66">
        <f>'M2'!C42-'M1'!C42</f>
        <v>-1.1166599999999999E-2</v>
      </c>
      <c r="D42" s="66">
        <f>'M2'!D42-'M1'!D42</f>
        <v>3.2167000000000001E-2</v>
      </c>
      <c r="E42" s="66">
        <f>'M2'!E42-'M1'!E42</f>
        <v>0</v>
      </c>
      <c r="F42" s="66">
        <f>'M2'!F42-'M1'!F42</f>
        <v>6.512699999999999E-2</v>
      </c>
      <c r="G42" s="66">
        <f>'M2'!G42-'M1'!G42</f>
        <v>0</v>
      </c>
      <c r="H42" s="66">
        <f>'M2'!H42-'M1'!H42</f>
        <v>-3.8669500000000002E-2</v>
      </c>
    </row>
    <row r="43" spans="1:8">
      <c r="A43" s="66" t="s">
        <v>86</v>
      </c>
      <c r="B43" s="66">
        <f>'M2'!B43-'M1'!B43</f>
        <v>-0.2034368</v>
      </c>
      <c r="C43" s="66">
        <f>'M2'!C43-'M1'!C43</f>
        <v>-0.10683429999999999</v>
      </c>
      <c r="D43" s="66">
        <f>'M2'!D43-'M1'!D43</f>
        <v>16.576890899999999</v>
      </c>
      <c r="E43" s="66">
        <f>'M2'!E43-'M1'!E43</f>
        <v>0</v>
      </c>
      <c r="F43" s="66">
        <f>'M2'!F43-'M1'!F43</f>
        <v>6.7756999999999984E-2</v>
      </c>
      <c r="G43" s="66">
        <f>'M2'!G43-'M1'!G43</f>
        <v>0</v>
      </c>
      <c r="H43" s="66">
        <f>'M2'!H43-'M1'!H43</f>
        <v>-0.21021999999999999</v>
      </c>
    </row>
    <row r="44" spans="1:8">
      <c r="A44" s="66" t="s">
        <v>87</v>
      </c>
      <c r="B44" s="66">
        <f>'M2'!B44-'M1'!B44</f>
        <v>-4.6066599999999998</v>
      </c>
      <c r="C44" s="66">
        <f>'M2'!C44-'M1'!C44</f>
        <v>0.5601799999999999</v>
      </c>
      <c r="D44" s="66">
        <f>'M2'!D44-'M1'!D44</f>
        <v>-5.9618400000000005</v>
      </c>
      <c r="E44" s="66">
        <f>'M2'!E44-'M1'!E44</f>
        <v>0</v>
      </c>
      <c r="F44" s="66">
        <f>'M2'!F44-'M1'!F44</f>
        <v>-2.8336600000000001</v>
      </c>
      <c r="G44" s="66">
        <f>'M2'!G44-'M1'!G44</f>
        <v>0</v>
      </c>
      <c r="H44" s="66">
        <f>'M2'!H44-'M1'!H44</f>
        <v>2.1143000000000001</v>
      </c>
    </row>
    <row r="45" spans="1:8">
      <c r="A45" s="66" t="s">
        <v>88</v>
      </c>
      <c r="B45" s="66">
        <f>'M2'!B45-'M1'!B45</f>
        <v>-0.96569999999999823</v>
      </c>
      <c r="C45" s="66">
        <f>'M2'!C45-'M1'!C45</f>
        <v>0.42987000000000108</v>
      </c>
      <c r="D45" s="66">
        <f>'M2'!D45-'M1'!D45</f>
        <v>1.1030999999999985E-2</v>
      </c>
      <c r="E45" s="66">
        <f>'M2'!E45-'M1'!E45</f>
        <v>0</v>
      </c>
      <c r="F45" s="66">
        <f>'M2'!F45-'M1'!F45</f>
        <v>1.8089999999999975</v>
      </c>
      <c r="G45" s="66">
        <f>'M2'!G45-'M1'!G45</f>
        <v>0</v>
      </c>
      <c r="H45" s="66">
        <f>'M2'!H45-'M1'!H45</f>
        <v>-6.8135999999999939</v>
      </c>
    </row>
    <row r="46" spans="1:8">
      <c r="A46" s="66" t="s">
        <v>89</v>
      </c>
      <c r="B46" s="66">
        <f>'M2'!B46-'M1'!B46</f>
        <v>4.0732999999999961</v>
      </c>
      <c r="C46" s="66">
        <f>'M2'!C46-'M1'!C46</f>
        <v>-6.7549600000000005</v>
      </c>
      <c r="D46" s="66">
        <f>'M2'!D46-'M1'!D46</f>
        <v>-0.24508730000000001</v>
      </c>
      <c r="E46" s="66">
        <f>'M2'!E46-'M1'!E46</f>
        <v>0</v>
      </c>
      <c r="F46" s="66">
        <f>'M2'!F46-'M1'!F46</f>
        <v>22.042110000000001</v>
      </c>
      <c r="G46" s="66">
        <f>'M2'!G46-'M1'!G46</f>
        <v>0</v>
      </c>
      <c r="H46" s="66">
        <f>'M2'!H46-'M1'!H46</f>
        <v>3.0168999999999997</v>
      </c>
    </row>
    <row r="47" spans="1:8">
      <c r="A47" s="66" t="s">
        <v>90</v>
      </c>
      <c r="B47" s="66">
        <f>'M2'!B47-'M1'!B47</f>
        <v>-7.5650000000000439E-3</v>
      </c>
      <c r="C47" s="66">
        <f>'M2'!C47-'M1'!C47</f>
        <v>3.4811000000000009E-2</v>
      </c>
      <c r="D47" s="66">
        <f>'M2'!D47-'M1'!D47</f>
        <v>4.9762000000000028E-2</v>
      </c>
      <c r="E47" s="66">
        <f>'M2'!E47-'M1'!E47</f>
        <v>0</v>
      </c>
      <c r="F47" s="66">
        <f>'M2'!F47-'M1'!F47</f>
        <v>-3.1662999999999997E-2</v>
      </c>
      <c r="G47" s="66">
        <f>'M2'!G47-'M1'!G47</f>
        <v>0</v>
      </c>
      <c r="H47" s="66">
        <f>'M2'!H47-'M1'!H47</f>
        <v>6.2039999999999873E-2</v>
      </c>
    </row>
    <row r="48" spans="1:8">
      <c r="A48" s="66" t="s">
        <v>91</v>
      </c>
      <c r="B48" s="66">
        <f>'M2'!B48-'M1'!B48</f>
        <v>3.9770000000000083E-2</v>
      </c>
      <c r="C48" s="66">
        <f>'M2'!C48-'M1'!C48</f>
        <v>9.7406999999999994E-2</v>
      </c>
      <c r="D48" s="66">
        <f>'M2'!D48-'M1'!D48</f>
        <v>8.3462000000000008E-2</v>
      </c>
      <c r="E48" s="66">
        <f>'M2'!E48-'M1'!E48</f>
        <v>0</v>
      </c>
      <c r="F48" s="66">
        <f>'M2'!F48-'M1'!F48</f>
        <v>3.5020000000000051E-3</v>
      </c>
      <c r="G48" s="66">
        <f>'M2'!G48-'M1'!G48</f>
        <v>0</v>
      </c>
      <c r="H48" s="66">
        <f>'M2'!H48-'M1'!H48</f>
        <v>0.1000700000000001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33.997199999999999</v>
      </c>
      <c r="C5" s="66">
        <v>10.175599999999999</v>
      </c>
      <c r="D5" s="66">
        <v>29.930700000000002</v>
      </c>
      <c r="E5" s="66">
        <v>20</v>
      </c>
      <c r="F5" s="66">
        <v>9.1751900000000006</v>
      </c>
      <c r="G5" s="66">
        <v>50</v>
      </c>
      <c r="H5" s="66">
        <v>42.317300000000003</v>
      </c>
    </row>
    <row r="6" spans="1:8">
      <c r="A6" s="66" t="s">
        <v>358</v>
      </c>
      <c r="B6" s="66">
        <v>24.620699999999999</v>
      </c>
      <c r="C6" s="66">
        <v>4.7894300000000003</v>
      </c>
      <c r="D6" s="66">
        <v>19.4528</v>
      </c>
      <c r="E6" s="66">
        <v>20</v>
      </c>
      <c r="F6" s="66">
        <v>15.751300000000001</v>
      </c>
      <c r="G6" s="66">
        <v>40</v>
      </c>
      <c r="H6" s="66">
        <v>34.068899999999999</v>
      </c>
    </row>
    <row r="7" spans="1:8">
      <c r="A7" s="66" t="s">
        <v>359</v>
      </c>
      <c r="B7" s="66">
        <v>32.335099999999997</v>
      </c>
      <c r="C7" s="66">
        <v>7.96082</v>
      </c>
      <c r="D7" s="66">
        <v>24.619800000000001</v>
      </c>
      <c r="E7" s="66">
        <v>15</v>
      </c>
      <c r="F7" s="66">
        <v>11.3996</v>
      </c>
      <c r="G7" s="66">
        <v>40</v>
      </c>
      <c r="H7" s="66">
        <v>51.853999999999999</v>
      </c>
    </row>
    <row r="8" spans="1:8">
      <c r="A8" s="66" t="s">
        <v>360</v>
      </c>
      <c r="B8" s="66">
        <v>28.304099999999998</v>
      </c>
      <c r="C8" s="66">
        <v>6.1158999999999999</v>
      </c>
      <c r="D8" s="66">
        <v>21.607800000000001</v>
      </c>
      <c r="E8" s="66">
        <v>20</v>
      </c>
      <c r="F8" s="66">
        <v>11.519299999999999</v>
      </c>
      <c r="G8" s="66">
        <v>50</v>
      </c>
      <c r="H8" s="66">
        <v>36.818199999999997</v>
      </c>
    </row>
    <row r="9" spans="1:8">
      <c r="A9" s="66" t="s">
        <v>361</v>
      </c>
      <c r="B9" s="66">
        <v>59.216700000000003</v>
      </c>
      <c r="C9" s="66">
        <v>11.883100000000001</v>
      </c>
      <c r="D9" s="66">
        <v>20.0671</v>
      </c>
      <c r="E9" s="66">
        <v>50</v>
      </c>
      <c r="F9" s="66">
        <v>38.18</v>
      </c>
      <c r="G9" s="66">
        <v>100</v>
      </c>
      <c r="H9" s="66">
        <v>89.024500000000003</v>
      </c>
    </row>
    <row r="10" spans="1:8">
      <c r="A10" s="66" t="s">
        <v>362</v>
      </c>
      <c r="B10" s="66">
        <v>84.317999999999998</v>
      </c>
      <c r="C10" s="66">
        <v>8.1956399999999991</v>
      </c>
      <c r="D10" s="66">
        <v>9.7199100000000005</v>
      </c>
      <c r="E10" s="66">
        <v>40</v>
      </c>
      <c r="F10" s="66">
        <v>66.2119</v>
      </c>
      <c r="G10" s="66">
        <v>100</v>
      </c>
      <c r="H10" s="66">
        <v>87.478300000000004</v>
      </c>
    </row>
    <row r="11" spans="1:8">
      <c r="A11" s="66" t="s">
        <v>363</v>
      </c>
      <c r="B11" s="66">
        <v>15.895200000000001</v>
      </c>
      <c r="C11" s="66">
        <v>5.9690099999999999</v>
      </c>
      <c r="D11" s="66">
        <v>37.552399999999999</v>
      </c>
      <c r="E11" s="66">
        <v>10</v>
      </c>
      <c r="F11" s="66">
        <v>6.9051900000000002</v>
      </c>
      <c r="G11" s="66">
        <v>50</v>
      </c>
      <c r="H11" s="66">
        <v>25.750499999999999</v>
      </c>
    </row>
    <row r="12" spans="1:8">
      <c r="A12" s="66" t="s">
        <v>364</v>
      </c>
      <c r="B12" s="66">
        <v>70.111099999999993</v>
      </c>
      <c r="C12" s="66">
        <v>8.5206900000000001</v>
      </c>
      <c r="D12" s="66">
        <v>12.1531</v>
      </c>
      <c r="E12" s="66">
        <v>50</v>
      </c>
      <c r="F12" s="66">
        <v>53.259799999999998</v>
      </c>
      <c r="G12" s="66">
        <v>100</v>
      </c>
      <c r="H12" s="66">
        <v>88.174599999999998</v>
      </c>
    </row>
    <row r="13" spans="1:8">
      <c r="A13" s="66" t="s">
        <v>365</v>
      </c>
      <c r="B13" s="66">
        <v>12.980700000000001</v>
      </c>
      <c r="C13" s="66">
        <v>2.9618799999999998</v>
      </c>
      <c r="D13" s="66">
        <v>22.817599999999999</v>
      </c>
      <c r="E13" s="66">
        <v>10</v>
      </c>
      <c r="F13" s="66">
        <v>10.389699999999999</v>
      </c>
      <c r="G13" s="66">
        <v>25</v>
      </c>
      <c r="H13" s="66">
        <v>25.682200000000002</v>
      </c>
    </row>
    <row r="14" spans="1:8">
      <c r="A14" s="66" t="s">
        <v>366</v>
      </c>
      <c r="B14" s="66">
        <v>29.6188</v>
      </c>
      <c r="C14" s="66">
        <v>8.1041100000000004</v>
      </c>
      <c r="D14" s="66">
        <v>27.3614</v>
      </c>
      <c r="E14" s="66">
        <v>10</v>
      </c>
      <c r="F14" s="66">
        <v>0.40969299999999997</v>
      </c>
      <c r="G14" s="66">
        <v>50</v>
      </c>
      <c r="H14" s="66">
        <v>29.645600000000002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0.59418700000000002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0.59882299999999999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2.3657600000000001E-4</v>
      </c>
      <c r="C20" s="66">
        <v>8.7297299999999998E-3</v>
      </c>
      <c r="D20" s="66">
        <v>36.900300000000001</v>
      </c>
      <c r="E20" s="66">
        <v>0</v>
      </c>
      <c r="F20" s="66">
        <v>0</v>
      </c>
      <c r="G20" s="66">
        <v>0</v>
      </c>
      <c r="H20" s="66">
        <v>9.6410999999999997E-2</v>
      </c>
    </row>
    <row r="21" spans="1:8">
      <c r="A21" s="66" t="s">
        <v>373</v>
      </c>
      <c r="B21" s="66">
        <v>2.1338300000000001E-2</v>
      </c>
      <c r="C21" s="66">
        <v>4.2306200000000002E-2</v>
      </c>
      <c r="D21" s="66">
        <v>1.98264</v>
      </c>
      <c r="E21" s="66">
        <v>0</v>
      </c>
      <c r="F21" s="196">
        <v>9.4758499999999997E-5</v>
      </c>
      <c r="G21" s="66">
        <v>0</v>
      </c>
      <c r="H21" s="66">
        <v>0.16933799999999999</v>
      </c>
    </row>
    <row r="22" spans="1:8">
      <c r="A22" s="66" t="s">
        <v>374</v>
      </c>
      <c r="B22" s="66">
        <v>27.7683</v>
      </c>
      <c r="C22" s="66">
        <v>11.4565</v>
      </c>
      <c r="D22" s="66">
        <v>0.412574</v>
      </c>
      <c r="E22" s="66">
        <v>0</v>
      </c>
      <c r="F22" s="66">
        <v>16.7041</v>
      </c>
      <c r="G22" s="66">
        <v>0</v>
      </c>
      <c r="H22" s="66">
        <v>65.351500000000001</v>
      </c>
    </row>
    <row r="23" spans="1:8">
      <c r="A23" s="66" t="s">
        <v>375</v>
      </c>
      <c r="B23" s="66">
        <v>10.6313</v>
      </c>
      <c r="C23" s="66">
        <v>2.9348100000000001</v>
      </c>
      <c r="D23" s="66">
        <v>0.27605299999999999</v>
      </c>
      <c r="E23" s="66">
        <v>0</v>
      </c>
      <c r="F23" s="66">
        <v>9.2243999999999993</v>
      </c>
      <c r="G23" s="66">
        <v>0</v>
      </c>
      <c r="H23" s="66">
        <v>18.950099999999999</v>
      </c>
    </row>
    <row r="24" spans="1:8">
      <c r="A24" s="66" t="s">
        <v>376</v>
      </c>
      <c r="B24" s="66">
        <v>3.1691599999999999E-4</v>
      </c>
      <c r="C24" s="66">
        <v>5.1020099999999997E-3</v>
      </c>
      <c r="D24" s="66">
        <v>16.0989</v>
      </c>
      <c r="E24" s="66">
        <v>0</v>
      </c>
      <c r="F24" s="196">
        <v>6.4844099999999998E-5</v>
      </c>
      <c r="G24" s="66">
        <v>0</v>
      </c>
      <c r="H24" s="66">
        <v>2.35204E-2</v>
      </c>
    </row>
    <row r="25" spans="1:8">
      <c r="A25" s="66" t="s">
        <v>377</v>
      </c>
      <c r="B25" s="66">
        <v>3.5415299999999997E-2</v>
      </c>
      <c r="C25" s="66">
        <v>1.9677300000000002E-2</v>
      </c>
      <c r="D25" s="66">
        <v>0.55561400000000005</v>
      </c>
      <c r="E25" s="66">
        <v>0</v>
      </c>
      <c r="F25" s="66">
        <v>9.9030699999999999E-3</v>
      </c>
      <c r="G25" s="66">
        <v>0</v>
      </c>
      <c r="H25" s="66">
        <v>8.2580399999999998E-2</v>
      </c>
    </row>
    <row r="26" spans="1:8">
      <c r="A26" s="66" t="s">
        <v>378</v>
      </c>
      <c r="B26" s="196">
        <v>7.8781499999999998E-5</v>
      </c>
      <c r="C26" s="66">
        <v>5.9329399999999996E-4</v>
      </c>
      <c r="D26" s="66">
        <v>7.5308799999999998</v>
      </c>
      <c r="E26" s="66">
        <v>0</v>
      </c>
      <c r="F26" s="66">
        <v>0</v>
      </c>
      <c r="G26" s="66">
        <v>0</v>
      </c>
      <c r="H26" s="66">
        <v>4.4478699999999996E-3</v>
      </c>
    </row>
    <row r="27" spans="1:8">
      <c r="A27" s="66" t="s">
        <v>379</v>
      </c>
      <c r="B27" s="196">
        <v>-6.5651299999999996E-6</v>
      </c>
      <c r="C27" s="66">
        <v>4.6817499999999998E-4</v>
      </c>
      <c r="D27" s="66">
        <v>-71.3125</v>
      </c>
      <c r="E27" s="66">
        <v>0</v>
      </c>
      <c r="F27" s="66">
        <v>-3.8668600000000002E-3</v>
      </c>
      <c r="G27" s="66">
        <v>0</v>
      </c>
      <c r="H27" s="66">
        <v>3.3318000000000002E-3</v>
      </c>
    </row>
    <row r="28" spans="1:8">
      <c r="A28" s="66" t="s">
        <v>380</v>
      </c>
      <c r="B28" s="66">
        <v>4.3571E-3</v>
      </c>
      <c r="C28" s="66">
        <v>4.2323200000000004E-3</v>
      </c>
      <c r="D28" s="66">
        <v>0.97136299999999998</v>
      </c>
      <c r="E28" s="66">
        <v>0</v>
      </c>
      <c r="F28" s="196">
        <v>2.9296900000000001E-5</v>
      </c>
      <c r="G28" s="66">
        <v>0</v>
      </c>
      <c r="H28" s="66">
        <v>1.9612600000000001E-2</v>
      </c>
    </row>
    <row r="29" spans="1:8">
      <c r="A29" s="66" t="s">
        <v>381</v>
      </c>
      <c r="B29" s="66">
        <v>72.485299999999995</v>
      </c>
      <c r="C29" s="66">
        <v>10.7851</v>
      </c>
      <c r="D29" s="66">
        <v>0.14879000000000001</v>
      </c>
      <c r="E29" s="66">
        <v>0</v>
      </c>
      <c r="F29" s="66">
        <v>44.154899999999998</v>
      </c>
      <c r="G29" s="66">
        <v>0</v>
      </c>
      <c r="H29" s="66">
        <v>105.199</v>
      </c>
    </row>
    <row r="30" spans="1:8">
      <c r="A30" s="66" t="s">
        <v>382</v>
      </c>
      <c r="B30" s="66">
        <v>10.8118</v>
      </c>
      <c r="C30" s="66">
        <v>8.7355199999999993</v>
      </c>
      <c r="D30" s="66">
        <v>0.80796500000000004</v>
      </c>
      <c r="E30" s="66">
        <v>0</v>
      </c>
      <c r="F30" s="66">
        <v>7.4218999999999999</v>
      </c>
      <c r="G30" s="66">
        <v>0</v>
      </c>
      <c r="H30" s="66">
        <v>30.858499999999999</v>
      </c>
    </row>
    <row r="31" spans="1:8">
      <c r="A31" s="66" t="s">
        <v>383</v>
      </c>
      <c r="B31" s="66">
        <v>56.066200000000002</v>
      </c>
      <c r="C31" s="66">
        <v>29.473400000000002</v>
      </c>
      <c r="D31" s="66">
        <v>0.52568999999999999</v>
      </c>
      <c r="E31" s="66">
        <v>0</v>
      </c>
      <c r="F31" s="66">
        <v>44.649700000000003</v>
      </c>
      <c r="G31" s="66">
        <v>0</v>
      </c>
      <c r="H31" s="66">
        <v>150.928</v>
      </c>
    </row>
    <row r="32" spans="1:8">
      <c r="A32" s="66" t="s">
        <v>384</v>
      </c>
      <c r="B32" s="66">
        <v>0.323351</v>
      </c>
      <c r="C32" s="66">
        <v>7.9608200000000004E-2</v>
      </c>
      <c r="D32" s="66">
        <v>0.246198</v>
      </c>
      <c r="E32" s="66">
        <v>0.15</v>
      </c>
      <c r="F32" s="66">
        <v>0.113996</v>
      </c>
      <c r="G32" s="66">
        <v>0.4</v>
      </c>
      <c r="H32" s="66">
        <v>0.51853899999999997</v>
      </c>
    </row>
    <row r="33" spans="1:8">
      <c r="A33" s="66" t="s">
        <v>385</v>
      </c>
      <c r="B33" s="66">
        <v>0.246335</v>
      </c>
      <c r="C33" s="66">
        <v>5.7995100000000001E-2</v>
      </c>
      <c r="D33" s="66">
        <v>0.235431</v>
      </c>
      <c r="E33" s="66">
        <v>0</v>
      </c>
      <c r="F33" s="66">
        <v>0.241784</v>
      </c>
      <c r="G33" s="66">
        <v>0</v>
      </c>
      <c r="H33" s="66">
        <v>0.41891</v>
      </c>
    </row>
    <row r="34" spans="1:8">
      <c r="A34" s="66" t="s">
        <v>386</v>
      </c>
      <c r="B34" s="66">
        <v>0.12980700000000001</v>
      </c>
      <c r="C34" s="66">
        <v>2.9618800000000001E-2</v>
      </c>
      <c r="D34" s="66">
        <v>0.22817599999999999</v>
      </c>
      <c r="E34" s="66">
        <v>0.1</v>
      </c>
      <c r="F34" s="66">
        <v>0.103897</v>
      </c>
      <c r="G34" s="66">
        <v>0.25</v>
      </c>
      <c r="H34" s="66">
        <v>0.25682199999999999</v>
      </c>
    </row>
    <row r="35" spans="1:8">
      <c r="A35" s="66" t="s">
        <v>387</v>
      </c>
      <c r="B35" s="66">
        <v>4.7296499999999998E-2</v>
      </c>
      <c r="C35" s="66">
        <v>2.2415299999999999E-2</v>
      </c>
      <c r="D35" s="66">
        <v>0.47393099999999999</v>
      </c>
      <c r="E35" s="66">
        <v>0</v>
      </c>
      <c r="F35" s="66">
        <v>1.5935000000000001E-2</v>
      </c>
      <c r="G35" s="66">
        <v>0</v>
      </c>
      <c r="H35" s="66">
        <v>0.122063</v>
      </c>
    </row>
    <row r="36" spans="1:8">
      <c r="A36" s="66" t="s">
        <v>388</v>
      </c>
      <c r="B36" s="66">
        <v>0.119121</v>
      </c>
      <c r="C36" s="66">
        <v>6.6503199999999998E-2</v>
      </c>
      <c r="D36" s="66">
        <v>0.55828199999999994</v>
      </c>
      <c r="E36" s="66">
        <v>0</v>
      </c>
      <c r="F36" s="66">
        <v>4.0292700000000001E-2</v>
      </c>
      <c r="G36" s="66">
        <v>0</v>
      </c>
      <c r="H36" s="66">
        <v>0.46489399999999997</v>
      </c>
    </row>
    <row r="37" spans="1:8">
      <c r="A37" s="66" t="s">
        <v>389</v>
      </c>
      <c r="B37" s="66">
        <v>0.29618800000000001</v>
      </c>
      <c r="C37" s="66">
        <v>8.1041100000000005E-2</v>
      </c>
      <c r="D37" s="66">
        <v>0.27361400000000002</v>
      </c>
      <c r="E37" s="66">
        <v>0.1</v>
      </c>
      <c r="F37" s="66">
        <v>4.0969300000000004E-3</v>
      </c>
      <c r="G37" s="66">
        <v>0.5</v>
      </c>
      <c r="H37" s="66">
        <v>0.296456</v>
      </c>
    </row>
    <row r="38" spans="1:8">
      <c r="A38" s="66" t="s">
        <v>390</v>
      </c>
      <c r="B38" s="66">
        <v>-32.540900000000001</v>
      </c>
      <c r="C38" s="66">
        <v>39.435400000000001</v>
      </c>
      <c r="D38" s="66">
        <v>-1.21187</v>
      </c>
      <c r="E38" s="66">
        <v>0</v>
      </c>
      <c r="F38" s="66">
        <v>-148.16800000000001</v>
      </c>
      <c r="G38" s="66">
        <v>0</v>
      </c>
      <c r="H38" s="66">
        <v>178.18199999999999</v>
      </c>
    </row>
    <row r="39" spans="1:8">
      <c r="A39" s="66" t="s">
        <v>391</v>
      </c>
      <c r="B39" s="66">
        <v>-7.8071400000000004</v>
      </c>
      <c r="C39" s="66">
        <v>2.5104000000000002</v>
      </c>
      <c r="D39" s="66">
        <v>-0.321552</v>
      </c>
      <c r="E39" s="66">
        <v>0</v>
      </c>
      <c r="F39" s="66">
        <v>-14.9527</v>
      </c>
      <c r="G39" s="66">
        <v>0</v>
      </c>
      <c r="H39" s="66">
        <v>-2.2511999999999999</v>
      </c>
    </row>
    <row r="40" spans="1:8">
      <c r="A40" s="66" t="s">
        <v>392</v>
      </c>
      <c r="B40" s="66">
        <v>-8.9380799999999996E-2</v>
      </c>
      <c r="C40" s="66">
        <v>1.7163900000000001</v>
      </c>
      <c r="D40" s="66">
        <v>-19.203199999999999</v>
      </c>
      <c r="E40" s="66">
        <v>0</v>
      </c>
      <c r="F40" s="66">
        <v>-3.8624000000000001</v>
      </c>
      <c r="G40" s="66">
        <v>0</v>
      </c>
      <c r="H40" s="66">
        <v>0.293323</v>
      </c>
    </row>
    <row r="41" spans="1:8">
      <c r="A41" s="66" t="s">
        <v>393</v>
      </c>
      <c r="B41" s="66">
        <v>-0.27616800000000002</v>
      </c>
      <c r="C41" s="66">
        <v>0.34950999999999999</v>
      </c>
      <c r="D41" s="66">
        <v>-1.2655700000000001</v>
      </c>
      <c r="E41" s="66">
        <v>0</v>
      </c>
      <c r="F41" s="66">
        <v>-0.96850400000000003</v>
      </c>
      <c r="G41" s="66">
        <v>0</v>
      </c>
      <c r="H41" s="66">
        <v>1</v>
      </c>
    </row>
    <row r="42" spans="1:8">
      <c r="A42" s="66" t="s">
        <v>394</v>
      </c>
      <c r="B42" s="66">
        <v>-0.23997099999999999</v>
      </c>
      <c r="C42" s="66">
        <v>7.6273099999999996E-2</v>
      </c>
      <c r="D42" s="66">
        <v>-0.31784299999999999</v>
      </c>
      <c r="E42" s="66">
        <v>0</v>
      </c>
      <c r="F42" s="66">
        <v>-0.43045099999999997</v>
      </c>
      <c r="G42" s="66">
        <v>0</v>
      </c>
      <c r="H42" s="66">
        <v>-5.3689300000000002E-2</v>
      </c>
    </row>
    <row r="43" spans="1:8">
      <c r="A43" s="66" t="s">
        <v>395</v>
      </c>
      <c r="B43" s="66">
        <v>-7.3971999999999996E-3</v>
      </c>
      <c r="C43" s="66">
        <v>0.123197</v>
      </c>
      <c r="D43" s="66">
        <v>-16.654499999999999</v>
      </c>
      <c r="E43" s="66">
        <v>0</v>
      </c>
      <c r="F43" s="66">
        <v>-0.31454799999999999</v>
      </c>
      <c r="G43" s="66">
        <v>0</v>
      </c>
      <c r="H43" s="66">
        <v>2.6974999999999999E-2</v>
      </c>
    </row>
    <row r="44" spans="1:8">
      <c r="A44" s="66" t="s">
        <v>396</v>
      </c>
      <c r="B44" s="66">
        <v>2.9708899999999998</v>
      </c>
      <c r="C44" s="66">
        <v>5.9280400000000002</v>
      </c>
      <c r="D44" s="66">
        <v>1.9953799999999999</v>
      </c>
      <c r="E44" s="66">
        <v>0</v>
      </c>
      <c r="F44" s="66">
        <v>-9.3249399999999998</v>
      </c>
      <c r="G44" s="66">
        <v>0</v>
      </c>
      <c r="H44" s="66">
        <v>11.995699999999999</v>
      </c>
    </row>
    <row r="45" spans="1:8">
      <c r="A45" s="66" t="s">
        <v>397</v>
      </c>
      <c r="B45" s="66">
        <v>53.886499999999998</v>
      </c>
      <c r="C45" s="66">
        <v>8.5878099999999993</v>
      </c>
      <c r="D45" s="66">
        <v>0.15936900000000001</v>
      </c>
      <c r="E45" s="66">
        <v>0</v>
      </c>
      <c r="F45" s="66">
        <v>37.721400000000003</v>
      </c>
      <c r="G45" s="66">
        <v>0</v>
      </c>
      <c r="H45" s="66">
        <v>84.387799999999999</v>
      </c>
    </row>
    <row r="46" spans="1:8">
      <c r="A46" s="66" t="s">
        <v>398</v>
      </c>
      <c r="B46" s="66">
        <v>28.407800000000002</v>
      </c>
      <c r="C46" s="66">
        <v>8.4091100000000001</v>
      </c>
      <c r="D46" s="66">
        <v>0.296014</v>
      </c>
      <c r="E46" s="66">
        <v>0</v>
      </c>
      <c r="F46" s="66">
        <v>6.55349</v>
      </c>
      <c r="G46" s="66">
        <v>0</v>
      </c>
      <c r="H46" s="66">
        <v>32.435200000000002</v>
      </c>
    </row>
    <row r="47" spans="1:8">
      <c r="A47" s="66" t="s">
        <v>399</v>
      </c>
      <c r="B47" s="66">
        <v>0.74558800000000003</v>
      </c>
      <c r="C47" s="66">
        <v>0.18874199999999999</v>
      </c>
      <c r="D47" s="66">
        <v>0.25314599999999998</v>
      </c>
      <c r="E47" s="66">
        <v>0</v>
      </c>
      <c r="F47" s="66">
        <v>0.405644</v>
      </c>
      <c r="G47" s="66">
        <v>0</v>
      </c>
      <c r="H47" s="66">
        <v>1.3596200000000001</v>
      </c>
    </row>
    <row r="48" spans="1:8">
      <c r="A48" s="66" t="s">
        <v>400</v>
      </c>
      <c r="B48" s="66">
        <v>1.06521</v>
      </c>
      <c r="C48" s="66">
        <v>0.138844</v>
      </c>
      <c r="D48" s="66">
        <v>0.13034399999999999</v>
      </c>
      <c r="E48" s="66">
        <v>0</v>
      </c>
      <c r="F48" s="66">
        <v>0.81368099999999999</v>
      </c>
      <c r="G48" s="66">
        <v>0</v>
      </c>
      <c r="H48" s="66">
        <v>1.42631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41.379899999999999</v>
      </c>
      <c r="C5" s="66">
        <v>3.16377</v>
      </c>
      <c r="D5" s="66">
        <v>7.6456499999999998</v>
      </c>
      <c r="E5" s="66">
        <v>20</v>
      </c>
      <c r="F5" s="66">
        <v>34.106900000000003</v>
      </c>
      <c r="G5" s="66">
        <v>50</v>
      </c>
      <c r="H5" s="66">
        <v>46.703800000000001</v>
      </c>
    </row>
    <row r="6" spans="1:8">
      <c r="A6" s="66" t="s">
        <v>358</v>
      </c>
      <c r="B6" s="66">
        <v>28.233499999999999</v>
      </c>
      <c r="C6" s="66">
        <v>1.1624099999999999</v>
      </c>
      <c r="D6" s="66">
        <v>4.1171199999999999</v>
      </c>
      <c r="E6" s="66">
        <v>20</v>
      </c>
      <c r="F6" s="66">
        <v>25.4818</v>
      </c>
      <c r="G6" s="66">
        <v>40</v>
      </c>
      <c r="H6" s="66">
        <v>30.204599999999999</v>
      </c>
    </row>
    <row r="7" spans="1:8">
      <c r="A7" s="66" t="s">
        <v>359</v>
      </c>
      <c r="B7" s="66">
        <v>30.523499999999999</v>
      </c>
      <c r="C7" s="66">
        <v>11.479200000000001</v>
      </c>
      <c r="D7" s="66">
        <v>37.607900000000001</v>
      </c>
      <c r="E7" s="66">
        <v>15</v>
      </c>
      <c r="F7" s="66">
        <v>13.8066</v>
      </c>
      <c r="G7" s="66">
        <v>40</v>
      </c>
      <c r="H7" s="66">
        <v>57.730899999999998</v>
      </c>
    </row>
    <row r="8" spans="1:8">
      <c r="A8" s="66" t="s">
        <v>360</v>
      </c>
      <c r="B8" s="66">
        <v>33.259300000000003</v>
      </c>
      <c r="C8" s="66">
        <v>4.3860299999999999</v>
      </c>
      <c r="D8" s="66">
        <v>13.1874</v>
      </c>
      <c r="E8" s="66">
        <v>20</v>
      </c>
      <c r="F8" s="66">
        <v>28.4527</v>
      </c>
      <c r="G8" s="66">
        <v>50</v>
      </c>
      <c r="H8" s="66">
        <v>42.745399999999997</v>
      </c>
    </row>
    <row r="9" spans="1:8">
      <c r="A9" s="66" t="s">
        <v>361</v>
      </c>
      <c r="B9" s="66">
        <v>42.013399999999997</v>
      </c>
      <c r="C9" s="66">
        <v>8.6415699999999998</v>
      </c>
      <c r="D9" s="66">
        <v>20.5686</v>
      </c>
      <c r="E9" s="66">
        <v>50</v>
      </c>
      <c r="F9" s="66">
        <v>30.248799999999999</v>
      </c>
      <c r="G9" s="66">
        <v>100</v>
      </c>
      <c r="H9" s="66">
        <v>60.740600000000001</v>
      </c>
    </row>
    <row r="10" spans="1:8">
      <c r="A10" s="66" t="s">
        <v>362</v>
      </c>
      <c r="B10" s="66">
        <v>66.403099999999995</v>
      </c>
      <c r="C10" s="66">
        <v>1.54017</v>
      </c>
      <c r="D10" s="66">
        <v>2.31942</v>
      </c>
      <c r="E10" s="66">
        <v>40</v>
      </c>
      <c r="F10" s="66">
        <v>63.592799999999997</v>
      </c>
      <c r="G10" s="66">
        <v>100</v>
      </c>
      <c r="H10" s="66">
        <v>69.276399999999995</v>
      </c>
    </row>
    <row r="11" spans="1:8">
      <c r="A11" s="66" t="s">
        <v>363</v>
      </c>
      <c r="B11" s="66">
        <v>22.319400000000002</v>
      </c>
      <c r="C11" s="66">
        <v>3.7463799999999998</v>
      </c>
      <c r="D11" s="66">
        <v>16.785299999999999</v>
      </c>
      <c r="E11" s="66">
        <v>10</v>
      </c>
      <c r="F11" s="66">
        <v>17.9815</v>
      </c>
      <c r="G11" s="66">
        <v>50</v>
      </c>
      <c r="H11" s="66">
        <v>28.517199999999999</v>
      </c>
    </row>
    <row r="12" spans="1:8">
      <c r="A12" s="66" t="s">
        <v>364</v>
      </c>
      <c r="B12" s="66">
        <v>54.6907</v>
      </c>
      <c r="C12" s="66">
        <v>4.1532600000000004</v>
      </c>
      <c r="D12" s="66">
        <v>7.5940899999999996</v>
      </c>
      <c r="E12" s="66">
        <v>50</v>
      </c>
      <c r="F12" s="66">
        <v>48.3371</v>
      </c>
      <c r="G12" s="66">
        <v>100</v>
      </c>
      <c r="H12" s="66">
        <v>64.536900000000003</v>
      </c>
    </row>
    <row r="13" spans="1:8">
      <c r="A13" s="66" t="s">
        <v>365</v>
      </c>
      <c r="B13" s="66">
        <v>13.7889</v>
      </c>
      <c r="C13" s="66">
        <v>2.0753300000000001</v>
      </c>
      <c r="D13" s="66">
        <v>15.050700000000001</v>
      </c>
      <c r="E13" s="66">
        <v>10</v>
      </c>
      <c r="F13" s="66">
        <v>10.4068</v>
      </c>
      <c r="G13" s="66">
        <v>25</v>
      </c>
      <c r="H13" s="66">
        <v>20.122699999999998</v>
      </c>
    </row>
    <row r="14" spans="1:8">
      <c r="A14" s="66" t="s">
        <v>366</v>
      </c>
      <c r="B14" s="66">
        <v>20.753299999999999</v>
      </c>
      <c r="C14" s="66">
        <v>10.215400000000001</v>
      </c>
      <c r="D14" s="66">
        <v>49.222999999999999</v>
      </c>
      <c r="E14" s="66">
        <v>10</v>
      </c>
      <c r="F14" s="66">
        <v>1.1414500000000001</v>
      </c>
      <c r="G14" s="66">
        <v>50</v>
      </c>
      <c r="H14" s="66">
        <v>29.591100000000001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0.61710500000000001</v>
      </c>
      <c r="C18" s="66">
        <v>6.6368300000000005E-2</v>
      </c>
      <c r="D18" s="66">
        <v>0.107548</v>
      </c>
      <c r="E18" s="66">
        <v>0</v>
      </c>
      <c r="F18" s="66">
        <v>0.55073700000000003</v>
      </c>
      <c r="G18" s="66">
        <v>0</v>
      </c>
      <c r="H18" s="66">
        <v>0.68347400000000003</v>
      </c>
    </row>
    <row r="19" spans="1:8">
      <c r="A19" s="66" t="s">
        <v>371</v>
      </c>
      <c r="B19" s="66">
        <v>0.58748400000000001</v>
      </c>
      <c r="C19" s="66">
        <v>5.8072600000000002E-2</v>
      </c>
      <c r="D19" s="66">
        <v>9.8849599999999996E-2</v>
      </c>
      <c r="E19" s="66">
        <v>0</v>
      </c>
      <c r="F19" s="66">
        <v>0.52941199999999999</v>
      </c>
      <c r="G19" s="66">
        <v>0</v>
      </c>
      <c r="H19" s="66">
        <v>0.64555700000000005</v>
      </c>
    </row>
    <row r="20" spans="1:8">
      <c r="A20" s="66" t="s">
        <v>372</v>
      </c>
      <c r="B20" s="66">
        <v>2.1985400000000001E-4</v>
      </c>
      <c r="C20" s="66">
        <v>6.1130100000000003E-3</v>
      </c>
      <c r="D20" s="66">
        <v>27.8048</v>
      </c>
      <c r="E20" s="66">
        <v>0</v>
      </c>
      <c r="F20" s="66">
        <v>0</v>
      </c>
      <c r="G20" s="66">
        <v>0</v>
      </c>
      <c r="H20" s="66">
        <v>7.3305599999999999E-2</v>
      </c>
    </row>
    <row r="21" spans="1:8">
      <c r="A21" s="66" t="s">
        <v>373</v>
      </c>
      <c r="B21" s="66">
        <v>2.0017E-2</v>
      </c>
      <c r="C21" s="66">
        <v>3.4004E-2</v>
      </c>
      <c r="D21" s="66">
        <v>1.69876</v>
      </c>
      <c r="E21" s="66">
        <v>0</v>
      </c>
      <c r="F21" s="196">
        <v>4.6900500000000003E-5</v>
      </c>
      <c r="G21" s="66">
        <v>0</v>
      </c>
      <c r="H21" s="66">
        <v>0.24688599999999999</v>
      </c>
    </row>
    <row r="22" spans="1:8">
      <c r="A22" s="66" t="s">
        <v>374</v>
      </c>
      <c r="B22" s="66">
        <v>26.656199999999998</v>
      </c>
      <c r="C22" s="66">
        <v>8.5113199999999996</v>
      </c>
      <c r="D22" s="66">
        <v>0.31929999999999997</v>
      </c>
      <c r="E22" s="66">
        <v>0</v>
      </c>
      <c r="F22" s="66">
        <v>15.1812</v>
      </c>
      <c r="G22" s="66">
        <v>0</v>
      </c>
      <c r="H22" s="66">
        <v>54.349899999999998</v>
      </c>
    </row>
    <row r="23" spans="1:8">
      <c r="A23" s="66" t="s">
        <v>375</v>
      </c>
      <c r="B23" s="66">
        <v>16.857600000000001</v>
      </c>
      <c r="C23" s="66">
        <v>3.6293099999999998</v>
      </c>
      <c r="D23" s="66">
        <v>0.21529200000000001</v>
      </c>
      <c r="E23" s="66">
        <v>0</v>
      </c>
      <c r="F23" s="66">
        <v>11.755000000000001</v>
      </c>
      <c r="G23" s="66">
        <v>0</v>
      </c>
      <c r="H23" s="66">
        <v>21.396100000000001</v>
      </c>
    </row>
    <row r="24" spans="1:8">
      <c r="A24" s="66" t="s">
        <v>376</v>
      </c>
      <c r="B24" s="66">
        <v>2.4082300000000001E-4</v>
      </c>
      <c r="C24" s="66">
        <v>3.8760800000000001E-3</v>
      </c>
      <c r="D24" s="66">
        <v>16.095099999999999</v>
      </c>
      <c r="E24" s="66">
        <v>0</v>
      </c>
      <c r="F24" s="196">
        <v>9.7477899999999997E-5</v>
      </c>
      <c r="G24" s="66">
        <v>0</v>
      </c>
      <c r="H24" s="66">
        <v>2.7818599999999999E-2</v>
      </c>
    </row>
    <row r="25" spans="1:8">
      <c r="A25" s="66" t="s">
        <v>377</v>
      </c>
      <c r="B25" s="66">
        <v>2.5959599999999999E-2</v>
      </c>
      <c r="C25" s="66">
        <v>1.52385E-2</v>
      </c>
      <c r="D25" s="66">
        <v>0.58700699999999995</v>
      </c>
      <c r="E25" s="66">
        <v>0</v>
      </c>
      <c r="F25" s="66">
        <v>6.4772600000000003E-3</v>
      </c>
      <c r="G25" s="66">
        <v>0</v>
      </c>
      <c r="H25" s="66">
        <v>7.6826099999999994E-2</v>
      </c>
    </row>
    <row r="26" spans="1:8">
      <c r="A26" s="66" t="s">
        <v>378</v>
      </c>
      <c r="B26" s="196">
        <v>7.2216400000000002E-5</v>
      </c>
      <c r="C26" s="66">
        <v>8.1882000000000005E-4</v>
      </c>
      <c r="D26" s="66">
        <v>11.3384</v>
      </c>
      <c r="E26" s="66">
        <v>0</v>
      </c>
      <c r="F26" s="66">
        <v>0</v>
      </c>
      <c r="G26" s="66">
        <v>0</v>
      </c>
      <c r="H26" s="66">
        <v>1.13019E-2</v>
      </c>
    </row>
    <row r="27" spans="1:8">
      <c r="A27" s="66" t="s">
        <v>379</v>
      </c>
      <c r="B27" s="196">
        <v>-6.5651299999999996E-6</v>
      </c>
      <c r="C27" s="66">
        <v>5.3967399999999997E-4</v>
      </c>
      <c r="D27" s="66">
        <v>-82.203100000000006</v>
      </c>
      <c r="E27" s="66">
        <v>0</v>
      </c>
      <c r="F27" s="66">
        <v>-5.2455399999999999E-3</v>
      </c>
      <c r="G27" s="66">
        <v>0</v>
      </c>
      <c r="H27" s="66">
        <v>6.6406299999999998E-3</v>
      </c>
    </row>
    <row r="28" spans="1:8">
      <c r="A28" s="66" t="s">
        <v>380</v>
      </c>
      <c r="B28" s="66">
        <v>3.9095099999999997E-3</v>
      </c>
      <c r="C28" s="66">
        <v>3.80233E-3</v>
      </c>
      <c r="D28" s="66">
        <v>0.97258500000000003</v>
      </c>
      <c r="E28" s="66">
        <v>0</v>
      </c>
      <c r="F28" s="196">
        <v>1.6276000000000001E-5</v>
      </c>
      <c r="G28" s="66">
        <v>0</v>
      </c>
      <c r="H28" s="66">
        <v>2.32324E-2</v>
      </c>
    </row>
    <row r="29" spans="1:8">
      <c r="A29" s="66" t="s">
        <v>381</v>
      </c>
      <c r="B29" s="66">
        <v>71.571700000000007</v>
      </c>
      <c r="C29" s="66">
        <v>8.5760699999999996</v>
      </c>
      <c r="D29" s="66">
        <v>0.119825</v>
      </c>
      <c r="E29" s="66">
        <v>0</v>
      </c>
      <c r="F29" s="66">
        <v>48.8872</v>
      </c>
      <c r="G29" s="66">
        <v>0</v>
      </c>
      <c r="H29" s="66">
        <v>94.777500000000003</v>
      </c>
    </row>
    <row r="30" spans="1:8">
      <c r="A30" s="66" t="s">
        <v>382</v>
      </c>
      <c r="B30" s="66">
        <v>29.144200000000001</v>
      </c>
      <c r="C30" s="66">
        <v>3.0572300000000001</v>
      </c>
      <c r="D30" s="66">
        <v>0.10489999999999999</v>
      </c>
      <c r="E30" s="66">
        <v>0</v>
      </c>
      <c r="F30" s="66">
        <v>23.9695</v>
      </c>
      <c r="G30" s="66">
        <v>0</v>
      </c>
      <c r="H30" s="66">
        <v>33.667200000000001</v>
      </c>
    </row>
    <row r="31" spans="1:8">
      <c r="A31" s="66" t="s">
        <v>383</v>
      </c>
      <c r="B31" s="66">
        <v>98.934399999999997</v>
      </c>
      <c r="C31" s="66">
        <v>49.776200000000003</v>
      </c>
      <c r="D31" s="66">
        <v>0.50312299999999999</v>
      </c>
      <c r="E31" s="66">
        <v>0</v>
      </c>
      <c r="F31" s="66">
        <v>40.417900000000003</v>
      </c>
      <c r="G31" s="66">
        <v>0</v>
      </c>
      <c r="H31" s="66">
        <v>172.816</v>
      </c>
    </row>
    <row r="32" spans="1:8">
      <c r="A32" s="66" t="s">
        <v>384</v>
      </c>
      <c r="B32" s="66">
        <v>0.30523499999999998</v>
      </c>
      <c r="C32" s="66">
        <v>0.11479200000000001</v>
      </c>
      <c r="D32" s="66">
        <v>0.376079</v>
      </c>
      <c r="E32" s="66">
        <v>0.15</v>
      </c>
      <c r="F32" s="66">
        <v>0.13806599999999999</v>
      </c>
      <c r="G32" s="66">
        <v>0.4</v>
      </c>
      <c r="H32" s="66">
        <v>0.57730899999999996</v>
      </c>
    </row>
    <row r="33" spans="1:8">
      <c r="A33" s="66" t="s">
        <v>385</v>
      </c>
      <c r="B33" s="66">
        <v>0.437164</v>
      </c>
      <c r="C33" s="66">
        <v>1.8542199999999998E-2</v>
      </c>
      <c r="D33" s="66">
        <v>4.2414800000000003E-2</v>
      </c>
      <c r="E33" s="66">
        <v>0</v>
      </c>
      <c r="F33" s="66">
        <v>0.40707500000000002</v>
      </c>
      <c r="G33" s="66">
        <v>0</v>
      </c>
      <c r="H33" s="66">
        <v>0.50448800000000005</v>
      </c>
    </row>
    <row r="34" spans="1:8">
      <c r="A34" s="66" t="s">
        <v>386</v>
      </c>
      <c r="B34" s="66">
        <v>0.13788900000000001</v>
      </c>
      <c r="C34" s="66">
        <v>2.0753299999999999E-2</v>
      </c>
      <c r="D34" s="66">
        <v>0.150507</v>
      </c>
      <c r="E34" s="66">
        <v>0.1</v>
      </c>
      <c r="F34" s="66">
        <v>0.10406799999999999</v>
      </c>
      <c r="G34" s="66">
        <v>0.25</v>
      </c>
      <c r="H34" s="66">
        <v>0.20122799999999999</v>
      </c>
    </row>
    <row r="35" spans="1:8">
      <c r="A35" s="66" t="s">
        <v>387</v>
      </c>
      <c r="B35" s="66">
        <v>5.1717699999999998E-2</v>
      </c>
      <c r="C35" s="66">
        <v>2.0637599999999999E-2</v>
      </c>
      <c r="D35" s="66">
        <v>0.39904400000000001</v>
      </c>
      <c r="E35" s="66">
        <v>0</v>
      </c>
      <c r="F35" s="66">
        <v>8.7186199999999998E-3</v>
      </c>
      <c r="G35" s="66">
        <v>0</v>
      </c>
      <c r="H35" s="66">
        <v>9.5045099999999993E-2</v>
      </c>
    </row>
    <row r="36" spans="1:8">
      <c r="A36" s="66" t="s">
        <v>388</v>
      </c>
      <c r="B36" s="66">
        <v>0.111037</v>
      </c>
      <c r="C36" s="66">
        <v>5.7748300000000002E-2</v>
      </c>
      <c r="D36" s="66">
        <v>0.52008100000000002</v>
      </c>
      <c r="E36" s="66">
        <v>0</v>
      </c>
      <c r="F36" s="66">
        <v>3.6901700000000003E-2</v>
      </c>
      <c r="G36" s="66">
        <v>0</v>
      </c>
      <c r="H36" s="66">
        <v>0.37628600000000001</v>
      </c>
    </row>
    <row r="37" spans="1:8">
      <c r="A37" s="66" t="s">
        <v>389</v>
      </c>
      <c r="B37" s="66">
        <v>0.207533</v>
      </c>
      <c r="C37" s="66">
        <v>0.10215399999999999</v>
      </c>
      <c r="D37" s="66">
        <v>0.49223</v>
      </c>
      <c r="E37" s="66">
        <v>0.1</v>
      </c>
      <c r="F37" s="66">
        <v>1.1414499999999999E-2</v>
      </c>
      <c r="G37" s="66">
        <v>0.5</v>
      </c>
      <c r="H37" s="66">
        <v>0.29591099999999998</v>
      </c>
    </row>
    <row r="38" spans="1:8">
      <c r="A38" s="66" t="s">
        <v>390</v>
      </c>
      <c r="B38" s="66">
        <v>-29.195799999999998</v>
      </c>
      <c r="C38" s="66">
        <v>28.114999999999998</v>
      </c>
      <c r="D38" s="66">
        <v>-0.962982</v>
      </c>
      <c r="E38" s="66">
        <v>0</v>
      </c>
      <c r="F38" s="66">
        <v>-74.488200000000006</v>
      </c>
      <c r="G38" s="66">
        <v>0</v>
      </c>
      <c r="H38" s="66">
        <v>69.958799999999997</v>
      </c>
    </row>
    <row r="39" spans="1:8">
      <c r="A39" s="66" t="s">
        <v>391</v>
      </c>
      <c r="B39" s="66">
        <v>-7.2998099999999999</v>
      </c>
      <c r="C39" s="66">
        <v>2.1365699999999999</v>
      </c>
      <c r="D39" s="66">
        <v>-0.292688</v>
      </c>
      <c r="E39" s="66">
        <v>0</v>
      </c>
      <c r="F39" s="66">
        <v>-12.559699999999999</v>
      </c>
      <c r="G39" s="66">
        <v>0</v>
      </c>
      <c r="H39" s="66">
        <v>-1.77277</v>
      </c>
    </row>
    <row r="40" spans="1:8">
      <c r="A40" s="66" t="s">
        <v>392</v>
      </c>
      <c r="B40" s="66">
        <v>-3.4956999999999998</v>
      </c>
      <c r="C40" s="66">
        <v>0.26872400000000002</v>
      </c>
      <c r="D40" s="66">
        <v>-7.6872899999999994E-2</v>
      </c>
      <c r="E40" s="66">
        <v>0</v>
      </c>
      <c r="F40" s="66">
        <v>-3.9192100000000001</v>
      </c>
      <c r="G40" s="66">
        <v>0</v>
      </c>
      <c r="H40" s="66">
        <v>-2.8864800000000002</v>
      </c>
    </row>
    <row r="41" spans="1:8">
      <c r="A41" s="66" t="s">
        <v>393</v>
      </c>
      <c r="B41" s="66">
        <v>-0.24679499999999999</v>
      </c>
      <c r="C41" s="66">
        <v>0.35900100000000001</v>
      </c>
      <c r="D41" s="66">
        <v>-1.45465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-0.22790299999999999</v>
      </c>
      <c r="C42" s="66">
        <v>6.5106499999999998E-2</v>
      </c>
      <c r="D42" s="66">
        <v>-0.28567599999999999</v>
      </c>
      <c r="E42" s="66">
        <v>0</v>
      </c>
      <c r="F42" s="66">
        <v>-0.36532399999999998</v>
      </c>
      <c r="G42" s="66">
        <v>0</v>
      </c>
      <c r="H42" s="66">
        <v>-9.2358800000000005E-2</v>
      </c>
    </row>
    <row r="43" spans="1:8">
      <c r="A43" s="66" t="s">
        <v>395</v>
      </c>
      <c r="B43" s="66">
        <v>-0.21083399999999999</v>
      </c>
      <c r="C43" s="66">
        <v>1.6362700000000001E-2</v>
      </c>
      <c r="D43" s="66">
        <v>-7.76091E-2</v>
      </c>
      <c r="E43" s="66">
        <v>0</v>
      </c>
      <c r="F43" s="66">
        <v>-0.24679100000000001</v>
      </c>
      <c r="G43" s="66">
        <v>0</v>
      </c>
      <c r="H43" s="66">
        <v>-0.18324499999999999</v>
      </c>
    </row>
    <row r="44" spans="1:8">
      <c r="A44" s="66" t="s">
        <v>396</v>
      </c>
      <c r="B44" s="66">
        <v>-1.6357699999999999</v>
      </c>
      <c r="C44" s="66">
        <v>6.4882200000000001</v>
      </c>
      <c r="D44" s="66">
        <v>-3.9664600000000001</v>
      </c>
      <c r="E44" s="66">
        <v>0</v>
      </c>
      <c r="F44" s="66">
        <v>-12.1586</v>
      </c>
      <c r="G44" s="66">
        <v>0</v>
      </c>
      <c r="H44" s="66">
        <v>14.11</v>
      </c>
    </row>
    <row r="45" spans="1:8">
      <c r="A45" s="66" t="s">
        <v>397</v>
      </c>
      <c r="B45" s="66">
        <v>52.9208</v>
      </c>
      <c r="C45" s="66">
        <v>9.0176800000000004</v>
      </c>
      <c r="D45" s="66">
        <v>0.1704</v>
      </c>
      <c r="E45" s="66">
        <v>0</v>
      </c>
      <c r="F45" s="66">
        <v>39.5304</v>
      </c>
      <c r="G45" s="66">
        <v>0</v>
      </c>
      <c r="H45" s="66">
        <v>77.574200000000005</v>
      </c>
    </row>
    <row r="46" spans="1:8">
      <c r="A46" s="66" t="s">
        <v>398</v>
      </c>
      <c r="B46" s="66">
        <v>32.481099999999998</v>
      </c>
      <c r="C46" s="66">
        <v>1.65415</v>
      </c>
      <c r="D46" s="66">
        <v>5.0926699999999998E-2</v>
      </c>
      <c r="E46" s="66">
        <v>0</v>
      </c>
      <c r="F46" s="66">
        <v>28.595600000000001</v>
      </c>
      <c r="G46" s="66">
        <v>0</v>
      </c>
      <c r="H46" s="66">
        <v>35.452100000000002</v>
      </c>
    </row>
    <row r="47" spans="1:8">
      <c r="A47" s="66" t="s">
        <v>399</v>
      </c>
      <c r="B47" s="66">
        <v>0.73802299999999998</v>
      </c>
      <c r="C47" s="66">
        <v>0.223553</v>
      </c>
      <c r="D47" s="66">
        <v>0.30290800000000001</v>
      </c>
      <c r="E47" s="66">
        <v>0</v>
      </c>
      <c r="F47" s="66">
        <v>0.37398100000000001</v>
      </c>
      <c r="G47" s="66">
        <v>0</v>
      </c>
      <c r="H47" s="66">
        <v>1.4216599999999999</v>
      </c>
    </row>
    <row r="48" spans="1:8">
      <c r="A48" s="66" t="s">
        <v>400</v>
      </c>
      <c r="B48" s="66">
        <v>1.1049800000000001</v>
      </c>
      <c r="C48" s="66">
        <v>0.23625099999999999</v>
      </c>
      <c r="D48" s="66">
        <v>0.213806</v>
      </c>
      <c r="E48" s="66">
        <v>0</v>
      </c>
      <c r="F48" s="66">
        <v>0.81718299999999999</v>
      </c>
      <c r="G48" s="66">
        <v>0</v>
      </c>
      <c r="H48" s="66">
        <v>1.5263800000000001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80.684397606897988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1.5578132157716769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0.55326394928352218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4251</v>
      </c>
      <c r="B8" s="66">
        <v>4251</v>
      </c>
      <c r="D8">
        <f t="shared" si="0"/>
        <v>1.7013255210834695E-2</v>
      </c>
      <c r="E8">
        <f t="shared" si="0"/>
        <v>1.7013255210834695E-2</v>
      </c>
      <c r="G8">
        <f t="shared" ca="1" si="1"/>
        <v>6</v>
      </c>
      <c r="H8">
        <f t="shared" ca="1" si="2"/>
        <v>0.10207953126500817</v>
      </c>
      <c r="I8">
        <f t="shared" ca="1" si="3"/>
        <v>94.895841555178563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11488</v>
      </c>
      <c r="B10" s="66">
        <v>11488</v>
      </c>
      <c r="D10">
        <f t="shared" si="0"/>
        <v>4.5977011494252873E-2</v>
      </c>
      <c r="E10">
        <f t="shared" si="0"/>
        <v>4.5977011494252873E-2</v>
      </c>
      <c r="G10">
        <f t="shared" ca="1" si="1"/>
        <v>8</v>
      </c>
      <c r="H10">
        <f t="shared" ca="1" si="2"/>
        <v>0.36781609195402298</v>
      </c>
      <c r="I10">
        <f t="shared" ca="1" si="3"/>
        <v>242.89754737828221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18134</v>
      </c>
      <c r="B13" s="66">
        <v>18134</v>
      </c>
      <c r="D13">
        <f t="shared" si="0"/>
        <v>7.2575481061697561E-2</v>
      </c>
      <c r="E13">
        <f t="shared" si="0"/>
        <v>7.2575481061697561E-2</v>
      </c>
      <c r="G13">
        <f t="shared" ca="1" si="1"/>
        <v>11</v>
      </c>
      <c r="H13">
        <f t="shared" ca="1" si="2"/>
        <v>0.7983302916786732</v>
      </c>
      <c r="I13">
        <f t="shared" ca="1" si="3"/>
        <v>352.42038670320881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28336</v>
      </c>
      <c r="B15" s="66">
        <v>28336</v>
      </c>
      <c r="D15">
        <f t="shared" si="0"/>
        <v>0.11340569269682707</v>
      </c>
      <c r="E15">
        <f t="shared" si="0"/>
        <v>0.11340569269682707</v>
      </c>
      <c r="G15">
        <f t="shared" ca="1" si="1"/>
        <v>13</v>
      </c>
      <c r="H15">
        <f t="shared" ca="1" si="2"/>
        <v>1.4742740050587519</v>
      </c>
      <c r="I15">
        <f t="shared" ca="1" si="3"/>
        <v>519.53162810058166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34997</v>
      </c>
      <c r="B18" s="66">
        <v>34997</v>
      </c>
      <c r="D18">
        <f t="shared" si="0"/>
        <v>0.14006419492203759</v>
      </c>
      <c r="E18">
        <f t="shared" si="0"/>
        <v>0.14006419492203759</v>
      </c>
      <c r="G18">
        <f t="shared" ca="1" si="1"/>
        <v>16</v>
      </c>
      <c r="H18">
        <f t="shared" ca="1" si="2"/>
        <v>2.2410271187526014</v>
      </c>
      <c r="I18">
        <f t="shared" ca="1" si="3"/>
        <v>586.03857725792102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33237</v>
      </c>
      <c r="B21" s="66">
        <v>33237</v>
      </c>
      <c r="D21">
        <f t="shared" si="0"/>
        <v>0.13302036307751416</v>
      </c>
      <c r="E21">
        <f t="shared" si="0"/>
        <v>0.13302036307751416</v>
      </c>
      <c r="G21">
        <f t="shared" ca="1" si="1"/>
        <v>19</v>
      </c>
      <c r="H21">
        <f t="shared" ca="1" si="2"/>
        <v>2.527386898472769</v>
      </c>
      <c r="I21">
        <f t="shared" ca="1" si="3"/>
        <v>506.13781357610515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44216</v>
      </c>
      <c r="B23" s="66">
        <v>44216</v>
      </c>
      <c r="D23">
        <f t="shared" si="0"/>
        <v>0.17696026638491338</v>
      </c>
      <c r="E23">
        <f t="shared" si="0"/>
        <v>0.17696026638491338</v>
      </c>
      <c r="G23">
        <f t="shared" ca="1" si="1"/>
        <v>21</v>
      </c>
      <c r="H23">
        <f t="shared" ca="1" si="2"/>
        <v>3.716165594083181</v>
      </c>
      <c r="I23">
        <f t="shared" ca="1" si="3"/>
        <v>630.37269506350492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43142</v>
      </c>
      <c r="B26" s="66">
        <v>43142</v>
      </c>
      <c r="D26">
        <f t="shared" si="0"/>
        <v>0.17266192808888034</v>
      </c>
      <c r="E26">
        <f t="shared" si="0"/>
        <v>0.17266192808888034</v>
      </c>
      <c r="G26">
        <f t="shared" ca="1" si="1"/>
        <v>24</v>
      </c>
      <c r="H26">
        <f t="shared" ca="1" si="2"/>
        <v>4.1438862741331279</v>
      </c>
      <c r="I26">
        <f t="shared" ca="1" si="3"/>
        <v>554.78365531168504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48580</v>
      </c>
      <c r="B28" s="66">
        <v>48580</v>
      </c>
      <c r="D28">
        <f t="shared" si="0"/>
        <v>0.19442576761758396</v>
      </c>
      <c r="E28">
        <f t="shared" si="0"/>
        <v>0.19442576761758396</v>
      </c>
      <c r="G28">
        <f t="shared" ca="1" si="1"/>
        <v>26</v>
      </c>
      <c r="H28">
        <f t="shared" ca="1" si="2"/>
        <v>5.0550699580571825</v>
      </c>
      <c r="I28">
        <f t="shared" ca="1" si="3"/>
        <v>581.40757666711454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68677</v>
      </c>
      <c r="B31" s="66">
        <v>68677</v>
      </c>
      <c r="D31">
        <f t="shared" si="0"/>
        <v>0.27485752249223577</v>
      </c>
      <c r="E31">
        <f t="shared" si="0"/>
        <v>0.27485752249223577</v>
      </c>
      <c r="G31">
        <f t="shared" ca="1" si="1"/>
        <v>29</v>
      </c>
      <c r="H31">
        <f t="shared" ca="1" si="2"/>
        <v>7.9708681522748375</v>
      </c>
      <c r="I31">
        <f t="shared" ca="1" si="3"/>
        <v>734.2205660134415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75483</v>
      </c>
      <c r="B33" s="66">
        <v>75483</v>
      </c>
      <c r="D33">
        <f t="shared" si="0"/>
        <v>0.3020963404091826</v>
      </c>
      <c r="E33">
        <f t="shared" si="0"/>
        <v>0.3020963404091826</v>
      </c>
      <c r="G33">
        <f t="shared" ca="1" si="1"/>
        <v>31</v>
      </c>
      <c r="H33">
        <f t="shared" ca="1" si="2"/>
        <v>9.3649865526846607</v>
      </c>
      <c r="I33">
        <f t="shared" ca="1" si="3"/>
        <v>745.73670849178131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87252</v>
      </c>
      <c r="B36" s="66">
        <v>87252</v>
      </c>
      <c r="D36">
        <f t="shared" si="0"/>
        <v>0.34919796369224859</v>
      </c>
      <c r="E36">
        <f t="shared" si="0"/>
        <v>0.34919796369224859</v>
      </c>
      <c r="G36">
        <f t="shared" ca="1" si="1"/>
        <v>34</v>
      </c>
      <c r="H36">
        <f t="shared" ca="1" si="2"/>
        <v>11.872730765536453</v>
      </c>
      <c r="I36">
        <f t="shared" ca="1" si="3"/>
        <v>761.05355859142412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94317</v>
      </c>
      <c r="B39" s="66">
        <v>94317</v>
      </c>
      <c r="D39">
        <f t="shared" si="0"/>
        <v>0.37747334549995198</v>
      </c>
      <c r="E39">
        <f t="shared" si="0"/>
        <v>0.37747334549995198</v>
      </c>
      <c r="G39">
        <f t="shared" ca="1" si="1"/>
        <v>37</v>
      </c>
      <c r="H39">
        <f t="shared" ca="1" si="2"/>
        <v>13.966513783498224</v>
      </c>
      <c r="I39">
        <f t="shared" ca="1" si="3"/>
        <v>720.34242384847812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83593</v>
      </c>
      <c r="B41" s="66">
        <v>83593</v>
      </c>
      <c r="D41">
        <f t="shared" si="0"/>
        <v>0.33455399737457175</v>
      </c>
      <c r="E41">
        <f t="shared" si="0"/>
        <v>0.33455399737457175</v>
      </c>
      <c r="G41">
        <f t="shared" ca="1" si="1"/>
        <v>39</v>
      </c>
      <c r="H41">
        <f t="shared" ca="1" si="2"/>
        <v>13.047605897608298</v>
      </c>
      <c r="I41">
        <f t="shared" ca="1" si="3"/>
        <v>581.3173470321052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97367</v>
      </c>
      <c r="B44" s="66">
        <v>97367</v>
      </c>
      <c r="D44">
        <f t="shared" si="0"/>
        <v>0.38967998591233632</v>
      </c>
      <c r="E44">
        <f t="shared" si="0"/>
        <v>0.38967998591233632</v>
      </c>
      <c r="G44">
        <f t="shared" ca="1" si="1"/>
        <v>42</v>
      </c>
      <c r="H44">
        <f t="shared" ca="1" si="2"/>
        <v>16.366559408318125</v>
      </c>
      <c r="I44">
        <f t="shared" ca="1" si="3"/>
        <v>583.14932558157363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108383</v>
      </c>
      <c r="B46" s="66">
        <v>108383</v>
      </c>
      <c r="D46">
        <f t="shared" si="0"/>
        <v>0.43376796977555793</v>
      </c>
      <c r="E46">
        <f t="shared" si="0"/>
        <v>0.43376796977555793</v>
      </c>
      <c r="G46">
        <f t="shared" ca="1" si="1"/>
        <v>44</v>
      </c>
      <c r="H46">
        <f t="shared" ca="1" si="2"/>
        <v>19.085790670124549</v>
      </c>
      <c r="I46">
        <f t="shared" ca="1" si="3"/>
        <v>583.74108853610869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106153</v>
      </c>
      <c r="B49" s="66">
        <v>106153</v>
      </c>
      <c r="D49">
        <f t="shared" si="0"/>
        <v>0.42484311465437197</v>
      </c>
      <c r="E49">
        <f t="shared" si="0"/>
        <v>0.42484311465437197</v>
      </c>
      <c r="G49">
        <f t="shared" ca="1" si="1"/>
        <v>47</v>
      </c>
      <c r="H49">
        <f t="shared" ca="1" si="2"/>
        <v>19.967626388755484</v>
      </c>
      <c r="I49">
        <f t="shared" ca="1" si="3"/>
        <v>482.04341473379282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108698</v>
      </c>
      <c r="B51" s="66">
        <v>108698</v>
      </c>
      <c r="D51">
        <f t="shared" si="0"/>
        <v>0.43502865558864023</v>
      </c>
      <c r="E51">
        <f t="shared" si="0"/>
        <v>0.43502865558864023</v>
      </c>
      <c r="G51">
        <f t="shared" ca="1" si="1"/>
        <v>49</v>
      </c>
      <c r="H51">
        <f t="shared" ca="1" si="2"/>
        <v>21.31640412384337</v>
      </c>
      <c r="I51">
        <f t="shared" ca="1" si="3"/>
        <v>436.72572487029464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110773</v>
      </c>
      <c r="B54" s="66">
        <v>110773</v>
      </c>
      <c r="D54">
        <f t="shared" si="0"/>
        <v>0.44333317324624594</v>
      </c>
      <c r="E54">
        <f t="shared" si="0"/>
        <v>0.44333317324624594</v>
      </c>
      <c r="G54">
        <f t="shared" ca="1" si="1"/>
        <v>52</v>
      </c>
      <c r="H54">
        <f t="shared" ca="1" si="2"/>
        <v>23.053325008804787</v>
      </c>
      <c r="I54">
        <f t="shared" ca="1" si="3"/>
        <v>364.77217023917103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112271</v>
      </c>
      <c r="B57" s="66">
        <v>112271</v>
      </c>
      <c r="D57">
        <f t="shared" si="0"/>
        <v>0.44932843466845962</v>
      </c>
      <c r="E57">
        <f t="shared" si="0"/>
        <v>0.44932843466845962</v>
      </c>
      <c r="G57">
        <f t="shared" ca="1" si="1"/>
        <v>55</v>
      </c>
      <c r="H57">
        <f t="shared" ca="1" si="2"/>
        <v>24.713063906765278</v>
      </c>
      <c r="I57">
        <f t="shared" ca="1" si="3"/>
        <v>296.41670241439243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116101</v>
      </c>
      <c r="B59" s="66">
        <v>116101</v>
      </c>
      <c r="D59">
        <f t="shared" si="0"/>
        <v>0.46465677328466687</v>
      </c>
      <c r="E59">
        <f t="shared" si="0"/>
        <v>0.46465677328466687</v>
      </c>
      <c r="G59">
        <f t="shared" ca="1" si="1"/>
        <v>57</v>
      </c>
      <c r="H59">
        <f t="shared" ca="1" si="2"/>
        <v>26.485436077226012</v>
      </c>
      <c r="I59">
        <f t="shared" ca="1" si="3"/>
        <v>260.64953758796725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119566</v>
      </c>
      <c r="B62" s="66">
        <v>119566</v>
      </c>
      <c r="D62">
        <f t="shared" si="0"/>
        <v>0.47852431722857236</v>
      </c>
      <c r="E62">
        <f t="shared" si="0"/>
        <v>0.47852431722857236</v>
      </c>
      <c r="G62">
        <f t="shared" ca="1" si="1"/>
        <v>60</v>
      </c>
      <c r="H62">
        <f t="shared" ca="1" si="2"/>
        <v>28.711459033714341</v>
      </c>
      <c r="I62">
        <f t="shared" ca="1" si="3"/>
        <v>204.73390362412081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124668</v>
      </c>
      <c r="B64" s="66">
        <v>124668</v>
      </c>
      <c r="D64">
        <f t="shared" si="0"/>
        <v>0.49894342522332147</v>
      </c>
      <c r="E64">
        <f t="shared" si="0"/>
        <v>0.49894342522332147</v>
      </c>
      <c r="G64">
        <f t="shared" ca="1" si="1"/>
        <v>62</v>
      </c>
      <c r="H64">
        <f t="shared" ca="1" si="2"/>
        <v>30.93449236384593</v>
      </c>
      <c r="I64">
        <f t="shared" ca="1" si="3"/>
        <v>174.18449961801727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123665</v>
      </c>
      <c r="B67" s="66">
        <v>123665</v>
      </c>
      <c r="D67">
        <f t="shared" ref="D67:E130" si="4">IFERROR( A67/MAX(A$2:A$257), 0 )</f>
        <v>0.49492924150737999</v>
      </c>
      <c r="E67">
        <f t="shared" si="4"/>
        <v>0.49492924150737999</v>
      </c>
      <c r="G67">
        <f t="shared" ref="G67:G130" ca="1" si="5">CELL("row",D67)-2</f>
        <v>65</v>
      </c>
      <c r="H67">
        <f t="shared" ref="H67:H130" ca="1" si="6">D67*G67</f>
        <v>32.170400697979701</v>
      </c>
      <c r="I67">
        <f t="shared" ref="I67:I130" ca="1" si="7">D67*((G67-$L$1)^2)</f>
        <v>121.75275589176343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132175</v>
      </c>
      <c r="B69" s="66">
        <v>132175</v>
      </c>
      <c r="D69">
        <f t="shared" si="4"/>
        <v>0.52898776934652447</v>
      </c>
      <c r="E69">
        <f t="shared" si="4"/>
        <v>0.52898776934652447</v>
      </c>
      <c r="G69">
        <f t="shared" ca="1" si="5"/>
        <v>67</v>
      </c>
      <c r="H69">
        <f t="shared" ca="1" si="6"/>
        <v>35.442180546217138</v>
      </c>
      <c r="I69">
        <f t="shared" ca="1" si="7"/>
        <v>99.059697984228592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138473</v>
      </c>
      <c r="B72" s="66">
        <v>138473</v>
      </c>
      <c r="D72">
        <f t="shared" si="4"/>
        <v>0.55419348125380208</v>
      </c>
      <c r="E72">
        <f t="shared" si="4"/>
        <v>0.55419348125380208</v>
      </c>
      <c r="G72">
        <f t="shared" ca="1" si="5"/>
        <v>70</v>
      </c>
      <c r="H72">
        <f t="shared" ca="1" si="6"/>
        <v>38.793543687766146</v>
      </c>
      <c r="I72">
        <f t="shared" ca="1" si="7"/>
        <v>63.264706245304694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142174</v>
      </c>
      <c r="B75" s="66">
        <v>142174</v>
      </c>
      <c r="D75">
        <f t="shared" si="4"/>
        <v>0.56900553901322315</v>
      </c>
      <c r="E75">
        <f t="shared" si="4"/>
        <v>0.56900553901322315</v>
      </c>
      <c r="G75">
        <f t="shared" ca="1" si="5"/>
        <v>73</v>
      </c>
      <c r="H75">
        <f t="shared" ca="1" si="6"/>
        <v>41.537404347965293</v>
      </c>
      <c r="I75">
        <f t="shared" ca="1" si="7"/>
        <v>33.599758063077552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150246</v>
      </c>
      <c r="B77" s="66">
        <v>150246</v>
      </c>
      <c r="D77">
        <f t="shared" si="4"/>
        <v>0.6013111132456056</v>
      </c>
      <c r="E77">
        <f t="shared" si="4"/>
        <v>0.6013111132456056</v>
      </c>
      <c r="G77">
        <f t="shared" ca="1" si="5"/>
        <v>75</v>
      </c>
      <c r="H77">
        <f t="shared" ca="1" si="6"/>
        <v>45.098333493420419</v>
      </c>
      <c r="I77">
        <f t="shared" ca="1" si="7"/>
        <v>19.429790876356137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152818</v>
      </c>
      <c r="B80" s="66">
        <v>152818</v>
      </c>
      <c r="D80">
        <f t="shared" si="4"/>
        <v>0.61160471296385233</v>
      </c>
      <c r="E80">
        <f t="shared" si="4"/>
        <v>0.61160471296385233</v>
      </c>
      <c r="G80">
        <f t="shared" ca="1" si="5"/>
        <v>78</v>
      </c>
      <c r="H80">
        <f t="shared" ca="1" si="6"/>
        <v>47.705167611180478</v>
      </c>
      <c r="I80">
        <f t="shared" ca="1" si="7"/>
        <v>4.4072177586628589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158189</v>
      </c>
      <c r="B82" s="66">
        <v>158189</v>
      </c>
      <c r="D82">
        <f t="shared" si="4"/>
        <v>0.63310040662120193</v>
      </c>
      <c r="E82">
        <f t="shared" si="4"/>
        <v>0.63310040662120193</v>
      </c>
      <c r="G82">
        <f t="shared" ca="1" si="5"/>
        <v>80</v>
      </c>
      <c r="H82">
        <f t="shared" ca="1" si="6"/>
        <v>50.648032529696152</v>
      </c>
      <c r="I82">
        <f t="shared" ca="1" si="7"/>
        <v>0.29654428384926806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164223</v>
      </c>
      <c r="B85" s="66">
        <v>164223</v>
      </c>
      <c r="D85">
        <f t="shared" si="4"/>
        <v>0.657249543751801</v>
      </c>
      <c r="E85">
        <f t="shared" si="4"/>
        <v>0.657249543751801</v>
      </c>
      <c r="G85">
        <f t="shared" ca="1" si="5"/>
        <v>83</v>
      </c>
      <c r="H85">
        <f t="shared" ca="1" si="6"/>
        <v>54.551712131399483</v>
      </c>
      <c r="I85">
        <f t="shared" ca="1" si="7"/>
        <v>3.5241815462127262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161483</v>
      </c>
      <c r="B88" s="66">
        <v>161483</v>
      </c>
      <c r="D88">
        <f t="shared" si="4"/>
        <v>0.64628357826657701</v>
      </c>
      <c r="E88">
        <f t="shared" si="4"/>
        <v>0.64628357826657701</v>
      </c>
      <c r="G88">
        <f t="shared" ca="1" si="5"/>
        <v>86</v>
      </c>
      <c r="H88">
        <f t="shared" ca="1" si="6"/>
        <v>55.580387730925622</v>
      </c>
      <c r="I88">
        <f t="shared" ca="1" si="7"/>
        <v>18.26114888803907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183782</v>
      </c>
      <c r="B90" s="66">
        <v>183782</v>
      </c>
      <c r="D90">
        <f t="shared" si="4"/>
        <v>0.73552812730125183</v>
      </c>
      <c r="E90">
        <f t="shared" si="4"/>
        <v>0.73552812730125183</v>
      </c>
      <c r="G90">
        <f t="shared" ca="1" si="5"/>
        <v>88</v>
      </c>
      <c r="H90">
        <f t="shared" ca="1" si="6"/>
        <v>64.726475202510159</v>
      </c>
      <c r="I90">
        <f t="shared" ca="1" si="7"/>
        <v>39.364022542035237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186541</v>
      </c>
      <c r="B93" s="66">
        <v>186541</v>
      </c>
      <c r="D93">
        <f t="shared" si="4"/>
        <v>0.74657013415297924</v>
      </c>
      <c r="E93">
        <f t="shared" si="4"/>
        <v>0.74657013415297924</v>
      </c>
      <c r="G93">
        <f t="shared" ca="1" si="5"/>
        <v>91</v>
      </c>
      <c r="H93">
        <f t="shared" ca="1" si="6"/>
        <v>67.937882207921106</v>
      </c>
      <c r="I93">
        <f t="shared" ca="1" si="7"/>
        <v>79.443761855996485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195864</v>
      </c>
      <c r="B95" s="66">
        <v>195864</v>
      </c>
      <c r="D95">
        <f t="shared" si="4"/>
        <v>0.78388243204303143</v>
      </c>
      <c r="E95">
        <f t="shared" si="4"/>
        <v>0.78388243204303143</v>
      </c>
      <c r="G95">
        <f t="shared" ca="1" si="5"/>
        <v>93</v>
      </c>
      <c r="H95">
        <f t="shared" ca="1" si="6"/>
        <v>72.901066180001919</v>
      </c>
      <c r="I95">
        <f t="shared" ca="1" si="7"/>
        <v>118.89463283747399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214079</v>
      </c>
      <c r="B98" s="66">
        <v>214079</v>
      </c>
      <c r="D98">
        <f t="shared" si="4"/>
        <v>0.85678208945666445</v>
      </c>
      <c r="E98">
        <f t="shared" si="4"/>
        <v>0.85678208945666445</v>
      </c>
      <c r="G98">
        <f t="shared" ca="1" si="5"/>
        <v>96</v>
      </c>
      <c r="H98">
        <f t="shared" ca="1" si="6"/>
        <v>82.251080587839795</v>
      </c>
      <c r="I98">
        <f t="shared" ca="1" si="7"/>
        <v>200.97338413082767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210584</v>
      </c>
      <c r="B100" s="66">
        <v>210584</v>
      </c>
      <c r="D100">
        <f t="shared" si="4"/>
        <v>0.84279448019722725</v>
      </c>
      <c r="E100">
        <f t="shared" si="4"/>
        <v>0.84279448019722725</v>
      </c>
      <c r="G100">
        <f t="shared" ca="1" si="5"/>
        <v>98</v>
      </c>
      <c r="H100">
        <f t="shared" ca="1" si="6"/>
        <v>82.593859059328267</v>
      </c>
      <c r="I100">
        <f t="shared" ca="1" si="7"/>
        <v>252.69514167675953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234647</v>
      </c>
      <c r="B103" s="66">
        <v>234647</v>
      </c>
      <c r="D103">
        <f t="shared" si="4"/>
        <v>0.9390988697851631</v>
      </c>
      <c r="E103">
        <f t="shared" si="4"/>
        <v>0.9390988697851631</v>
      </c>
      <c r="G103">
        <f t="shared" ca="1" si="5"/>
        <v>101</v>
      </c>
      <c r="H103">
        <f t="shared" ca="1" si="6"/>
        <v>94.848985848301467</v>
      </c>
      <c r="I103">
        <f t="shared" ca="1" si="7"/>
        <v>387.58836076195036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249864</v>
      </c>
      <c r="B106" s="66">
        <v>249864</v>
      </c>
      <c r="D106">
        <f t="shared" si="4"/>
        <v>1</v>
      </c>
      <c r="E106">
        <f t="shared" si="4"/>
        <v>1</v>
      </c>
      <c r="G106">
        <f t="shared" ca="1" si="5"/>
        <v>104</v>
      </c>
      <c r="H106">
        <f t="shared" ca="1" si="6"/>
        <v>104</v>
      </c>
      <c r="I106">
        <f t="shared" ca="1" si="7"/>
        <v>543.6173149532242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247455</v>
      </c>
      <c r="B108" s="66">
        <v>247455</v>
      </c>
      <c r="D108">
        <f t="shared" si="4"/>
        <v>0.99035875516280858</v>
      </c>
      <c r="E108">
        <f t="shared" si="4"/>
        <v>0.99035875516280858</v>
      </c>
      <c r="G108">
        <f t="shared" ca="1" si="5"/>
        <v>106</v>
      </c>
      <c r="H108">
        <f t="shared" ca="1" si="6"/>
        <v>104.97802804725771</v>
      </c>
      <c r="I108">
        <f t="shared" ca="1" si="7"/>
        <v>634.70084619028887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238542</v>
      </c>
      <c r="B111" s="66">
        <v>238542</v>
      </c>
      <c r="D111">
        <f t="shared" si="4"/>
        <v>0.95468734991835558</v>
      </c>
      <c r="E111">
        <f t="shared" si="4"/>
        <v>0.95468734991835558</v>
      </c>
      <c r="G111">
        <f t="shared" ca="1" si="5"/>
        <v>109</v>
      </c>
      <c r="H111">
        <f t="shared" ca="1" si="6"/>
        <v>104.06092114110076</v>
      </c>
      <c r="I111">
        <f t="shared" ca="1" si="7"/>
        <v>765.44286413459088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226341</v>
      </c>
      <c r="B113" s="66">
        <v>226341</v>
      </c>
      <c r="D113">
        <f t="shared" si="4"/>
        <v>0.90585678609163389</v>
      </c>
      <c r="E113">
        <f t="shared" si="4"/>
        <v>0.90585678609163389</v>
      </c>
      <c r="G113">
        <f t="shared" ca="1" si="5"/>
        <v>111</v>
      </c>
      <c r="H113">
        <f t="shared" ca="1" si="6"/>
        <v>100.55010325617137</v>
      </c>
      <c r="I113">
        <f t="shared" ca="1" si="7"/>
        <v>832.51476940026248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200408</v>
      </c>
      <c r="B116" s="66">
        <v>200408</v>
      </c>
      <c r="D116">
        <f t="shared" si="4"/>
        <v>0.80206832516889193</v>
      </c>
      <c r="E116">
        <f t="shared" si="4"/>
        <v>0.80206832516889193</v>
      </c>
      <c r="G116">
        <f t="shared" ca="1" si="5"/>
        <v>114</v>
      </c>
      <c r="H116">
        <f t="shared" ca="1" si="6"/>
        <v>91.435789069253673</v>
      </c>
      <c r="I116">
        <f t="shared" ca="1" si="7"/>
        <v>890.23918508901465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174300</v>
      </c>
      <c r="B118" s="66">
        <v>174300</v>
      </c>
      <c r="D118">
        <f t="shared" si="4"/>
        <v>0.69757948323888197</v>
      </c>
      <c r="E118">
        <f t="shared" si="4"/>
        <v>0.69757948323888197</v>
      </c>
      <c r="G118">
        <f t="shared" ca="1" si="5"/>
        <v>116</v>
      </c>
      <c r="H118">
        <f t="shared" ca="1" si="6"/>
        <v>80.919220055710312</v>
      </c>
      <c r="I118">
        <f t="shared" ca="1" si="7"/>
        <v>870.01539208197789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128620</v>
      </c>
      <c r="B121" s="66">
        <v>128620</v>
      </c>
      <c r="D121">
        <f t="shared" si="4"/>
        <v>0.51476002945602406</v>
      </c>
      <c r="E121">
        <f t="shared" si="4"/>
        <v>0.51476002945602406</v>
      </c>
      <c r="G121">
        <f t="shared" ca="1" si="5"/>
        <v>119</v>
      </c>
      <c r="H121">
        <f t="shared" ca="1" si="6"/>
        <v>61.256443505266866</v>
      </c>
      <c r="I121">
        <f t="shared" ca="1" si="7"/>
        <v>755.7116769254759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84317</v>
      </c>
      <c r="B124" s="66">
        <v>84317</v>
      </c>
      <c r="D124">
        <f t="shared" si="4"/>
        <v>0.33745157365606893</v>
      </c>
      <c r="E124">
        <f t="shared" si="4"/>
        <v>0.33745157365606893</v>
      </c>
      <c r="G124">
        <f t="shared" ca="1" si="5"/>
        <v>122</v>
      </c>
      <c r="H124">
        <f t="shared" ca="1" si="6"/>
        <v>41.169091986040407</v>
      </c>
      <c r="I124">
        <f t="shared" ca="1" si="7"/>
        <v>576.02275012071198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58112</v>
      </c>
      <c r="B126" s="66">
        <v>58112</v>
      </c>
      <c r="D126">
        <f t="shared" si="4"/>
        <v>0.23257452053917332</v>
      </c>
      <c r="E126">
        <f t="shared" si="4"/>
        <v>0.23257452053917332</v>
      </c>
      <c r="G126">
        <f t="shared" ca="1" si="5"/>
        <v>124</v>
      </c>
      <c r="H126">
        <f t="shared" ca="1" si="6"/>
        <v>28.839240546857493</v>
      </c>
      <c r="I126">
        <f t="shared" ca="1" si="7"/>
        <v>436.36594650401634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32893</v>
      </c>
      <c r="B129" s="66">
        <v>32893</v>
      </c>
      <c r="D129">
        <f t="shared" si="4"/>
        <v>0.13164361412608458</v>
      </c>
      <c r="E129">
        <f t="shared" si="4"/>
        <v>0.13164361412608458</v>
      </c>
      <c r="G129">
        <f t="shared" ca="1" si="5"/>
        <v>127</v>
      </c>
      <c r="H129">
        <f t="shared" ca="1" si="6"/>
        <v>16.718738994012742</v>
      </c>
      <c r="I129">
        <f t="shared" ca="1" si="7"/>
        <v>282.39332748417701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15875</v>
      </c>
      <c r="B131" s="66">
        <v>15875</v>
      </c>
      <c r="D131">
        <f t="shared" ref="D131:E194" si="8">IFERROR( A131/MAX(A$2:A$257), 0 )</f>
        <v>6.3534562802164379E-2</v>
      </c>
      <c r="E131">
        <f t="shared" si="8"/>
        <v>6.3534562802164379E-2</v>
      </c>
      <c r="G131">
        <f t="shared" ref="G131:G194" ca="1" si="9">CELL("row",D131)-2</f>
        <v>129</v>
      </c>
      <c r="H131">
        <f t="shared" ref="H131:H194" ca="1" si="10">D131*G131</f>
        <v>8.1959586014792052</v>
      </c>
      <c r="I131">
        <f t="shared" ref="I131:I194" ca="1" si="11">D131*((G131-$L$1)^2)</f>
        <v>148.31492041433401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9761</v>
      </c>
      <c r="B134" s="66">
        <v>9761</v>
      </c>
      <c r="D134">
        <f t="shared" si="8"/>
        <v>3.9065251496814266E-2</v>
      </c>
      <c r="E134">
        <f t="shared" si="8"/>
        <v>3.9065251496814266E-2</v>
      </c>
      <c r="G134">
        <f t="shared" ca="1" si="9"/>
        <v>132</v>
      </c>
      <c r="H134">
        <f t="shared" ca="1" si="10"/>
        <v>5.1566131975794827</v>
      </c>
      <c r="I134">
        <f t="shared" ca="1" si="11"/>
        <v>102.87017709220325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4045</v>
      </c>
      <c r="B136" s="66">
        <v>4045</v>
      </c>
      <c r="D136">
        <f t="shared" si="8"/>
        <v>1.6188806710850701E-2</v>
      </c>
      <c r="E136">
        <f t="shared" si="8"/>
        <v>1.6188806710850701E-2</v>
      </c>
      <c r="G136">
        <f t="shared" ca="1" si="9"/>
        <v>134</v>
      </c>
      <c r="H136">
        <f t="shared" ca="1" si="10"/>
        <v>2.1693000992539941</v>
      </c>
      <c r="I136">
        <f t="shared" ca="1" si="11"/>
        <v>46.017548505553613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3215</v>
      </c>
      <c r="B139" s="66">
        <v>3215</v>
      </c>
      <c r="D139">
        <f t="shared" si="8"/>
        <v>1.2866999647808408E-2</v>
      </c>
      <c r="E139">
        <f t="shared" si="8"/>
        <v>1.2866999647808408E-2</v>
      </c>
      <c r="G139">
        <f t="shared" ca="1" si="9"/>
        <v>137</v>
      </c>
      <c r="H139">
        <f t="shared" ca="1" si="10"/>
        <v>1.7627789517497519</v>
      </c>
      <c r="I139">
        <f t="shared" ca="1" si="11"/>
        <v>40.807008370021016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1487</v>
      </c>
      <c r="B142" s="66">
        <v>1487</v>
      </c>
      <c r="D142">
        <f t="shared" si="8"/>
        <v>5.9512374731854126E-3</v>
      </c>
      <c r="E142">
        <f t="shared" si="8"/>
        <v>5.9512374731854126E-3</v>
      </c>
      <c r="G142">
        <f t="shared" ca="1" si="9"/>
        <v>140</v>
      </c>
      <c r="H142">
        <f t="shared" ca="1" si="10"/>
        <v>0.83317324624595779</v>
      </c>
      <c r="I142">
        <f t="shared" ca="1" si="11"/>
        <v>20.938480941434214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810</v>
      </c>
      <c r="B144" s="66">
        <v>810</v>
      </c>
      <c r="D144">
        <f t="shared" si="8"/>
        <v>3.2417635193545289E-3</v>
      </c>
      <c r="E144">
        <f t="shared" si="8"/>
        <v>3.2417635193545289E-3</v>
      </c>
      <c r="G144">
        <f t="shared" ca="1" si="9"/>
        <v>142</v>
      </c>
      <c r="H144">
        <f t="shared" ca="1" si="10"/>
        <v>0.4603304197483431</v>
      </c>
      <c r="I144">
        <f t="shared" ca="1" si="11"/>
        <v>12.187744166552489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352</v>
      </c>
      <c r="B147" s="66">
        <v>352</v>
      </c>
      <c r="D147">
        <f t="shared" si="8"/>
        <v>1.4087663689046842E-3</v>
      </c>
      <c r="E147">
        <f t="shared" si="8"/>
        <v>1.4087663689046842E-3</v>
      </c>
      <c r="G147">
        <f t="shared" ca="1" si="9"/>
        <v>145</v>
      </c>
      <c r="H147">
        <f t="shared" ca="1" si="10"/>
        <v>0.20427112349117921</v>
      </c>
      <c r="I147">
        <f t="shared" ca="1" si="11"/>
        <v>5.8273574518059084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116</v>
      </c>
      <c r="B149" s="66">
        <v>116</v>
      </c>
      <c r="D149">
        <f t="shared" si="8"/>
        <v>4.6425255338904364E-4</v>
      </c>
      <c r="E149">
        <f t="shared" si="8"/>
        <v>4.6425255338904364E-4</v>
      </c>
      <c r="G149">
        <f t="shared" ca="1" si="9"/>
        <v>147</v>
      </c>
      <c r="H149">
        <f t="shared" ca="1" si="10"/>
        <v>6.8245125348189412E-2</v>
      </c>
      <c r="I149">
        <f t="shared" ca="1" si="11"/>
        <v>2.0416709010027843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0</v>
      </c>
      <c r="B152" s="66">
        <v>0</v>
      </c>
      <c r="D152">
        <f t="shared" si="8"/>
        <v>0</v>
      </c>
      <c r="E152">
        <f t="shared" si="8"/>
        <v>0</v>
      </c>
      <c r="G152">
        <f t="shared" ca="1" si="9"/>
        <v>150</v>
      </c>
      <c r="H152">
        <f t="shared" ca="1" si="10"/>
        <v>0</v>
      </c>
      <c r="I152">
        <f t="shared" ca="1" si="11"/>
        <v>0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72.608137253216796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1.4018808981720003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0.55019147176644989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1498</v>
      </c>
      <c r="B8" s="66">
        <v>1498</v>
      </c>
      <c r="D8">
        <f t="shared" si="0"/>
        <v>1.7325129533678756</v>
      </c>
      <c r="E8">
        <f t="shared" si="1"/>
        <v>1.7325129533678756</v>
      </c>
      <c r="G8">
        <f t="shared" ca="1" si="2"/>
        <v>6</v>
      </c>
      <c r="H8">
        <f t="shared" ca="1" si="3"/>
        <v>10.395077720207254</v>
      </c>
      <c r="I8">
        <f t="shared" ca="1" si="4"/>
        <v>7686.5431099860789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3812</v>
      </c>
      <c r="B10" s="66">
        <v>3812</v>
      </c>
      <c r="D10">
        <f t="shared" si="0"/>
        <v>4.4087712805329389</v>
      </c>
      <c r="E10">
        <f t="shared" si="1"/>
        <v>4.4087712805329389</v>
      </c>
      <c r="G10">
        <f t="shared" ca="1" si="2"/>
        <v>8</v>
      </c>
      <c r="H10">
        <f t="shared" ca="1" si="3"/>
        <v>35.270170244263511</v>
      </c>
      <c r="I10">
        <f t="shared" ca="1" si="4"/>
        <v>18403.143336241519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10872</v>
      </c>
      <c r="B13" s="66">
        <v>10872</v>
      </c>
      <c r="D13">
        <f t="shared" si="0"/>
        <v>12.574019245003701</v>
      </c>
      <c r="E13">
        <f t="shared" si="1"/>
        <v>12.574019245003701</v>
      </c>
      <c r="G13">
        <f t="shared" ca="1" si="2"/>
        <v>11</v>
      </c>
      <c r="H13">
        <f t="shared" ca="1" si="3"/>
        <v>138.31421169504071</v>
      </c>
      <c r="I13">
        <f t="shared" ca="1" si="4"/>
        <v>47725.476873865839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17871</v>
      </c>
      <c r="B15" s="66">
        <v>17871</v>
      </c>
      <c r="D15">
        <f t="shared" si="0"/>
        <v>20.668717616580309</v>
      </c>
      <c r="E15">
        <f t="shared" si="1"/>
        <v>20.668717616580309</v>
      </c>
      <c r="G15">
        <f t="shared" ca="1" si="2"/>
        <v>13</v>
      </c>
      <c r="H15">
        <f t="shared" ca="1" si="3"/>
        <v>268.69332901554401</v>
      </c>
      <c r="I15">
        <f t="shared" ca="1" si="4"/>
        <v>73438.641178887148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21361</v>
      </c>
      <c r="B18" s="66">
        <v>21361</v>
      </c>
      <c r="D18">
        <f t="shared" si="0"/>
        <v>24.70507957068838</v>
      </c>
      <c r="E18">
        <f t="shared" si="1"/>
        <v>24.70507957068838</v>
      </c>
      <c r="G18">
        <f t="shared" ca="1" si="2"/>
        <v>16</v>
      </c>
      <c r="H18">
        <f t="shared" ca="1" si="3"/>
        <v>395.28127313101407</v>
      </c>
      <c r="I18">
        <f t="shared" ca="1" si="4"/>
        <v>79166.963109783712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18657</v>
      </c>
      <c r="B21" s="66">
        <v>18657</v>
      </c>
      <c r="D21">
        <f t="shared" si="0"/>
        <v>21.577766469282015</v>
      </c>
      <c r="E21">
        <f t="shared" si="1"/>
        <v>21.577766469282015</v>
      </c>
      <c r="G21">
        <f t="shared" ca="1" si="2"/>
        <v>19</v>
      </c>
      <c r="H21">
        <f t="shared" ca="1" si="3"/>
        <v>409.97756291635829</v>
      </c>
      <c r="I21">
        <f t="shared" ca="1" si="4"/>
        <v>62010.883962316446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26578</v>
      </c>
      <c r="B23" s="66">
        <v>26578</v>
      </c>
      <c r="D23">
        <f t="shared" si="0"/>
        <v>30.73880458919319</v>
      </c>
      <c r="E23">
        <f t="shared" si="1"/>
        <v>30.73880458919319</v>
      </c>
      <c r="G23">
        <f t="shared" ca="1" si="2"/>
        <v>21</v>
      </c>
      <c r="H23">
        <f t="shared" ca="1" si="3"/>
        <v>645.51489637305701</v>
      </c>
      <c r="I23">
        <f t="shared" ca="1" si="4"/>
        <v>81869.726940218039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24998</v>
      </c>
      <c r="B26" s="66">
        <v>24998</v>
      </c>
      <c r="D26">
        <f t="shared" si="0"/>
        <v>28.911454478164323</v>
      </c>
      <c r="E26">
        <f t="shared" si="1"/>
        <v>28.911454478164323</v>
      </c>
      <c r="G26">
        <f t="shared" ca="1" si="2"/>
        <v>24</v>
      </c>
      <c r="H26">
        <f t="shared" ca="1" si="3"/>
        <v>693.8749074759437</v>
      </c>
      <c r="I26">
        <f t="shared" ca="1" si="4"/>
        <v>68310.568188696576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28586</v>
      </c>
      <c r="B28" s="66">
        <v>28586</v>
      </c>
      <c r="D28">
        <f t="shared" si="0"/>
        <v>33.061158401184308</v>
      </c>
      <c r="E28">
        <f t="shared" si="1"/>
        <v>33.061158401184308</v>
      </c>
      <c r="G28">
        <f t="shared" ca="1" si="2"/>
        <v>26</v>
      </c>
      <c r="H28">
        <f t="shared" ca="1" si="3"/>
        <v>859.59011843079202</v>
      </c>
      <c r="I28">
        <f t="shared" ca="1" si="4"/>
        <v>71819.364644852525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40836</v>
      </c>
      <c r="B31" s="66">
        <v>40836</v>
      </c>
      <c r="D31">
        <f t="shared" si="0"/>
        <v>47.228904515173944</v>
      </c>
      <c r="E31">
        <f t="shared" si="1"/>
        <v>47.228904515173944</v>
      </c>
      <c r="G31">
        <f t="shared" ca="1" si="2"/>
        <v>29</v>
      </c>
      <c r="H31">
        <f t="shared" ca="1" si="3"/>
        <v>1369.6382309400444</v>
      </c>
      <c r="I31">
        <f t="shared" ca="1" si="4"/>
        <v>89813.773596434505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47000</v>
      </c>
      <c r="B33" s="66">
        <v>47000</v>
      </c>
      <c r="D33">
        <f t="shared" si="0"/>
        <v>54.357883049592893</v>
      </c>
      <c r="E33">
        <f t="shared" si="1"/>
        <v>54.357883049592893</v>
      </c>
      <c r="G33">
        <f t="shared" ca="1" si="2"/>
        <v>31</v>
      </c>
      <c r="H33">
        <f t="shared" ca="1" si="3"/>
        <v>1685.0943745373797</v>
      </c>
      <c r="I33">
        <f t="shared" ca="1" si="4"/>
        <v>94106.383034648854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55105</v>
      </c>
      <c r="B36" s="66">
        <v>55105</v>
      </c>
      <c r="D36">
        <f t="shared" si="0"/>
        <v>63.731726498889714</v>
      </c>
      <c r="E36">
        <f t="shared" si="1"/>
        <v>63.731726498889714</v>
      </c>
      <c r="G36">
        <f t="shared" ca="1" si="2"/>
        <v>34</v>
      </c>
      <c r="H36">
        <f t="shared" ca="1" si="3"/>
        <v>2166.8787009622502</v>
      </c>
      <c r="I36">
        <f t="shared" ca="1" si="4"/>
        <v>94997.763446642071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50226</v>
      </c>
      <c r="B39" s="66">
        <v>50226</v>
      </c>
      <c r="D39">
        <f t="shared" si="0"/>
        <v>58.088915618060696</v>
      </c>
      <c r="E39">
        <f t="shared" si="1"/>
        <v>58.088915618060696</v>
      </c>
      <c r="G39">
        <f t="shared" ca="1" si="2"/>
        <v>37</v>
      </c>
      <c r="H39">
        <f t="shared" ca="1" si="3"/>
        <v>2149.2898778682456</v>
      </c>
      <c r="I39">
        <f t="shared" ca="1" si="4"/>
        <v>73653.227060198245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41960</v>
      </c>
      <c r="B41" s="66">
        <v>41960</v>
      </c>
      <c r="D41">
        <f t="shared" si="0"/>
        <v>48.528867505551446</v>
      </c>
      <c r="E41">
        <f t="shared" si="1"/>
        <v>48.528867505551446</v>
      </c>
      <c r="G41">
        <f t="shared" ca="1" si="2"/>
        <v>39</v>
      </c>
      <c r="H41">
        <f t="shared" ca="1" si="3"/>
        <v>1892.6258327165065</v>
      </c>
      <c r="I41">
        <f t="shared" ca="1" si="4"/>
        <v>54813.690193513161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43290</v>
      </c>
      <c r="B44" s="66">
        <v>43290</v>
      </c>
      <c r="D44">
        <f t="shared" si="0"/>
        <v>50.067079940784602</v>
      </c>
      <c r="E44">
        <f t="shared" si="1"/>
        <v>50.067079940784602</v>
      </c>
      <c r="G44">
        <f t="shared" ca="1" si="2"/>
        <v>42</v>
      </c>
      <c r="H44">
        <f t="shared" ca="1" si="3"/>
        <v>2102.8173575129531</v>
      </c>
      <c r="I44">
        <f t="shared" ca="1" si="4"/>
        <v>46905.747689186246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50048</v>
      </c>
      <c r="B46" s="66">
        <v>50048</v>
      </c>
      <c r="D46">
        <f t="shared" si="0"/>
        <v>57.883049592894153</v>
      </c>
      <c r="E46">
        <f t="shared" si="1"/>
        <v>57.883049592894153</v>
      </c>
      <c r="G46">
        <f t="shared" ca="1" si="2"/>
        <v>44</v>
      </c>
      <c r="H46">
        <f t="shared" ca="1" si="3"/>
        <v>2546.8541820873429</v>
      </c>
      <c r="I46">
        <f t="shared" ca="1" si="4"/>
        <v>47372.964794325126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48466</v>
      </c>
      <c r="B49" s="66">
        <v>48466</v>
      </c>
      <c r="D49">
        <f t="shared" si="0"/>
        <v>56.053386380458917</v>
      </c>
      <c r="E49">
        <f t="shared" si="1"/>
        <v>56.053386380458917</v>
      </c>
      <c r="G49">
        <f t="shared" ca="1" si="2"/>
        <v>47</v>
      </c>
      <c r="H49">
        <f t="shared" ca="1" si="3"/>
        <v>2634.5091598815693</v>
      </c>
      <c r="I49">
        <f t="shared" ca="1" si="4"/>
        <v>36758.504384516564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47186</v>
      </c>
      <c r="B51" s="66">
        <v>47186</v>
      </c>
      <c r="D51">
        <f t="shared" si="0"/>
        <v>54.573001480384903</v>
      </c>
      <c r="E51">
        <f t="shared" si="1"/>
        <v>54.573001480384903</v>
      </c>
      <c r="G51">
        <f t="shared" ca="1" si="2"/>
        <v>49</v>
      </c>
      <c r="H51">
        <f t="shared" ca="1" si="3"/>
        <v>2674.0770725388602</v>
      </c>
      <c r="I51">
        <f t="shared" ca="1" si="4"/>
        <v>30415.942826523613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47478</v>
      </c>
      <c r="B54" s="66">
        <v>47478</v>
      </c>
      <c r="D54">
        <f t="shared" si="0"/>
        <v>54.910714285714285</v>
      </c>
      <c r="E54">
        <f t="shared" si="1"/>
        <v>54.910714285714285</v>
      </c>
      <c r="G54">
        <f t="shared" ca="1" si="2"/>
        <v>52</v>
      </c>
      <c r="H54">
        <f t="shared" ca="1" si="3"/>
        <v>2855.3571428571427</v>
      </c>
      <c r="I54">
        <f t="shared" ca="1" si="4"/>
        <v>23320.323432514688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50637</v>
      </c>
      <c r="B57" s="66">
        <v>50637</v>
      </c>
      <c r="D57">
        <f t="shared" si="0"/>
        <v>58.56425795706884</v>
      </c>
      <c r="E57">
        <f t="shared" si="1"/>
        <v>58.56425795706884</v>
      </c>
      <c r="G57">
        <f t="shared" ca="1" si="2"/>
        <v>55</v>
      </c>
      <c r="H57">
        <f t="shared" ca="1" si="3"/>
        <v>3221.0341876387861</v>
      </c>
      <c r="I57">
        <f t="shared" ca="1" si="4"/>
        <v>18157.643059922593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48638</v>
      </c>
      <c r="B59" s="66">
        <v>48638</v>
      </c>
      <c r="D59">
        <f t="shared" si="0"/>
        <v>56.252313101406365</v>
      </c>
      <c r="E59">
        <f t="shared" si="1"/>
        <v>56.252313101406365</v>
      </c>
      <c r="G59">
        <f t="shared" ca="1" si="2"/>
        <v>57</v>
      </c>
      <c r="H59">
        <f t="shared" ca="1" si="3"/>
        <v>3206.381846780163</v>
      </c>
      <c r="I59">
        <f t="shared" ca="1" si="4"/>
        <v>13703.848107749956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48101</v>
      </c>
      <c r="B62" s="66">
        <v>48101</v>
      </c>
      <c r="D62">
        <f t="shared" si="0"/>
        <v>55.631245373797185</v>
      </c>
      <c r="E62">
        <f t="shared" si="1"/>
        <v>55.631245373797185</v>
      </c>
      <c r="G62">
        <f t="shared" ca="1" si="2"/>
        <v>60</v>
      </c>
      <c r="H62">
        <f t="shared" ca="1" si="3"/>
        <v>3337.8747224278313</v>
      </c>
      <c r="I62">
        <f t="shared" ca="1" si="4"/>
        <v>8843.4278745262109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53550</v>
      </c>
      <c r="B64" s="66">
        <v>53550</v>
      </c>
      <c r="D64">
        <f t="shared" si="0"/>
        <v>61.933290155440417</v>
      </c>
      <c r="E64">
        <f t="shared" si="1"/>
        <v>61.933290155440417</v>
      </c>
      <c r="G64">
        <f t="shared" ca="1" si="2"/>
        <v>62</v>
      </c>
      <c r="H64">
        <f t="shared" ca="1" si="3"/>
        <v>3839.8639896373061</v>
      </c>
      <c r="I64">
        <f t="shared" ca="1" si="4"/>
        <v>6969.5126802996101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52980</v>
      </c>
      <c r="B67" s="66">
        <v>52980</v>
      </c>
      <c r="D67">
        <f t="shared" ref="D67:D130" si="5">IFERROR( 100*A67/MAX(A$2:A$257), 0 )</f>
        <v>61.274056254626203</v>
      </c>
      <c r="E67">
        <f t="shared" ref="E67:E130" si="6">IFERROR( 100*B67/MAX(B$2:B$257), 0 )</f>
        <v>61.274056254626203</v>
      </c>
      <c r="G67">
        <f t="shared" ref="G67:G130" ca="1" si="7">CELL("row",D67)-2</f>
        <v>65</v>
      </c>
      <c r="H67">
        <f t="shared" ref="H67:H130" ca="1" si="8">D67*G67</f>
        <v>3982.8136565507029</v>
      </c>
      <c r="I67">
        <f t="shared" ref="I67:I130" ca="1" si="9">D67*((G67-$L$1)^2)</f>
        <v>3546.7723046948331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49417</v>
      </c>
      <c r="B69" s="66">
        <v>49417</v>
      </c>
      <c r="D69">
        <f t="shared" si="5"/>
        <v>57.153266099185785</v>
      </c>
      <c r="E69">
        <f t="shared" si="6"/>
        <v>57.153266099185785</v>
      </c>
      <c r="G69">
        <f t="shared" ca="1" si="7"/>
        <v>67</v>
      </c>
      <c r="H69">
        <f t="shared" ca="1" si="8"/>
        <v>3829.2688286454477</v>
      </c>
      <c r="I69">
        <f t="shared" ca="1" si="9"/>
        <v>1797.5389999699485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54025</v>
      </c>
      <c r="B72" s="66">
        <v>54025</v>
      </c>
      <c r="D72">
        <f t="shared" si="5"/>
        <v>62.482651739452258</v>
      </c>
      <c r="E72">
        <f t="shared" si="6"/>
        <v>62.482651739452258</v>
      </c>
      <c r="G72">
        <f t="shared" ca="1" si="7"/>
        <v>70</v>
      </c>
      <c r="H72">
        <f t="shared" ca="1" si="8"/>
        <v>4373.7856217616581</v>
      </c>
      <c r="I72">
        <f t="shared" ca="1" si="9"/>
        <v>425.03073626667992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52964</v>
      </c>
      <c r="B75" s="66">
        <v>52964</v>
      </c>
      <c r="D75">
        <f t="shared" si="5"/>
        <v>61.255551443375275</v>
      </c>
      <c r="E75">
        <f t="shared" si="6"/>
        <v>61.255551443375275</v>
      </c>
      <c r="G75">
        <f t="shared" ca="1" si="7"/>
        <v>73</v>
      </c>
      <c r="H75">
        <f t="shared" ca="1" si="8"/>
        <v>4471.6552553663951</v>
      </c>
      <c r="I75">
        <f t="shared" ca="1" si="9"/>
        <v>9.4061827141121235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57565</v>
      </c>
      <c r="B77" s="66">
        <v>57565</v>
      </c>
      <c r="D77">
        <f t="shared" si="5"/>
        <v>66.576841228719474</v>
      </c>
      <c r="E77">
        <f t="shared" si="6"/>
        <v>66.576841228719474</v>
      </c>
      <c r="G77">
        <f t="shared" ca="1" si="7"/>
        <v>75</v>
      </c>
      <c r="H77">
        <f t="shared" ca="1" si="8"/>
        <v>4993.2630921539603</v>
      </c>
      <c r="I77">
        <f t="shared" ca="1" si="9"/>
        <v>380.88660130146485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61823</v>
      </c>
      <c r="B80" s="66">
        <v>61823</v>
      </c>
      <c r="D80">
        <f t="shared" si="5"/>
        <v>71.501434122871942</v>
      </c>
      <c r="E80">
        <f t="shared" si="6"/>
        <v>71.501434122871942</v>
      </c>
      <c r="G80">
        <f t="shared" ca="1" si="7"/>
        <v>78</v>
      </c>
      <c r="H80">
        <f t="shared" ca="1" si="8"/>
        <v>5577.1118615840114</v>
      </c>
      <c r="I80">
        <f t="shared" ca="1" si="9"/>
        <v>2078.7028405144588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63914</v>
      </c>
      <c r="B82" s="66">
        <v>63914</v>
      </c>
      <c r="D82">
        <f t="shared" si="5"/>
        <v>73.919781643227239</v>
      </c>
      <c r="E82">
        <f t="shared" si="6"/>
        <v>73.919781643227239</v>
      </c>
      <c r="G82">
        <f t="shared" ca="1" si="7"/>
        <v>80</v>
      </c>
      <c r="H82">
        <f t="shared" ca="1" si="8"/>
        <v>5913.5825314581789</v>
      </c>
      <c r="I82">
        <f t="shared" ca="1" si="9"/>
        <v>4038.9498784551015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67410</v>
      </c>
      <c r="B85" s="66">
        <v>67410</v>
      </c>
      <c r="D85">
        <f t="shared" si="5"/>
        <v>77.963082901554401</v>
      </c>
      <c r="E85">
        <f t="shared" si="6"/>
        <v>77.963082901554401</v>
      </c>
      <c r="G85">
        <f t="shared" ca="1" si="7"/>
        <v>83</v>
      </c>
      <c r="H85">
        <f t="shared" ca="1" si="8"/>
        <v>6470.9358808290153</v>
      </c>
      <c r="I85">
        <f t="shared" ca="1" si="9"/>
        <v>8419.29657772873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69314</v>
      </c>
      <c r="B88" s="66">
        <v>69314</v>
      </c>
      <c r="D88">
        <f t="shared" si="5"/>
        <v>80.165155440414509</v>
      </c>
      <c r="E88">
        <f t="shared" si="6"/>
        <v>80.165155440414509</v>
      </c>
      <c r="G88">
        <f t="shared" ca="1" si="7"/>
        <v>86</v>
      </c>
      <c r="H88">
        <f t="shared" ca="1" si="8"/>
        <v>6894.2033678756479</v>
      </c>
      <c r="I88">
        <f t="shared" ca="1" si="9"/>
        <v>14376.978331279041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82367</v>
      </c>
      <c r="B90" s="66">
        <v>82367</v>
      </c>
      <c r="D90">
        <f t="shared" si="5"/>
        <v>95.261611769059954</v>
      </c>
      <c r="E90">
        <f t="shared" si="6"/>
        <v>95.261611769059954</v>
      </c>
      <c r="G90">
        <f t="shared" ca="1" si="7"/>
        <v>88</v>
      </c>
      <c r="H90">
        <f t="shared" ca="1" si="8"/>
        <v>8383.0218356772766</v>
      </c>
      <c r="I90">
        <f t="shared" ca="1" si="9"/>
        <v>22568.3749848978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77895</v>
      </c>
      <c r="B93" s="66">
        <v>77895</v>
      </c>
      <c r="D93">
        <f t="shared" si="5"/>
        <v>90.089517024426357</v>
      </c>
      <c r="E93">
        <f t="shared" si="6"/>
        <v>90.089517024426357</v>
      </c>
      <c r="G93">
        <f t="shared" ca="1" si="7"/>
        <v>91</v>
      </c>
      <c r="H93">
        <f t="shared" ca="1" si="8"/>
        <v>8198.146049222798</v>
      </c>
      <c r="I93">
        <f t="shared" ca="1" si="9"/>
        <v>30473.735460448039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81854</v>
      </c>
      <c r="B95" s="66">
        <v>81854</v>
      </c>
      <c r="D95">
        <f t="shared" si="5"/>
        <v>94.668301258327162</v>
      </c>
      <c r="E95">
        <f t="shared" si="6"/>
        <v>94.668301258327162</v>
      </c>
      <c r="G95">
        <f t="shared" ca="1" si="7"/>
        <v>93</v>
      </c>
      <c r="H95">
        <f t="shared" ca="1" si="8"/>
        <v>8804.1520170244257</v>
      </c>
      <c r="I95">
        <f t="shared" ca="1" si="9"/>
        <v>39365.736650607709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86464</v>
      </c>
      <c r="B98" s="66">
        <v>86464</v>
      </c>
      <c r="D98">
        <f t="shared" si="5"/>
        <v>100</v>
      </c>
      <c r="E98">
        <f t="shared" si="6"/>
        <v>100</v>
      </c>
      <c r="G98">
        <f t="shared" ca="1" si="7"/>
        <v>96</v>
      </c>
      <c r="H98">
        <f t="shared" ca="1" si="8"/>
        <v>9600</v>
      </c>
      <c r="I98">
        <f t="shared" ca="1" si="9"/>
        <v>54717.92427643438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77799</v>
      </c>
      <c r="B100" s="66">
        <v>77799</v>
      </c>
      <c r="D100">
        <f t="shared" si="5"/>
        <v>89.978488156920804</v>
      </c>
      <c r="E100">
        <f t="shared" si="6"/>
        <v>89.978488156920804</v>
      </c>
      <c r="G100">
        <f t="shared" ca="1" si="7"/>
        <v>98</v>
      </c>
      <c r="H100">
        <f t="shared" ca="1" si="8"/>
        <v>8817.8918393782387</v>
      </c>
      <c r="I100">
        <f t="shared" ca="1" si="9"/>
        <v>58013.332747931083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82149</v>
      </c>
      <c r="B103" s="66">
        <v>82149</v>
      </c>
      <c r="D103">
        <f t="shared" si="5"/>
        <v>95.009483715766095</v>
      </c>
      <c r="E103">
        <f t="shared" si="6"/>
        <v>95.009483715766095</v>
      </c>
      <c r="G103">
        <f t="shared" ca="1" si="7"/>
        <v>101</v>
      </c>
      <c r="H103">
        <f t="shared" ca="1" si="8"/>
        <v>9595.9578552923758</v>
      </c>
      <c r="I103">
        <f t="shared" ca="1" si="9"/>
        <v>76586.94247513765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84090</v>
      </c>
      <c r="B106" s="66">
        <v>84090</v>
      </c>
      <c r="D106">
        <f t="shared" si="5"/>
        <v>97.25434863064396</v>
      </c>
      <c r="E106">
        <f t="shared" si="6"/>
        <v>97.25434863064396</v>
      </c>
      <c r="G106">
        <f t="shared" ca="1" si="7"/>
        <v>104</v>
      </c>
      <c r="H106">
        <f t="shared" ca="1" si="8"/>
        <v>10114.452257586972</v>
      </c>
      <c r="I106">
        <f t="shared" ca="1" si="9"/>
        <v>95839.205146749693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70243</v>
      </c>
      <c r="B108" s="66">
        <v>70243</v>
      </c>
      <c r="D108">
        <f t="shared" si="5"/>
        <v>81.239591043671354</v>
      </c>
      <c r="E108">
        <f t="shared" si="6"/>
        <v>81.239591043671354</v>
      </c>
      <c r="G108">
        <f t="shared" ca="1" si="7"/>
        <v>106</v>
      </c>
      <c r="H108">
        <f t="shared" ca="1" si="8"/>
        <v>8611.3966506291636</v>
      </c>
      <c r="I108">
        <f t="shared" ca="1" si="9"/>
        <v>90583.484280095363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58880</v>
      </c>
      <c r="B111" s="66">
        <v>58880</v>
      </c>
      <c r="D111">
        <f t="shared" si="5"/>
        <v>68.097705403404888</v>
      </c>
      <c r="E111">
        <f t="shared" si="6"/>
        <v>68.097705403404888</v>
      </c>
      <c r="G111">
        <f t="shared" ca="1" si="7"/>
        <v>109</v>
      </c>
      <c r="H111">
        <f t="shared" ca="1" si="8"/>
        <v>7422.6498889711329</v>
      </c>
      <c r="I111">
        <f t="shared" ca="1" si="9"/>
        <v>90186.399722150309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47229</v>
      </c>
      <c r="B113" s="66">
        <v>47229</v>
      </c>
      <c r="D113">
        <f t="shared" si="5"/>
        <v>54.622733160621763</v>
      </c>
      <c r="E113">
        <f t="shared" si="6"/>
        <v>54.622733160621763</v>
      </c>
      <c r="G113">
        <f t="shared" ca="1" si="7"/>
        <v>111</v>
      </c>
      <c r="H113">
        <f t="shared" ca="1" si="8"/>
        <v>6063.1233808290153</v>
      </c>
      <c r="I113">
        <f t="shared" ca="1" si="9"/>
        <v>80510.365038110554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36427</v>
      </c>
      <c r="B116" s="66">
        <v>36427</v>
      </c>
      <c r="D116">
        <f t="shared" si="5"/>
        <v>42.129672464840858</v>
      </c>
      <c r="E116">
        <f t="shared" si="6"/>
        <v>42.129672464840858</v>
      </c>
      <c r="G116">
        <f t="shared" ca="1" si="7"/>
        <v>114</v>
      </c>
      <c r="H116">
        <f t="shared" ca="1" si="8"/>
        <v>4802.7826609918575</v>
      </c>
      <c r="I116">
        <f t="shared" ca="1" si="9"/>
        <v>72180.190726951492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28127</v>
      </c>
      <c r="B118" s="66">
        <v>28127</v>
      </c>
      <c r="D118">
        <f t="shared" si="5"/>
        <v>32.530301628423388</v>
      </c>
      <c r="E118">
        <f t="shared" si="6"/>
        <v>32.530301628423388</v>
      </c>
      <c r="G118">
        <f t="shared" ca="1" si="7"/>
        <v>116</v>
      </c>
      <c r="H118">
        <f t="shared" ca="1" si="8"/>
        <v>3773.5149888971127</v>
      </c>
      <c r="I118">
        <f t="shared" ca="1" si="9"/>
        <v>61249.800495447285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15808</v>
      </c>
      <c r="B121" s="66">
        <v>15808</v>
      </c>
      <c r="D121">
        <f t="shared" si="5"/>
        <v>18.282753515914138</v>
      </c>
      <c r="E121">
        <f t="shared" si="6"/>
        <v>18.282753515914138</v>
      </c>
      <c r="G121">
        <f t="shared" ca="1" si="7"/>
        <v>119</v>
      </c>
      <c r="H121">
        <f t="shared" ca="1" si="8"/>
        <v>2175.6476683937822</v>
      </c>
      <c r="I121">
        <f t="shared" ca="1" si="9"/>
        <v>39348.232234770076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10740</v>
      </c>
      <c r="B124" s="66">
        <v>10740</v>
      </c>
      <c r="D124">
        <f t="shared" si="5"/>
        <v>12.421354552183567</v>
      </c>
      <c r="E124">
        <f t="shared" si="6"/>
        <v>12.421354552183567</v>
      </c>
      <c r="G124">
        <f t="shared" ca="1" si="7"/>
        <v>122</v>
      </c>
      <c r="H124">
        <f t="shared" ca="1" si="8"/>
        <v>1515.4052553663953</v>
      </c>
      <c r="I124">
        <f t="shared" ca="1" si="9"/>
        <v>30302.591337565387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7065</v>
      </c>
      <c r="B126" s="66">
        <v>7065</v>
      </c>
      <c r="D126">
        <f t="shared" si="5"/>
        <v>8.1710307179866764</v>
      </c>
      <c r="E126">
        <f t="shared" si="6"/>
        <v>8.1710307179866764</v>
      </c>
      <c r="G126">
        <f t="shared" ca="1" si="7"/>
        <v>124</v>
      </c>
      <c r="H126">
        <f t="shared" ca="1" si="8"/>
        <v>1013.2078090303479</v>
      </c>
      <c r="I126">
        <f t="shared" ca="1" si="9"/>
        <v>21580.701710847748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3653</v>
      </c>
      <c r="B129" s="66">
        <v>3653</v>
      </c>
      <c r="D129">
        <f t="shared" si="5"/>
        <v>4.2248797187268687</v>
      </c>
      <c r="E129">
        <f t="shared" si="6"/>
        <v>4.2248797187268687</v>
      </c>
      <c r="G129">
        <f t="shared" ca="1" si="7"/>
        <v>127</v>
      </c>
      <c r="H129">
        <f t="shared" ca="1" si="8"/>
        <v>536.55972427831227</v>
      </c>
      <c r="I129">
        <f t="shared" ca="1" si="9"/>
        <v>12499.199898091792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2148</v>
      </c>
      <c r="B131" s="66">
        <v>2148</v>
      </c>
      <c r="D131">
        <f t="shared" ref="D131:D194" si="10">IFERROR( 100*A131/MAX(A$2:A$257), 0 )</f>
        <v>2.4842709104367136</v>
      </c>
      <c r="E131">
        <f t="shared" ref="E131:E194" si="11">IFERROR( 100*B131/MAX(B$2:B$257), 0 )</f>
        <v>2.4842709104367136</v>
      </c>
      <c r="G131">
        <f t="shared" ref="G131:G194" ca="1" si="12">CELL("row",D131)-2</f>
        <v>129</v>
      </c>
      <c r="H131">
        <f t="shared" ref="H131:H194" ca="1" si="13">D131*G131</f>
        <v>320.47094744633603</v>
      </c>
      <c r="I131">
        <f t="shared" ref="I131:I194" ca="1" si="14">D131*((G131-$L$1)^2)</f>
        <v>7900.0862918021048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975</v>
      </c>
      <c r="B134" s="66">
        <v>975</v>
      </c>
      <c r="D134">
        <f t="shared" si="10"/>
        <v>1.127636935603257</v>
      </c>
      <c r="E134">
        <f t="shared" si="11"/>
        <v>1.127636935603257</v>
      </c>
      <c r="G134">
        <f t="shared" ca="1" si="12"/>
        <v>132</v>
      </c>
      <c r="H134">
        <f t="shared" ca="1" si="13"/>
        <v>148.84807549962991</v>
      </c>
      <c r="I134">
        <f t="shared" ca="1" si="14"/>
        <v>3977.6190397384075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448</v>
      </c>
      <c r="B136" s="66">
        <v>448</v>
      </c>
      <c r="D136">
        <f t="shared" si="10"/>
        <v>0.51813471502590669</v>
      </c>
      <c r="E136">
        <f t="shared" si="11"/>
        <v>0.51813471502590669</v>
      </c>
      <c r="G136">
        <f t="shared" ca="1" si="12"/>
        <v>134</v>
      </c>
      <c r="H136">
        <f t="shared" ca="1" si="13"/>
        <v>69.430051813471493</v>
      </c>
      <c r="I136">
        <f t="shared" ca="1" si="14"/>
        <v>1952.8294360206567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164</v>
      </c>
      <c r="B139" s="66">
        <v>164</v>
      </c>
      <c r="D139">
        <f t="shared" si="10"/>
        <v>0.18967431532198373</v>
      </c>
      <c r="E139">
        <f t="shared" si="11"/>
        <v>0.18967431532198373</v>
      </c>
      <c r="G139">
        <f t="shared" ca="1" si="12"/>
        <v>137</v>
      </c>
      <c r="H139">
        <f t="shared" ca="1" si="13"/>
        <v>25.985381199111771</v>
      </c>
      <c r="I139">
        <f t="shared" ca="1" si="14"/>
        <v>786.44888743534079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55</v>
      </c>
      <c r="B142" s="66">
        <v>55</v>
      </c>
      <c r="D142">
        <f t="shared" si="10"/>
        <v>6.3610288675055512E-2</v>
      </c>
      <c r="E142">
        <f t="shared" si="11"/>
        <v>6.3610288675055512E-2</v>
      </c>
      <c r="G142">
        <f t="shared" ca="1" si="12"/>
        <v>140</v>
      </c>
      <c r="H142">
        <f t="shared" ca="1" si="13"/>
        <v>8.9054404145077726</v>
      </c>
      <c r="I142">
        <f t="shared" ca="1" si="14"/>
        <v>288.89650495751948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85.589456318567585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1.6525175887584267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0.53017968127829751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2798</v>
      </c>
      <c r="B8" s="66">
        <v>2798</v>
      </c>
      <c r="D8">
        <f t="shared" si="0"/>
        <v>1.5213301580051979</v>
      </c>
      <c r="E8">
        <f t="shared" si="1"/>
        <v>1.5213301580051979</v>
      </c>
      <c r="G8">
        <f t="shared" ca="1" si="2"/>
        <v>6</v>
      </c>
      <c r="H8">
        <f t="shared" ca="1" si="3"/>
        <v>9.1279809480311869</v>
      </c>
      <c r="I8">
        <f t="shared" ca="1" si="4"/>
        <v>9636.8378281214063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7911</v>
      </c>
      <c r="B10" s="66">
        <v>7911</v>
      </c>
      <c r="D10">
        <f t="shared" si="0"/>
        <v>4.3013734381626598</v>
      </c>
      <c r="E10">
        <f t="shared" si="1"/>
        <v>4.3013734381626598</v>
      </c>
      <c r="G10">
        <f t="shared" ca="1" si="2"/>
        <v>8</v>
      </c>
      <c r="H10">
        <f t="shared" ca="1" si="3"/>
        <v>34.410987505301279</v>
      </c>
      <c r="I10">
        <f t="shared" ca="1" si="4"/>
        <v>25894.800314464104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7322</v>
      </c>
      <c r="B13" s="66">
        <v>7322</v>
      </c>
      <c r="D13">
        <f t="shared" si="0"/>
        <v>3.9811220217705716</v>
      </c>
      <c r="E13">
        <f t="shared" si="1"/>
        <v>3.9811220217705716</v>
      </c>
      <c r="G13">
        <f t="shared" ca="1" si="2"/>
        <v>11</v>
      </c>
      <c r="H13">
        <f t="shared" ca="1" si="3"/>
        <v>43.792342239476291</v>
      </c>
      <c r="I13">
        <f t="shared" ca="1" si="4"/>
        <v>22149.318701449643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10831</v>
      </c>
      <c r="B15" s="66">
        <v>10831</v>
      </c>
      <c r="D15">
        <f t="shared" si="0"/>
        <v>5.8890375058449962</v>
      </c>
      <c r="E15">
        <f t="shared" si="1"/>
        <v>5.8890375058449962</v>
      </c>
      <c r="G15">
        <f t="shared" ca="1" si="2"/>
        <v>13</v>
      </c>
      <c r="H15">
        <f t="shared" ca="1" si="3"/>
        <v>76.55748757598495</v>
      </c>
      <c r="I15">
        <f t="shared" ca="1" si="4"/>
        <v>31030.688200926434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13842</v>
      </c>
      <c r="B18" s="66">
        <v>13842</v>
      </c>
      <c r="D18">
        <f t="shared" si="0"/>
        <v>7.5261801454996249</v>
      </c>
      <c r="E18">
        <f t="shared" si="1"/>
        <v>7.5261801454996249</v>
      </c>
      <c r="G18">
        <f t="shared" ca="1" si="2"/>
        <v>16</v>
      </c>
      <c r="H18">
        <f t="shared" ca="1" si="3"/>
        <v>120.418882327994</v>
      </c>
      <c r="I18">
        <f t="shared" ca="1" si="4"/>
        <v>36446.975622799713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15193</v>
      </c>
      <c r="B21" s="66">
        <v>15193</v>
      </c>
      <c r="D21">
        <f t="shared" si="0"/>
        <v>8.2607466370882676</v>
      </c>
      <c r="E21">
        <f t="shared" si="1"/>
        <v>8.2607466370882676</v>
      </c>
      <c r="G21">
        <f t="shared" ca="1" si="2"/>
        <v>19</v>
      </c>
      <c r="H21">
        <f t="shared" ca="1" si="3"/>
        <v>156.95418610467709</v>
      </c>
      <c r="I21">
        <f t="shared" ca="1" si="4"/>
        <v>36629.436727643391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18126</v>
      </c>
      <c r="B23" s="66">
        <v>18126</v>
      </c>
      <c r="D23">
        <f t="shared" si="0"/>
        <v>9.8554790721952177</v>
      </c>
      <c r="E23">
        <f t="shared" si="1"/>
        <v>9.8554790721952177</v>
      </c>
      <c r="G23">
        <f t="shared" ca="1" si="2"/>
        <v>21</v>
      </c>
      <c r="H23">
        <f t="shared" ca="1" si="3"/>
        <v>206.96506051609958</v>
      </c>
      <c r="I23">
        <f t="shared" ca="1" si="4"/>
        <v>41115.066576852318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18501</v>
      </c>
      <c r="B26" s="66">
        <v>18501</v>
      </c>
      <c r="D26">
        <f t="shared" si="0"/>
        <v>10.059374286366751</v>
      </c>
      <c r="E26">
        <f t="shared" si="1"/>
        <v>10.059374286366751</v>
      </c>
      <c r="G26">
        <f t="shared" ca="1" si="2"/>
        <v>24</v>
      </c>
      <c r="H26">
        <f t="shared" ca="1" si="3"/>
        <v>241.42498287280202</v>
      </c>
      <c r="I26">
        <f t="shared" ca="1" si="4"/>
        <v>38157.833468741177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20393</v>
      </c>
      <c r="B28" s="66">
        <v>20393</v>
      </c>
      <c r="D28">
        <f t="shared" si="0"/>
        <v>11.088093606933525</v>
      </c>
      <c r="E28">
        <f t="shared" si="1"/>
        <v>11.088093606933525</v>
      </c>
      <c r="G28">
        <f t="shared" ca="1" si="2"/>
        <v>26</v>
      </c>
      <c r="H28">
        <f t="shared" ca="1" si="3"/>
        <v>288.29043378027166</v>
      </c>
      <c r="I28">
        <f t="shared" ca="1" si="4"/>
        <v>39372.748227718919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28402</v>
      </c>
      <c r="B31" s="66">
        <v>28402</v>
      </c>
      <c r="D31">
        <f t="shared" si="0"/>
        <v>15.442751661066344</v>
      </c>
      <c r="E31">
        <f t="shared" si="1"/>
        <v>15.442751661066344</v>
      </c>
      <c r="G31">
        <f t="shared" ca="1" si="2"/>
        <v>29</v>
      </c>
      <c r="H31">
        <f t="shared" ca="1" si="3"/>
        <v>447.83979817092398</v>
      </c>
      <c r="I31">
        <f t="shared" ca="1" si="4"/>
        <v>49453.351613096711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28763</v>
      </c>
      <c r="B33" s="66">
        <v>28763</v>
      </c>
      <c r="D33">
        <f t="shared" si="0"/>
        <v>15.63903478724214</v>
      </c>
      <c r="E33">
        <f t="shared" si="1"/>
        <v>15.63903478724214</v>
      </c>
      <c r="G33">
        <f t="shared" ca="1" si="2"/>
        <v>31</v>
      </c>
      <c r="H33">
        <f t="shared" ca="1" si="3"/>
        <v>484.81007840450633</v>
      </c>
      <c r="I33">
        <f t="shared" ca="1" si="4"/>
        <v>46604.460369236825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32567</v>
      </c>
      <c r="B36" s="66">
        <v>32567</v>
      </c>
      <c r="D36">
        <f t="shared" si="0"/>
        <v>17.707347839798171</v>
      </c>
      <c r="E36">
        <f t="shared" si="1"/>
        <v>17.707347839798171</v>
      </c>
      <c r="G36">
        <f t="shared" ca="1" si="2"/>
        <v>34</v>
      </c>
      <c r="H36">
        <f t="shared" ca="1" si="3"/>
        <v>602.04982655313779</v>
      </c>
      <c r="I36">
        <f t="shared" ca="1" si="4"/>
        <v>47127.610527350618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44446</v>
      </c>
      <c r="B39" s="66">
        <v>44446</v>
      </c>
      <c r="D39">
        <f t="shared" si="0"/>
        <v>24.166204504181213</v>
      </c>
      <c r="E39">
        <f t="shared" si="1"/>
        <v>24.166204504181213</v>
      </c>
      <c r="G39">
        <f t="shared" ca="1" si="2"/>
        <v>37</v>
      </c>
      <c r="H39">
        <f t="shared" ca="1" si="3"/>
        <v>894.14956665470493</v>
      </c>
      <c r="I39">
        <f t="shared" ca="1" si="4"/>
        <v>57054.844443194474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41971</v>
      </c>
      <c r="B41" s="66">
        <v>41971</v>
      </c>
      <c r="D41">
        <f t="shared" si="0"/>
        <v>22.820496090649094</v>
      </c>
      <c r="E41">
        <f t="shared" si="1"/>
        <v>22.820496090649094</v>
      </c>
      <c r="G41">
        <f t="shared" ca="1" si="2"/>
        <v>39</v>
      </c>
      <c r="H41">
        <f t="shared" ca="1" si="3"/>
        <v>889.99934753531466</v>
      </c>
      <c r="I41">
        <f t="shared" ca="1" si="4"/>
        <v>49533.653985333891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54627</v>
      </c>
      <c r="B44" s="66">
        <v>54627</v>
      </c>
      <c r="D44">
        <f t="shared" si="0"/>
        <v>29.701823638795549</v>
      </c>
      <c r="E44">
        <f t="shared" si="1"/>
        <v>29.701823638795549</v>
      </c>
      <c r="G44">
        <f t="shared" ca="1" si="2"/>
        <v>42</v>
      </c>
      <c r="H44">
        <f t="shared" ca="1" si="3"/>
        <v>1247.476592829413</v>
      </c>
      <c r="I44">
        <f t="shared" ca="1" si="4"/>
        <v>56434.673841742413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58887</v>
      </c>
      <c r="B46" s="66">
        <v>58887</v>
      </c>
      <c r="D46">
        <f t="shared" si="0"/>
        <v>32.018073271784168</v>
      </c>
      <c r="E46">
        <f t="shared" si="1"/>
        <v>32.018073271784168</v>
      </c>
      <c r="G46">
        <f t="shared" ca="1" si="2"/>
        <v>44</v>
      </c>
      <c r="H46">
        <f t="shared" ca="1" si="3"/>
        <v>1408.7952239585034</v>
      </c>
      <c r="I46">
        <f t="shared" ca="1" si="4"/>
        <v>55381.113088703489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58345</v>
      </c>
      <c r="B49" s="66">
        <v>58345</v>
      </c>
      <c r="D49">
        <f t="shared" si="0"/>
        <v>31.72337672223491</v>
      </c>
      <c r="E49">
        <f t="shared" si="1"/>
        <v>31.72337672223491</v>
      </c>
      <c r="G49">
        <f t="shared" ca="1" si="2"/>
        <v>47</v>
      </c>
      <c r="H49">
        <f t="shared" ca="1" si="3"/>
        <v>1490.9987059450407</v>
      </c>
      <c r="I49">
        <f t="shared" ca="1" si="4"/>
        <v>47240.743960773267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62370</v>
      </c>
      <c r="B51" s="66">
        <v>62370</v>
      </c>
      <c r="D51">
        <f t="shared" si="0"/>
        <v>33.911852021009366</v>
      </c>
      <c r="E51">
        <f t="shared" si="1"/>
        <v>33.911852021009366</v>
      </c>
      <c r="G51">
        <f t="shared" ca="1" si="2"/>
        <v>49</v>
      </c>
      <c r="H51">
        <f t="shared" ca="1" si="3"/>
        <v>1661.6807490294589</v>
      </c>
      <c r="I51">
        <f t="shared" ca="1" si="4"/>
        <v>45400.791181256514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64756</v>
      </c>
      <c r="B54" s="66">
        <v>64756</v>
      </c>
      <c r="D54">
        <f t="shared" si="0"/>
        <v>35.209169303711434</v>
      </c>
      <c r="E54">
        <f t="shared" si="1"/>
        <v>35.209169303711434</v>
      </c>
      <c r="G54">
        <f t="shared" ca="1" si="2"/>
        <v>52</v>
      </c>
      <c r="H54">
        <f t="shared" ca="1" si="3"/>
        <v>1830.8768037929945</v>
      </c>
      <c r="I54">
        <f t="shared" ca="1" si="4"/>
        <v>39724.800748710193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63442</v>
      </c>
      <c r="B57" s="66">
        <v>63442</v>
      </c>
      <c r="D57">
        <f t="shared" si="0"/>
        <v>34.494720473254382</v>
      </c>
      <c r="E57">
        <f t="shared" si="1"/>
        <v>34.494720473254382</v>
      </c>
      <c r="G57">
        <f t="shared" ca="1" si="2"/>
        <v>55</v>
      </c>
      <c r="H57">
        <f t="shared" ca="1" si="3"/>
        <v>1897.2096260289911</v>
      </c>
      <c r="I57">
        <f t="shared" ca="1" si="4"/>
        <v>32277.221774848844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69635</v>
      </c>
      <c r="B59" s="66">
        <v>69635</v>
      </c>
      <c r="D59">
        <f t="shared" si="0"/>
        <v>37.861981970225862</v>
      </c>
      <c r="E59">
        <f t="shared" si="1"/>
        <v>37.861981970225862</v>
      </c>
      <c r="G59">
        <f t="shared" ca="1" si="2"/>
        <v>57</v>
      </c>
      <c r="H59">
        <f t="shared" ca="1" si="3"/>
        <v>2158.1329723028744</v>
      </c>
      <c r="I59">
        <f t="shared" ca="1" si="4"/>
        <v>30946.756473968871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74295</v>
      </c>
      <c r="B62" s="66">
        <v>74295</v>
      </c>
      <c r="D62">
        <f t="shared" si="0"/>
        <v>40.39571983166411</v>
      </c>
      <c r="E62">
        <f t="shared" si="1"/>
        <v>40.39571983166411</v>
      </c>
      <c r="G62">
        <f t="shared" ca="1" si="2"/>
        <v>60</v>
      </c>
      <c r="H62">
        <f t="shared" ca="1" si="3"/>
        <v>2423.7431898998466</v>
      </c>
      <c r="I62">
        <f t="shared" ca="1" si="4"/>
        <v>26451.936356061706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73602</v>
      </c>
      <c r="B64" s="66">
        <v>73602</v>
      </c>
      <c r="D64">
        <f t="shared" si="0"/>
        <v>40.018921475875118</v>
      </c>
      <c r="E64">
        <f t="shared" si="1"/>
        <v>40.018921475875118</v>
      </c>
      <c r="G64">
        <f t="shared" ca="1" si="2"/>
        <v>62</v>
      </c>
      <c r="H64">
        <f t="shared" ca="1" si="3"/>
        <v>2481.1731315042571</v>
      </c>
      <c r="I64">
        <f t="shared" ca="1" si="4"/>
        <v>22269.027067036164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73773</v>
      </c>
      <c r="B67" s="66">
        <v>73773</v>
      </c>
      <c r="D67">
        <f t="shared" ref="D67:D130" si="5">IFERROR(100*A67/MAX(A$2:A$257), 0 )</f>
        <v>40.111897693537337</v>
      </c>
      <c r="E67">
        <f t="shared" ref="E67:E130" si="6">IFERROR(100*B67/MAX(B$2:B$257), 0 )</f>
        <v>40.111897693537337</v>
      </c>
      <c r="G67">
        <f t="shared" ref="G67:G130" ca="1" si="7">CELL("row",D67)-2</f>
        <v>65</v>
      </c>
      <c r="H67">
        <f t="shared" ref="H67:H130" ca="1" si="8">D67*G67</f>
        <v>2607.2733500799268</v>
      </c>
      <c r="I67">
        <f t="shared" ref="I67:I130" ca="1" si="9">D67*((G67-$L$1)^2)</f>
        <v>17004.464769115482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85454</v>
      </c>
      <c r="B69" s="66">
        <v>85454</v>
      </c>
      <c r="D69">
        <f t="shared" si="5"/>
        <v>46.463097684837805</v>
      </c>
      <c r="E69">
        <f t="shared" si="6"/>
        <v>46.463097684837805</v>
      </c>
      <c r="G69">
        <f t="shared" ca="1" si="7"/>
        <v>67</v>
      </c>
      <c r="H69">
        <f t="shared" ca="1" si="8"/>
        <v>3113.027544884133</v>
      </c>
      <c r="I69">
        <f t="shared" ca="1" si="9"/>
        <v>16056.15445417963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87855</v>
      </c>
      <c r="B72" s="66">
        <v>87855</v>
      </c>
      <c r="D72">
        <f t="shared" si="5"/>
        <v>47.768570776106742</v>
      </c>
      <c r="E72">
        <f t="shared" si="6"/>
        <v>47.768570776106742</v>
      </c>
      <c r="G72">
        <f t="shared" ca="1" si="7"/>
        <v>70</v>
      </c>
      <c r="H72">
        <f t="shared" ca="1" si="8"/>
        <v>3343.7999543274718</v>
      </c>
      <c r="I72">
        <f t="shared" ca="1" si="9"/>
        <v>11609.250608774357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92581</v>
      </c>
      <c r="B75" s="66">
        <v>92581</v>
      </c>
      <c r="D75">
        <f t="shared" si="5"/>
        <v>50.338194195239183</v>
      </c>
      <c r="E75">
        <f t="shared" si="6"/>
        <v>50.338194195239183</v>
      </c>
      <c r="G75">
        <f t="shared" ca="1" si="7"/>
        <v>73</v>
      </c>
      <c r="H75">
        <f t="shared" ca="1" si="8"/>
        <v>3674.6881762524604</v>
      </c>
      <c r="I75">
        <f t="shared" ca="1" si="9"/>
        <v>7978.3224094302286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96213</v>
      </c>
      <c r="B77" s="66">
        <v>96213</v>
      </c>
      <c r="D77">
        <f t="shared" si="5"/>
        <v>52.312987309561869</v>
      </c>
      <c r="E77">
        <f t="shared" si="6"/>
        <v>52.312987309561869</v>
      </c>
      <c r="G77">
        <f t="shared" ca="1" si="7"/>
        <v>75</v>
      </c>
      <c r="H77">
        <f t="shared" ca="1" si="8"/>
        <v>3923.4740482171401</v>
      </c>
      <c r="I77">
        <f t="shared" ca="1" si="9"/>
        <v>5866.1997544693058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94872</v>
      </c>
      <c r="B80" s="66">
        <v>94872</v>
      </c>
      <c r="D80">
        <f t="shared" si="5"/>
        <v>51.583858023684471</v>
      </c>
      <c r="E80">
        <f t="shared" si="6"/>
        <v>51.583858023684471</v>
      </c>
      <c r="G80">
        <f t="shared" ca="1" si="7"/>
        <v>78</v>
      </c>
      <c r="H80">
        <f t="shared" ca="1" si="8"/>
        <v>4023.5409258473887</v>
      </c>
      <c r="I80">
        <f t="shared" ca="1" si="9"/>
        <v>2971.2223407411198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98516</v>
      </c>
      <c r="B82" s="66">
        <v>98516</v>
      </c>
      <c r="D82">
        <f t="shared" si="5"/>
        <v>53.565175784860642</v>
      </c>
      <c r="E82">
        <f t="shared" si="6"/>
        <v>53.565175784860642</v>
      </c>
      <c r="G82">
        <f t="shared" ca="1" si="7"/>
        <v>80</v>
      </c>
      <c r="H82">
        <f t="shared" ca="1" si="8"/>
        <v>4285.2140627888512</v>
      </c>
      <c r="I82">
        <f t="shared" ca="1" si="9"/>
        <v>1673.4843969392566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101692</v>
      </c>
      <c r="B85" s="66">
        <v>101692</v>
      </c>
      <c r="D85">
        <f t="shared" si="5"/>
        <v>55.292032318750749</v>
      </c>
      <c r="E85">
        <f t="shared" si="6"/>
        <v>55.292032318750749</v>
      </c>
      <c r="G85">
        <f t="shared" ca="1" si="7"/>
        <v>83</v>
      </c>
      <c r="H85">
        <f t="shared" ca="1" si="8"/>
        <v>4589.2386824563118</v>
      </c>
      <c r="I85">
        <f t="shared" ca="1" si="9"/>
        <v>370.74878105925529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98080</v>
      </c>
      <c r="B88" s="66">
        <v>98080</v>
      </c>
      <c r="D88">
        <f t="shared" si="5"/>
        <v>53.32811361585054</v>
      </c>
      <c r="E88">
        <f t="shared" si="6"/>
        <v>53.32811361585054</v>
      </c>
      <c r="G88">
        <f t="shared" ca="1" si="7"/>
        <v>86</v>
      </c>
      <c r="H88">
        <f t="shared" ca="1" si="8"/>
        <v>4586.2177709631469</v>
      </c>
      <c r="I88">
        <f t="shared" ca="1" si="9"/>
        <v>8.9882463363178129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109779</v>
      </c>
      <c r="B90" s="66">
        <v>109779</v>
      </c>
      <c r="D90">
        <f t="shared" si="5"/>
        <v>59.689100577431248</v>
      </c>
      <c r="E90">
        <f t="shared" si="6"/>
        <v>59.689100577431248</v>
      </c>
      <c r="G90">
        <f t="shared" ca="1" si="7"/>
        <v>88</v>
      </c>
      <c r="H90">
        <f t="shared" ca="1" si="8"/>
        <v>5252.6408508139502</v>
      </c>
      <c r="I90">
        <f t="shared" ca="1" si="9"/>
        <v>346.83670065173106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116548</v>
      </c>
      <c r="B93" s="66">
        <v>116548</v>
      </c>
      <c r="D93">
        <f t="shared" si="5"/>
        <v>63.369545123370195</v>
      </c>
      <c r="E93">
        <f t="shared" si="6"/>
        <v>63.369545123370195</v>
      </c>
      <c r="G93">
        <f t="shared" ca="1" si="7"/>
        <v>91</v>
      </c>
      <c r="H93">
        <f t="shared" ca="1" si="8"/>
        <v>5766.6286062266881</v>
      </c>
      <c r="I93">
        <f t="shared" ca="1" si="9"/>
        <v>1855.0789821402775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122456</v>
      </c>
      <c r="B95" s="66">
        <v>122456</v>
      </c>
      <c r="D95">
        <f t="shared" si="5"/>
        <v>66.581846257571314</v>
      </c>
      <c r="E95">
        <f t="shared" si="6"/>
        <v>66.581846257571314</v>
      </c>
      <c r="G95">
        <f t="shared" ca="1" si="7"/>
        <v>93</v>
      </c>
      <c r="H95">
        <f t="shared" ca="1" si="8"/>
        <v>6192.1117019541325</v>
      </c>
      <c r="I95">
        <f t="shared" ca="1" si="9"/>
        <v>3656.4191660030006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135495</v>
      </c>
      <c r="B98" s="66">
        <v>135495</v>
      </c>
      <c r="D98">
        <f t="shared" si="5"/>
        <v>73.671418784458297</v>
      </c>
      <c r="E98">
        <f t="shared" si="6"/>
        <v>73.671418784458297</v>
      </c>
      <c r="G98">
        <f t="shared" ca="1" si="7"/>
        <v>96</v>
      </c>
      <c r="H98">
        <f t="shared" ca="1" si="8"/>
        <v>7072.4562033079965</v>
      </c>
      <c r="I98">
        <f t="shared" ca="1" si="9"/>
        <v>7984.4656195040525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140428</v>
      </c>
      <c r="B100" s="66">
        <v>140428</v>
      </c>
      <c r="D100">
        <f t="shared" si="5"/>
        <v>76.353592361813412</v>
      </c>
      <c r="E100">
        <f t="shared" si="6"/>
        <v>76.353592361813412</v>
      </c>
      <c r="G100">
        <f t="shared" ca="1" si="7"/>
        <v>98</v>
      </c>
      <c r="H100">
        <f t="shared" ca="1" si="8"/>
        <v>7482.6520514577142</v>
      </c>
      <c r="I100">
        <f t="shared" ca="1" si="9"/>
        <v>11760.102038982866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160024</v>
      </c>
      <c r="B103" s="66">
        <v>160024</v>
      </c>
      <c r="D103">
        <f t="shared" si="5"/>
        <v>87.008340673561037</v>
      </c>
      <c r="E103">
        <f t="shared" si="6"/>
        <v>87.008340673561037</v>
      </c>
      <c r="G103">
        <f t="shared" ca="1" si="7"/>
        <v>101</v>
      </c>
      <c r="H103">
        <f t="shared" ca="1" si="8"/>
        <v>8787.8424080296645</v>
      </c>
      <c r="I103">
        <f t="shared" ca="1" si="9"/>
        <v>20663.163304152513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172693</v>
      </c>
      <c r="B106" s="66">
        <v>172693</v>
      </c>
      <c r="D106">
        <f t="shared" si="5"/>
        <v>93.896736589132118</v>
      </c>
      <c r="E106">
        <f t="shared" si="6"/>
        <v>93.896736589132118</v>
      </c>
      <c r="G106">
        <f t="shared" ca="1" si="7"/>
        <v>104</v>
      </c>
      <c r="H106">
        <f t="shared" ca="1" si="8"/>
        <v>9765.2606052697411</v>
      </c>
      <c r="I106">
        <f t="shared" ca="1" si="9"/>
        <v>31826.122213878883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183918</v>
      </c>
      <c r="B108" s="66">
        <v>183918</v>
      </c>
      <c r="D108">
        <f t="shared" si="5"/>
        <v>100</v>
      </c>
      <c r="E108">
        <f t="shared" si="6"/>
        <v>100</v>
      </c>
      <c r="G108">
        <f t="shared" ca="1" si="7"/>
        <v>106</v>
      </c>
      <c r="H108">
        <f t="shared" ca="1" si="8"/>
        <v>10600</v>
      </c>
      <c r="I108">
        <f t="shared" ca="1" si="9"/>
        <v>41659.029337166066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183631</v>
      </c>
      <c r="B111" s="66">
        <v>183631</v>
      </c>
      <c r="D111">
        <f t="shared" si="5"/>
        <v>99.843952196087386</v>
      </c>
      <c r="E111">
        <f t="shared" si="6"/>
        <v>99.843952196087386</v>
      </c>
      <c r="G111">
        <f t="shared" ca="1" si="7"/>
        <v>109</v>
      </c>
      <c r="H111">
        <f t="shared" ca="1" si="8"/>
        <v>10882.990789373525</v>
      </c>
      <c r="I111">
        <f t="shared" ca="1" si="9"/>
        <v>54719.832992269447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182623</v>
      </c>
      <c r="B113" s="66">
        <v>182623</v>
      </c>
      <c r="D113">
        <f t="shared" si="5"/>
        <v>99.295881860394303</v>
      </c>
      <c r="E113">
        <f t="shared" si="6"/>
        <v>99.295881860394303</v>
      </c>
      <c r="G113">
        <f t="shared" ca="1" si="7"/>
        <v>111</v>
      </c>
      <c r="H113">
        <f t="shared" ca="1" si="8"/>
        <v>11021.842886503768</v>
      </c>
      <c r="I113">
        <f t="shared" ca="1" si="9"/>
        <v>64114.926942308586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167316</v>
      </c>
      <c r="B116" s="66">
        <v>167316</v>
      </c>
      <c r="D116">
        <f t="shared" si="5"/>
        <v>90.973151078197887</v>
      </c>
      <c r="E116">
        <f t="shared" si="6"/>
        <v>90.973151078197887</v>
      </c>
      <c r="G116">
        <f t="shared" ca="1" si="7"/>
        <v>114</v>
      </c>
      <c r="H116">
        <f t="shared" ca="1" si="8"/>
        <v>10370.93922291456</v>
      </c>
      <c r="I116">
        <f t="shared" ca="1" si="9"/>
        <v>73429.796948321266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148169</v>
      </c>
      <c r="B118" s="66">
        <v>148169</v>
      </c>
      <c r="D118">
        <f t="shared" si="5"/>
        <v>80.562533302884987</v>
      </c>
      <c r="E118">
        <f t="shared" si="6"/>
        <v>80.562533302884987</v>
      </c>
      <c r="G118">
        <f t="shared" ca="1" si="7"/>
        <v>116</v>
      </c>
      <c r="H118">
        <f t="shared" ca="1" si="8"/>
        <v>9345.2538631346579</v>
      </c>
      <c r="I118">
        <f t="shared" ca="1" si="9"/>
        <v>74504.324815009284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113937</v>
      </c>
      <c r="B121" s="66">
        <v>113937</v>
      </c>
      <c r="D121">
        <f t="shared" si="5"/>
        <v>61.949890712165207</v>
      </c>
      <c r="E121">
        <f t="shared" si="6"/>
        <v>61.949890712165207</v>
      </c>
      <c r="G121">
        <f t="shared" ca="1" si="7"/>
        <v>119</v>
      </c>
      <c r="H121">
        <f t="shared" ca="1" si="8"/>
        <v>7372.0369947476593</v>
      </c>
      <c r="I121">
        <f t="shared" ca="1" si="9"/>
        <v>69152.459387935058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75094</v>
      </c>
      <c r="B124" s="66">
        <v>75094</v>
      </c>
      <c r="D124">
        <f t="shared" si="5"/>
        <v>40.830152567992258</v>
      </c>
      <c r="E124">
        <f t="shared" si="6"/>
        <v>40.830152567992258</v>
      </c>
      <c r="G124">
        <f t="shared" ca="1" si="7"/>
        <v>122</v>
      </c>
      <c r="H124">
        <f t="shared" ca="1" si="8"/>
        <v>4981.278613295055</v>
      </c>
      <c r="I124">
        <f t="shared" ca="1" si="9"/>
        <v>54129.663894389363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52039</v>
      </c>
      <c r="B126" s="66">
        <v>52039</v>
      </c>
      <c r="D126">
        <f t="shared" si="5"/>
        <v>28.294674800726412</v>
      </c>
      <c r="E126">
        <f t="shared" si="6"/>
        <v>28.294674800726412</v>
      </c>
      <c r="G126">
        <f t="shared" ca="1" si="7"/>
        <v>124</v>
      </c>
      <c r="H126">
        <f t="shared" ca="1" si="8"/>
        <v>3508.5396752900751</v>
      </c>
      <c r="I126">
        <f t="shared" ca="1" si="9"/>
        <v>41745.110566523166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30204</v>
      </c>
      <c r="B129" s="66">
        <v>30204</v>
      </c>
      <c r="D129">
        <f t="shared" si="5"/>
        <v>16.422536130231951</v>
      </c>
      <c r="E129">
        <f t="shared" si="6"/>
        <v>16.422536130231951</v>
      </c>
      <c r="G129">
        <f t="shared" ca="1" si="7"/>
        <v>127</v>
      </c>
      <c r="H129">
        <f t="shared" ca="1" si="8"/>
        <v>2085.6620885394577</v>
      </c>
      <c r="I129">
        <f t="shared" ca="1" si="9"/>
        <v>28161.909001764368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14369</v>
      </c>
      <c r="B131" s="66">
        <v>14369</v>
      </c>
      <c r="D131">
        <f t="shared" ref="D131:D194" si="10">IFERROR(100*A131/MAX(A$2:A$257), 0 )</f>
        <v>7.812720886482019</v>
      </c>
      <c r="E131">
        <f t="shared" ref="E131:E194" si="11">IFERROR(100*B131/MAX(B$2:B$257), 0 )</f>
        <v>7.812720886482019</v>
      </c>
      <c r="G131">
        <f t="shared" ref="G131:G194" ca="1" si="12">CELL("row",D131)-2</f>
        <v>129</v>
      </c>
      <c r="H131">
        <f t="shared" ref="H131:H194" ca="1" si="13">D131*G131</f>
        <v>1007.8409943561804</v>
      </c>
      <c r="I131">
        <f t="shared" ref="I131:I194" ca="1" si="14">D131*((G131-$L$1)^2)</f>
        <v>14722.879557600943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9322</v>
      </c>
      <c r="B134" s="66">
        <v>9322</v>
      </c>
      <c r="D134">
        <f t="shared" si="10"/>
        <v>5.0685631640187472</v>
      </c>
      <c r="E134">
        <f t="shared" si="11"/>
        <v>5.0685631640187472</v>
      </c>
      <c r="G134">
        <f t="shared" ca="1" si="12"/>
        <v>132</v>
      </c>
      <c r="H134">
        <f t="shared" ca="1" si="13"/>
        <v>669.0503376504746</v>
      </c>
      <c r="I134">
        <f t="shared" ca="1" si="14"/>
        <v>10917.37366713584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3853</v>
      </c>
      <c r="B136" s="66">
        <v>3853</v>
      </c>
      <c r="D136">
        <f t="shared" si="10"/>
        <v>2.0949553605411109</v>
      </c>
      <c r="E136">
        <f t="shared" si="11"/>
        <v>2.0949553605411109</v>
      </c>
      <c r="G136">
        <f t="shared" ca="1" si="12"/>
        <v>134</v>
      </c>
      <c r="H136">
        <f t="shared" ca="1" si="13"/>
        <v>280.72401831250886</v>
      </c>
      <c r="I136">
        <f t="shared" ca="1" si="14"/>
        <v>4909.6970331432049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3161</v>
      </c>
      <c r="B139" s="66">
        <v>3161</v>
      </c>
      <c r="D139">
        <f t="shared" si="10"/>
        <v>1.7187007253232418</v>
      </c>
      <c r="E139">
        <f t="shared" si="11"/>
        <v>1.7187007253232418</v>
      </c>
      <c r="G139">
        <f t="shared" ca="1" si="12"/>
        <v>137</v>
      </c>
      <c r="H139">
        <f t="shared" ca="1" si="13"/>
        <v>235.46199936928411</v>
      </c>
      <c r="I139">
        <f t="shared" ca="1" si="14"/>
        <v>4542.6016426463457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1487</v>
      </c>
      <c r="B142" s="66">
        <v>1487</v>
      </c>
      <c r="D142">
        <f t="shared" si="10"/>
        <v>0.80851248926151875</v>
      </c>
      <c r="E142">
        <f t="shared" si="11"/>
        <v>0.80851248926151875</v>
      </c>
      <c r="G142">
        <f t="shared" ca="1" si="12"/>
        <v>140</v>
      </c>
      <c r="H142">
        <f t="shared" ca="1" si="13"/>
        <v>113.19174849661263</v>
      </c>
      <c r="I142">
        <f t="shared" ca="1" si="14"/>
        <v>2393.6070972582233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810</v>
      </c>
      <c r="B144" s="66">
        <v>810</v>
      </c>
      <c r="D144">
        <f t="shared" si="10"/>
        <v>0.44041366261051118</v>
      </c>
      <c r="E144">
        <f t="shared" si="11"/>
        <v>0.44041366261051118</v>
      </c>
      <c r="G144">
        <f t="shared" ca="1" si="12"/>
        <v>142</v>
      </c>
      <c r="H144">
        <f t="shared" ca="1" si="13"/>
        <v>62.538740090692585</v>
      </c>
      <c r="I144">
        <f t="shared" ca="1" si="14"/>
        <v>1401.4620891550494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352</v>
      </c>
      <c r="B147" s="66">
        <v>352</v>
      </c>
      <c r="D147">
        <f t="shared" si="10"/>
        <v>0.19138964103567893</v>
      </c>
      <c r="E147">
        <f t="shared" si="11"/>
        <v>0.19138964103567893</v>
      </c>
      <c r="G147">
        <f t="shared" ca="1" si="12"/>
        <v>145</v>
      </c>
      <c r="H147">
        <f t="shared" ca="1" si="13"/>
        <v>27.751497950173444</v>
      </c>
      <c r="I147">
        <f t="shared" ca="1" si="14"/>
        <v>675.53130774814474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116</v>
      </c>
      <c r="B149" s="66">
        <v>116</v>
      </c>
      <c r="D149">
        <f t="shared" si="10"/>
        <v>6.3071586250394204E-2</v>
      </c>
      <c r="E149">
        <f t="shared" si="11"/>
        <v>6.3071586250394204E-2</v>
      </c>
      <c r="G149">
        <f t="shared" ca="1" si="12"/>
        <v>147</v>
      </c>
      <c r="H149">
        <f t="shared" ca="1" si="13"/>
        <v>9.2715231788079482</v>
      </c>
      <c r="I149">
        <f t="shared" ca="1" si="14"/>
        <v>237.85902713649443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405</v>
      </c>
      <c r="B1" s="68" t="s">
        <v>406</v>
      </c>
      <c r="C1" s="32" t="s">
        <v>407</v>
      </c>
      <c r="D1" s="32" t="s">
        <v>408</v>
      </c>
      <c r="E1" s="32" t="s">
        <v>409</v>
      </c>
    </row>
    <row r="2" spans="1:5">
      <c r="A2" s="68">
        <v>0.14763399999999999</v>
      </c>
      <c r="B2" s="68">
        <v>0.71604500000000004</v>
      </c>
      <c r="C2" s="68">
        <v>0</v>
      </c>
      <c r="D2" s="68">
        <v>1</v>
      </c>
      <c r="E2" s="68" t="s">
        <v>410</v>
      </c>
    </row>
    <row r="3" spans="1:5">
      <c r="A3" s="68">
        <v>0.15156600000000001</v>
      </c>
      <c r="B3" s="68">
        <v>0.70771099999999998</v>
      </c>
      <c r="C3" s="68">
        <v>0.40782200000000002</v>
      </c>
      <c r="D3" s="89">
        <v>1</v>
      </c>
      <c r="E3" s="68" t="s">
        <v>411</v>
      </c>
    </row>
    <row r="4" spans="1:5">
      <c r="A4" s="68">
        <v>0.155694</v>
      </c>
      <c r="B4" s="68">
        <v>0.69818599999999997</v>
      </c>
      <c r="C4" s="68">
        <v>0.81361399999999995</v>
      </c>
      <c r="D4" s="89">
        <v>1</v>
      </c>
      <c r="E4" s="68" t="s">
        <v>412</v>
      </c>
    </row>
    <row r="5" spans="1:5">
      <c r="A5" s="89">
        <v>0.159857</v>
      </c>
      <c r="B5" s="89">
        <v>0.68660200000000005</v>
      </c>
      <c r="C5" s="89">
        <v>1.2176800000000001</v>
      </c>
      <c r="D5" s="89">
        <v>1</v>
      </c>
      <c r="E5" s="68" t="s">
        <v>413</v>
      </c>
    </row>
    <row r="6" spans="1:5">
      <c r="A6" s="68">
        <v>0.16420100000000001</v>
      </c>
      <c r="B6" s="68">
        <v>0.67335299999999998</v>
      </c>
      <c r="C6" s="68">
        <v>1.6225700000000001</v>
      </c>
      <c r="D6" s="68">
        <v>1</v>
      </c>
      <c r="E6" s="68" t="s">
        <v>414</v>
      </c>
    </row>
    <row r="7" spans="1:5">
      <c r="A7" s="68">
        <v>0.16853099999999999</v>
      </c>
      <c r="B7" s="68">
        <v>0.66067299999999995</v>
      </c>
      <c r="C7" s="68">
        <v>2.0285099999999998</v>
      </c>
      <c r="D7" s="68">
        <v>1</v>
      </c>
      <c r="E7" s="68" t="s">
        <v>415</v>
      </c>
    </row>
    <row r="8" spans="1:5">
      <c r="A8" s="68">
        <v>0.17280000000000001</v>
      </c>
      <c r="B8" s="68">
        <v>0.64889200000000002</v>
      </c>
      <c r="C8" s="68">
        <v>2.4333300000000002</v>
      </c>
      <c r="D8" s="68">
        <v>1</v>
      </c>
      <c r="E8" s="68" t="s">
        <v>416</v>
      </c>
    </row>
    <row r="9" spans="1:5">
      <c r="A9" s="68">
        <v>0.177122</v>
      </c>
      <c r="B9" s="68">
        <v>0.63848400000000005</v>
      </c>
      <c r="C9" s="68">
        <v>2.8461699999999999</v>
      </c>
      <c r="D9" s="68">
        <v>1</v>
      </c>
      <c r="E9" s="68" t="s">
        <v>417</v>
      </c>
    </row>
    <row r="10" spans="1:5">
      <c r="A10" s="68">
        <v>0.18157100000000001</v>
      </c>
      <c r="B10" s="68">
        <v>0.62878000000000001</v>
      </c>
      <c r="C10" s="68">
        <v>3.2511100000000002</v>
      </c>
      <c r="D10" s="68">
        <v>1</v>
      </c>
      <c r="E10" s="68" t="s">
        <v>418</v>
      </c>
    </row>
    <row r="11" spans="1:5">
      <c r="A11" s="68">
        <v>0.18609899999999999</v>
      </c>
      <c r="B11" s="68">
        <v>0.61825799999999997</v>
      </c>
      <c r="C11" s="68">
        <v>3.6531600000000002</v>
      </c>
      <c r="D11" s="68">
        <v>1</v>
      </c>
      <c r="E11" s="68" t="s">
        <v>419</v>
      </c>
    </row>
    <row r="12" spans="1:5">
      <c r="A12" s="68">
        <v>0.19076799999999999</v>
      </c>
      <c r="B12" s="68">
        <v>0.60611400000000004</v>
      </c>
      <c r="C12" s="68">
        <v>4.0630100000000002</v>
      </c>
      <c r="D12" s="68">
        <v>1</v>
      </c>
      <c r="E12" s="68" t="s">
        <v>420</v>
      </c>
    </row>
    <row r="13" spans="1:5">
      <c r="A13" s="68">
        <v>0.195572</v>
      </c>
      <c r="B13" s="68">
        <v>0.59264399999999995</v>
      </c>
      <c r="C13" s="68">
        <v>4.4699799999999996</v>
      </c>
      <c r="D13" s="68">
        <v>1</v>
      </c>
      <c r="E13" s="68" t="s">
        <v>421</v>
      </c>
    </row>
    <row r="14" spans="1:5">
      <c r="A14" s="68">
        <v>0.20049</v>
      </c>
      <c r="B14" s="68">
        <v>0.57816199999999995</v>
      </c>
      <c r="C14" s="68">
        <v>4.8727299999999998</v>
      </c>
      <c r="D14" s="68">
        <v>1</v>
      </c>
      <c r="E14" s="68" t="s">
        <v>422</v>
      </c>
    </row>
    <row r="15" spans="1:5">
      <c r="A15" s="68">
        <v>0.20530999999999999</v>
      </c>
      <c r="B15" s="68">
        <v>0.56500700000000004</v>
      </c>
      <c r="C15" s="68">
        <v>5.2806899999999999</v>
      </c>
      <c r="D15" s="68">
        <v>1</v>
      </c>
      <c r="E15" s="68" t="s">
        <v>423</v>
      </c>
    </row>
    <row r="16" spans="1:5">
      <c r="A16" s="68">
        <v>0.21007300000000001</v>
      </c>
      <c r="B16" s="68">
        <v>0.55351099999999998</v>
      </c>
      <c r="C16" s="68">
        <v>5.6877700000000004</v>
      </c>
      <c r="D16" s="68">
        <v>1</v>
      </c>
      <c r="E16" s="68" t="s">
        <v>424</v>
      </c>
    </row>
    <row r="17" spans="1:5">
      <c r="A17" s="68">
        <v>0.21484300000000001</v>
      </c>
      <c r="B17" s="68">
        <v>0.54355100000000001</v>
      </c>
      <c r="C17" s="68">
        <v>6.0926200000000001</v>
      </c>
      <c r="D17" s="68">
        <v>1</v>
      </c>
      <c r="E17" s="68" t="s">
        <v>425</v>
      </c>
    </row>
    <row r="18" spans="1:5">
      <c r="A18" s="68">
        <v>0.21965000000000001</v>
      </c>
      <c r="B18" s="68">
        <v>0.53481699999999999</v>
      </c>
      <c r="C18" s="68">
        <v>6.4955600000000002</v>
      </c>
      <c r="D18" s="68">
        <v>1</v>
      </c>
      <c r="E18" s="68" t="s">
        <v>426</v>
      </c>
    </row>
    <row r="19" spans="1:5">
      <c r="A19" s="68">
        <v>0.225276</v>
      </c>
      <c r="B19" s="68">
        <v>0.525667</v>
      </c>
      <c r="C19" s="68">
        <v>6.9075699999999998</v>
      </c>
      <c r="D19" s="68">
        <v>1</v>
      </c>
      <c r="E19" s="68" t="s">
        <v>427</v>
      </c>
    </row>
    <row r="20" spans="1:5">
      <c r="A20" s="68">
        <v>0.23175200000000001</v>
      </c>
      <c r="B20" s="68">
        <v>0.51418600000000003</v>
      </c>
      <c r="C20" s="68">
        <v>7.3142899999999997</v>
      </c>
      <c r="D20" s="68">
        <v>1</v>
      </c>
      <c r="E20" s="68" t="s">
        <v>428</v>
      </c>
    </row>
    <row r="21" spans="1:5">
      <c r="A21" s="68">
        <v>0.23962900000000001</v>
      </c>
      <c r="B21" s="68">
        <v>0.50007999999999997</v>
      </c>
      <c r="C21" s="68">
        <v>7.72098</v>
      </c>
      <c r="D21" s="68">
        <v>1</v>
      </c>
      <c r="E21" s="68" t="s">
        <v>429</v>
      </c>
    </row>
    <row r="22" spans="1:5">
      <c r="A22" s="68">
        <v>0.248476</v>
      </c>
      <c r="B22" s="68">
        <v>0.48271199999999997</v>
      </c>
      <c r="C22" s="68">
        <v>8.1242099999999997</v>
      </c>
      <c r="D22" s="68">
        <v>1</v>
      </c>
      <c r="E22" s="68" t="s">
        <v>430</v>
      </c>
    </row>
    <row r="23" spans="1:5">
      <c r="A23" s="68">
        <v>0.25698100000000001</v>
      </c>
      <c r="B23" s="68">
        <v>0.46873700000000001</v>
      </c>
      <c r="C23" s="68">
        <v>8.532</v>
      </c>
      <c r="D23" s="68">
        <v>1</v>
      </c>
      <c r="E23" s="68" t="s">
        <v>431</v>
      </c>
    </row>
    <row r="24" spans="1:5">
      <c r="A24" s="68">
        <v>0.26473999999999998</v>
      </c>
      <c r="B24" s="68">
        <v>0.459345</v>
      </c>
      <c r="C24" s="68">
        <v>8.9399300000000004</v>
      </c>
      <c r="D24" s="68">
        <v>1</v>
      </c>
      <c r="E24" s="68" t="s">
        <v>432</v>
      </c>
    </row>
    <row r="25" spans="1:5">
      <c r="A25" s="68">
        <v>0.27178600000000003</v>
      </c>
      <c r="B25" s="68">
        <v>0.45392700000000002</v>
      </c>
      <c r="C25" s="68">
        <v>9.3438300000000005</v>
      </c>
      <c r="D25" s="68">
        <v>1</v>
      </c>
      <c r="E25" s="68" t="s">
        <v>433</v>
      </c>
    </row>
    <row r="26" spans="1:5">
      <c r="A26" s="68">
        <v>0.27773599999999998</v>
      </c>
      <c r="B26" s="68">
        <v>0.45262999999999998</v>
      </c>
      <c r="C26" s="68">
        <v>9.7487399999999997</v>
      </c>
      <c r="D26" s="68">
        <v>1</v>
      </c>
      <c r="E26" s="68" t="s">
        <v>434</v>
      </c>
    </row>
    <row r="27" spans="1:5">
      <c r="A27" s="68">
        <v>0.28250700000000001</v>
      </c>
      <c r="B27" s="68">
        <v>0.45493400000000001</v>
      </c>
      <c r="C27" s="68">
        <v>10.1568</v>
      </c>
      <c r="D27" s="68">
        <v>1</v>
      </c>
      <c r="E27" s="68" t="s">
        <v>435</v>
      </c>
    </row>
    <row r="28" spans="1:5">
      <c r="A28" s="68">
        <v>0.28714600000000001</v>
      </c>
      <c r="B28" s="68">
        <v>0.45790900000000001</v>
      </c>
      <c r="C28" s="68">
        <v>10.5626</v>
      </c>
      <c r="D28" s="68">
        <v>1</v>
      </c>
      <c r="E28" s="68" t="s">
        <v>436</v>
      </c>
    </row>
    <row r="29" spans="1:5">
      <c r="A29" s="68">
        <v>0.29147400000000001</v>
      </c>
      <c r="B29" s="68">
        <v>0.460677</v>
      </c>
      <c r="C29" s="68">
        <v>10.9665</v>
      </c>
      <c r="D29" s="68">
        <v>1</v>
      </c>
      <c r="E29" s="68" t="s">
        <v>437</v>
      </c>
    </row>
    <row r="30" spans="1:5">
      <c r="A30" s="68">
        <v>0.29562500000000003</v>
      </c>
      <c r="B30" s="68">
        <v>0.46296500000000002</v>
      </c>
      <c r="C30" s="68">
        <v>11.3744</v>
      </c>
      <c r="D30" s="68">
        <v>1</v>
      </c>
      <c r="E30" s="68" t="s">
        <v>438</v>
      </c>
    </row>
    <row r="31" spans="1:5">
      <c r="A31" s="68">
        <v>0.29936800000000002</v>
      </c>
      <c r="B31" s="68">
        <v>0.46661399999999997</v>
      </c>
      <c r="C31" s="68">
        <v>11.777100000000001</v>
      </c>
      <c r="D31" s="68">
        <v>1</v>
      </c>
      <c r="E31" s="68" t="s">
        <v>439</v>
      </c>
    </row>
    <row r="32" spans="1:5">
      <c r="A32" s="68">
        <v>0.30231999999999998</v>
      </c>
      <c r="B32" s="68">
        <v>0.47190900000000002</v>
      </c>
      <c r="C32" s="68">
        <v>12.185499999999999</v>
      </c>
      <c r="D32" s="68">
        <v>1</v>
      </c>
      <c r="E32" s="68" t="s">
        <v>440</v>
      </c>
    </row>
    <row r="33" spans="1:5">
      <c r="A33" s="68">
        <v>0.30488799999999999</v>
      </c>
      <c r="B33" s="68">
        <v>0.47724</v>
      </c>
      <c r="C33" s="68">
        <v>12.5932</v>
      </c>
      <c r="D33" s="68">
        <v>1</v>
      </c>
      <c r="E33" s="68" t="s">
        <v>441</v>
      </c>
    </row>
    <row r="34" spans="1:5">
      <c r="A34" s="68">
        <v>0.30736799999999997</v>
      </c>
      <c r="B34" s="68">
        <v>0.481989</v>
      </c>
      <c r="C34" s="68">
        <v>13.0031</v>
      </c>
      <c r="D34" s="68">
        <v>1</v>
      </c>
      <c r="E34" s="68" t="s">
        <v>442</v>
      </c>
    </row>
    <row r="35" spans="1:5">
      <c r="A35" s="68">
        <v>0.30906699999999998</v>
      </c>
      <c r="B35" s="68">
        <v>0.48687799999999998</v>
      </c>
      <c r="C35" s="68">
        <v>13.41</v>
      </c>
      <c r="D35" s="68">
        <v>1</v>
      </c>
      <c r="E35" s="68" t="s">
        <v>443</v>
      </c>
    </row>
    <row r="36" spans="1:5">
      <c r="A36" s="68">
        <v>0.31033300000000003</v>
      </c>
      <c r="B36" s="68">
        <v>0.49132799999999999</v>
      </c>
      <c r="C36" s="68">
        <v>13.812900000000001</v>
      </c>
      <c r="D36" s="68">
        <v>1</v>
      </c>
      <c r="E36" s="68" t="s">
        <v>444</v>
      </c>
    </row>
    <row r="37" spans="1:5">
      <c r="A37" s="68">
        <v>0.311587</v>
      </c>
      <c r="B37" s="68">
        <v>0.49470599999999998</v>
      </c>
      <c r="C37" s="68">
        <v>14.216799999999999</v>
      </c>
      <c r="D37" s="68">
        <v>1</v>
      </c>
      <c r="E37" s="68" t="s">
        <v>445</v>
      </c>
    </row>
    <row r="38" spans="1:5">
      <c r="A38" s="68">
        <v>0.31284499999999998</v>
      </c>
      <c r="B38" s="68">
        <v>0.49715399999999998</v>
      </c>
      <c r="C38" s="68">
        <v>14.624700000000001</v>
      </c>
      <c r="D38" s="68">
        <v>1</v>
      </c>
      <c r="E38" s="68" t="s">
        <v>446</v>
      </c>
    </row>
    <row r="39" spans="1:5">
      <c r="A39" s="68">
        <v>0.31393900000000002</v>
      </c>
      <c r="B39" s="68">
        <v>0.499635</v>
      </c>
      <c r="C39" s="68">
        <v>15.0326</v>
      </c>
      <c r="D39" s="68">
        <v>1</v>
      </c>
      <c r="E39" s="68" t="s">
        <v>447</v>
      </c>
    </row>
    <row r="40" spans="1:5">
      <c r="A40" s="68">
        <v>0.31491400000000003</v>
      </c>
      <c r="B40" s="68">
        <v>0.50312199999999996</v>
      </c>
      <c r="C40" s="68">
        <v>15.4377</v>
      </c>
      <c r="D40" s="68">
        <v>1</v>
      </c>
      <c r="E40" s="68" t="s">
        <v>448</v>
      </c>
    </row>
    <row r="41" spans="1:5">
      <c r="A41" s="68">
        <v>0.31598799999999999</v>
      </c>
      <c r="B41" s="68">
        <v>0.50706899999999999</v>
      </c>
      <c r="C41" s="68">
        <v>15.8454</v>
      </c>
      <c r="D41" s="68">
        <v>1</v>
      </c>
      <c r="E41" s="68" t="s">
        <v>449</v>
      </c>
    </row>
    <row r="42" spans="1:5">
      <c r="A42" s="68">
        <v>0.31702200000000003</v>
      </c>
      <c r="B42" s="68">
        <v>0.51117500000000005</v>
      </c>
      <c r="C42" s="68">
        <v>16.252700000000001</v>
      </c>
      <c r="D42" s="68">
        <v>1</v>
      </c>
      <c r="E42" s="68" t="s">
        <v>450</v>
      </c>
    </row>
    <row r="43" spans="1:5">
      <c r="A43" s="68">
        <v>0.31776799999999999</v>
      </c>
      <c r="B43" s="68">
        <v>0.51553000000000004</v>
      </c>
      <c r="C43" s="68">
        <v>16.653600000000001</v>
      </c>
      <c r="D43" s="68">
        <v>1</v>
      </c>
      <c r="E43" s="68" t="s">
        <v>451</v>
      </c>
    </row>
    <row r="44" spans="1:5">
      <c r="A44" s="68">
        <v>0.31893700000000003</v>
      </c>
      <c r="B44" s="68">
        <v>0.51921700000000004</v>
      </c>
      <c r="C44" s="68">
        <v>17.058399999999999</v>
      </c>
      <c r="D44" s="68">
        <v>1</v>
      </c>
      <c r="E44" s="68" t="s">
        <v>452</v>
      </c>
    </row>
    <row r="45" spans="1:5">
      <c r="A45" s="68">
        <v>0.32050299999999998</v>
      </c>
      <c r="B45" s="68">
        <v>0.52288699999999999</v>
      </c>
      <c r="C45" s="68">
        <v>17.4682</v>
      </c>
      <c r="D45" s="68">
        <v>1</v>
      </c>
      <c r="E45" s="68" t="s">
        <v>453</v>
      </c>
    </row>
    <row r="46" spans="1:5">
      <c r="A46" s="68">
        <v>0.32206000000000001</v>
      </c>
      <c r="B46" s="68">
        <v>0.52558400000000005</v>
      </c>
      <c r="C46" s="68">
        <v>17.8751</v>
      </c>
      <c r="D46" s="68">
        <v>1</v>
      </c>
      <c r="E46" s="68" t="s">
        <v>454</v>
      </c>
    </row>
    <row r="47" spans="1:5">
      <c r="A47" s="68">
        <v>0.323133</v>
      </c>
      <c r="B47" s="68">
        <v>0.52907099999999996</v>
      </c>
      <c r="C47" s="68">
        <v>18.282</v>
      </c>
      <c r="D47" s="68">
        <v>1</v>
      </c>
      <c r="E47" s="68" t="s">
        <v>455</v>
      </c>
    </row>
    <row r="48" spans="1:5">
      <c r="A48" s="68">
        <v>0.32391399999999998</v>
      </c>
      <c r="B48" s="68">
        <v>0.53317899999999996</v>
      </c>
      <c r="C48" s="68">
        <v>18.6889</v>
      </c>
      <c r="D48" s="68">
        <v>1</v>
      </c>
      <c r="E48" s="68" t="s">
        <v>456</v>
      </c>
    </row>
    <row r="49" spans="1:5">
      <c r="A49" s="68">
        <v>0.32456200000000002</v>
      </c>
      <c r="B49" s="68">
        <v>0.53739700000000001</v>
      </c>
      <c r="C49" s="68">
        <v>19.093800000000002</v>
      </c>
      <c r="D49" s="68">
        <v>1</v>
      </c>
      <c r="E49" s="68" t="s">
        <v>457</v>
      </c>
    </row>
    <row r="50" spans="1:5">
      <c r="A50" s="68">
        <v>0.32529799999999998</v>
      </c>
      <c r="B50" s="68">
        <v>0.54113</v>
      </c>
      <c r="C50" s="68">
        <v>19.496700000000001</v>
      </c>
      <c r="D50" s="68">
        <v>1</v>
      </c>
      <c r="E50" s="68" t="s">
        <v>458</v>
      </c>
    </row>
    <row r="51" spans="1:5">
      <c r="A51" s="68">
        <v>0.32609100000000002</v>
      </c>
      <c r="B51" s="68">
        <v>0.54447299999999998</v>
      </c>
      <c r="C51" s="68">
        <v>19.906700000000001</v>
      </c>
      <c r="D51" s="68">
        <v>1</v>
      </c>
      <c r="E51" s="68" t="s">
        <v>459</v>
      </c>
    </row>
    <row r="52" spans="1:5">
      <c r="A52" s="68">
        <v>0.32733800000000002</v>
      </c>
      <c r="B52" s="68">
        <v>0.54661599999999999</v>
      </c>
      <c r="C52" s="68">
        <v>20.313600000000001</v>
      </c>
      <c r="D52" s="68">
        <v>1</v>
      </c>
      <c r="E52" s="68" t="s">
        <v>460</v>
      </c>
    </row>
    <row r="53" spans="1:5">
      <c r="A53" s="68">
        <v>0.32866099999999998</v>
      </c>
      <c r="B53" s="68">
        <v>0.54769000000000001</v>
      </c>
      <c r="C53" s="68">
        <v>20.7164</v>
      </c>
      <c r="D53" s="68">
        <v>1</v>
      </c>
      <c r="E53" s="68" t="s">
        <v>461</v>
      </c>
    </row>
    <row r="54" spans="1:5">
      <c r="A54" s="68">
        <v>0.33019599999999999</v>
      </c>
      <c r="B54" s="68">
        <v>0.547879</v>
      </c>
      <c r="C54" s="68">
        <v>21.125499999999999</v>
      </c>
      <c r="D54" s="68">
        <v>1</v>
      </c>
      <c r="E54" s="68" t="s">
        <v>462</v>
      </c>
    </row>
    <row r="55" spans="1:5">
      <c r="A55" s="68">
        <v>0.331814</v>
      </c>
      <c r="B55" s="68">
        <v>0.54759599999999997</v>
      </c>
      <c r="C55" s="68">
        <v>21.5303</v>
      </c>
      <c r="D55" s="68">
        <v>1</v>
      </c>
      <c r="E55" s="68" t="s">
        <v>463</v>
      </c>
    </row>
    <row r="56" spans="1:5">
      <c r="A56" s="68">
        <v>0.33341300000000001</v>
      </c>
      <c r="B56" s="68">
        <v>0.54652699999999999</v>
      </c>
      <c r="C56" s="68">
        <v>21.938300000000002</v>
      </c>
      <c r="D56" s="68">
        <v>1</v>
      </c>
      <c r="E56" s="68" t="s">
        <v>464</v>
      </c>
    </row>
    <row r="57" spans="1:5">
      <c r="A57" s="68">
        <v>0.33524999999999999</v>
      </c>
      <c r="B57" s="68">
        <v>0.54580300000000004</v>
      </c>
      <c r="C57" s="68">
        <v>22.345099999999999</v>
      </c>
      <c r="D57" s="68">
        <v>1</v>
      </c>
      <c r="E57" s="68" t="s">
        <v>465</v>
      </c>
    </row>
    <row r="58" spans="1:5">
      <c r="A58" s="68">
        <v>0.33709800000000001</v>
      </c>
      <c r="B58" s="68">
        <v>0.54561999999999999</v>
      </c>
      <c r="C58" s="68">
        <v>22.7501</v>
      </c>
      <c r="D58" s="68">
        <v>1</v>
      </c>
      <c r="E58" s="68" t="s">
        <v>466</v>
      </c>
    </row>
    <row r="59" spans="1:5">
      <c r="A59" s="68">
        <v>0.33890999999999999</v>
      </c>
      <c r="B59" s="68">
        <v>0.54514899999999999</v>
      </c>
      <c r="C59" s="68">
        <v>23.1557</v>
      </c>
      <c r="D59" s="68">
        <v>1</v>
      </c>
      <c r="E59" s="68" t="s">
        <v>467</v>
      </c>
    </row>
    <row r="60" spans="1:5">
      <c r="A60" s="68">
        <v>0.34110499999999999</v>
      </c>
      <c r="B60" s="68">
        <v>0.54447400000000001</v>
      </c>
      <c r="C60" s="68">
        <v>23.562799999999999</v>
      </c>
      <c r="D60" s="68">
        <v>1</v>
      </c>
      <c r="E60" s="68" t="s">
        <v>468</v>
      </c>
    </row>
    <row r="61" spans="1:5">
      <c r="A61" s="68">
        <v>0.34368399999999999</v>
      </c>
      <c r="B61" s="68">
        <v>0.54345200000000005</v>
      </c>
      <c r="C61" s="68">
        <v>23.968</v>
      </c>
      <c r="D61" s="68">
        <v>1</v>
      </c>
      <c r="E61" s="68" t="s">
        <v>469</v>
      </c>
    </row>
    <row r="62" spans="1:5">
      <c r="A62" s="68">
        <v>0.34642899999999999</v>
      </c>
      <c r="B62" s="68">
        <v>0.54147599999999996</v>
      </c>
      <c r="C62" s="68">
        <v>24.374700000000001</v>
      </c>
      <c r="D62" s="68">
        <v>1</v>
      </c>
      <c r="E62" s="68" t="s">
        <v>470</v>
      </c>
    </row>
    <row r="63" spans="1:5">
      <c r="A63" s="68">
        <v>0.34910799999999997</v>
      </c>
      <c r="B63" s="68">
        <v>0.54001999999999994</v>
      </c>
      <c r="C63" s="68">
        <v>24.7836</v>
      </c>
      <c r="D63" s="68">
        <v>1</v>
      </c>
      <c r="E63" s="68" t="s">
        <v>471</v>
      </c>
    </row>
    <row r="64" spans="1:5">
      <c r="A64" s="68">
        <v>0.35171000000000002</v>
      </c>
      <c r="B64" s="68">
        <v>0.53896100000000002</v>
      </c>
      <c r="C64" s="68">
        <v>25.188600000000001</v>
      </c>
      <c r="D64" s="68">
        <v>1</v>
      </c>
      <c r="E64" s="68" t="s">
        <v>472</v>
      </c>
    </row>
    <row r="65" spans="1:5">
      <c r="A65" s="68">
        <v>0.354242</v>
      </c>
      <c r="B65" s="68">
        <v>0.53763000000000005</v>
      </c>
      <c r="C65" s="68">
        <v>25.592400000000001</v>
      </c>
      <c r="D65" s="68">
        <v>1</v>
      </c>
      <c r="E65" s="68" t="s">
        <v>473</v>
      </c>
    </row>
    <row r="66" spans="1:5">
      <c r="A66" s="68">
        <v>0.35652299999999998</v>
      </c>
      <c r="B66" s="68">
        <v>0.53694500000000001</v>
      </c>
      <c r="C66" s="68">
        <v>25.999500000000001</v>
      </c>
      <c r="D66" s="68">
        <v>1</v>
      </c>
      <c r="E66" s="68" t="s">
        <v>474</v>
      </c>
    </row>
    <row r="67" spans="1:5">
      <c r="A67" s="68">
        <v>0.35847299999999999</v>
      </c>
      <c r="B67" s="68">
        <v>0.53659100000000004</v>
      </c>
      <c r="C67" s="68">
        <v>26.406199999999998</v>
      </c>
      <c r="D67" s="68">
        <v>1</v>
      </c>
      <c r="E67" s="68" t="s">
        <v>475</v>
      </c>
    </row>
    <row r="68" spans="1:5">
      <c r="A68" s="68">
        <v>0.360431</v>
      </c>
      <c r="B68" s="68">
        <v>0.53690700000000002</v>
      </c>
      <c r="C68" s="68">
        <v>26.8142</v>
      </c>
      <c r="D68" s="68">
        <v>1</v>
      </c>
      <c r="E68" s="68" t="s">
        <v>476</v>
      </c>
    </row>
    <row r="69" spans="1:5">
      <c r="A69" s="68">
        <v>0.36205799999999999</v>
      </c>
      <c r="B69" s="68">
        <v>0.53659599999999996</v>
      </c>
      <c r="C69" s="68">
        <v>27.2194</v>
      </c>
      <c r="D69" s="68">
        <v>1</v>
      </c>
      <c r="E69" s="68" t="s">
        <v>477</v>
      </c>
    </row>
    <row r="70" spans="1:5">
      <c r="A70" s="68">
        <v>0.36351699999999998</v>
      </c>
      <c r="B70" s="68">
        <v>0.53455299999999994</v>
      </c>
      <c r="C70" s="68">
        <v>27.625</v>
      </c>
      <c r="D70" s="68">
        <v>1</v>
      </c>
      <c r="E70" s="68" t="s">
        <v>478</v>
      </c>
    </row>
    <row r="71" spans="1:5">
      <c r="A71" s="68">
        <v>0.36485000000000001</v>
      </c>
      <c r="B71" s="68">
        <v>0.53209200000000001</v>
      </c>
      <c r="C71" s="68">
        <v>28.032</v>
      </c>
      <c r="D71" s="68">
        <v>1</v>
      </c>
      <c r="E71" s="68" t="s">
        <v>479</v>
      </c>
    </row>
    <row r="72" spans="1:5">
      <c r="A72" s="68">
        <v>0.36622399999999999</v>
      </c>
      <c r="B72" s="68">
        <v>0.52998000000000001</v>
      </c>
      <c r="C72" s="68">
        <v>28.439800000000002</v>
      </c>
      <c r="D72" s="68">
        <v>1</v>
      </c>
      <c r="E72" s="68" t="s">
        <v>480</v>
      </c>
    </row>
    <row r="73" spans="1:5">
      <c r="A73" s="68">
        <v>0.36748900000000001</v>
      </c>
      <c r="B73" s="68">
        <v>0.52819000000000005</v>
      </c>
      <c r="C73" s="68">
        <v>28.843800000000002</v>
      </c>
      <c r="D73" s="68">
        <v>1</v>
      </c>
      <c r="E73" s="68" t="s">
        <v>481</v>
      </c>
    </row>
    <row r="74" spans="1:5">
      <c r="A74" s="68">
        <v>0.36829200000000001</v>
      </c>
      <c r="B74" s="68">
        <v>0.52703199999999994</v>
      </c>
      <c r="C74" s="68">
        <v>29.253399999999999</v>
      </c>
      <c r="D74" s="68">
        <v>1</v>
      </c>
      <c r="E74" s="68" t="s">
        <v>482</v>
      </c>
    </row>
    <row r="75" spans="1:5">
      <c r="A75" s="68">
        <v>0.368757</v>
      </c>
      <c r="B75" s="68">
        <v>0.52579600000000004</v>
      </c>
      <c r="C75" s="68">
        <v>29.652799999999999</v>
      </c>
      <c r="D75" s="68">
        <v>1</v>
      </c>
      <c r="E75" s="68" t="s">
        <v>483</v>
      </c>
    </row>
    <row r="76" spans="1:5">
      <c r="A76" s="68">
        <v>0.36932799999999999</v>
      </c>
      <c r="B76" s="68">
        <v>0.52374799999999999</v>
      </c>
      <c r="C76" s="68">
        <v>30.0627</v>
      </c>
      <c r="D76" s="68">
        <v>2</v>
      </c>
      <c r="E76" s="68" t="s">
        <v>484</v>
      </c>
    </row>
    <row r="77" spans="1:5">
      <c r="A77" s="68">
        <v>0.36956099999999997</v>
      </c>
      <c r="B77" s="68">
        <v>0.52117400000000003</v>
      </c>
      <c r="C77" s="68">
        <v>30.502700000000001</v>
      </c>
      <c r="D77" s="68">
        <v>2</v>
      </c>
      <c r="E77" s="68" t="s">
        <v>485</v>
      </c>
    </row>
    <row r="78" spans="1:5">
      <c r="A78" s="68">
        <v>0.369838</v>
      </c>
      <c r="B78" s="68">
        <v>0.517482</v>
      </c>
      <c r="C78" s="68">
        <v>30.9084</v>
      </c>
      <c r="D78" s="68">
        <v>2</v>
      </c>
      <c r="E78" s="68" t="s">
        <v>486</v>
      </c>
    </row>
    <row r="79" spans="1:5">
      <c r="A79" s="68">
        <v>0.36997000000000002</v>
      </c>
      <c r="B79" s="68">
        <v>0.51357900000000001</v>
      </c>
      <c r="C79" s="68">
        <v>31.311</v>
      </c>
      <c r="D79" s="68">
        <v>2</v>
      </c>
      <c r="E79" s="68" t="s">
        <v>487</v>
      </c>
    </row>
    <row r="80" spans="1:5">
      <c r="A80" s="68">
        <v>0.36980099999999999</v>
      </c>
      <c r="B80" s="68">
        <v>0.50992000000000004</v>
      </c>
      <c r="C80" s="68">
        <v>31.7194</v>
      </c>
      <c r="D80" s="68">
        <v>2</v>
      </c>
      <c r="E80" s="68" t="s">
        <v>488</v>
      </c>
    </row>
    <row r="81" spans="1:5">
      <c r="A81" s="68">
        <v>0.36931799999999998</v>
      </c>
      <c r="B81" s="68">
        <v>0.50681500000000002</v>
      </c>
      <c r="C81" s="68">
        <v>32.122</v>
      </c>
      <c r="D81" s="68">
        <v>2</v>
      </c>
      <c r="E81" s="68" t="s">
        <v>489</v>
      </c>
    </row>
    <row r="82" spans="1:5">
      <c r="A82" s="68">
        <v>0.36860399999999999</v>
      </c>
      <c r="B82" s="68">
        <v>0.50406499999999999</v>
      </c>
      <c r="C82" s="68">
        <v>32.533799999999999</v>
      </c>
      <c r="D82" s="68">
        <v>2</v>
      </c>
      <c r="E82" s="68" t="s">
        <v>490</v>
      </c>
    </row>
    <row r="83" spans="1:5">
      <c r="A83" s="68">
        <v>0.36774099999999998</v>
      </c>
      <c r="B83" s="68">
        <v>0.500641</v>
      </c>
      <c r="C83" s="68">
        <v>32.940800000000003</v>
      </c>
      <c r="D83" s="68">
        <v>2</v>
      </c>
      <c r="E83" s="68" t="s">
        <v>491</v>
      </c>
    </row>
    <row r="84" spans="1:5">
      <c r="A84" s="68">
        <v>0.36654799999999998</v>
      </c>
      <c r="B84" s="68">
        <v>0.49754999999999999</v>
      </c>
      <c r="C84" s="68">
        <v>33.3414</v>
      </c>
      <c r="D84" s="68">
        <v>2</v>
      </c>
      <c r="E84" s="68" t="s">
        <v>492</v>
      </c>
    </row>
    <row r="85" spans="1:5">
      <c r="A85" s="68">
        <v>0.36508499999999999</v>
      </c>
      <c r="B85" s="68">
        <v>0.49502400000000002</v>
      </c>
      <c r="C85" s="68">
        <v>33.749600000000001</v>
      </c>
      <c r="D85" s="68">
        <v>2</v>
      </c>
      <c r="E85" s="68" t="s">
        <v>493</v>
      </c>
    </row>
    <row r="86" spans="1:5">
      <c r="A86" s="68">
        <v>0.36346800000000001</v>
      </c>
      <c r="B86" s="68">
        <v>0.49288700000000002</v>
      </c>
      <c r="C86" s="68">
        <v>34.156599999999997</v>
      </c>
      <c r="D86" s="68">
        <v>2</v>
      </c>
      <c r="E86" s="68" t="s">
        <v>494</v>
      </c>
    </row>
    <row r="87" spans="1:5">
      <c r="A87" s="68">
        <v>0.36166300000000001</v>
      </c>
      <c r="B87" s="68">
        <v>0.49063899999999999</v>
      </c>
      <c r="C87" s="68">
        <v>34.561399999999999</v>
      </c>
      <c r="D87" s="68">
        <v>2</v>
      </c>
      <c r="E87" s="68" t="s">
        <v>495</v>
      </c>
    </row>
    <row r="88" spans="1:5">
      <c r="A88" s="68">
        <v>0.35980000000000001</v>
      </c>
      <c r="B88" s="68">
        <v>0.48805100000000001</v>
      </c>
      <c r="C88" s="68">
        <v>34.967100000000002</v>
      </c>
      <c r="D88" s="68">
        <v>2</v>
      </c>
      <c r="E88" s="68" t="s">
        <v>496</v>
      </c>
    </row>
    <row r="89" spans="1:5">
      <c r="A89" s="68">
        <v>0.35769800000000002</v>
      </c>
      <c r="B89" s="68">
        <v>0.48505100000000001</v>
      </c>
      <c r="C89" s="68">
        <v>35.379300000000001</v>
      </c>
      <c r="D89" s="68">
        <v>2</v>
      </c>
      <c r="E89" s="68" t="s">
        <v>497</v>
      </c>
    </row>
    <row r="90" spans="1:5">
      <c r="A90" s="68">
        <v>0.35532900000000001</v>
      </c>
      <c r="B90" s="68">
        <v>0.48222100000000001</v>
      </c>
      <c r="C90" s="68">
        <v>35.780200000000001</v>
      </c>
      <c r="D90" s="68">
        <v>2</v>
      </c>
      <c r="E90" s="68" t="s">
        <v>498</v>
      </c>
    </row>
    <row r="91" spans="1:5">
      <c r="A91" s="68">
        <v>0.35271400000000003</v>
      </c>
      <c r="B91" s="68">
        <v>0.47817100000000001</v>
      </c>
      <c r="C91" s="68">
        <v>36.185499999999998</v>
      </c>
      <c r="D91" s="68">
        <v>2</v>
      </c>
      <c r="E91" s="68" t="s">
        <v>499</v>
      </c>
    </row>
    <row r="92" spans="1:5">
      <c r="A92" s="68">
        <v>0.350159</v>
      </c>
      <c r="B92" s="68">
        <v>0.473717</v>
      </c>
      <c r="C92" s="68">
        <v>36.593000000000004</v>
      </c>
      <c r="D92" s="68">
        <v>2</v>
      </c>
      <c r="E92" s="68" t="s">
        <v>500</v>
      </c>
    </row>
    <row r="93" spans="1:5">
      <c r="A93" s="68">
        <v>0.34743400000000002</v>
      </c>
      <c r="B93" s="68">
        <v>0.46878199999999998</v>
      </c>
      <c r="C93" s="68">
        <v>37.002200000000002</v>
      </c>
      <c r="D93" s="68">
        <v>2</v>
      </c>
      <c r="E93" s="68" t="s">
        <v>501</v>
      </c>
    </row>
    <row r="94" spans="1:5">
      <c r="A94" s="68">
        <v>0.34497800000000001</v>
      </c>
      <c r="B94" s="68">
        <v>0.46332400000000001</v>
      </c>
      <c r="C94" s="68">
        <v>37.405000000000001</v>
      </c>
      <c r="D94" s="68">
        <v>2</v>
      </c>
      <c r="E94" s="68" t="s">
        <v>502</v>
      </c>
    </row>
    <row r="95" spans="1:5">
      <c r="A95" s="68">
        <v>0.34240700000000002</v>
      </c>
      <c r="B95" s="68">
        <v>0.458731</v>
      </c>
      <c r="C95" s="68">
        <v>37.812899999999999</v>
      </c>
      <c r="D95" s="68">
        <v>2</v>
      </c>
      <c r="E95" s="68" t="s">
        <v>503</v>
      </c>
    </row>
    <row r="96" spans="1:5">
      <c r="A96" s="68">
        <v>0.33980500000000002</v>
      </c>
      <c r="B96" s="68">
        <v>0.45450200000000002</v>
      </c>
      <c r="C96" s="68">
        <v>38.215800000000002</v>
      </c>
      <c r="D96" s="68">
        <v>2</v>
      </c>
      <c r="E96" s="68" t="s">
        <v>504</v>
      </c>
    </row>
    <row r="97" spans="1:5">
      <c r="A97" s="68">
        <v>0.336951</v>
      </c>
      <c r="B97" s="68">
        <v>0.45097599999999999</v>
      </c>
      <c r="C97" s="68">
        <v>38.621899999999997</v>
      </c>
      <c r="D97" s="68">
        <v>2</v>
      </c>
      <c r="E97" s="68" t="s">
        <v>505</v>
      </c>
    </row>
    <row r="98" spans="1:5">
      <c r="A98" s="68">
        <v>0.334152</v>
      </c>
      <c r="B98" s="68">
        <v>0.447577</v>
      </c>
      <c r="C98" s="68">
        <v>39.031599999999997</v>
      </c>
      <c r="D98" s="68">
        <v>2</v>
      </c>
      <c r="E98" s="68" t="s">
        <v>506</v>
      </c>
    </row>
    <row r="99" spans="1:5">
      <c r="A99" s="68">
        <v>0.33192500000000003</v>
      </c>
      <c r="B99" s="68">
        <v>0.44295000000000001</v>
      </c>
      <c r="C99" s="68">
        <v>39.4375</v>
      </c>
      <c r="D99" s="68">
        <v>2</v>
      </c>
      <c r="E99" s="68" t="s">
        <v>507</v>
      </c>
    </row>
    <row r="100" spans="1:5">
      <c r="A100" s="68">
        <v>0.329847</v>
      </c>
      <c r="B100" s="68">
        <v>0.43820799999999999</v>
      </c>
      <c r="C100" s="68">
        <v>39.843299999999999</v>
      </c>
      <c r="D100" s="68">
        <v>2</v>
      </c>
      <c r="E100" s="68" t="s">
        <v>508</v>
      </c>
    </row>
    <row r="101" spans="1:5">
      <c r="A101" s="68">
        <v>0.32749299999999998</v>
      </c>
      <c r="B101" s="68">
        <v>0.43478600000000001</v>
      </c>
      <c r="C101" s="68">
        <v>40.249299999999998</v>
      </c>
      <c r="D101" s="68">
        <v>2</v>
      </c>
      <c r="E101" s="68" t="s">
        <v>509</v>
      </c>
    </row>
    <row r="102" spans="1:5">
      <c r="A102" s="68">
        <v>0.32559300000000002</v>
      </c>
      <c r="B102" s="68">
        <v>0.43110900000000002</v>
      </c>
      <c r="C102" s="68">
        <v>40.654800000000002</v>
      </c>
      <c r="D102" s="68">
        <v>2</v>
      </c>
      <c r="E102" s="68" t="s">
        <v>510</v>
      </c>
    </row>
    <row r="103" spans="1:5">
      <c r="A103" s="68">
        <v>0.32366499999999998</v>
      </c>
      <c r="B103" s="68">
        <v>0.42897000000000002</v>
      </c>
      <c r="C103" s="68">
        <v>41.063000000000002</v>
      </c>
      <c r="D103" s="68">
        <v>2</v>
      </c>
      <c r="E103" s="68" t="s">
        <v>511</v>
      </c>
    </row>
    <row r="104" spans="1:5">
      <c r="A104" s="68">
        <v>0.32178099999999998</v>
      </c>
      <c r="B104" s="68">
        <v>0.42754900000000001</v>
      </c>
      <c r="C104" s="68">
        <v>41.470100000000002</v>
      </c>
      <c r="D104" s="68">
        <v>2</v>
      </c>
      <c r="E104" s="68" t="s">
        <v>512</v>
      </c>
    </row>
    <row r="105" spans="1:5">
      <c r="A105" s="68">
        <v>0.31975599999999998</v>
      </c>
      <c r="B105" s="68">
        <v>0.427041</v>
      </c>
      <c r="C105" s="68">
        <v>41.873899999999999</v>
      </c>
      <c r="D105" s="68">
        <v>2</v>
      </c>
      <c r="E105" s="68" t="s">
        <v>513</v>
      </c>
    </row>
    <row r="106" spans="1:5">
      <c r="A106" s="68">
        <v>0.317942</v>
      </c>
      <c r="B106" s="68">
        <v>0.426431</v>
      </c>
      <c r="C106" s="68">
        <v>42.279899999999998</v>
      </c>
      <c r="D106" s="68">
        <v>2</v>
      </c>
      <c r="E106" s="68" t="s">
        <v>514</v>
      </c>
    </row>
    <row r="107" spans="1:5">
      <c r="A107" s="68">
        <v>0.316521</v>
      </c>
      <c r="B107" s="68">
        <v>0.42471500000000001</v>
      </c>
      <c r="C107" s="68">
        <v>42.684800000000003</v>
      </c>
      <c r="D107" s="68">
        <v>2</v>
      </c>
      <c r="E107" s="68" t="s">
        <v>515</v>
      </c>
    </row>
    <row r="108" spans="1:5">
      <c r="A108" s="68">
        <v>0.31498399999999999</v>
      </c>
      <c r="B108" s="68">
        <v>0.42363600000000001</v>
      </c>
      <c r="C108" s="68">
        <v>43.091700000000003</v>
      </c>
      <c r="D108" s="68">
        <v>2</v>
      </c>
      <c r="E108" s="68" t="s">
        <v>516</v>
      </c>
    </row>
    <row r="109" spans="1:5">
      <c r="A109" s="68">
        <v>0.31365500000000002</v>
      </c>
      <c r="B109" s="68">
        <v>0.42196699999999998</v>
      </c>
      <c r="C109" s="68">
        <v>43.497700000000002</v>
      </c>
      <c r="D109" s="68">
        <v>2</v>
      </c>
      <c r="E109" s="68" t="s">
        <v>517</v>
      </c>
    </row>
    <row r="110" spans="1:5">
      <c r="A110" s="68">
        <v>0.31264799999999998</v>
      </c>
      <c r="B110" s="68">
        <v>0.41939799999999999</v>
      </c>
      <c r="C110" s="68">
        <v>43.91</v>
      </c>
      <c r="D110" s="68">
        <v>2</v>
      </c>
      <c r="E110" s="68" t="s">
        <v>518</v>
      </c>
    </row>
    <row r="111" spans="1:5">
      <c r="A111" s="68">
        <v>0.311672</v>
      </c>
      <c r="B111" s="68">
        <v>0.417327</v>
      </c>
      <c r="C111" s="68">
        <v>44.315600000000003</v>
      </c>
      <c r="D111" s="68">
        <v>2</v>
      </c>
      <c r="E111" s="68" t="s">
        <v>519</v>
      </c>
    </row>
    <row r="112" spans="1:5">
      <c r="A112" s="68">
        <v>0.31048999999999999</v>
      </c>
      <c r="B112" s="68">
        <v>0.41792400000000002</v>
      </c>
      <c r="C112" s="68">
        <v>44.719499999999996</v>
      </c>
      <c r="D112" s="68">
        <v>2</v>
      </c>
      <c r="E112" s="68" t="s">
        <v>520</v>
      </c>
    </row>
    <row r="113" spans="1:5">
      <c r="A113" s="68">
        <v>0.308973</v>
      </c>
      <c r="B113" s="68">
        <v>0.42084700000000003</v>
      </c>
      <c r="C113" s="68">
        <v>45.124200000000002</v>
      </c>
      <c r="D113" s="68">
        <v>2</v>
      </c>
      <c r="E113" s="68" t="s">
        <v>521</v>
      </c>
    </row>
    <row r="114" spans="1:5">
      <c r="A114" s="68">
        <v>0.30754399999999998</v>
      </c>
      <c r="B114" s="68">
        <v>0.42423499999999997</v>
      </c>
      <c r="C114" s="68">
        <v>45.531100000000002</v>
      </c>
      <c r="D114" s="68">
        <v>2</v>
      </c>
      <c r="E114" s="68" t="s">
        <v>522</v>
      </c>
    </row>
    <row r="115" spans="1:5">
      <c r="A115" s="68">
        <v>0.30643100000000001</v>
      </c>
      <c r="B115" s="68">
        <v>0.42675099999999999</v>
      </c>
      <c r="C115" s="68">
        <v>45.937100000000001</v>
      </c>
      <c r="D115" s="68">
        <v>2</v>
      </c>
      <c r="E115" s="68" t="s">
        <v>523</v>
      </c>
    </row>
    <row r="116" spans="1:5">
      <c r="A116" s="68">
        <v>0.30577500000000002</v>
      </c>
      <c r="B116" s="68">
        <v>0.42912899999999998</v>
      </c>
      <c r="C116" s="68">
        <v>46.3429</v>
      </c>
      <c r="D116" s="68">
        <v>2</v>
      </c>
      <c r="E116" s="68" t="s">
        <v>524</v>
      </c>
    </row>
    <row r="117" spans="1:5">
      <c r="A117" s="68">
        <v>0.30517699999999998</v>
      </c>
      <c r="B117" s="68">
        <v>0.43162</v>
      </c>
      <c r="C117" s="68">
        <v>46.75</v>
      </c>
      <c r="D117" s="68">
        <v>2</v>
      </c>
      <c r="E117" s="68" t="s">
        <v>525</v>
      </c>
    </row>
    <row r="118" spans="1:5">
      <c r="A118" s="68">
        <v>0.30498500000000001</v>
      </c>
      <c r="B118" s="68">
        <v>0.43370300000000001</v>
      </c>
      <c r="C118" s="68">
        <v>47.157800000000002</v>
      </c>
      <c r="D118" s="68">
        <v>2</v>
      </c>
      <c r="E118" s="68" t="s">
        <v>526</v>
      </c>
    </row>
    <row r="119" spans="1:5">
      <c r="A119" s="68">
        <v>0.304701</v>
      </c>
      <c r="B119" s="68">
        <v>0.43725799999999998</v>
      </c>
      <c r="C119" s="68">
        <v>47.561700000000002</v>
      </c>
      <c r="D119" s="68">
        <v>2</v>
      </c>
      <c r="E119" s="68" t="s">
        <v>527</v>
      </c>
    </row>
    <row r="120" spans="1:5">
      <c r="A120" s="68">
        <v>0.304174</v>
      </c>
      <c r="B120" s="68">
        <v>0.441855</v>
      </c>
      <c r="C120" s="68">
        <v>47.968899999999998</v>
      </c>
      <c r="D120" s="68">
        <v>2</v>
      </c>
      <c r="E120" s="68" t="s">
        <v>528</v>
      </c>
    </row>
    <row r="121" spans="1:5">
      <c r="A121" s="68">
        <v>0.30327100000000001</v>
      </c>
      <c r="B121" s="68">
        <v>0.44778899999999999</v>
      </c>
      <c r="C121" s="68">
        <v>48.375399999999999</v>
      </c>
      <c r="D121" s="68">
        <v>2</v>
      </c>
      <c r="E121" s="68" t="s">
        <v>529</v>
      </c>
    </row>
    <row r="122" spans="1:5">
      <c r="A122" s="68">
        <v>0.302236</v>
      </c>
      <c r="B122" s="68">
        <v>0.45366699999999999</v>
      </c>
      <c r="C122" s="68">
        <v>48.782499999999999</v>
      </c>
      <c r="D122" s="68">
        <v>2</v>
      </c>
      <c r="E122" s="68" t="s">
        <v>530</v>
      </c>
    </row>
    <row r="123" spans="1:5">
      <c r="A123" s="68">
        <v>0.30129099999999998</v>
      </c>
      <c r="B123" s="68">
        <v>0.45887800000000001</v>
      </c>
      <c r="C123" s="68">
        <v>49.185499999999998</v>
      </c>
      <c r="D123" s="68">
        <v>2</v>
      </c>
      <c r="E123" s="68" t="s">
        <v>531</v>
      </c>
    </row>
    <row r="124" spans="1:5">
      <c r="A124" s="68">
        <v>0.30040699999999998</v>
      </c>
      <c r="B124" s="68">
        <v>0.46363900000000002</v>
      </c>
      <c r="C124" s="68">
        <v>49.591200000000001</v>
      </c>
      <c r="D124" s="68">
        <v>2</v>
      </c>
      <c r="E124" s="68" t="s">
        <v>532</v>
      </c>
    </row>
    <row r="125" spans="1:5">
      <c r="A125" s="68">
        <v>0.29959000000000002</v>
      </c>
      <c r="B125" s="68">
        <v>0.46794599999999997</v>
      </c>
      <c r="C125" s="68">
        <v>49.999299999999998</v>
      </c>
      <c r="D125" s="68">
        <v>2</v>
      </c>
      <c r="E125" s="68" t="s">
        <v>533</v>
      </c>
    </row>
    <row r="126" spans="1:5">
      <c r="A126" s="68">
        <v>0.29969600000000002</v>
      </c>
      <c r="B126" s="68">
        <v>0.469974</v>
      </c>
      <c r="C126" s="68">
        <v>50.409100000000002</v>
      </c>
      <c r="D126" s="68">
        <v>2</v>
      </c>
      <c r="E126" s="68" t="s">
        <v>534</v>
      </c>
    </row>
    <row r="127" spans="1:5">
      <c r="A127" s="68">
        <v>0.29946800000000001</v>
      </c>
      <c r="B127" s="68">
        <v>0.47328500000000001</v>
      </c>
      <c r="C127" s="68">
        <v>50.816000000000003</v>
      </c>
      <c r="D127" s="68">
        <v>2</v>
      </c>
      <c r="E127" s="68" t="s">
        <v>535</v>
      </c>
    </row>
    <row r="128" spans="1:5">
      <c r="A128" s="68">
        <v>0.29879600000000001</v>
      </c>
      <c r="B128" s="68">
        <v>0.47794599999999998</v>
      </c>
      <c r="C128" s="68">
        <v>51.221899999999998</v>
      </c>
      <c r="D128" s="68">
        <v>2</v>
      </c>
      <c r="E128" s="68" t="s">
        <v>536</v>
      </c>
    </row>
    <row r="129" spans="1:5">
      <c r="A129" s="68">
        <v>0.29775200000000002</v>
      </c>
      <c r="B129" s="68">
        <v>0.48393900000000001</v>
      </c>
      <c r="C129" s="68">
        <v>51.6218</v>
      </c>
      <c r="D129" s="68">
        <v>2</v>
      </c>
      <c r="E129" s="68" t="s">
        <v>537</v>
      </c>
    </row>
    <row r="130" spans="1:5">
      <c r="A130" s="68">
        <v>0.29689900000000002</v>
      </c>
      <c r="B130" s="68">
        <v>0.489035</v>
      </c>
      <c r="C130" s="68">
        <v>52.030999999999999</v>
      </c>
      <c r="D130" s="68">
        <v>2</v>
      </c>
      <c r="E130" s="68" t="s">
        <v>538</v>
      </c>
    </row>
    <row r="131" spans="1:5">
      <c r="A131" s="68">
        <v>0.29611399999999999</v>
      </c>
      <c r="B131" s="68">
        <v>0.49306800000000001</v>
      </c>
      <c r="C131" s="68">
        <v>52.4407</v>
      </c>
      <c r="D131" s="68">
        <v>2</v>
      </c>
      <c r="E131" s="68" t="s">
        <v>539</v>
      </c>
    </row>
    <row r="132" spans="1:5">
      <c r="A132" s="68">
        <v>0.29520999999999997</v>
      </c>
      <c r="B132" s="68">
        <v>0.49685200000000002</v>
      </c>
      <c r="C132" s="68">
        <v>52.843800000000002</v>
      </c>
      <c r="D132" s="68">
        <v>2</v>
      </c>
      <c r="E132" s="68" t="s">
        <v>540</v>
      </c>
    </row>
    <row r="133" spans="1:5">
      <c r="A133" s="68">
        <v>0.29481099999999999</v>
      </c>
      <c r="B133" s="68">
        <v>0.499164</v>
      </c>
      <c r="C133" s="68">
        <v>53.249499999999998</v>
      </c>
      <c r="D133" s="68">
        <v>2</v>
      </c>
      <c r="E133" s="68" t="s">
        <v>541</v>
      </c>
    </row>
    <row r="134" spans="1:5">
      <c r="A134" s="68">
        <v>0.29442699999999999</v>
      </c>
      <c r="B134" s="68">
        <v>0.50141500000000006</v>
      </c>
      <c r="C134" s="68">
        <v>53.656399999999998</v>
      </c>
      <c r="D134" s="68">
        <v>2</v>
      </c>
      <c r="E134" s="68" t="s">
        <v>542</v>
      </c>
    </row>
    <row r="135" spans="1:5">
      <c r="A135" s="68">
        <v>0.29380699999999998</v>
      </c>
      <c r="B135" s="68">
        <v>0.50465400000000005</v>
      </c>
      <c r="C135" s="68">
        <v>54.062800000000003</v>
      </c>
      <c r="D135" s="68">
        <v>2</v>
      </c>
      <c r="E135" s="68" t="s">
        <v>543</v>
      </c>
    </row>
    <row r="136" spans="1:5">
      <c r="A136" s="68">
        <v>0.29274600000000001</v>
      </c>
      <c r="B136" s="68">
        <v>0.50937200000000005</v>
      </c>
      <c r="C136" s="68">
        <v>54.470300000000002</v>
      </c>
      <c r="D136" s="68">
        <v>2</v>
      </c>
      <c r="E136" s="68" t="s">
        <v>544</v>
      </c>
    </row>
    <row r="137" spans="1:5">
      <c r="A137" s="68">
        <v>0.29149999999999998</v>
      </c>
      <c r="B137" s="68">
        <v>0.51338099999999998</v>
      </c>
      <c r="C137" s="68">
        <v>54.876199999999997</v>
      </c>
      <c r="D137" s="68">
        <v>2</v>
      </c>
      <c r="E137" s="68" t="s">
        <v>545</v>
      </c>
    </row>
    <row r="138" spans="1:5">
      <c r="A138" s="68">
        <v>0.29051700000000003</v>
      </c>
      <c r="B138" s="68">
        <v>0.51474600000000004</v>
      </c>
      <c r="C138" s="68">
        <v>55.280099999999997</v>
      </c>
      <c r="D138" s="68">
        <v>2</v>
      </c>
      <c r="E138" s="68" t="s">
        <v>546</v>
      </c>
    </row>
    <row r="139" spans="1:5">
      <c r="A139" s="68">
        <v>0.28985</v>
      </c>
      <c r="B139" s="68">
        <v>0.51512599999999997</v>
      </c>
      <c r="C139" s="68">
        <v>55.686900000000001</v>
      </c>
      <c r="D139" s="68">
        <v>2</v>
      </c>
      <c r="E139" s="68" t="s">
        <v>547</v>
      </c>
    </row>
    <row r="140" spans="1:5">
      <c r="A140" s="68">
        <v>0.289211</v>
      </c>
      <c r="B140" s="68">
        <v>0.51594600000000002</v>
      </c>
      <c r="C140" s="68">
        <v>56.093000000000004</v>
      </c>
      <c r="D140" s="68">
        <v>2</v>
      </c>
      <c r="E140" s="68" t="s">
        <v>548</v>
      </c>
    </row>
    <row r="141" spans="1:5">
      <c r="A141" s="68">
        <v>0.288381</v>
      </c>
      <c r="B141" s="68">
        <v>0.51722900000000005</v>
      </c>
      <c r="C141" s="68">
        <v>56.4998</v>
      </c>
      <c r="D141" s="68">
        <v>2</v>
      </c>
      <c r="E141" s="68" t="s">
        <v>549</v>
      </c>
    </row>
    <row r="142" spans="1:5">
      <c r="A142" s="68">
        <v>0.28807899999999997</v>
      </c>
      <c r="B142" s="68">
        <v>0.51696799999999998</v>
      </c>
      <c r="C142" s="68">
        <v>56.908799999999999</v>
      </c>
      <c r="D142" s="68">
        <v>2</v>
      </c>
      <c r="E142" s="68" t="s">
        <v>550</v>
      </c>
    </row>
    <row r="143" spans="1:5">
      <c r="A143" s="68">
        <v>0.287769</v>
      </c>
      <c r="B143" s="68">
        <v>0.51658300000000001</v>
      </c>
      <c r="C143" s="68">
        <v>57.314599999999999</v>
      </c>
      <c r="D143" s="68">
        <v>2</v>
      </c>
      <c r="E143" s="68" t="s">
        <v>551</v>
      </c>
    </row>
    <row r="144" spans="1:5">
      <c r="A144" s="68">
        <v>0.28658699999999998</v>
      </c>
      <c r="B144" s="68">
        <v>0.51865899999999998</v>
      </c>
      <c r="C144" s="68">
        <v>57.717599999999997</v>
      </c>
      <c r="D144" s="68">
        <v>2</v>
      </c>
      <c r="E144" s="68" t="s">
        <v>552</v>
      </c>
    </row>
    <row r="145" spans="1:5">
      <c r="A145" s="68">
        <v>0.28498499999999999</v>
      </c>
      <c r="B145" s="68">
        <v>0.52211200000000002</v>
      </c>
      <c r="C145" s="68">
        <v>58.124499999999998</v>
      </c>
      <c r="D145" s="68">
        <v>2</v>
      </c>
      <c r="E145" s="68" t="s">
        <v>553</v>
      </c>
    </row>
    <row r="146" spans="1:5">
      <c r="A146" s="68">
        <v>0.28361599999999998</v>
      </c>
      <c r="B146" s="68">
        <v>0.52495800000000004</v>
      </c>
      <c r="C146" s="68">
        <v>58.535600000000002</v>
      </c>
      <c r="D146" s="68">
        <v>2</v>
      </c>
      <c r="E146" s="68" t="s">
        <v>554</v>
      </c>
    </row>
    <row r="147" spans="1:5">
      <c r="A147" s="68">
        <v>0.28359000000000001</v>
      </c>
      <c r="B147" s="68">
        <v>0.52172399999999997</v>
      </c>
      <c r="C147" s="68">
        <v>58.940300000000001</v>
      </c>
      <c r="D147" s="68">
        <v>2</v>
      </c>
      <c r="E147" s="68" t="s">
        <v>555</v>
      </c>
    </row>
    <row r="148" spans="1:5">
      <c r="A148" s="68">
        <v>0.28362300000000001</v>
      </c>
      <c r="B148" s="68">
        <v>0.51635399999999998</v>
      </c>
      <c r="C148" s="68">
        <v>59.347200000000001</v>
      </c>
      <c r="D148" s="68">
        <v>2</v>
      </c>
      <c r="E148" s="68" t="s">
        <v>556</v>
      </c>
    </row>
    <row r="149" spans="1:5">
      <c r="A149" s="68">
        <v>0.282169</v>
      </c>
      <c r="B149" s="68">
        <v>0.51730699999999996</v>
      </c>
      <c r="C149" s="68">
        <v>59.750100000000003</v>
      </c>
      <c r="D149" s="68">
        <v>2</v>
      </c>
      <c r="E149" s="68" t="s">
        <v>557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43605.691435185188</v>
      </c>
      <c r="B2" s="66" t="s">
        <v>559</v>
      </c>
      <c r="C2" s="66"/>
      <c r="D2" s="66"/>
      <c r="E2" s="66">
        <v>4.9234099999999996</v>
      </c>
      <c r="F2" s="66">
        <v>1.6519299999999999</v>
      </c>
      <c r="G2" s="66">
        <v>0.53097300000000003</v>
      </c>
      <c r="H2" s="66">
        <v>0</v>
      </c>
      <c r="I2" s="66">
        <v>183918</v>
      </c>
      <c r="J2" s="66">
        <v>106</v>
      </c>
      <c r="K2" s="66">
        <v>106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2019-05-20T08:38:29Z</cp:lastPrinted>
  <dcterms:created xsi:type="dcterms:W3CDTF">2010-10-29T12:53:05Z</dcterms:created>
  <dcterms:modified xsi:type="dcterms:W3CDTF">2019-05-20T08:41:07Z</dcterms:modified>
</cp:coreProperties>
</file>